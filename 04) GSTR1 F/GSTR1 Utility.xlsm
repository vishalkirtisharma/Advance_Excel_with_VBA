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al Sharma\Desktop\New folder (8)\04) GSTR1\"/>
    </mc:Choice>
  </mc:AlternateContent>
  <bookViews>
    <workbookView xWindow="-120" yWindow="-120" windowWidth="20730" windowHeight="11160" firstSheet="1" activeTab="1"/>
  </bookViews>
  <sheets>
    <sheet name="Docs" sheetId="17" state="veryHidden" r:id="rId1"/>
    <sheet name="Dashboard" sheetId="12" r:id="rId2"/>
    <sheet name="CDNR" sheetId="6" state="veryHidden" r:id="rId3"/>
    <sheet name="HSN" sheetId="4" state="veryHidden" r:id="rId4"/>
    <sheet name="B2B" sheetId="16" state="veryHidden" r:id="rId5"/>
    <sheet name="B2C" sheetId="5" state="veryHidden" r:id="rId6"/>
    <sheet name="Sales" sheetId="1" state="veryHidden" r:id="rId7"/>
  </sheets>
  <definedNames>
    <definedName name="_xlnm._FilterDatabase" localSheetId="4" hidden="1">B2B!$B$128:$C$128</definedName>
    <definedName name="_xlnm._FilterDatabase" localSheetId="6" hidden="1">Sales!$A$1:$BJ$253</definedName>
    <definedName name="Dashboard">Dashboard!$D$1:$I$10</definedName>
    <definedName name="Events">Dashboard!$K$1</definedName>
  </definedNames>
  <calcPr calcId="152511"/>
  <pivotCaches>
    <pivotCache cacheId="6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16" l="1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AV2" i="1"/>
  <c r="AW2" i="1" s="1"/>
  <c r="AV3" i="1"/>
  <c r="AW3" i="1" s="1"/>
  <c r="AV4" i="1"/>
  <c r="AW4" i="1" s="1"/>
  <c r="AV5" i="1"/>
  <c r="AW5" i="1" s="1"/>
  <c r="AV6" i="1"/>
  <c r="AW6" i="1" s="1"/>
  <c r="AV7" i="1"/>
  <c r="AW7" i="1" s="1"/>
  <c r="AV8" i="1"/>
  <c r="AW8" i="1" s="1"/>
  <c r="AV9" i="1"/>
  <c r="AW9" i="1" s="1"/>
  <c r="AV10" i="1"/>
  <c r="AW10" i="1" s="1"/>
  <c r="AV11" i="1"/>
  <c r="AW11" i="1" s="1"/>
  <c r="AV12" i="1"/>
  <c r="AW12" i="1" s="1"/>
  <c r="AV13" i="1"/>
  <c r="AW13" i="1" s="1"/>
  <c r="AV14" i="1"/>
  <c r="AW14" i="1" s="1"/>
  <c r="AV15" i="1"/>
  <c r="AW15" i="1" s="1"/>
  <c r="AV16" i="1"/>
  <c r="AW16" i="1" s="1"/>
  <c r="AV17" i="1"/>
  <c r="AW17" i="1" s="1"/>
  <c r="AV18" i="1"/>
  <c r="AW18" i="1" s="1"/>
  <c r="AV19" i="1"/>
  <c r="AW19" i="1" s="1"/>
  <c r="AV20" i="1"/>
  <c r="AW20" i="1" s="1"/>
  <c r="AV21" i="1"/>
  <c r="AW21" i="1" s="1"/>
  <c r="AV22" i="1"/>
  <c r="AW22" i="1" s="1"/>
  <c r="AV23" i="1"/>
  <c r="AW23" i="1" s="1"/>
  <c r="AV24" i="1"/>
  <c r="AW24" i="1" s="1"/>
  <c r="AV25" i="1"/>
  <c r="AW25" i="1" s="1"/>
  <c r="AV26" i="1"/>
  <c r="AW26" i="1" s="1"/>
  <c r="AV27" i="1"/>
  <c r="AW27" i="1" s="1"/>
  <c r="AV28" i="1"/>
  <c r="AW28" i="1" s="1"/>
  <c r="AV29" i="1"/>
  <c r="AW29" i="1" s="1"/>
  <c r="AV30" i="1"/>
  <c r="AW30" i="1" s="1"/>
  <c r="AV31" i="1"/>
  <c r="AW31" i="1" s="1"/>
  <c r="AV32" i="1"/>
  <c r="AW32" i="1" s="1"/>
  <c r="AV33" i="1"/>
  <c r="AW33" i="1" s="1"/>
  <c r="AV34" i="1"/>
  <c r="AW34" i="1" s="1"/>
  <c r="AV35" i="1"/>
  <c r="AW35" i="1" s="1"/>
  <c r="AV36" i="1"/>
  <c r="AW36" i="1" s="1"/>
  <c r="AV37" i="1"/>
  <c r="AW37" i="1" s="1"/>
  <c r="AV38" i="1"/>
  <c r="AW38" i="1" s="1"/>
  <c r="AV39" i="1"/>
  <c r="AW39" i="1" s="1"/>
  <c r="AV40" i="1"/>
  <c r="AW40" i="1" s="1"/>
  <c r="AV41" i="1"/>
  <c r="AW41" i="1" s="1"/>
  <c r="AV42" i="1"/>
  <c r="AW42" i="1" s="1"/>
  <c r="AV43" i="1"/>
  <c r="AW43" i="1" s="1"/>
  <c r="AV44" i="1"/>
  <c r="AW44" i="1" s="1"/>
  <c r="AV45" i="1"/>
  <c r="AW45" i="1" s="1"/>
  <c r="AV46" i="1"/>
  <c r="AW46" i="1" s="1"/>
  <c r="AV47" i="1"/>
  <c r="AW47" i="1" s="1"/>
  <c r="AV48" i="1"/>
  <c r="AW48" i="1" s="1"/>
  <c r="AV49" i="1"/>
  <c r="AW49" i="1" s="1"/>
  <c r="AV50" i="1"/>
  <c r="AW50" i="1" s="1"/>
  <c r="AV51" i="1"/>
  <c r="AW51" i="1" s="1"/>
  <c r="AV52" i="1"/>
  <c r="AW52" i="1" s="1"/>
  <c r="AV53" i="1"/>
  <c r="AW53" i="1" s="1"/>
  <c r="AV54" i="1"/>
  <c r="AW54" i="1" s="1"/>
  <c r="AV55" i="1"/>
  <c r="AW55" i="1" s="1"/>
  <c r="AV56" i="1"/>
  <c r="AW56" i="1" s="1"/>
  <c r="AV57" i="1"/>
  <c r="AW57" i="1" s="1"/>
  <c r="AV58" i="1"/>
  <c r="AW58" i="1" s="1"/>
  <c r="AV59" i="1"/>
  <c r="AW59" i="1" s="1"/>
  <c r="AV60" i="1"/>
  <c r="AW60" i="1" s="1"/>
  <c r="AV61" i="1"/>
  <c r="AW61" i="1" s="1"/>
  <c r="AV62" i="1"/>
  <c r="AW62" i="1" s="1"/>
  <c r="AV63" i="1"/>
  <c r="AW63" i="1" s="1"/>
  <c r="AV64" i="1"/>
  <c r="AW64" i="1" s="1"/>
  <c r="AV65" i="1"/>
  <c r="AW65" i="1" s="1"/>
  <c r="AV66" i="1"/>
  <c r="AW66" i="1" s="1"/>
  <c r="AV67" i="1"/>
  <c r="AW67" i="1" s="1"/>
  <c r="AV68" i="1"/>
  <c r="AW68" i="1" s="1"/>
  <c r="AV69" i="1"/>
  <c r="AW69" i="1" s="1"/>
  <c r="AV70" i="1"/>
  <c r="AW70" i="1" s="1"/>
  <c r="AV71" i="1"/>
  <c r="AW71" i="1" s="1"/>
  <c r="AV72" i="1"/>
  <c r="AW72" i="1" s="1"/>
  <c r="AV73" i="1"/>
  <c r="AW73" i="1" s="1"/>
  <c r="AV74" i="1"/>
  <c r="AW74" i="1" s="1"/>
  <c r="AV75" i="1"/>
  <c r="AW75" i="1" s="1"/>
  <c r="AV76" i="1"/>
  <c r="AW76" i="1" s="1"/>
  <c r="AV77" i="1"/>
  <c r="AW77" i="1" s="1"/>
  <c r="AV78" i="1"/>
  <c r="AW78" i="1" s="1"/>
  <c r="AV79" i="1"/>
  <c r="AW79" i="1" s="1"/>
  <c r="AV80" i="1"/>
  <c r="AW80" i="1" s="1"/>
  <c r="AV81" i="1"/>
  <c r="AW81" i="1" s="1"/>
  <c r="AV82" i="1"/>
  <c r="AW82" i="1" s="1"/>
  <c r="AV83" i="1"/>
  <c r="AW83" i="1" s="1"/>
  <c r="AV84" i="1"/>
  <c r="AW84" i="1" s="1"/>
  <c r="AV85" i="1"/>
  <c r="AW85" i="1" s="1"/>
  <c r="AV86" i="1"/>
  <c r="AW86" i="1" s="1"/>
  <c r="AV87" i="1"/>
  <c r="AW87" i="1" s="1"/>
  <c r="AV88" i="1"/>
  <c r="AW88" i="1" s="1"/>
  <c r="AV89" i="1"/>
  <c r="AW89" i="1" s="1"/>
  <c r="AV90" i="1"/>
  <c r="AW90" i="1" s="1"/>
  <c r="AV91" i="1"/>
  <c r="AW91" i="1" s="1"/>
  <c r="AV92" i="1"/>
  <c r="AW92" i="1" s="1"/>
  <c r="AV93" i="1"/>
  <c r="AW93" i="1" s="1"/>
  <c r="AV94" i="1"/>
  <c r="AW94" i="1" s="1"/>
  <c r="AV95" i="1"/>
  <c r="AW95" i="1" s="1"/>
  <c r="AV96" i="1"/>
  <c r="AW96" i="1" s="1"/>
  <c r="AV97" i="1"/>
  <c r="AW97" i="1" s="1"/>
  <c r="AV98" i="1"/>
  <c r="AW98" i="1" s="1"/>
  <c r="AV99" i="1"/>
  <c r="AW99" i="1" s="1"/>
  <c r="AV100" i="1"/>
  <c r="AW100" i="1" s="1"/>
  <c r="AV101" i="1"/>
  <c r="AW101" i="1" s="1"/>
  <c r="AV102" i="1"/>
  <c r="AW102" i="1" s="1"/>
  <c r="AV103" i="1"/>
  <c r="AW103" i="1" s="1"/>
  <c r="AV104" i="1"/>
  <c r="AW104" i="1" s="1"/>
  <c r="AV105" i="1"/>
  <c r="AW105" i="1" s="1"/>
  <c r="AV106" i="1"/>
  <c r="AW106" i="1" s="1"/>
  <c r="AV107" i="1"/>
  <c r="AW107" i="1" s="1"/>
  <c r="AV108" i="1"/>
  <c r="AW108" i="1" s="1"/>
  <c r="AV109" i="1"/>
  <c r="AW109" i="1" s="1"/>
  <c r="AV110" i="1"/>
  <c r="AW110" i="1" s="1"/>
  <c r="AV111" i="1"/>
  <c r="AW111" i="1" s="1"/>
  <c r="AV112" i="1"/>
  <c r="AW112" i="1" s="1"/>
  <c r="AV113" i="1"/>
  <c r="AW113" i="1" s="1"/>
  <c r="AV114" i="1"/>
  <c r="AW114" i="1" s="1"/>
  <c r="AV115" i="1"/>
  <c r="AW115" i="1" s="1"/>
  <c r="AV116" i="1"/>
  <c r="AW116" i="1" s="1"/>
  <c r="AV117" i="1"/>
  <c r="AW117" i="1" s="1"/>
  <c r="AV118" i="1"/>
  <c r="AW118" i="1" s="1"/>
  <c r="AV119" i="1"/>
  <c r="AW119" i="1" s="1"/>
  <c r="AV120" i="1"/>
  <c r="AW120" i="1" s="1"/>
  <c r="AV121" i="1"/>
  <c r="AW121" i="1" s="1"/>
  <c r="AV122" i="1"/>
  <c r="AW122" i="1" s="1"/>
  <c r="AV123" i="1"/>
  <c r="AW123" i="1" s="1"/>
  <c r="AV124" i="1"/>
  <c r="AW124" i="1" s="1"/>
  <c r="AV125" i="1"/>
  <c r="AW125" i="1" s="1"/>
  <c r="AV126" i="1"/>
  <c r="AW126" i="1" s="1"/>
  <c r="AV127" i="1"/>
  <c r="AW127" i="1" s="1"/>
  <c r="AV128" i="1"/>
  <c r="AW128" i="1" s="1"/>
  <c r="AV129" i="1"/>
  <c r="AW129" i="1" s="1"/>
  <c r="AV130" i="1"/>
  <c r="AW130" i="1" s="1"/>
  <c r="AV131" i="1"/>
  <c r="AW131" i="1" s="1"/>
  <c r="AV132" i="1"/>
  <c r="AW132" i="1" s="1"/>
  <c r="AV133" i="1"/>
  <c r="AW133" i="1" s="1"/>
  <c r="AV134" i="1"/>
  <c r="AW134" i="1" s="1"/>
  <c r="AV135" i="1"/>
  <c r="AW135" i="1" s="1"/>
  <c r="AV136" i="1"/>
  <c r="AW136" i="1" s="1"/>
  <c r="AV137" i="1"/>
  <c r="AW137" i="1" s="1"/>
  <c r="AV138" i="1"/>
  <c r="AW138" i="1" s="1"/>
  <c r="AV139" i="1"/>
  <c r="AW139" i="1" s="1"/>
  <c r="AV140" i="1"/>
  <c r="AW140" i="1" s="1"/>
  <c r="AV141" i="1"/>
  <c r="AW141" i="1" s="1"/>
  <c r="AV142" i="1"/>
  <c r="AW142" i="1" s="1"/>
  <c r="AV143" i="1"/>
  <c r="AW143" i="1" s="1"/>
  <c r="AV144" i="1"/>
  <c r="AW144" i="1" s="1"/>
  <c r="AV145" i="1"/>
  <c r="AW145" i="1" s="1"/>
  <c r="AV146" i="1"/>
  <c r="AW146" i="1" s="1"/>
  <c r="AV147" i="1"/>
  <c r="AW147" i="1" s="1"/>
  <c r="AV148" i="1"/>
  <c r="AW148" i="1" s="1"/>
  <c r="AV149" i="1"/>
  <c r="AW149" i="1" s="1"/>
  <c r="AV150" i="1"/>
  <c r="AW150" i="1" s="1"/>
  <c r="AV151" i="1"/>
  <c r="AW151" i="1" s="1"/>
  <c r="AV152" i="1"/>
  <c r="AW152" i="1" s="1"/>
  <c r="AV153" i="1"/>
  <c r="AW153" i="1" s="1"/>
  <c r="AV154" i="1"/>
  <c r="AW154" i="1" s="1"/>
  <c r="AV155" i="1"/>
  <c r="AW155" i="1" s="1"/>
  <c r="AV156" i="1"/>
  <c r="AW156" i="1" s="1"/>
  <c r="AV157" i="1"/>
  <c r="AW157" i="1" s="1"/>
  <c r="AV158" i="1"/>
  <c r="AW158" i="1" s="1"/>
  <c r="AV159" i="1"/>
  <c r="AW159" i="1" s="1"/>
  <c r="AV160" i="1"/>
  <c r="AW160" i="1" s="1"/>
  <c r="AV161" i="1"/>
  <c r="AW161" i="1" s="1"/>
  <c r="AV162" i="1"/>
  <c r="AW162" i="1" s="1"/>
  <c r="AV163" i="1"/>
  <c r="AW163" i="1" s="1"/>
  <c r="AV164" i="1"/>
  <c r="AW164" i="1" s="1"/>
  <c r="AV165" i="1"/>
  <c r="AW165" i="1" s="1"/>
  <c r="AV166" i="1"/>
  <c r="AW166" i="1" s="1"/>
  <c r="AV167" i="1"/>
  <c r="AW167" i="1" s="1"/>
  <c r="AV168" i="1"/>
  <c r="AW168" i="1" s="1"/>
  <c r="AV169" i="1"/>
  <c r="AW169" i="1" s="1"/>
  <c r="AV170" i="1"/>
  <c r="AW170" i="1" s="1"/>
  <c r="AV171" i="1"/>
  <c r="AW171" i="1" s="1"/>
  <c r="AV172" i="1"/>
  <c r="AW172" i="1" s="1"/>
  <c r="AV173" i="1"/>
  <c r="AW173" i="1" s="1"/>
  <c r="AV174" i="1"/>
  <c r="AW174" i="1" s="1"/>
  <c r="AV175" i="1"/>
  <c r="AW175" i="1" s="1"/>
  <c r="AV176" i="1"/>
  <c r="AW176" i="1" s="1"/>
  <c r="AV177" i="1"/>
  <c r="AW177" i="1" s="1"/>
  <c r="AV178" i="1"/>
  <c r="AW178" i="1" s="1"/>
  <c r="AV179" i="1"/>
  <c r="AW179" i="1" s="1"/>
  <c r="AV180" i="1"/>
  <c r="AW180" i="1" s="1"/>
  <c r="AV181" i="1"/>
  <c r="AW181" i="1" s="1"/>
  <c r="AV182" i="1"/>
  <c r="AW182" i="1" s="1"/>
  <c r="AV183" i="1"/>
  <c r="AW183" i="1" s="1"/>
  <c r="AV184" i="1"/>
  <c r="AW184" i="1" s="1"/>
  <c r="AV185" i="1"/>
  <c r="AW185" i="1" s="1"/>
  <c r="AV186" i="1"/>
  <c r="AW186" i="1" s="1"/>
  <c r="AV187" i="1"/>
  <c r="AW187" i="1" s="1"/>
  <c r="AV188" i="1"/>
  <c r="AW188" i="1" s="1"/>
  <c r="AV189" i="1"/>
  <c r="AW189" i="1" s="1"/>
  <c r="AV190" i="1"/>
  <c r="AW190" i="1" s="1"/>
  <c r="AV191" i="1"/>
  <c r="AW191" i="1" s="1"/>
  <c r="AV192" i="1"/>
  <c r="AW192" i="1" s="1"/>
  <c r="AV193" i="1"/>
  <c r="AW193" i="1" s="1"/>
  <c r="AV194" i="1"/>
  <c r="AW194" i="1" s="1"/>
  <c r="AV195" i="1"/>
  <c r="AW195" i="1" s="1"/>
  <c r="AV196" i="1"/>
  <c r="AW196" i="1" s="1"/>
  <c r="AV197" i="1"/>
  <c r="AW197" i="1" s="1"/>
  <c r="AV198" i="1"/>
  <c r="AW198" i="1" s="1"/>
  <c r="AV199" i="1"/>
  <c r="AW199" i="1" s="1"/>
  <c r="AV200" i="1"/>
  <c r="AW200" i="1" s="1"/>
  <c r="AV201" i="1"/>
  <c r="AW201" i="1" s="1"/>
  <c r="AV202" i="1"/>
  <c r="AW202" i="1" s="1"/>
  <c r="AV203" i="1"/>
  <c r="AW203" i="1" s="1"/>
  <c r="AV204" i="1"/>
  <c r="AW204" i="1" s="1"/>
  <c r="AV205" i="1"/>
  <c r="AW205" i="1" s="1"/>
  <c r="AV206" i="1"/>
  <c r="AW206" i="1" s="1"/>
  <c r="AV207" i="1"/>
  <c r="AW207" i="1" s="1"/>
  <c r="AV208" i="1"/>
  <c r="AW208" i="1" s="1"/>
  <c r="AV209" i="1"/>
  <c r="AW209" i="1" s="1"/>
  <c r="AV210" i="1"/>
  <c r="AW210" i="1" s="1"/>
  <c r="AV211" i="1"/>
  <c r="AW211" i="1" s="1"/>
  <c r="AV212" i="1"/>
  <c r="AW212" i="1" s="1"/>
  <c r="AV213" i="1"/>
  <c r="AW213" i="1" s="1"/>
  <c r="AV214" i="1"/>
  <c r="AW214" i="1" s="1"/>
  <c r="AV215" i="1"/>
  <c r="AW215" i="1" s="1"/>
  <c r="AV216" i="1"/>
  <c r="AW216" i="1" s="1"/>
  <c r="AV217" i="1"/>
  <c r="AW217" i="1" s="1"/>
  <c r="AV218" i="1"/>
  <c r="AW218" i="1" s="1"/>
  <c r="AV219" i="1"/>
  <c r="AW219" i="1" s="1"/>
  <c r="AV220" i="1"/>
  <c r="AW220" i="1" s="1"/>
  <c r="AV221" i="1"/>
  <c r="AW221" i="1" s="1"/>
  <c r="AV222" i="1"/>
  <c r="AW222" i="1" s="1"/>
  <c r="AV223" i="1"/>
  <c r="AW223" i="1" s="1"/>
  <c r="AV224" i="1"/>
  <c r="AW224" i="1" s="1"/>
  <c r="AV225" i="1"/>
  <c r="AW225" i="1" s="1"/>
  <c r="AV226" i="1"/>
  <c r="AW226" i="1" s="1"/>
  <c r="AV227" i="1"/>
  <c r="AW227" i="1" s="1"/>
  <c r="AV228" i="1"/>
  <c r="AW228" i="1" s="1"/>
  <c r="AV229" i="1"/>
  <c r="AW229" i="1" s="1"/>
  <c r="AV230" i="1"/>
  <c r="AW230" i="1" s="1"/>
  <c r="AV231" i="1"/>
  <c r="AW231" i="1" s="1"/>
  <c r="AV232" i="1"/>
  <c r="AW232" i="1" s="1"/>
  <c r="AV233" i="1"/>
  <c r="AW233" i="1" s="1"/>
  <c r="AV234" i="1"/>
  <c r="AW234" i="1" s="1"/>
  <c r="AV235" i="1"/>
  <c r="AW235" i="1" s="1"/>
  <c r="AV236" i="1"/>
  <c r="AW236" i="1" s="1"/>
  <c r="AV237" i="1"/>
  <c r="AW237" i="1" s="1"/>
  <c r="AV238" i="1"/>
  <c r="AW238" i="1" s="1"/>
  <c r="AV239" i="1"/>
  <c r="AW239" i="1" s="1"/>
  <c r="AV240" i="1"/>
  <c r="AW240" i="1" s="1"/>
  <c r="AV241" i="1"/>
  <c r="AW241" i="1" s="1"/>
  <c r="AV242" i="1"/>
  <c r="AW242" i="1" s="1"/>
  <c r="AV243" i="1"/>
  <c r="AW243" i="1" s="1"/>
  <c r="AV244" i="1"/>
  <c r="AW244" i="1" s="1"/>
  <c r="AV245" i="1"/>
  <c r="AW245" i="1" s="1"/>
  <c r="AV246" i="1"/>
  <c r="AW246" i="1" s="1"/>
  <c r="AV247" i="1"/>
  <c r="AW247" i="1" s="1"/>
  <c r="AV248" i="1"/>
  <c r="AW248" i="1" s="1"/>
  <c r="AV249" i="1"/>
  <c r="AW249" i="1" s="1"/>
  <c r="AV250" i="1"/>
  <c r="AW250" i="1" s="1"/>
  <c r="AV251" i="1"/>
  <c r="AW251" i="1" s="1"/>
  <c r="AV252" i="1"/>
  <c r="AW252" i="1" s="1"/>
  <c r="AV253" i="1"/>
  <c r="AW253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I5" i="12" l="1"/>
  <c r="H5" i="12"/>
  <c r="G5" i="12"/>
  <c r="F5" i="12"/>
  <c r="AL8" i="17"/>
  <c r="AL7" i="17"/>
  <c r="AJ7" i="17"/>
  <c r="AK7" i="17"/>
  <c r="AK8" i="17"/>
  <c r="AJ8" i="17"/>
  <c r="AF8" i="17" l="1"/>
  <c r="AG7" i="17"/>
  <c r="AF7" i="17"/>
  <c r="AH8" i="17"/>
  <c r="AI8" i="17" s="1"/>
  <c r="AG8" i="17"/>
  <c r="AH7" i="17"/>
  <c r="AI7" i="17" s="1"/>
  <c r="I6" i="12" l="1"/>
  <c r="H6" i="12"/>
  <c r="G6" i="12"/>
  <c r="F6" i="12"/>
  <c r="G9" i="12"/>
  <c r="G4" i="12"/>
  <c r="H9" i="12"/>
  <c r="I4" i="12"/>
  <c r="G3" i="12"/>
  <c r="H4" i="12"/>
  <c r="F3" i="12"/>
  <c r="I3" i="12"/>
  <c r="I9" i="12"/>
  <c r="H3" i="12"/>
  <c r="F9" i="12"/>
  <c r="F4" i="12"/>
  <c r="F7" i="12" l="1"/>
  <c r="F10" i="12" s="1"/>
  <c r="I7" i="12"/>
  <c r="I10" i="12" s="1"/>
  <c r="H7" i="12"/>
  <c r="H10" i="12" s="1"/>
  <c r="G7" i="12"/>
  <c r="G10" i="12" s="1"/>
</calcChain>
</file>

<file path=xl/sharedStrings.xml><?xml version="1.0" encoding="utf-8"?>
<sst xmlns="http://schemas.openxmlformats.org/spreadsheetml/2006/main" count="9241" uniqueCount="477">
  <si>
    <t>Type</t>
  </si>
  <si>
    <t>Inv. Pfx.</t>
  </si>
  <si>
    <t>Benf. Name</t>
  </si>
  <si>
    <t>HSN/SAC Code</t>
  </si>
  <si>
    <t>Item UOM</t>
  </si>
  <si>
    <t>GST Cust. Type</t>
  </si>
  <si>
    <t>Place of Supply</t>
  </si>
  <si>
    <t>GST No.</t>
  </si>
  <si>
    <t>SI-2</t>
  </si>
  <si>
    <t>33051090</t>
  </si>
  <si>
    <t>Registered</t>
  </si>
  <si>
    <t>24-GUJARAT</t>
  </si>
  <si>
    <t>05-UTTARKHAND</t>
  </si>
  <si>
    <t>08-RAJASTHAN</t>
  </si>
  <si>
    <t>33-TAMIL NADU</t>
  </si>
  <si>
    <t>03-PUNJAB</t>
  </si>
  <si>
    <t>09-UTTAR PRADESH</t>
  </si>
  <si>
    <t>29-KARNATAKA</t>
  </si>
  <si>
    <t>27-MAHARASTRA</t>
  </si>
  <si>
    <t>23-MADHYAPRADESH</t>
  </si>
  <si>
    <t>07-DELHI</t>
  </si>
  <si>
    <t>CR</t>
  </si>
  <si>
    <t>Grand Total</t>
  </si>
  <si>
    <t>Sum of Sale Amt.</t>
  </si>
  <si>
    <t>Sum of Total Amt.</t>
  </si>
  <si>
    <t>Values</t>
  </si>
  <si>
    <t>Inv. Pfx./Inv. No.</t>
  </si>
  <si>
    <t>Total</t>
  </si>
  <si>
    <t>72043000</t>
  </si>
  <si>
    <t>GST%</t>
  </si>
  <si>
    <t>34029011</t>
  </si>
  <si>
    <t>DN2</t>
  </si>
  <si>
    <t>10-BIHAR</t>
  </si>
  <si>
    <t>Inv. Date</t>
  </si>
  <si>
    <t>GSTIN/UIN of Recipient</t>
  </si>
  <si>
    <t xml:space="preserve"> CGST</t>
  </si>
  <si>
    <t xml:space="preserve"> SGST</t>
  </si>
  <si>
    <t xml:space="preserve"> IGST</t>
  </si>
  <si>
    <t>Total Value</t>
  </si>
  <si>
    <t xml:space="preserve"> Invoice Qty.</t>
  </si>
  <si>
    <t xml:space="preserve"> Sale Amt.</t>
  </si>
  <si>
    <t xml:space="preserve"> Total Amt.</t>
  </si>
  <si>
    <t xml:space="preserve"> GST</t>
  </si>
  <si>
    <t>0</t>
  </si>
  <si>
    <t>Taxable value</t>
  </si>
  <si>
    <t>Integrated Tax</t>
  </si>
  <si>
    <t>Central Tax</t>
  </si>
  <si>
    <t>State Tax</t>
  </si>
  <si>
    <t>B2B</t>
  </si>
  <si>
    <t>B2CS</t>
  </si>
  <si>
    <t>Head</t>
  </si>
  <si>
    <t>CDNR</t>
  </si>
  <si>
    <t>Credit notes</t>
  </si>
  <si>
    <t>Dredit notes</t>
  </si>
  <si>
    <t>HSN</t>
  </si>
  <si>
    <t>Diff.</t>
  </si>
  <si>
    <t>Sub Total</t>
  </si>
  <si>
    <t>Summary of Data</t>
  </si>
  <si>
    <t>Events Log</t>
  </si>
  <si>
    <t>34013090</t>
  </si>
  <si>
    <t>BOX-BOX</t>
  </si>
  <si>
    <t>NOS-NUMBERS</t>
  </si>
  <si>
    <t>KGS-KILOGRAMS</t>
  </si>
  <si>
    <t>Document type</t>
  </si>
  <si>
    <t>Debit Note</t>
  </si>
  <si>
    <t>Invoices for outward supply</t>
  </si>
  <si>
    <t>Invoice No. Actual</t>
  </si>
  <si>
    <t>Nature of Document</t>
  </si>
  <si>
    <t>Min</t>
  </si>
  <si>
    <t>Max</t>
  </si>
  <si>
    <t>Invoice avaliable</t>
  </si>
  <si>
    <t>Cancel</t>
  </si>
  <si>
    <t>Sr. No. From</t>
  </si>
  <si>
    <t>Sr. No. To</t>
  </si>
  <si>
    <t>Total Number</t>
  </si>
  <si>
    <t>Cancelled</t>
  </si>
  <si>
    <t>Available</t>
  </si>
  <si>
    <t>Unit</t>
  </si>
  <si>
    <t>Doc. No.</t>
  </si>
  <si>
    <t>Inv. No.</t>
  </si>
  <si>
    <t>SO/Prj. Reference</t>
  </si>
  <si>
    <t>Sales Order Pfx.</t>
  </si>
  <si>
    <t>Sales Order No.</t>
  </si>
  <si>
    <t>sale order_date</t>
  </si>
  <si>
    <t>Benf. Type</t>
  </si>
  <si>
    <t>Benf.</t>
  </si>
  <si>
    <t>DC No.</t>
  </si>
  <si>
    <t>DC Date</t>
  </si>
  <si>
    <t>Bill No.</t>
  </si>
  <si>
    <t>Bill Date</t>
  </si>
  <si>
    <t>Item</t>
  </si>
  <si>
    <t>Item Rev.</t>
  </si>
  <si>
    <t>Item Desc.</t>
  </si>
  <si>
    <t>Category</t>
  </si>
  <si>
    <t>Grade</t>
  </si>
  <si>
    <t>Size</t>
  </si>
  <si>
    <t>Pack Size</t>
  </si>
  <si>
    <t>Customer Item</t>
  </si>
  <si>
    <t>Description</t>
  </si>
  <si>
    <t>Invoice Qty.</t>
  </si>
  <si>
    <t>Price</t>
  </si>
  <si>
    <t>Curcy.</t>
  </si>
  <si>
    <t>Ex. Rate</t>
  </si>
  <si>
    <t>Sale Amt.(FC)</t>
  </si>
  <si>
    <t>Sale Amt.</t>
  </si>
  <si>
    <t>CGST@2.5%</t>
  </si>
  <si>
    <t>CGST@9%</t>
  </si>
  <si>
    <t>IGST@18%</t>
  </si>
  <si>
    <t>SGST@2.5%</t>
  </si>
  <si>
    <t>SGST@9%</t>
  </si>
  <si>
    <t>0.075 Tcs Amt</t>
  </si>
  <si>
    <t>Total Amt.</t>
  </si>
  <si>
    <t>GST Classification</t>
  </si>
  <si>
    <t>GST With/Without Pay</t>
  </si>
  <si>
    <t>GST Reverse Mechanism</t>
  </si>
  <si>
    <t>GST E/OE Type</t>
  </si>
  <si>
    <t>Vehicle_No</t>
  </si>
  <si>
    <t>Weight(Kgs)</t>
  </si>
  <si>
    <t>PO No.</t>
  </si>
  <si>
    <t>LR No.</t>
  </si>
  <si>
    <t>U2</t>
  </si>
  <si>
    <t>Sales(Standard)</t>
  </si>
  <si>
    <t/>
  </si>
  <si>
    <t>Customer</t>
  </si>
  <si>
    <t>INR</t>
  </si>
  <si>
    <t>Inter</t>
  </si>
  <si>
    <t>Without Pay</t>
  </si>
  <si>
    <t>No</t>
  </si>
  <si>
    <t>Other than E-Commerence</t>
  </si>
  <si>
    <t>Local</t>
  </si>
  <si>
    <t>Union Territory</t>
  </si>
  <si>
    <t>CN2</t>
  </si>
  <si>
    <t>CGST</t>
  </si>
  <si>
    <t>SGST</t>
  </si>
  <si>
    <t>IGST</t>
  </si>
  <si>
    <t>GST</t>
  </si>
  <si>
    <t>Credit Note</t>
  </si>
  <si>
    <t>(Multiple Items)</t>
  </si>
  <si>
    <t>Remove Supplier Debit/Credit Note from working on 08-Dec-21 11:05:15 AM</t>
  </si>
  <si>
    <t>Remove Supplier Debit/Credit Note from working on 08-Dec-21 2:34:41 PM</t>
  </si>
  <si>
    <t>Add  GST Ledger on working @ 08-Dec-21 2:34:41 PM</t>
  </si>
  <si>
    <t>Add GST Ledger to working @ 08-Dec-21 2:34:41 PM</t>
  </si>
  <si>
    <t>Change Credit note value on negative to working @ 08-Dec-21 2:34:41 PM</t>
  </si>
  <si>
    <t>Calculate GST% to working on @ 08-Dec-21 2:34:41 PM</t>
  </si>
  <si>
    <t>B2B Data prepared and save on E:\e\Cool\Cool\COOLDATA\Cool\GST\2021-22\Q3\08) Nov 2021\Anx\B2B.csv @ 08-Dec-21 2:34:42 PM</t>
  </si>
  <si>
    <t>HSN Data prepared and save on E:\e\Cool\Cool\COOLDATA\Cool\GST\2021-22\Q3\08) Nov 2021\Anx\HSN.csv @ 08-Dec-21 2:34:43 PM</t>
  </si>
  <si>
    <t>CDNR Data prepared and save on E:\e\Cool\Cool\COOLDATA\Cool\GST\2021-22\Q3\08) Nov 2021\Anx\CDNR.csv @ 08-Dec-21 2:34:44 PM</t>
  </si>
  <si>
    <t>Documents prepared and save on E:\e\Cool\Cool\COOLDATA\Cool\GST\2021-22\Q3\08) Nov 2021\Anx\Docs.csv @ 08-Dec-21 2:34:44 PM</t>
  </si>
  <si>
    <t>Working prepared and save on E:\e\Cool\Cool\COOLDATA\Cool\GST\2021-22\Q3\08) Nov 2021\Anx\Working.xls08-Dec-21 2:34:45 PM</t>
  </si>
  <si>
    <t>Data import from Sales.xlsx on 07-Jan-22 3:33:43 PM</t>
  </si>
  <si>
    <t>Remove Supplier Debit/Credit Note from working on 07-Jan-22 3:33:43 PM</t>
  </si>
  <si>
    <t>Add  GST Ledger on working @ 07-Jan-22 3:33:43 PM</t>
  </si>
  <si>
    <t>Add GST Ledger to working @ 07-Jan-22 3:33:43 PM</t>
  </si>
  <si>
    <t>Change Credit note value on negative to working @ 07-Jan-22 3:33:43 PM</t>
  </si>
  <si>
    <t>Calculate GST% to working on @ 07-Jan-22 3:33:43 PM</t>
  </si>
  <si>
    <t>B2B Data prepared and save on E:\e\Cool\Cool\COOLDATA\Cool\GST\2021-22\Q3\09) Dec 2021\Anx\B2B.csv @ 07-Jan-22 3:33:44 PM</t>
  </si>
  <si>
    <t>HSN Data prepared and save on E:\e\Cool\Cool\COOLDATA\Cool\GST\2021-22\Q3\09) Dec 2021\Anx\HSN.csv @ 07-Jan-22 3:33:45 PM</t>
  </si>
  <si>
    <t>CDNR Data prepared and save on E:\e\Cool\Cool\COOLDATA\Cool\GST\2021-22\Q3\09) Dec 2021\Anx\CDNR.csv @ 07-Jan-22 3:33:46 PM</t>
  </si>
  <si>
    <t>Documents prepared and save on E:\e\Cool\Cool\COOLDATA\Cool\GST\2021-22\Q3\09) Dec 2021\Anx\Docs.csv @ 07-Jan-22 3:33:47 PM</t>
  </si>
  <si>
    <t>Working prepared and save on E:\e\Cool\Cool\COOLDATA\Cool\GST\2021-22\Q3\09) Dec 2021\Anx\Working.xls07-Jan-22 3:33:47 PM</t>
  </si>
  <si>
    <t>Data import from Sales.xlsx on 07-Jan-22 4:53:42 PM</t>
  </si>
  <si>
    <t>Remove Supplier Debit/Credit Note from working on 07-Jan-22 4:53:43 PM</t>
  </si>
  <si>
    <t>Supplier</t>
  </si>
  <si>
    <t>Sales(Pur. Rtn. W.GRN/W/G)</t>
  </si>
  <si>
    <t>37-ANDRA PRADESH</t>
  </si>
  <si>
    <t>DN2/2122-0092</t>
  </si>
  <si>
    <t>DN2/2122-0111</t>
  </si>
  <si>
    <t>SI-2/2122-1889</t>
  </si>
  <si>
    <t>SI-2/2122-2035</t>
  </si>
  <si>
    <t>CN2/2122-0016</t>
  </si>
  <si>
    <t>34011990</t>
  </si>
  <si>
    <t>Data import from sALES.xlsx on 06-May-22 12:25:39 PM</t>
  </si>
  <si>
    <t>Remove Supplier Debit/Credit Note from working on 06-May-22 12:25:40 PM</t>
  </si>
  <si>
    <t>Add  GST Ledger on working @ 06-May-22 12:25:40 PM</t>
  </si>
  <si>
    <t>Add GST Ledger to working @ 06-May-22 12:25:40 PM</t>
  </si>
  <si>
    <t>Change Credit note value on negative to working @ 06-May-22 12:25:40 PM</t>
  </si>
  <si>
    <t>Calculate GST% to working on @ 06-May-22 12:25:40 PM</t>
  </si>
  <si>
    <t>B2B Data prepared and save on E:\e\Cool\Cool\COOLDATA\Cool\GST\2022-23\01) Apr 2022\Anx\B2B.csv @ 06-May-22 12:25:42 PM</t>
  </si>
  <si>
    <t>HSN Data prepared and save on E:\e\Cool\Cool\COOLDATA\Cool\GST\2022-23\01) Apr 2022\Anx\HSN.csv @ 06-May-22 12:25:43 PM</t>
  </si>
  <si>
    <t>CDNR Data prepared and save on E:\e\Cool\Cool\COOLDATA\Cool\GST\2022-23\01) Apr 2022\Anx\CDNR.csv @ 06-May-22 12:25:45 PM</t>
  </si>
  <si>
    <t>B2BC Data prepared and save on E:\e\Cool\Cool\COOLDATA\Cool\GST\2022-23\01) Apr 2022\Anx\B2BC.csv @ 06-May-22 12:25:46 PM</t>
  </si>
  <si>
    <t>Documents prepared and save on E:\e\Cool\Cool\COOLDATA\Cool\GST\2022-23\01) Apr 2022\Anx\Docs.csv @ 06-May-22 12:25:46 PM</t>
  </si>
  <si>
    <t>Working prepared and save on E:\e\Cool\Cool\COOLDATA\Cool\GST\2022-23\01) Apr 2022\Anx\Working.xls06-May-22 12:25:47 PM</t>
  </si>
  <si>
    <t>Data import from sALES.xlsx on 06-May-22 12:37:52 PM</t>
  </si>
  <si>
    <t>Remove Supplier Debit/Credit Note from working on 06-May-22 12:37:52 PM</t>
  </si>
  <si>
    <t>Add  GST Ledger on working @ 06-May-22 12:37:52 PM</t>
  </si>
  <si>
    <t>Add GST Ledger to working @ 06-May-22 12:37:52 PM</t>
  </si>
  <si>
    <t>Change Credit note value on negative to working @ 06-May-22 12:37:52 PM</t>
  </si>
  <si>
    <t>Calculate GST% to working on @ 06-May-22 12:37:53 PM</t>
  </si>
  <si>
    <t>B2B Data prepared and save on E:\e\Cool\Cool\COOLDATA\Cool\GST\2022-23\01) Apr 2022\Anx\B2B.csv @ 06-May-22 12:37:54 PM</t>
  </si>
  <si>
    <t>HSN Data prepared and save on E:\e\Cool\Cool\COOLDATA\Cool\GST\2022-23\01) Apr 2022\Anx\HSN.csv @ 06-May-22 12:37:56 PM</t>
  </si>
  <si>
    <t>CDNR Data prepared and save on E:\e\Cool\Cool\COOLDATA\Cool\GST\2022-23\01) Apr 2022\Anx\CDNR.csv @ 06-May-22 12:37:57 PM</t>
  </si>
  <si>
    <t>B2BC Data prepared and save on E:\e\Cool\Cool\COOLDATA\Cool\GST\2022-23\01) Apr 2022\Anx\B2BC.csv @ 06-May-22 12:37:58 PM</t>
  </si>
  <si>
    <t>Documents prepared and save on E:\e\Cool\Cool\COOLDATA\Cool\GST\2022-23\01) Apr 2022\Anx\Docs.csv @ 06-May-22 12:37:59 PM</t>
  </si>
  <si>
    <t>Working prepared and save on E:\e\Cool\Cool\COOLDATA\Cool\GST\2022-23\01) Apr 2022\Anx\Working.xls06-May-22 12:37:59 PM</t>
  </si>
  <si>
    <t>CGSTR@2.5%</t>
  </si>
  <si>
    <t>SGSTR@2.5%</t>
  </si>
  <si>
    <t>1900-1757</t>
  </si>
  <si>
    <t>SYZ</t>
  </si>
  <si>
    <t>ABCD</t>
  </si>
  <si>
    <t>Material Name</t>
  </si>
  <si>
    <t>24ABCDEFGHIJ1ZA</t>
  </si>
  <si>
    <t>1900-1759</t>
  </si>
  <si>
    <t>03ABCDEFGHIJ1ZE</t>
  </si>
  <si>
    <t>1900-1760</t>
  </si>
  <si>
    <t>08ABCDEFGHIJ1Z4</t>
  </si>
  <si>
    <t>1900-1761</t>
  </si>
  <si>
    <t>27ABCDEFGHIJ1Z4</t>
  </si>
  <si>
    <t>1900-1762</t>
  </si>
  <si>
    <t>05ABCDEFGHIJ1Z5</t>
  </si>
  <si>
    <t>1900-1763</t>
  </si>
  <si>
    <t>09ABCDEFGHIJ1Z2</t>
  </si>
  <si>
    <t>1900-1764</t>
  </si>
  <si>
    <t>09ABCDEFGHIJ1Z3</t>
  </si>
  <si>
    <t>1900-1765</t>
  </si>
  <si>
    <t>1900-1766</t>
  </si>
  <si>
    <t>1900-1767</t>
  </si>
  <si>
    <t>ABCDEFGHIJ</t>
  </si>
  <si>
    <t>05ABCDEFGHIJ1ZN</t>
  </si>
  <si>
    <t>1900-1768</t>
  </si>
  <si>
    <t>1900-1770</t>
  </si>
  <si>
    <t>10ABCDEFGHIJ1ZJ</t>
  </si>
  <si>
    <t>1900-1771</t>
  </si>
  <si>
    <t>1900-1772</t>
  </si>
  <si>
    <t>1900-1773</t>
  </si>
  <si>
    <t>1900-1774</t>
  </si>
  <si>
    <t>23ABCDEFGHIJ1ZC</t>
  </si>
  <si>
    <t>1900-1776</t>
  </si>
  <si>
    <t>1900-1777</t>
  </si>
  <si>
    <t>1900-1778</t>
  </si>
  <si>
    <t>1900-1779</t>
  </si>
  <si>
    <t>1900-0089</t>
  </si>
  <si>
    <t>1900-1780</t>
  </si>
  <si>
    <t>1900-1781</t>
  </si>
  <si>
    <t>1900-1782</t>
  </si>
  <si>
    <t>1900-1783</t>
  </si>
  <si>
    <t>1900-1784</t>
  </si>
  <si>
    <t>33ABCDEFGHIJ1ZB</t>
  </si>
  <si>
    <t>1900-1785</t>
  </si>
  <si>
    <t>1900-1786</t>
  </si>
  <si>
    <t>1900-1787</t>
  </si>
  <si>
    <t>1900-1789</t>
  </si>
  <si>
    <t>1900-1790</t>
  </si>
  <si>
    <t>1900-1791</t>
  </si>
  <si>
    <t>1900-1792</t>
  </si>
  <si>
    <t>1900-1793</t>
  </si>
  <si>
    <t>1900-1794</t>
  </si>
  <si>
    <t>02ABCDEFGHIJ1ZX</t>
  </si>
  <si>
    <t>1900-1795</t>
  </si>
  <si>
    <t>1900-1796</t>
  </si>
  <si>
    <t>1900-1797</t>
  </si>
  <si>
    <t>1900-1798</t>
  </si>
  <si>
    <t>1900-1799</t>
  </si>
  <si>
    <t>1900-1800</t>
  </si>
  <si>
    <t>1900-1801</t>
  </si>
  <si>
    <t>1900-1802</t>
  </si>
  <si>
    <t>1900-1803</t>
  </si>
  <si>
    <t>33ABCDEFGHIJ1ZL</t>
  </si>
  <si>
    <t>1900-1804</t>
  </si>
  <si>
    <t>39235010</t>
  </si>
  <si>
    <t>1900-1805</t>
  </si>
  <si>
    <t>1900-1806</t>
  </si>
  <si>
    <t>1900-1807</t>
  </si>
  <si>
    <t>1900-1808</t>
  </si>
  <si>
    <t>1900-1809</t>
  </si>
  <si>
    <t>1900-1810</t>
  </si>
  <si>
    <t>1900-1811</t>
  </si>
  <si>
    <t>1900-1812</t>
  </si>
  <si>
    <t>1900-1813</t>
  </si>
  <si>
    <t>1900-1814</t>
  </si>
  <si>
    <t>1900-1815</t>
  </si>
  <si>
    <t>1900-1816</t>
  </si>
  <si>
    <t>1900-1817</t>
  </si>
  <si>
    <t>1900-1818</t>
  </si>
  <si>
    <t>33ABCDEFGHIJ1Z6</t>
  </si>
  <si>
    <t>1900-1819</t>
  </si>
  <si>
    <t>1900-1820</t>
  </si>
  <si>
    <t>34022090-18%</t>
  </si>
  <si>
    <t>05ABCDEFGHIJ1ZV</t>
  </si>
  <si>
    <t>29053990</t>
  </si>
  <si>
    <t>1900-1821</t>
  </si>
  <si>
    <t>1900-1822</t>
  </si>
  <si>
    <t>1900-1824</t>
  </si>
  <si>
    <t>1900-1823</t>
  </si>
  <si>
    <t>1900-1825</t>
  </si>
  <si>
    <t>1900-1826</t>
  </si>
  <si>
    <t>1900-1828</t>
  </si>
  <si>
    <t>1900-1829</t>
  </si>
  <si>
    <t>29ABCDEFGHIJ1Z0</t>
  </si>
  <si>
    <t>1900-1830</t>
  </si>
  <si>
    <t>1900-1831</t>
  </si>
  <si>
    <t>1900-1832</t>
  </si>
  <si>
    <t>1900-1833</t>
  </si>
  <si>
    <t>1900-1834</t>
  </si>
  <si>
    <t>1900-1835</t>
  </si>
  <si>
    <t>1900-1836</t>
  </si>
  <si>
    <t>1900-1837</t>
  </si>
  <si>
    <t>1900-1839</t>
  </si>
  <si>
    <t>1900-1840</t>
  </si>
  <si>
    <t>1900-1841</t>
  </si>
  <si>
    <t>1900-1842</t>
  </si>
  <si>
    <t>37ABCDEFGHIJ2Z2</t>
  </si>
  <si>
    <t>1900-1843</t>
  </si>
  <si>
    <t>1900-1844</t>
  </si>
  <si>
    <t>05ABCDEFGHIJ1ZG</t>
  </si>
  <si>
    <t>1900-1845</t>
  </si>
  <si>
    <t>1900-1846</t>
  </si>
  <si>
    <t>1900-1847</t>
  </si>
  <si>
    <t>1900-1848</t>
  </si>
  <si>
    <t>1900-1849</t>
  </si>
  <si>
    <t>1900-1850</t>
  </si>
  <si>
    <t>1900-1853</t>
  </si>
  <si>
    <t>1900-1854</t>
  </si>
  <si>
    <t>1900-1855</t>
  </si>
  <si>
    <t>1900-1856</t>
  </si>
  <si>
    <t>1900-1857</t>
  </si>
  <si>
    <t>05ABCDEFGHIJ1ZA</t>
  </si>
  <si>
    <t>1900-1858</t>
  </si>
  <si>
    <t>1900-1859</t>
  </si>
  <si>
    <t>07ABCDEFGHIJ1ZJ</t>
  </si>
  <si>
    <t>1900-1860</t>
  </si>
  <si>
    <t>1900-1861</t>
  </si>
  <si>
    <t>29ABCDEFGHIJ1ZD</t>
  </si>
  <si>
    <t>1900-1862</t>
  </si>
  <si>
    <t>1900-1863</t>
  </si>
  <si>
    <t>1900-1864</t>
  </si>
  <si>
    <t>1900-1865</t>
  </si>
  <si>
    <t>1900-1866</t>
  </si>
  <si>
    <t>02ABCDEFGHIJ1ZI</t>
  </si>
  <si>
    <t>1900-1868</t>
  </si>
  <si>
    <t>1900-1869</t>
  </si>
  <si>
    <t>1900-1870</t>
  </si>
  <si>
    <t>27ABCDEFGHIJ1ZH</t>
  </si>
  <si>
    <t>1900-1871</t>
  </si>
  <si>
    <t>05ABCDEFGHIJ1ZZ</t>
  </si>
  <si>
    <t>1900-1872</t>
  </si>
  <si>
    <t>1900-1874</t>
  </si>
  <si>
    <t>1900-1875</t>
  </si>
  <si>
    <t>1900-1876</t>
  </si>
  <si>
    <t>06ABCDEFGHIJ1Z9</t>
  </si>
  <si>
    <t>1900-1877</t>
  </si>
  <si>
    <t>06-HARYANA</t>
  </si>
  <si>
    <t>1900-1878</t>
  </si>
  <si>
    <t>1900-1879</t>
  </si>
  <si>
    <t>1900-1880</t>
  </si>
  <si>
    <t>1900-1881</t>
  </si>
  <si>
    <t>1900-1882</t>
  </si>
  <si>
    <t>1900-1883</t>
  </si>
  <si>
    <t>1900-1884</t>
  </si>
  <si>
    <t>1900-1885</t>
  </si>
  <si>
    <t>1900-1886</t>
  </si>
  <si>
    <t>1900-1887</t>
  </si>
  <si>
    <t>1900-1888</t>
  </si>
  <si>
    <t>DN2/1900-0089</t>
  </si>
  <si>
    <t>SI-2/1900-1757</t>
  </si>
  <si>
    <t>SI-2/1900-1759</t>
  </si>
  <si>
    <t>SI-2/1900-1760</t>
  </si>
  <si>
    <t>SI-2/1900-1761</t>
  </si>
  <si>
    <t>SI-2/1900-1762</t>
  </si>
  <si>
    <t>SI-2/1900-1763</t>
  </si>
  <si>
    <t>SI-2/1900-1764</t>
  </si>
  <si>
    <t>SI-2/1900-1765</t>
  </si>
  <si>
    <t>SI-2/1900-1766</t>
  </si>
  <si>
    <t>SI-2/1900-1767</t>
  </si>
  <si>
    <t>SI-2/1900-1768</t>
  </si>
  <si>
    <t>SI-2/1900-1770</t>
  </si>
  <si>
    <t>SI-2/1900-1771</t>
  </si>
  <si>
    <t>SI-2/1900-1772</t>
  </si>
  <si>
    <t>SI-2/1900-1773</t>
  </si>
  <si>
    <t>SI-2/1900-1774</t>
  </si>
  <si>
    <t>SI-2/1900-1776</t>
  </si>
  <si>
    <t>SI-2/1900-1777</t>
  </si>
  <si>
    <t>SI-2/1900-1778</t>
  </si>
  <si>
    <t>SI-2/1900-1779</t>
  </si>
  <si>
    <t>SI-2/1900-1780</t>
  </si>
  <si>
    <t>SI-2/1900-1781</t>
  </si>
  <si>
    <t>SI-2/1900-1782</t>
  </si>
  <si>
    <t>SI-2/1900-1783</t>
  </si>
  <si>
    <t>SI-2/1900-1784</t>
  </si>
  <si>
    <t>SI-2/1900-1785</t>
  </si>
  <si>
    <t>SI-2/1900-1786</t>
  </si>
  <si>
    <t>SI-2/1900-1787</t>
  </si>
  <si>
    <t>SI-2/1900-1789</t>
  </si>
  <si>
    <t>SI-2/1900-1790</t>
  </si>
  <si>
    <t>SI-2/1900-1791</t>
  </si>
  <si>
    <t>SI-2/1900-1792</t>
  </si>
  <si>
    <t>SI-2/1900-1793</t>
  </si>
  <si>
    <t>SI-2/1900-1794</t>
  </si>
  <si>
    <t>SI-2/1900-1795</t>
  </si>
  <si>
    <t>SI-2/1900-1796</t>
  </si>
  <si>
    <t>SI-2/1900-1797</t>
  </si>
  <si>
    <t>SI-2/1900-1798</t>
  </si>
  <si>
    <t>SI-2/1900-1799</t>
  </si>
  <si>
    <t>SI-2/1900-1800</t>
  </si>
  <si>
    <t>SI-2/1900-1801</t>
  </si>
  <si>
    <t>SI-2/1900-1802</t>
  </si>
  <si>
    <t>SI-2/1900-1803</t>
  </si>
  <si>
    <t>SI-2/1900-1804</t>
  </si>
  <si>
    <t>SI-2/1900-1805</t>
  </si>
  <si>
    <t>SI-2/1900-1806</t>
  </si>
  <si>
    <t>SI-2/1900-1807</t>
  </si>
  <si>
    <t>SI-2/1900-1808</t>
  </si>
  <si>
    <t>SI-2/1900-1809</t>
  </si>
  <si>
    <t>SI-2/1900-1810</t>
  </si>
  <si>
    <t>SI-2/1900-1811</t>
  </si>
  <si>
    <t>SI-2/1900-1812</t>
  </si>
  <si>
    <t>SI-2/1900-1813</t>
  </si>
  <si>
    <t>SI-2/1900-1814</t>
  </si>
  <si>
    <t>SI-2/1900-1815</t>
  </si>
  <si>
    <t>SI-2/1900-1816</t>
  </si>
  <si>
    <t>SI-2/1900-1817</t>
  </si>
  <si>
    <t>SI-2/1900-1818</t>
  </si>
  <si>
    <t>SI-2/1900-1819</t>
  </si>
  <si>
    <t>SI-2/1900-1820</t>
  </si>
  <si>
    <t>SI-2/1900-1821</t>
  </si>
  <si>
    <t>SI-2/1900-1822</t>
  </si>
  <si>
    <t>SI-2/1900-1824</t>
  </si>
  <si>
    <t>SI-2/1900-1823</t>
  </si>
  <si>
    <t>SI-2/1900-1825</t>
  </si>
  <si>
    <t>SI-2/1900-1826</t>
  </si>
  <si>
    <t>SI-2/1900-1828</t>
  </si>
  <si>
    <t>SI-2/1900-1829</t>
  </si>
  <si>
    <t>SI-2/1900-1830</t>
  </si>
  <si>
    <t>SI-2/1900-1831</t>
  </si>
  <si>
    <t>SI-2/1900-1832</t>
  </si>
  <si>
    <t>SI-2/1900-1833</t>
  </si>
  <si>
    <t>SI-2/1900-1834</t>
  </si>
  <si>
    <t>SI-2/1900-1835</t>
  </si>
  <si>
    <t>SI-2/1900-1836</t>
  </si>
  <si>
    <t>SI-2/1900-1837</t>
  </si>
  <si>
    <t>SI-2/1900-1839</t>
  </si>
  <si>
    <t>SI-2/1900-1840</t>
  </si>
  <si>
    <t>SI-2/1900-1841</t>
  </si>
  <si>
    <t>SI-2/1900-1842</t>
  </si>
  <si>
    <t>SI-2/1900-1843</t>
  </si>
  <si>
    <t>SI-2/1900-1844</t>
  </si>
  <si>
    <t>SI-2/1900-1845</t>
  </si>
  <si>
    <t>SI-2/1900-1846</t>
  </si>
  <si>
    <t>SI-2/1900-1847</t>
  </si>
  <si>
    <t>SI-2/1900-1848</t>
  </si>
  <si>
    <t>SI-2/1900-1849</t>
  </si>
  <si>
    <t>SI-2/1900-1850</t>
  </si>
  <si>
    <t>SI-2/1900-1853</t>
  </si>
  <si>
    <t>SI-2/1900-1854</t>
  </si>
  <si>
    <t>SI-2/1900-1855</t>
  </si>
  <si>
    <t>SI-2/1900-1856</t>
  </si>
  <si>
    <t>SI-2/1900-1857</t>
  </si>
  <si>
    <t>SI-2/1900-1858</t>
  </si>
  <si>
    <t>SI-2/1900-1859</t>
  </si>
  <si>
    <t>SI-2/1900-1860</t>
  </si>
  <si>
    <t>SI-2/1900-1861</t>
  </si>
  <si>
    <t>SI-2/1900-1862</t>
  </si>
  <si>
    <t>SI-2/1900-1863</t>
  </si>
  <si>
    <t>SI-2/1900-1864</t>
  </si>
  <si>
    <t>SI-2/1900-1865</t>
  </si>
  <si>
    <t>SI-2/1900-1866</t>
  </si>
  <si>
    <t>SI-2/1900-1868</t>
  </si>
  <si>
    <t>SI-2/1900-1869</t>
  </si>
  <si>
    <t>SI-2/1900-1870</t>
  </si>
  <si>
    <t>SI-2/1900-1871</t>
  </si>
  <si>
    <t>SI-2/1900-1872</t>
  </si>
  <si>
    <t>SI-2/1900-1874</t>
  </si>
  <si>
    <t>SI-2/1900-1875</t>
  </si>
  <si>
    <t>SI-2/1900-1876</t>
  </si>
  <si>
    <t>SI-2/1900-1877</t>
  </si>
  <si>
    <t>SI-2/1900-1878</t>
  </si>
  <si>
    <t>SI-2/1900-1879</t>
  </si>
  <si>
    <t>SI-2/1900-1880</t>
  </si>
  <si>
    <t>SI-2/1900-1881</t>
  </si>
  <si>
    <t>SI-2/1900-1882</t>
  </si>
  <si>
    <t>SI-2/1900-1883</t>
  </si>
  <si>
    <t>SI-2/1900-1884</t>
  </si>
  <si>
    <t>SI-2/1900-1885</t>
  </si>
  <si>
    <t>SI-2/1900-1886</t>
  </si>
  <si>
    <t>SI-2/1900-1887</t>
  </si>
  <si>
    <t>SI-2/1900-1888</t>
  </si>
  <si>
    <t>Working prepared and save on C:\Users\Vishal Sharma\Desktop\New folder (8)\04) GSTR1\Anx\Working.xls18-05-2022 13:21:36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</si>
</sst>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22"/>
      <color indexed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"/>
      <name val="Calibri"/>
      <family val="2"/>
      <scheme val="minor"/>
    </font>
    <font>
      <sz val="9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3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2" borderId="0" xfId="0" applyNumberFormat="1" applyFill="1"/>
    <xf numFmtId="0" fontId="0" fillId="0" borderId="0" xfId="0" applyNumberFormat="1" applyFill="1"/>
    <xf numFmtId="0" fontId="0" fillId="0" borderId="1" xfId="0" pivotButton="1" applyBorder="1"/>
    <xf numFmtId="0" fontId="0" fillId="0" borderId="1" xfId="0" applyBorder="1"/>
    <xf numFmtId="0" fontId="0" fillId="0" borderId="1" xfId="0" applyNumberFormat="1" applyBorder="1"/>
    <xf numFmtId="0" fontId="0" fillId="0" borderId="0" xfId="0" applyFill="1"/>
    <xf numFmtId="0" fontId="0" fillId="0" borderId="2" xfId="0" applyBorder="1"/>
    <xf numFmtId="9" fontId="0" fillId="0" borderId="0" xfId="0" applyNumberFormat="1" applyFill="1"/>
    <xf numFmtId="0" fontId="0" fillId="2" borderId="1" xfId="0" applyNumberFormat="1" applyFill="1" applyBorder="1"/>
    <xf numFmtId="9" fontId="0" fillId="0" borderId="1" xfId="0" applyNumberFormat="1" applyBorder="1"/>
    <xf numFmtId="0" fontId="0" fillId="3" borderId="0" xfId="0" applyFill="1"/>
    <xf numFmtId="0" fontId="5" fillId="3" borderId="4" xfId="0" applyFont="1" applyFill="1" applyBorder="1" applyAlignment="1"/>
    <xf numFmtId="0" fontId="6" fillId="3" borderId="1" xfId="0" applyFont="1" applyFill="1" applyBorder="1"/>
    <xf numFmtId="0" fontId="6" fillId="3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/>
    <xf numFmtId="0" fontId="4" fillId="3" borderId="1" xfId="0" applyFont="1" applyFill="1" applyBorder="1"/>
    <xf numFmtId="4" fontId="4" fillId="3" borderId="1" xfId="0" applyNumberFormat="1" applyFont="1" applyFill="1" applyBorder="1"/>
    <xf numFmtId="14" fontId="0" fillId="0" borderId="0" xfId="0" applyNumberFormat="1"/>
    <xf numFmtId="14" fontId="0" fillId="0" borderId="1" xfId="0" applyNumberFormat="1" applyBorder="1"/>
    <xf numFmtId="0" fontId="3" fillId="0" borderId="0" xfId="0" applyFont="1"/>
    <xf numFmtId="0" fontId="8" fillId="3" borderId="4" xfId="0" applyFont="1" applyFill="1" applyBorder="1" applyAlignment="1"/>
    <xf numFmtId="0" fontId="9" fillId="3" borderId="0" xfId="0" applyFont="1" applyFill="1"/>
    <xf numFmtId="4" fontId="0" fillId="3" borderId="0" xfId="0" applyNumberFormat="1" applyFill="1"/>
    <xf numFmtId="0" fontId="4" fillId="0" borderId="1" xfId="0" applyFont="1" applyFill="1" applyBorder="1"/>
    <xf numFmtId="0" fontId="5" fillId="3" borderId="3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2">
    <dxf>
      <numFmt numFmtId="19" formatCode="dd/mm/yyyy"/>
    </dxf>
    <dxf>
      <numFmt numFmtId="0" formatCode="General"/>
    </dxf>
    <dxf>
      <fill>
        <patternFill patternType="solid">
          <bgColor rgb="FF92D05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bgColor rgb="FF92D05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bgColor rgb="FF92D050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180415</xdr:colOff>
      <xdr:row>8</xdr:row>
      <xdr:rowOff>30256</xdr:rowOff>
    </xdr:from>
    <xdr:to>
      <xdr:col>2</xdr:col>
      <xdr:colOff>453278</xdr:colOff>
      <xdr:row>11</xdr:row>
      <xdr:rowOff>96931</xdr:rowOff>
    </xdr:to>
    <xdr:sp macro="[0]!Calling_fun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975F3F0D-C159-4D3B-AA12-093311DB4622}"/>
            </a:ext>
          </a:extLst>
        </xdr:cNvPr>
        <xdr:cNvSpPr/>
      </xdr:nvSpPr>
      <xdr:spPr>
        <a:xfrm>
          <a:off x="180415" y="1823197"/>
          <a:ext cx="1471892" cy="6829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bg1"/>
              </a:solidFill>
            </a:rPr>
            <a:t>Import Data</a:t>
          </a:r>
        </a:p>
      </xdr:txBody>
    </xdr:sp>
    <xdr:clientData/>
  </xdr:twoCellAnchor>
  <xdr:twoCellAnchor editAs="oneCell">
    <xdr:from>
      <xdr:col>0</xdr:col>
      <xdr:colOff>161925</xdr:colOff>
      <xdr:row>0</xdr:row>
      <xdr:rowOff>0</xdr:rowOff>
    </xdr:from>
    <xdr:to>
      <xdr:col>2</xdr:col>
      <xdr:colOff>762000</xdr:colOff>
      <xdr:row>6</xdr:row>
      <xdr:rowOff>172142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D17754AC-4DC1-43CF-97FD-7CDEFE9B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85726"/>
          <a:ext cx="1800225" cy="154374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shal Sharma" refreshedDate="44699.556626041667" createdVersion="6" refreshedVersion="5" minRefreshableVersion="3" recordCount="252">
  <cacheSource type="worksheet">
    <worksheetSource name="Table1"/>
  </cacheSource>
  <cacheFields count="62">
    <cacheField name="Unit" numFmtId="0">
      <sharedItems/>
    </cacheField>
    <cacheField name="Type" numFmtId="0">
      <sharedItems count="5">
        <s v="Sales(Standard)"/>
        <s v="CR"/>
        <s v="Sales(Pur. Rtn. W.GRN/W/G)"/>
        <s v="Sales(Pur. Rtn. WO GRN/WO/G)" u="1"/>
        <s v="Sales(Scrap)" u="1"/>
      </sharedItems>
    </cacheField>
    <cacheField name="Doc. No." numFmtId="0">
      <sharedItems containsSemiMixedTypes="0" containsString="0" containsNumber="1" containsInteger="1" minValue="1234" maxValue="1234"/>
    </cacheField>
    <cacheField name="Invoice No. Actual" numFmtId="0">
      <sharedItems containsMixedTypes="1" containsNumber="1" containsInteger="1" minValue="9" maxValue="2035" count="1063">
        <s v="1900-1757"/>
        <s v="1900-1759"/>
        <s v="1900-1760"/>
        <s v="1900-1761"/>
        <s v="1900-1762"/>
        <s v="1900-1763"/>
        <s v="1900-1764"/>
        <s v="1900-1765"/>
        <s v="1900-1766"/>
        <s v="1900-1767"/>
        <s v="1900-1768"/>
        <s v="1900-1770"/>
        <s v="1900-1771"/>
        <s v="1900-1772"/>
        <s v="1900-1773"/>
        <s v="1900-1774"/>
        <s v="1900-1776"/>
        <s v="1900-1777"/>
        <s v="1900-1778"/>
        <s v="1900-1779"/>
        <s v="1900-0089"/>
        <s v="1900-1780"/>
        <s v="1900-1781"/>
        <s v="1900-1782"/>
        <s v="1900-1783"/>
        <s v="1900-1784"/>
        <s v="1900-1785"/>
        <s v="1900-1786"/>
        <s v="1900-1787"/>
        <s v="1900-1789"/>
        <s v="1900-1790"/>
        <s v="1900-1791"/>
        <s v="1900-1792"/>
        <s v="1900-1793"/>
        <s v="1900-1794"/>
        <s v="1900-1795"/>
        <s v="1900-1796"/>
        <s v="1900-1797"/>
        <s v="1900-1798"/>
        <s v="1900-1799"/>
        <s v="1900-1800"/>
        <s v="1900-1801"/>
        <s v="1900-1802"/>
        <s v="1900-1803"/>
        <s v="1900-1804"/>
        <s v="1900-1805"/>
        <s v="1900-1806"/>
        <s v="1900-1807"/>
        <s v="1900-1808"/>
        <s v="1900-1809"/>
        <s v="1900-1810"/>
        <s v="1900-1811"/>
        <s v="1900-1812"/>
        <s v="1900-1813"/>
        <s v="1900-1814"/>
        <s v="1900-1815"/>
        <s v="1900-1816"/>
        <s v="1900-1817"/>
        <s v="1900-1818"/>
        <s v="1900-1819"/>
        <s v="1900-1820"/>
        <s v="1900-1821"/>
        <s v="1900-1822"/>
        <s v="1900-1824"/>
        <s v="1900-1823"/>
        <s v="1900-1825"/>
        <s v="1900-1826"/>
        <s v="1900-1828"/>
        <s v="1900-1829"/>
        <s v="1900-1830"/>
        <s v="1900-1831"/>
        <s v="1900-1832"/>
        <s v="1900-1833"/>
        <s v="1900-1834"/>
        <s v="1900-1835"/>
        <s v="1900-1836"/>
        <s v="1900-1837"/>
        <s v="1900-1839"/>
        <s v="1900-1840"/>
        <s v="1900-1841"/>
        <s v="1900-1842"/>
        <s v="1900-1843"/>
        <s v="1900-1844"/>
        <s v="1900-1845"/>
        <s v="1900-1846"/>
        <s v="1900-1847"/>
        <s v="1900-1848"/>
        <s v="1900-1849"/>
        <s v="1900-1850"/>
        <s v="1900-1853"/>
        <s v="1900-1854"/>
        <s v="1900-1855"/>
        <s v="1900-1856"/>
        <s v="1900-1857"/>
        <s v="1900-1858"/>
        <s v="1900-1859"/>
        <s v="1900-1860"/>
        <s v="1900-1861"/>
        <s v="1900-1862"/>
        <s v="1900-1863"/>
        <s v="1900-1864"/>
        <s v="1900-1865"/>
        <s v="1900-1866"/>
        <s v="1900-1868"/>
        <s v="1900-1869"/>
        <s v="1900-1870"/>
        <s v="1900-1871"/>
        <s v="1900-1872"/>
        <s v="1900-1874"/>
        <s v="1900-1875"/>
        <s v="1900-1876"/>
        <s v="1900-1877"/>
        <s v="1900-1878"/>
        <s v="1900-1879"/>
        <s v="1900-1880"/>
        <s v="1900-1881"/>
        <s v="1900-1882"/>
        <s v="1900-1883"/>
        <s v="1900-1884"/>
        <s v="1900-1885"/>
        <s v="1900-1886"/>
        <s v="1900-1887"/>
        <s v="1900-1888"/>
        <n v="2027" u="1"/>
        <n v="1962" u="1"/>
        <n v="1897" u="1"/>
        <n v="1832" u="1"/>
        <n v="1767" u="1"/>
        <n v="1702" u="1"/>
        <n v="1637" u="1"/>
        <n v="1572" u="1"/>
        <n v="1507" u="1"/>
        <n v="1442" u="1"/>
        <n v="1377" u="1"/>
        <n v="1312" u="1"/>
        <n v="1247" u="1"/>
        <n v="1182" u="1"/>
        <n v="1117" u="1"/>
        <n v="2029" u="1"/>
        <n v="1964" u="1"/>
        <n v="1899" u="1"/>
        <n v="1834" u="1"/>
        <n v="1769" u="1"/>
        <n v="1704" u="1"/>
        <n v="1639" u="1"/>
        <n v="1574" u="1"/>
        <n v="1509" u="1"/>
        <n v="1444" u="1"/>
        <n v="1379" u="1"/>
        <n v="86" u="1"/>
        <n v="1314" u="1"/>
        <n v="1249" u="1"/>
        <n v="1184" u="1"/>
        <n v="1119" u="1"/>
        <n v="2031" u="1"/>
        <n v="1966" u="1"/>
        <n v="1901" u="1"/>
        <n v="1836" u="1"/>
        <n v="1771" u="1"/>
        <n v="1706" u="1"/>
        <n v="1641" u="1"/>
        <n v="1576" u="1"/>
        <n v="1511" u="1"/>
        <n v="1446" u="1"/>
        <n v="1381" u="1"/>
        <n v="1316" u="1"/>
        <n v="1251" u="1"/>
        <n v="78" u="1"/>
        <n v="1186" u="1"/>
        <n v="1121" u="1"/>
        <n v="2033" u="1"/>
        <n v="1968" u="1"/>
        <n v="1903" u="1"/>
        <n v="1838" u="1"/>
        <n v="1773" u="1"/>
        <n v="1708" u="1"/>
        <n v="1643" u="1"/>
        <n v="1578" u="1"/>
        <n v="1513" u="1"/>
        <n v="1448" u="1"/>
        <n v="1383" u="1"/>
        <n v="1318" u="1"/>
        <n v="1253" u="1"/>
        <n v="1188" u="1"/>
        <n v="1123" u="1"/>
        <n v="2035" u="1"/>
        <n v="1970" u="1"/>
        <n v="1905" u="1"/>
        <n v="1840" u="1"/>
        <n v="1775" u="1"/>
        <n v="1710" u="1"/>
        <n v="1645" u="1"/>
        <n v="1580" u="1"/>
        <n v="1515" u="1"/>
        <n v="1450" u="1"/>
        <n v="1385" u="1"/>
        <n v="1320" u="1"/>
        <n v="1255" u="1"/>
        <n v="1190" u="1"/>
        <n v="1125" u="1"/>
        <n v="63" u="1"/>
        <n v="1972" u="1"/>
        <n v="1907" u="1"/>
        <n v="1842" u="1"/>
        <n v="1777" u="1"/>
        <n v="1712" u="1"/>
        <n v="1647" u="1"/>
        <n v="1582" u="1"/>
        <n v="1517" u="1"/>
        <n v="1452" u="1"/>
        <n v="1387" u="1"/>
        <n v="1257" u="1"/>
        <n v="1192" u="1"/>
        <n v="1127" u="1"/>
        <n v="1974" u="1"/>
        <n v="1909" u="1"/>
        <n v="1844" u="1"/>
        <n v="1779" u="1"/>
        <n v="111" u="1"/>
        <n v="1714" u="1"/>
        <n v="1649" u="1"/>
        <n v="1584" u="1"/>
        <n v="1519" u="1"/>
        <n v="1454" u="1"/>
        <n v="1389" u="1"/>
        <n v="1324" u="1"/>
        <n v="1259" u="1"/>
        <n v="1194" u="1"/>
        <n v="1129" u="1"/>
        <n v="1976" u="1"/>
        <n v="1911" u="1"/>
        <n v="1846" u="1"/>
        <n v="1781" u="1"/>
        <n v="1716" u="1"/>
        <n v="1651" u="1"/>
        <n v="1586" u="1"/>
        <n v="1521" u="1"/>
        <n v="1456" u="1"/>
        <n v="1326" u="1"/>
        <n v="1261" u="1"/>
        <n v="1196" u="1"/>
        <n v="1131" u="1"/>
        <n v="1978" u="1"/>
        <n v="1913" u="1"/>
        <n v="1848" u="1"/>
        <n v="1783" u="1"/>
        <n v="1718" u="1"/>
        <n v="1653" u="1"/>
        <n v="1588" u="1"/>
        <n v="1523" u="1"/>
        <n v="1458" u="1"/>
        <n v="1393" u="1"/>
        <n v="1328" u="1"/>
        <n v="1263" u="1"/>
        <n v="1198" u="1"/>
        <n v="1133" u="1"/>
        <n v="47" u="1"/>
        <n v="1980" u="1"/>
        <n v="1915" u="1"/>
        <n v="1850" u="1"/>
        <n v="1785" u="1"/>
        <n v="1720" u="1"/>
        <n v="1655" u="1"/>
        <n v="1590" u="1"/>
        <n v="1525" u="1"/>
        <n v="1460" u="1"/>
        <n v="1395" u="1"/>
        <n v="87" u="1"/>
        <n v="1330" u="1"/>
        <n v="1265" u="1"/>
        <n v="1200" u="1"/>
        <n v="1135" u="1"/>
        <n v="1982" u="1"/>
        <n v="1917" u="1"/>
        <n v="1852" u="1"/>
        <n v="1787" u="1"/>
        <n v="1722" u="1"/>
        <n v="1657" u="1"/>
        <n v="1592" u="1"/>
        <n v="1527" u="1"/>
        <n v="1462" u="1"/>
        <n v="1397" u="1"/>
        <n v="1332" u="1"/>
        <n v="1267" u="1"/>
        <n v="79" u="1"/>
        <n v="1202" u="1"/>
        <n v="1137" u="1"/>
        <n v="1984" u="1"/>
        <n v="1919" u="1"/>
        <n v="1854" u="1"/>
        <n v="1789" u="1"/>
        <n v="1724" u="1"/>
        <n v="1659" u="1"/>
        <n v="1594" u="1"/>
        <n v="1529" u="1"/>
        <n v="1464" u="1"/>
        <n v="1399" u="1"/>
        <n v="1334" u="1"/>
        <n v="1269" u="1"/>
        <n v="1204" u="1"/>
        <n v="1139" u="1"/>
        <n v="1986" u="1"/>
        <n v="1921" u="1"/>
        <n v="1856" u="1"/>
        <n v="1791" u="1"/>
        <n v="1726" u="1"/>
        <n v="1661" u="1"/>
        <n v="1596" u="1"/>
        <n v="1531" u="1"/>
        <n v="1466" u="1"/>
        <n v="1401" u="1"/>
        <n v="1336" u="1"/>
        <n v="1271" u="1"/>
        <n v="1206" u="1"/>
        <n v="1141" u="1"/>
        <n v="1988" u="1"/>
        <n v="1923" u="1"/>
        <n v="1858" u="1"/>
        <n v="1793" u="1"/>
        <n v="1728" u="1"/>
        <n v="1663" u="1"/>
        <n v="1598" u="1"/>
        <n v="1533" u="1"/>
        <n v="1468" u="1"/>
        <n v="1403" u="1"/>
        <n v="1338" u="1"/>
        <n v="1273" u="1"/>
        <n v="1208" u="1"/>
        <n v="1143" u="1"/>
        <n v="1990" u="1"/>
        <n v="1925" u="1"/>
        <n v="1860" u="1"/>
        <n v="1795" u="1"/>
        <n v="1730" u="1"/>
        <n v="1665" u="1"/>
        <n v="1600" u="1"/>
        <n v="1535" u="1"/>
        <n v="1470" u="1"/>
        <n v="1405" u="1"/>
        <n v="1340" u="1"/>
        <n v="1275" u="1"/>
        <n v="1210" u="1"/>
        <n v="1992" u="1"/>
        <n v="1927" u="1"/>
        <n v="1862" u="1"/>
        <n v="1797" u="1"/>
        <n v="1732" u="1"/>
        <n v="1667" u="1"/>
        <n v="104" u="1"/>
        <n v="1602" u="1"/>
        <n v="1537" u="1"/>
        <n v="1472" u="1"/>
        <n v="1407" u="1"/>
        <n v="1342" u="1"/>
        <n v="1277" u="1"/>
        <n v="1212" u="1"/>
        <n v="1147" u="1"/>
        <n v="1994" u="1"/>
        <n v="1929" u="1"/>
        <n v="1864" u="1"/>
        <n v="1799" u="1"/>
        <n v="1734" u="1"/>
        <n v="1669" u="1"/>
        <n v="1604" u="1"/>
        <n v="1539" u="1"/>
        <n v="96" u="1"/>
        <n v="1474" u="1"/>
        <n v="1409" u="1"/>
        <n v="1344" u="1"/>
        <n v="1279" u="1"/>
        <n v="1214" u="1"/>
        <n v="1149" u="1"/>
        <n v="1996" u="1"/>
        <n v="1931" u="1"/>
        <n v="1866" u="1"/>
        <n v="1801" u="1"/>
        <n v="1736" u="1"/>
        <n v="1671" u="1"/>
        <n v="1606" u="1"/>
        <n v="1541" u="1"/>
        <n v="1476" u="1"/>
        <n v="1411" u="1"/>
        <n v="1346" u="1"/>
        <n v="1281" u="1"/>
        <n v="1216" u="1"/>
        <n v="1151" u="1"/>
        <n v="1998" u="1"/>
        <n v="1933" u="1"/>
        <n v="1868" u="1"/>
        <n v="1803" u="1"/>
        <n v="1738" u="1"/>
        <n v="1673" u="1"/>
        <n v="1608" u="1"/>
        <n v="1543" u="1"/>
        <n v="1478" u="1"/>
        <n v="1413" u="1"/>
        <n v="1348" u="1"/>
        <n v="1218" u="1"/>
        <n v="1153" u="1"/>
        <n v="2000" u="1"/>
        <n v="1935" u="1"/>
        <n v="1870" u="1"/>
        <n v="1805" u="1"/>
        <n v="1740" u="1"/>
        <n v="1675" u="1"/>
        <n v="1610" u="1"/>
        <n v="1545" u="1"/>
        <n v="1480" u="1"/>
        <n v="1415" u="1"/>
        <n v="1350" u="1"/>
        <n v="1285" u="1"/>
        <n v="1220" u="1"/>
        <n v="1155" u="1"/>
        <n v="2002" u="1"/>
        <n v="1937" u="1"/>
        <n v="1872" u="1"/>
        <n v="1807" u="1"/>
        <n v="1742" u="1"/>
        <n v="1677" u="1"/>
        <n v="1612" u="1"/>
        <n v="1547" u="1"/>
        <n v="1482" u="1"/>
        <n v="1417" u="1"/>
        <n v="1352" u="1"/>
        <n v="1287" u="1"/>
        <n v="1222" u="1"/>
        <n v="1157" u="1"/>
        <n v="2004" u="1"/>
        <n v="1939" u="1"/>
        <n v="1874" u="1"/>
        <n v="1809" u="1"/>
        <n v="1744" u="1"/>
        <n v="1679" u="1"/>
        <n v="1614" u="1"/>
        <n v="1549" u="1"/>
        <n v="1484" u="1"/>
        <n v="1419" u="1"/>
        <n v="1354" u="1"/>
        <n v="1289" u="1"/>
        <n v="1224" u="1"/>
        <n v="1159" u="1"/>
        <n v="2006" u="1"/>
        <n v="1941" u="1"/>
        <n v="1876" u="1"/>
        <n v="1811" u="1"/>
        <n v="1746" u="1"/>
        <n v="1681" u="1"/>
        <n v="1616" u="1"/>
        <n v="1551" u="1"/>
        <n v="1486" u="1"/>
        <n v="1356" u="1"/>
        <n v="1291" u="1"/>
        <n v="1226" u="1"/>
        <n v="1161" u="1"/>
        <n v="56" u="1"/>
        <n v="1943" u="1"/>
        <n v="1878" u="1"/>
        <n v="1813" u="1"/>
        <n v="1748" u="1"/>
        <n v="1683" u="1"/>
        <n v="105" u="1"/>
        <n v="1618" u="1"/>
        <n v="1553" u="1"/>
        <n v="1488" u="1"/>
        <n v="1423" u="1"/>
        <n v="1358" u="1"/>
        <n v="1293" u="1"/>
        <n v="1228" u="1"/>
        <n v="1163" u="1"/>
        <n v="52" u="1"/>
        <n v="2010" u="1"/>
        <n v="1945" u="1"/>
        <n v="1880" u="1"/>
        <n v="1815" u="1"/>
        <n v="1750" u="1"/>
        <n v="1685" u="1"/>
        <n v="1620" u="1"/>
        <n v="1555" u="1"/>
        <n v="1490" u="1"/>
        <n v="1425" u="1"/>
        <n v="1360" u="1"/>
        <n v="1295" u="1"/>
        <n v="1230" u="1"/>
        <n v="1165" u="1"/>
        <n v="2012" u="1"/>
        <n v="1947" u="1"/>
        <n v="1882" u="1"/>
        <n v="1817" u="1"/>
        <n v="1752" u="1"/>
        <n v="1687" u="1"/>
        <n v="1557" u="1"/>
        <n v="1492" u="1"/>
        <n v="1427" u="1"/>
        <n v="89" u="1"/>
        <n v="1362" u="1"/>
        <n v="1297" u="1"/>
        <n v="1232" u="1"/>
        <n v="1167" u="1"/>
        <n v="2014" u="1"/>
        <n v="1949" u="1"/>
        <n v="1884" u="1"/>
        <n v="1819" u="1"/>
        <n v="1754" u="1"/>
        <n v="1689" u="1"/>
        <n v="1624" u="1"/>
        <n v="1559" u="1"/>
        <n v="1494" u="1"/>
        <n v="1429" u="1"/>
        <n v="1364" u="1"/>
        <n v="1299" u="1"/>
        <n v="1234" u="1"/>
        <n v="1169" u="1"/>
        <n v="2016" u="1"/>
        <n v="1951" u="1"/>
        <n v="1886" u="1"/>
        <n v="1821" u="1"/>
        <n v="1756" u="1"/>
        <n v="1691" u="1"/>
        <n v="1626" u="1"/>
        <n v="1561" u="1"/>
        <n v="1496" u="1"/>
        <n v="1431" u="1"/>
        <n v="1366" u="1"/>
        <n v="1301" u="1"/>
        <n v="1236" u="1"/>
        <n v="1171" u="1"/>
        <n v="1106" u="1"/>
        <n v="2018" u="1"/>
        <n v="1953" u="1"/>
        <n v="1888" u="1"/>
        <n v="1823" u="1"/>
        <n v="1758" u="1"/>
        <n v="1693" u="1"/>
        <n v="1628" u="1"/>
        <n v="1563" u="1"/>
        <n v="1498" u="1"/>
        <n v="1433" u="1"/>
        <n v="1368" u="1"/>
        <n v="1303" u="1"/>
        <n v="1238" u="1"/>
        <n v="1173" u="1"/>
        <n v="1108" u="1"/>
        <n v="65" u="1"/>
        <n v="2020" u="1"/>
        <n v="1955" u="1"/>
        <n v="1890" u="1"/>
        <n v="1825" u="1"/>
        <n v="1760" u="1"/>
        <n v="1695" u="1"/>
        <n v="1630" u="1"/>
        <n v="1500" u="1"/>
        <n v="1435" u="1"/>
        <n v="1370" u="1"/>
        <n v="1305" u="1"/>
        <n v="1240" u="1"/>
        <n v="1175" u="1"/>
        <n v="1110" u="1"/>
        <n v="2022" u="1"/>
        <n v="1957" u="1"/>
        <n v="1892" u="1"/>
        <n v="1762" u="1"/>
        <n v="1697" u="1"/>
        <n v="1632" u="1"/>
        <n v="1567" u="1"/>
        <n v="1502" u="1"/>
        <n v="1437" u="1"/>
        <n v="1372" u="1"/>
        <n v="1242" u="1"/>
        <n v="1177" u="1"/>
        <n v="1112" u="1"/>
        <n v="2024" u="1"/>
        <n v="1959" u="1"/>
        <n v="1894" u="1"/>
        <n v="1829" u="1"/>
        <n v="1764" u="1"/>
        <n v="1699" u="1"/>
        <n v="106" u="1"/>
        <n v="1634" u="1"/>
        <n v="1569" u="1"/>
        <n v="1504" u="1"/>
        <n v="1439" u="1"/>
        <n v="1374" u="1"/>
        <n v="1309" u="1"/>
        <n v="1244" u="1"/>
        <n v="1179" u="1"/>
        <n v="1114" u="1"/>
        <n v="2026" u="1"/>
        <n v="1961" u="1"/>
        <n v="1896" u="1"/>
        <n v="1831" u="1"/>
        <n v="1766" u="1"/>
        <n v="1701" u="1"/>
        <n v="1636" u="1"/>
        <n v="1571" u="1"/>
        <n v="1506" u="1"/>
        <n v="1441" u="1"/>
        <n v="1376" u="1"/>
        <n v="1311" u="1"/>
        <n v="1246" u="1"/>
        <n v="1181" u="1"/>
        <n v="1116" u="1"/>
        <n v="2028" u="1"/>
        <n v="1963" u="1"/>
        <n v="1898" u="1"/>
        <n v="1833" u="1"/>
        <n v="1768" u="1"/>
        <n v="1703" u="1"/>
        <n v="1638" u="1"/>
        <n v="1508" u="1"/>
        <n v="1443" u="1"/>
        <n v="1378" u="1"/>
        <n v="1313" u="1"/>
        <n v="1248" u="1"/>
        <n v="1183" u="1"/>
        <n v="1118" u="1"/>
        <n v="2030" u="1"/>
        <n v="1965" u="1"/>
        <n v="1900" u="1"/>
        <n v="1835" u="1"/>
        <n v="1770" u="1"/>
        <n v="1705" u="1"/>
        <n v="1640" u="1"/>
        <n v="1510" u="1"/>
        <n v="1445" u="1"/>
        <n v="1380" u="1"/>
        <n v="1315" u="1"/>
        <n v="1250" u="1"/>
        <n v="1185" u="1"/>
        <n v="1120" u="1"/>
        <n v="2032" u="1"/>
        <n v="1967" u="1"/>
        <n v="1902" u="1"/>
        <n v="1837" u="1"/>
        <n v="1772" u="1"/>
        <n v="1707" u="1"/>
        <n v="1642" u="1"/>
        <n v="1577" u="1"/>
        <n v="1512" u="1"/>
        <n v="1447" u="1"/>
        <n v="1382" u="1"/>
        <n v="1317" u="1"/>
        <n v="1252" u="1"/>
        <n v="1187" u="1"/>
        <n v="1122" u="1"/>
        <n v="1969" u="1"/>
        <n v="1904" u="1"/>
        <n v="1839" u="1"/>
        <n v="1774" u="1"/>
        <n v="1709" u="1"/>
        <n v="1644" u="1"/>
        <n v="1579" u="1"/>
        <n v="1514" u="1"/>
        <n v="1449" u="1"/>
        <n v="1384" u="1"/>
        <n v="1319" u="1"/>
        <n v="1254" u="1"/>
        <n v="1189" u="1"/>
        <n v="1124" u="1"/>
        <n v="1971" u="1"/>
        <n v="1906" u="1"/>
        <n v="1841" u="1"/>
        <n v="1776" u="1"/>
        <n v="1711" u="1"/>
        <n v="1646" u="1"/>
        <n v="1581" u="1"/>
        <n v="1516" u="1"/>
        <n v="1451" u="1"/>
        <n v="1386" u="1"/>
        <n v="1321" u="1"/>
        <n v="1256" u="1"/>
        <n v="1191" u="1"/>
        <n v="1126" u="1"/>
        <n v="16" u="1"/>
        <n v="1973" u="1"/>
        <n v="1908" u="1"/>
        <n v="1843" u="1"/>
        <n v="1778" u="1"/>
        <n v="1713" u="1"/>
        <n v="1648" u="1"/>
        <n v="1583" u="1"/>
        <n v="1518" u="1"/>
        <n v="1453" u="1"/>
        <n v="1388" u="1"/>
        <n v="1323" u="1"/>
        <n v="1258" u="1"/>
        <n v="1193" u="1"/>
        <n v="15" u="1"/>
        <n v="1975" u="1"/>
        <n v="1845" u="1"/>
        <n v="1780" u="1"/>
        <n v="1715" u="1"/>
        <n v="107" u="1"/>
        <n v="1650" u="1"/>
        <n v="1585" u="1"/>
        <n v="1520" u="1"/>
        <n v="1455" u="1"/>
        <n v="1390" u="1"/>
        <n v="1325" u="1"/>
        <n v="1260" u="1"/>
        <n v="1195" u="1"/>
        <n v="1130" u="1"/>
        <n v="14" u="1"/>
        <n v="53" u="1"/>
        <n v="1977" u="1"/>
        <n v="1912" u="1"/>
        <n v="1847" u="1"/>
        <n v="1782" u="1"/>
        <n v="1717" u="1"/>
        <n v="1652" u="1"/>
        <n v="1587" u="1"/>
        <n v="1522" u="1"/>
        <n v="1457" u="1"/>
        <n v="1327" u="1"/>
        <n v="1262" u="1"/>
        <n v="1197" u="1"/>
        <n v="13" u="1"/>
        <n v="1979" u="1"/>
        <n v="1914" u="1"/>
        <n v="1849" u="1"/>
        <n v="1784" u="1"/>
        <n v="1719" u="1"/>
        <n v="1654" u="1"/>
        <n v="1589" u="1"/>
        <n v="1524" u="1"/>
        <n v="1394" u="1"/>
        <n v="1329" u="1"/>
        <n v="1264" u="1"/>
        <n v="1199" u="1"/>
        <n v="1134" u="1"/>
        <n v="12" u="1"/>
        <n v="45" u="1"/>
        <n v="1981" u="1"/>
        <n v="1916" u="1"/>
        <n v="1851" u="1"/>
        <n v="1786" u="1"/>
        <n v="1721" u="1"/>
        <n v="1656" u="1"/>
        <n v="1591" u="1"/>
        <n v="1526" u="1"/>
        <n v="1461" u="1"/>
        <n v="1396" u="1"/>
        <n v="1331" u="1"/>
        <n v="1266" u="1"/>
        <n v="1201" u="1"/>
        <n v="1136" u="1"/>
        <n v="11" u="1"/>
        <n v="1983" u="1"/>
        <n v="1918" u="1"/>
        <n v="1853" u="1"/>
        <n v="1788" u="1"/>
        <n v="1723" u="1"/>
        <n v="1658" u="1"/>
        <n v="1593" u="1"/>
        <n v="1528" u="1"/>
        <n v="1463" u="1"/>
        <n v="1398" u="1"/>
        <n v="1333" u="1"/>
        <n v="1268" u="1"/>
        <n v="1203" u="1"/>
        <n v="75" u="1"/>
        <n v="1138" u="1"/>
        <n v="10" u="1"/>
        <n v="1985" u="1"/>
        <n v="1920" u="1"/>
        <n v="1855" u="1"/>
        <n v="1790" u="1"/>
        <n v="1725" u="1"/>
        <n v="1660" u="1"/>
        <n v="1595" u="1"/>
        <n v="1530" u="1"/>
        <n v="1465" u="1"/>
        <n v="1400" u="1"/>
        <n v="1335" u="1"/>
        <n v="1270" u="1"/>
        <n v="1205" u="1"/>
        <n v="1140" u="1"/>
        <n v="9" u="1"/>
        <n v="1987" u="1"/>
        <n v="1857" u="1"/>
        <n v="1792" u="1"/>
        <n v="1727" u="1"/>
        <n v="1662" u="1"/>
        <n v="1597" u="1"/>
        <n v="1532" u="1"/>
        <n v="1467" u="1"/>
        <n v="1402" u="1"/>
        <n v="1337" u="1"/>
        <n v="1272" u="1"/>
        <n v="1207" u="1"/>
        <n v="1142" u="1"/>
        <n v="1989" u="1"/>
        <n v="1924" u="1"/>
        <n v="1859" u="1"/>
        <n v="1794" u="1"/>
        <n v="1729" u="1"/>
        <n v="1664" u="1"/>
        <n v="1599" u="1"/>
        <n v="1534" u="1"/>
        <n v="1469" u="1"/>
        <n v="1404" u="1"/>
        <n v="1339" u="1"/>
        <n v="1274" u="1"/>
        <n v="1209" u="1"/>
        <n v="1144" u="1"/>
        <n v="1991" u="1"/>
        <n v="1926" u="1"/>
        <n v="1861" u="1"/>
        <n v="1796" u="1"/>
        <n v="1731" u="1"/>
        <n v="108" u="1"/>
        <n v="1666" u="1"/>
        <n v="1601" u="1"/>
        <n v="1536" u="1"/>
        <n v="1471" u="1"/>
        <n v="1406" u="1"/>
        <n v="1341" u="1"/>
        <n v="1276" u="1"/>
        <n v="1211" u="1"/>
        <n v="1146" u="1"/>
        <n v="1993" u="1"/>
        <n v="1928" u="1"/>
        <n v="1863" u="1"/>
        <n v="1798" u="1"/>
        <n v="1733" u="1"/>
        <n v="1668" u="1"/>
        <n v="1603" u="1"/>
        <n v="1538" u="1"/>
        <n v="1473" u="1"/>
        <n v="1408" u="1"/>
        <n v="1343" u="1"/>
        <n v="1278" u="1"/>
        <n v="1213" u="1"/>
        <n v="1148" u="1"/>
        <n v="1995" u="1"/>
        <n v="1930" u="1"/>
        <n v="1865" u="1"/>
        <n v="1800" u="1"/>
        <n v="1735" u="1"/>
        <n v="1605" u="1"/>
        <n v="1540" u="1"/>
        <n v="1475" u="1"/>
        <n v="92" u="1"/>
        <n v="1410" u="1"/>
        <n v="1345" u="1"/>
        <n v="1280" u="1"/>
        <n v="1215" u="1"/>
        <n v="1150" u="1"/>
        <n v="1997" u="1"/>
        <n v="1932" u="1"/>
        <n v="1802" u="1"/>
        <n v="1737" u="1"/>
        <n v="1672" u="1"/>
        <n v="1607" u="1"/>
        <n v="1542" u="1"/>
        <n v="1477" u="1"/>
        <n v="1412" u="1"/>
        <n v="1347" u="1"/>
        <n v="1282" u="1"/>
        <n v="1217" u="1"/>
        <n v="1152" u="1"/>
        <n v="1999" u="1"/>
        <n v="1934" u="1"/>
        <n v="1869" u="1"/>
        <n v="1804" u="1"/>
        <n v="1739" u="1"/>
        <n v="1674" u="1"/>
        <n v="1609" u="1"/>
        <n v="1544" u="1"/>
        <n v="1479" u="1"/>
        <n v="1414" u="1"/>
        <n v="1349" u="1"/>
        <n v="1284" u="1"/>
        <n v="1219" u="1"/>
        <n v="76" u="1"/>
        <n v="1154" u="1"/>
        <n v="2001" u="1"/>
        <n v="1936" u="1"/>
        <n v="1871" u="1"/>
        <n v="1806" u="1"/>
        <n v="1741" u="1"/>
        <n v="1676" u="1"/>
        <n v="1611" u="1"/>
        <n v="1546" u="1"/>
        <n v="1481" u="1"/>
        <n v="1416" u="1"/>
        <n v="1351" u="1"/>
        <n v="1286" u="1"/>
        <n v="1221" u="1"/>
        <n v="1156" u="1"/>
        <n v="68" u="1"/>
        <n v="2003" u="1"/>
        <n v="1938" u="1"/>
        <n v="1873" u="1"/>
        <n v="1808" u="1"/>
        <n v="1743" u="1"/>
        <n v="1678" u="1"/>
        <n v="1613" u="1"/>
        <n v="1548" u="1"/>
        <n v="1483" u="1"/>
        <n v="1418" u="1"/>
        <n v="1353" u="1"/>
        <n v="1288" u="1"/>
        <n v="1223" u="1"/>
        <n v="1158" u="1"/>
        <n v="62" u="1"/>
        <n v="2005" u="1"/>
        <n v="1940" u="1"/>
        <n v="1875" u="1"/>
        <n v="1810" u="1"/>
        <n v="1745" u="1"/>
        <n v="1680" u="1"/>
        <n v="1615" u="1"/>
        <n v="1550" u="1"/>
        <n v="1485" u="1"/>
        <n v="1420" u="1"/>
        <n v="1355" u="1"/>
        <n v="1290" u="1"/>
        <n v="1225" u="1"/>
        <n v="1160" u="1"/>
        <n v="2007" u="1"/>
        <n v="1942" u="1"/>
        <n v="1877" u="1"/>
        <n v="1812" u="1"/>
        <n v="1747" u="1"/>
        <n v="109" u="1"/>
        <n v="1682" u="1"/>
        <n v="1552" u="1"/>
        <n v="1487" u="1"/>
        <n v="1422" u="1"/>
        <n v="1357" u="1"/>
        <n v="1292" u="1"/>
        <n v="1227" u="1"/>
        <n v="1162" u="1"/>
        <n v="54" u="1"/>
        <n v="2009" u="1"/>
        <n v="1944" u="1"/>
        <n v="1879" u="1"/>
        <n v="1814" u="1"/>
        <n v="1749" u="1"/>
        <n v="1684" u="1"/>
        <n v="1619" u="1"/>
        <n v="1554" u="1"/>
        <n v="1489" u="1"/>
        <n v="1359" u="1"/>
        <n v="1294" u="1"/>
        <n v="1229" u="1"/>
        <n v="1164" u="1"/>
        <n v="2011" u="1"/>
        <n v="1946" u="1"/>
        <n v="1881" u="1"/>
        <n v="1816" u="1"/>
        <n v="1751" u="1"/>
        <n v="1686" u="1"/>
        <n v="1621" u="1"/>
        <n v="1556" u="1"/>
        <n v="1491" u="1"/>
        <n v="1426" u="1"/>
        <n v="1361" u="1"/>
        <n v="1296" u="1"/>
        <n v="1231" u="1"/>
        <n v="1166" u="1"/>
        <n v="46" u="1"/>
        <n v="2013" u="1"/>
        <n v="1948" u="1"/>
        <n v="1883" u="1"/>
        <n v="1818" u="1"/>
        <n v="1753" u="1"/>
        <n v="1688" u="1"/>
        <n v="1623" u="1"/>
        <n v="1558" u="1"/>
        <n v="1493" u="1"/>
        <n v="1428" u="1"/>
        <n v="1298" u="1"/>
        <n v="1233" u="1"/>
        <n v="1168" u="1"/>
        <n v="2015" u="1"/>
        <n v="1950" u="1"/>
        <n v="1885" u="1"/>
        <n v="1820" u="1"/>
        <n v="1755" u="1"/>
        <n v="1690" u="1"/>
        <n v="1625" u="1"/>
        <n v="1560" u="1"/>
        <n v="1495" u="1"/>
        <n v="1430" u="1"/>
        <n v="1365" u="1"/>
        <n v="1300" u="1"/>
        <n v="1235" u="1"/>
        <n v="1170" u="1"/>
        <n v="2017" u="1"/>
        <n v="1952" u="1"/>
        <n v="1887" u="1"/>
        <n v="1822" u="1"/>
        <n v="1757" u="1"/>
        <n v="1692" u="1"/>
        <n v="1627" u="1"/>
        <n v="1562" u="1"/>
        <n v="1497" u="1"/>
        <n v="1367" u="1"/>
        <n v="1302" u="1"/>
        <n v="1237" u="1"/>
        <n v="1172" u="1"/>
        <n v="1107" u="1"/>
        <n v="69" u="1"/>
        <n v="1954" u="1"/>
        <n v="1889" u="1"/>
        <n v="1824" u="1"/>
        <n v="1759" u="1"/>
        <n v="1694" u="1"/>
        <n v="1629" u="1"/>
        <n v="1564" u="1"/>
        <n v="1499" u="1"/>
        <n v="1434" u="1"/>
        <n v="1369" u="1"/>
        <n v="1304" u="1"/>
        <n v="1239" u="1"/>
        <n v="1174" u="1"/>
        <n v="1109" u="1"/>
        <n v="2021" u="1"/>
        <n v="1956" u="1"/>
        <n v="1891" u="1"/>
        <n v="1826" u="1"/>
        <n v="1761" u="1"/>
        <n v="1696" u="1"/>
        <n v="1631" u="1"/>
        <n v="1566" u="1"/>
        <n v="1501" u="1"/>
        <n v="1436" u="1"/>
        <n v="1371" u="1"/>
        <n v="1306" u="1"/>
        <n v="1241" u="1"/>
        <n v="1176" u="1"/>
        <n v="1111" u="1"/>
        <n v="2023" u="1"/>
        <n v="1958" u="1"/>
        <n v="1893" u="1"/>
        <n v="1828" u="1"/>
        <n v="1763" u="1"/>
        <n v="1698" u="1"/>
        <n v="1633" u="1"/>
        <n v="1568" u="1"/>
        <n v="1503" u="1"/>
        <n v="1438" u="1"/>
        <n v="1373" u="1"/>
        <n v="1308" u="1"/>
        <n v="1243" u="1"/>
        <n v="1178" u="1"/>
        <n v="1113" u="1"/>
        <n v="2025" u="1"/>
        <n v="1960" u="1"/>
        <n v="1895" u="1"/>
        <n v="1830" u="1"/>
        <n v="1765" u="1"/>
        <n v="1700" u="1"/>
        <n v="1635" u="1"/>
        <n v="1570" u="1"/>
        <n v="1505" u="1"/>
        <n v="1440" u="1"/>
        <n v="1375" u="1"/>
        <n v="1310" u="1"/>
        <n v="1245" u="1"/>
        <n v="1180" u="1"/>
        <n v="1115" u="1"/>
      </sharedItems>
    </cacheField>
    <cacheField name="Document type" numFmtId="0">
      <sharedItems count="3">
        <s v="Invoices for outward supply"/>
        <s v="Debit Note"/>
        <s v="Credit Note" u="1"/>
      </sharedItems>
    </cacheField>
    <cacheField name="Inv. Pfx." numFmtId="0">
      <sharedItems count="3">
        <s v="SI-2"/>
        <s v="DN2"/>
        <s v="CN2" u="1"/>
      </sharedItems>
    </cacheField>
    <cacheField name="Inv. No." numFmtId="0">
      <sharedItems/>
    </cacheField>
    <cacheField name="Inv. Pfx./Inv. No." numFmtId="0">
      <sharedItems count="1631">
        <s v="SI-2/1900-1757"/>
        <s v="SI-2/1900-1759"/>
        <s v="SI-2/1900-1760"/>
        <s v="SI-2/1900-1761"/>
        <s v="SI-2/1900-1762"/>
        <s v="SI-2/1900-1763"/>
        <s v="SI-2/1900-1764"/>
        <s v="SI-2/1900-1765"/>
        <s v="SI-2/1900-1766"/>
        <s v="SI-2/1900-1767"/>
        <s v="SI-2/1900-1768"/>
        <s v="SI-2/1900-1770"/>
        <s v="SI-2/1900-1771"/>
        <s v="SI-2/1900-1772"/>
        <s v="SI-2/1900-1773"/>
        <s v="SI-2/1900-1774"/>
        <s v="SI-2/1900-1776"/>
        <s v="SI-2/1900-1777"/>
        <s v="SI-2/1900-1778"/>
        <s v="SI-2/1900-1779"/>
        <s v="DN2/1900-0089"/>
        <s v="SI-2/1900-1780"/>
        <s v="SI-2/1900-1781"/>
        <s v="SI-2/1900-1782"/>
        <s v="SI-2/1900-1783"/>
        <s v="SI-2/1900-1784"/>
        <s v="SI-2/1900-1785"/>
        <s v="SI-2/1900-1786"/>
        <s v="SI-2/1900-1787"/>
        <s v="SI-2/1900-1789"/>
        <s v="SI-2/1900-1790"/>
        <s v="SI-2/1900-1791"/>
        <s v="SI-2/1900-1792"/>
        <s v="SI-2/1900-1793"/>
        <s v="SI-2/1900-1794"/>
        <s v="SI-2/1900-1795"/>
        <s v="SI-2/1900-1796"/>
        <s v="SI-2/1900-1797"/>
        <s v="SI-2/1900-1798"/>
        <s v="SI-2/1900-1799"/>
        <s v="SI-2/1900-1800"/>
        <s v="SI-2/1900-1801"/>
        <s v="SI-2/1900-1802"/>
        <s v="SI-2/1900-1803"/>
        <s v="SI-2/1900-1804"/>
        <s v="SI-2/1900-1805"/>
        <s v="SI-2/1900-1806"/>
        <s v="SI-2/1900-1807"/>
        <s v="SI-2/1900-1808"/>
        <s v="SI-2/1900-1809"/>
        <s v="SI-2/1900-1810"/>
        <s v="SI-2/1900-1811"/>
        <s v="SI-2/1900-1812"/>
        <s v="SI-2/1900-1813"/>
        <s v="SI-2/1900-1814"/>
        <s v="SI-2/1900-1815"/>
        <s v="SI-2/1900-1816"/>
        <s v="SI-2/1900-1817"/>
        <s v="SI-2/1900-1818"/>
        <s v="SI-2/1900-1819"/>
        <s v="SI-2/1900-1820"/>
        <s v="SI-2/1900-1821"/>
        <s v="SI-2/1900-1822"/>
        <s v="SI-2/1900-1824"/>
        <s v="SI-2/1900-1823"/>
        <s v="SI-2/1900-1825"/>
        <s v="SI-2/1900-1826"/>
        <s v="SI-2/1900-1828"/>
        <s v="SI-2/1900-1829"/>
        <s v="SI-2/1900-1830"/>
        <s v="SI-2/1900-1831"/>
        <s v="SI-2/1900-1832"/>
        <s v="SI-2/1900-1833"/>
        <s v="SI-2/1900-1834"/>
        <s v="SI-2/1900-1835"/>
        <s v="SI-2/1900-1836"/>
        <s v="SI-2/1900-1837"/>
        <s v="SI-2/1900-1839"/>
        <s v="SI-2/1900-1840"/>
        <s v="SI-2/1900-1841"/>
        <s v="SI-2/1900-1842"/>
        <s v="SI-2/1900-1843"/>
        <s v="SI-2/1900-1844"/>
        <s v="SI-2/1900-1845"/>
        <s v="SI-2/1900-1846"/>
        <s v="SI-2/1900-1847"/>
        <s v="SI-2/1900-1848"/>
        <s v="SI-2/1900-1849"/>
        <s v="SI-2/1900-1850"/>
        <s v="SI-2/1900-1853"/>
        <s v="SI-2/1900-1854"/>
        <s v="SI-2/1900-1855"/>
        <s v="SI-2/1900-1856"/>
        <s v="SI-2/1900-1857"/>
        <s v="SI-2/1900-1858"/>
        <s v="SI-2/1900-1859"/>
        <s v="SI-2/1900-1860"/>
        <s v="SI-2/1900-1861"/>
        <s v="SI-2/1900-1862"/>
        <s v="SI-2/1900-1863"/>
        <s v="SI-2/1900-1864"/>
        <s v="SI-2/1900-1865"/>
        <s v="SI-2/1900-1866"/>
        <s v="SI-2/1900-1868"/>
        <s v="SI-2/1900-1869"/>
        <s v="SI-2/1900-1870"/>
        <s v="SI-2/1900-1871"/>
        <s v="SI-2/1900-1872"/>
        <s v="SI-2/1900-1874"/>
        <s v="SI-2/1900-1875"/>
        <s v="SI-2/1900-1876"/>
        <s v="SI-2/1900-1877"/>
        <s v="SI-2/1900-1878"/>
        <s v="SI-2/1900-1879"/>
        <s v="SI-2/1900-1880"/>
        <s v="SI-2/1900-1881"/>
        <s v="SI-2/1900-1882"/>
        <s v="SI-2/1900-1883"/>
        <s v="SI-2/1900-1884"/>
        <s v="SI-2/1900-1885"/>
        <s v="SI-2/1900-1886"/>
        <s v="SI-2/1900-1887"/>
        <s v="SI-2/1900-1888"/>
        <s v="SI-2/2122-0831" u="1"/>
        <s v="SI-2/2122-0923" u="1"/>
        <s v="SI-2/2122-1751" u="1"/>
        <s v="SI-2/2122-1843" u="1"/>
        <s v="SI-2/2122-1935" u="1"/>
        <s v="SI-2/2223-0079" u="1"/>
        <s v="SI-2/2122-0911" u="1"/>
        <s v="SI-2/2122-1831" u="1"/>
        <s v="SI-2/2122-1923" u="1"/>
        <s v="SI-2/2122-1078" u="1"/>
        <s v="SI-2/2223-0067" u="1"/>
        <s v="SI-2/2122-1911" u="1"/>
        <s v="SI-2/2122-1066" u="1"/>
        <s v="SI-2/2122-1158" u="1"/>
        <s v="SI-2/2223-0055" u="1"/>
        <s v="SI-2/2122-0798" u="1"/>
        <s v="SI-2/2122-1054" u="1"/>
        <s v="SI-2/2122-1146" u="1"/>
        <s v="SI-2/2122-1238" u="1"/>
        <s v="SI-2/2223-0043" u="1"/>
        <s v="SI-2/2122-0694" u="1"/>
        <s v="SI-2/2122-0786" u="1"/>
        <s v="SI-2/2122-0878" u="1"/>
        <s v="SI-2/2122-1798" u="1"/>
        <s v="SI-2/2122-1042" u="1"/>
        <s v="SI-2/2122-1134" u="1"/>
        <s v="SI-2/2122-1226" u="1"/>
        <s v="SI-2/2122-1318" u="1"/>
        <s v="SI-2/2223-0031" u="1"/>
        <s v="SI-2/2223-0123" u="1"/>
        <s v="SI-2/2122-0682" u="1"/>
        <s v="SI-2/2122-0774" u="1"/>
        <s v="SI-2/2122-0866" u="1"/>
        <s v="SI-2/2122-0958" u="1"/>
        <s v="SI-2/2122-1694" u="1"/>
        <s v="SI-2/2122-1786" u="1"/>
        <s v="SI-2/2122-1878" u="1"/>
        <s v="SI-2/2122-1030" u="1"/>
        <s v="SI-2/2122-1122" u="1"/>
        <s v="SI-2/2122-1214" u="1"/>
        <s v="SI-2/2122-1306" u="1"/>
        <s v="SI-2/2223-0111" u="1"/>
        <s v="SI-2/2122-0762" u="1"/>
        <s v="SI-2/2122-0854" u="1"/>
        <s v="SI-2/2122-0946" u="1"/>
        <s v="SI-2/2122-1590" u="1"/>
        <s v="SI-2/2122-1682" u="1"/>
        <s v="SI-2/2122-1774" u="1"/>
        <s v="SI-2/2122-1866" u="1"/>
        <s v="SI-2/2122-1958" u="1"/>
        <s v="SI-2/2122-1110" u="1"/>
        <s v="SI-2/2122-1202" u="1"/>
        <s v="SI-2/2122-2030" u="1"/>
        <s v="SI-2/2122-0750" u="1"/>
        <s v="SI-2/2122-0842" u="1"/>
        <s v="SI-2/2122-0934" u="1"/>
        <s v="SI-2/2122-1762" u="1"/>
        <s v="SI-2/2122-1854" u="1"/>
        <s v="SI-2/2122-1946" u="1"/>
        <s v="SI-2/2122-0830" u="1"/>
        <s v="SI-2/2122-0922" u="1"/>
        <s v="SI-2/2122-1750" u="1"/>
        <s v="SI-2/2122-1842" u="1"/>
        <s v="SI-2/2122-1934" u="1"/>
        <s v="CN2/2122-0005" u="1"/>
        <s v="SI-2/2122-1089" u="1"/>
        <s v="SI-2/2223-0078" u="1"/>
        <s v="SI-2/2122-0910" u="1"/>
        <s v="SI-2/2122-1830" u="1"/>
        <s v="CN2/2122-0013" u="1"/>
        <s v="SI-2/2122-1077" u="1"/>
        <s v="SI-2/2122-1169" u="1"/>
        <s v="SI-2/2223-0066" u="1"/>
        <s v="SI-2/2122-1065" u="1"/>
        <s v="SI-2/2122-1157" u="1"/>
        <s v="SI-2/2122-1249" u="1"/>
        <s v="SI-2/2223-0054" u="1"/>
        <s v="DN2/2122-0037" u="1"/>
        <s v="SI-2/2122-0797" u="1"/>
        <s v="SI-2/2122-0889" u="1"/>
        <s v="SI-2/2122-1053" u="1"/>
        <s v="SI-2/2122-1237" u="1"/>
        <s v="SI-2/2122-1329" u="1"/>
        <s v="SI-2/2223-0042" u="1"/>
        <s v="DN2/2122-0045" u="1"/>
        <s v="SI-2/2122-0693" u="1"/>
        <s v="SI-2/2122-0785" u="1"/>
        <s v="SI-2/2122-0877" u="1"/>
        <s v="SI-2/2122-0969" u="1"/>
        <s v="SI-2/2122-1797" u="1"/>
        <s v="SI-2/2122-1889" u="1"/>
        <s v="SI-2/2122-1041" u="1"/>
        <s v="SI-2/2122-1133" u="1"/>
        <s v="SI-2/2122-1225" u="1"/>
        <s v="SI-2/2122-1317" u="1"/>
        <s v="SI-2/2122-1409" u="1"/>
        <s v="SI-2/2223-0030" u="1"/>
        <s v="SI-2/2223-0122" u="1"/>
        <s v="DN2/2122-0053" u="1"/>
        <s v="SI-2/2122-0681" u="1"/>
        <s v="SI-2/2122-0773" u="1"/>
        <s v="SI-2/2122-0865" u="1"/>
        <s v="SI-2/2122-0957" u="1"/>
        <s v="SI-2/2122-1693" u="1"/>
        <s v="SI-2/2122-1785" u="1"/>
        <s v="SI-2/2122-1877" u="1"/>
        <s v="SI-2/2122-1969" u="1"/>
        <s v="SI-2/2122-1121" u="1"/>
        <s v="SI-2/2122-1213" u="1"/>
        <s v="SI-2/2122-1305" u="1"/>
        <s v="SI-2/2223-0110" u="1"/>
        <s v="SI-2/2122-0761" u="1"/>
        <s v="SI-2/2122-0945" u="1"/>
        <s v="SI-2/2122-1681" u="1"/>
        <s v="SI-2/2122-1773" u="1"/>
        <s v="SI-2/2122-1865" u="1"/>
        <s v="SI-2/2122-1957" u="1"/>
        <s v="SI-2/2122-1201" u="1"/>
        <s v="SI-2/2122-0841" u="1"/>
        <s v="SI-2/2122-0933" u="1"/>
        <s v="SI-2/2122-1761" u="1"/>
        <s v="SI-2/2122-1853" u="1"/>
        <s v="SI-2/2122-1945" u="1"/>
        <s v="SI-2/2223-0089" u="1"/>
        <s v="SI-2/2122-0921" u="1"/>
        <s v="SI-2/2122-1841" u="1"/>
        <s v="SI-2/2122-1933" u="1"/>
        <s v="SI-2/2122-1088" u="1"/>
        <s v="SI-2/2223-0077" u="1"/>
        <s v="SI-2/2122-1921" u="1"/>
        <s v="SI-2/2122-1076" u="1"/>
        <s v="SI-2/2122-1168" u="1"/>
        <s v="SI-2/2223-0065" u="1"/>
        <s v="SI-2/2122-1064" u="1"/>
        <s v="SI-2/2122-1156" u="1"/>
        <s v="SI-2/2122-1248" u="1"/>
        <s v="SI-2/2223-0053" u="1"/>
        <s v="SI-2/2122-0796" u="1"/>
        <s v="SI-2/2122-0888" u="1"/>
        <s v="SI-2/2122-1052" u="1"/>
        <s v="SI-2/2122-1144" u="1"/>
        <s v="SI-2/2122-1236" u="1"/>
        <s v="SI-2/2122-1328" u="1"/>
        <s v="SI-2/2223-0041" u="1"/>
        <s v="SI-2/2223-0133" u="1"/>
        <s v="SI-2/2122-0692" u="1"/>
        <s v="SI-2/2122-0784" u="1"/>
        <s v="SI-2/2122-0876" u="1"/>
        <s v="SI-2/2122-0968" u="1"/>
        <s v="SI-2/2122-1796" u="1"/>
        <s v="SI-2/2122-1888" u="1"/>
        <s v="SI-2/2122-1040" u="1"/>
        <s v="SI-2/2122-1224" u="1"/>
        <s v="SI-2/2122-1316" u="1"/>
        <s v="SI-2/2122-1408" u="1"/>
        <s v="SI-2/2223-0121" u="1"/>
        <s v="SI-2/2122-0680" u="1"/>
        <s v="SI-2/2122-0772" u="1"/>
        <s v="SI-2/2122-0864" u="1"/>
        <s v="SI-2/2122-0956" u="1"/>
        <s v="SI-2/2122-1692" u="1"/>
        <s v="SI-2/2122-1784" u="1"/>
        <s v="SI-2/2122-1876" u="1"/>
        <s v="SI-2/2122-1968" u="1"/>
        <s v="SI-2/2122-1120" u="1"/>
        <s v="SI-2/2122-1212" u="1"/>
        <s v="SI-2/2122-1304" u="1"/>
        <s v="SI-2/2122-0760" u="1"/>
        <s v="SI-2/2122-0852" u="1"/>
        <s v="SI-2/2122-0944" u="1"/>
        <s v="SI-2/2122-1680" u="1"/>
        <s v="SI-2/2122-1772" u="1"/>
        <s v="SI-2/2122-1864" u="1"/>
        <s v="SI-2/2122-1956" u="1"/>
        <s v="SI-2/2122-1200" u="1"/>
        <s v="SI-2/2122-0840" u="1"/>
        <s v="SI-2/2122-0932" u="1"/>
        <s v="SI-2/2122-1760" u="1"/>
        <s v="SI-2/2122-1852" u="1"/>
        <s v="SI-2/2122-1944" u="1"/>
        <s v="CN2/2122-0006" u="1"/>
        <s v="SI-2/2122-1099" u="1"/>
        <s v="SI-2/2223-0088" u="1"/>
        <s v="DN2/2223-0005" u="1"/>
        <s v="SI-2/2122-0920" u="1"/>
        <s v="SI-2/2122-1840" u="1"/>
        <s v="SI-2/2122-1932" u="1"/>
        <s v="CN2/2122-0014" u="1"/>
        <s v="SI-2/2122-1087" u="1"/>
        <s v="SI-2/2122-1179" u="1"/>
        <s v="SI-2/2223-0076" u="1"/>
        <s v="SI-2/2122-1920" u="1"/>
        <s v="SI-2/2122-1075" u="1"/>
        <s v="SI-2/2122-1167" u="1"/>
        <s v="SI-2/2122-1259" u="1"/>
        <s v="DN2/2122-0038" u="1"/>
        <s v="SI-2/2122-0899" u="1"/>
        <s v="SI-2/2122-1063" u="1"/>
        <s v="SI-2/2122-1155" u="1"/>
        <s v="SI-2/2122-1247" u="1"/>
        <s v="SI-2/2122-1339" u="1"/>
        <s v="SI-2/2223-0052" u="1"/>
        <s v="DN2/2122-0046" u="1"/>
        <s v="SI-2/2122-0795" u="1"/>
        <s v="SI-2/2122-0887" u="1"/>
        <s v="SI-2/2122-0979" u="1"/>
        <s v="SI-2/2122-1899" u="1"/>
        <s v="SI-2/2122-1051" u="1"/>
        <s v="SI-2/2122-1143" u="1"/>
        <s v="SI-2/2122-1235" u="1"/>
        <s v="SI-2/2122-1327" u="1"/>
        <s v="SI-2/2122-1419" u="1"/>
        <s v="SI-2/2223-0040" u="1"/>
        <s v="SI-2/2223-0132" u="1"/>
        <s v="DN2/2122-0054" u="1"/>
        <s v="SI-2/2122-0691" u="1"/>
        <s v="SI-2/2122-0783" u="1"/>
        <s v="SI-2/2122-0875" u="1"/>
        <s v="SI-2/2122-0967" u="1"/>
        <s v="SI-2/2122-1795" u="1"/>
        <s v="SI-2/2122-1887" u="1"/>
        <s v="SI-2/2122-1979" u="1"/>
        <s v="SI-2/2122-1131" u="1"/>
        <s v="SI-2/2122-1223" u="1"/>
        <s v="SI-2/2122-1315" u="1"/>
        <s v="SI-2/2122-1407" u="1"/>
        <s v="SI-2/2223-0120" u="1"/>
        <s v="DN2/2122-0062" u="1"/>
        <s v="SI-2/2122-0771" u="1"/>
        <s v="SI-2/2122-0863" u="1"/>
        <s v="SI-2/2122-0955" u="1"/>
        <s v="SI-2/2122-1691" u="1"/>
        <s v="SI-2/2122-1783" u="1"/>
        <s v="SI-2/2122-1875" u="1"/>
        <s v="SI-2/2122-1967" u="1"/>
        <s v="SI-2/2122-1211" u="1"/>
        <s v="SI-2/2122-1303" u="1"/>
        <s v="SI-2/2122-0851" u="1"/>
        <s v="SI-2/2122-0943" u="1"/>
        <s v="SI-2/2122-1771" u="1"/>
        <s v="SI-2/2122-1863" u="1"/>
        <s v="SI-2/2122-1955" u="1"/>
        <s v="SI-2/2223-0099" u="1"/>
        <s v="SI-2/2122-0931" u="1"/>
        <s v="SI-2/2122-1851" u="1"/>
        <s v="SI-2/2122-1943" u="1"/>
        <s v="SI-2/2122-1098" u="1"/>
        <s v="SI-2/2223-0087" u="1"/>
        <s v="SI-2/2122-1931" u="1"/>
        <s v="SI-2/2122-1086" u="1"/>
        <s v="SI-2/2122-1178" u="1"/>
        <s v="SI-2/2223-0075" u="1"/>
        <s v="SI-2/2122-1074" u="1"/>
        <s v="SI-2/2122-1166" u="1"/>
        <s v="SI-2/2122-1258" u="1"/>
        <s v="SI-2/2223-0063" u="1"/>
        <s v="SI-2/2122-0898" u="1"/>
        <s v="SI-2/2122-1154" u="1"/>
        <s v="SI-2/2122-1246" u="1"/>
        <s v="SI-2/2122-1338" u="1"/>
        <s v="SI-2/2223-0051" u="1"/>
        <s v="SI-2/2122-0794" u="1"/>
        <s v="SI-2/2122-0886" u="1"/>
        <s v="SI-2/2122-0978" u="1"/>
        <s v="SI-2/2122-1898" u="1"/>
        <s v="SI-2/2122-1050" u="1"/>
        <s v="SI-2/2122-1142" u="1"/>
        <s v="SI-2/2122-1234" u="1"/>
        <s v="SI-2/2122-1326" u="1"/>
        <s v="SI-2/2122-1418" u="1"/>
        <s v="SI-2/2223-0131" u="1"/>
        <s v="SI-2/2122-0690" u="1"/>
        <s v="SI-2/2122-0782" u="1"/>
        <s v="SI-2/2122-0874" u="1"/>
        <s v="SI-2/2122-0966" u="1"/>
        <s v="SI-2/2122-1794" u="1"/>
        <s v="SI-2/2122-1886" u="1"/>
        <s v="SI-2/2122-1978" u="1"/>
        <s v="SI-2/2122-1130" u="1"/>
        <s v="SI-2/2122-1222" u="1"/>
        <s v="SI-2/2122-1314" u="1"/>
        <s v="SI-2/2122-1406" u="1"/>
        <s v="SI-2/2122-0770" u="1"/>
        <s v="SI-2/2122-0862" u="1"/>
        <s v="SI-2/2122-0954" u="1"/>
        <s v="SI-2/2122-1690" u="1"/>
        <s v="SI-2/2122-1782" u="1"/>
        <s v="SI-2/2122-1874" u="1"/>
        <s v="SI-2/2122-1966" u="1"/>
        <s v="SI-2/2122-1210" u="1"/>
        <s v="SI-2/2122-1302" u="1"/>
        <s v="SI-2/2122-0850" u="1"/>
        <s v="SI-2/2122-0942" u="1"/>
        <s v="SI-2/2122-1770" u="1"/>
        <s v="SI-2/2122-1862" u="1"/>
        <s v="SI-2/2122-1954" u="1"/>
        <s v="CN2/2122-0007" u="1"/>
        <s v="SI-2/2223-0098" u="1"/>
        <s v="DN2/2223-0006" u="1"/>
        <s v="SI-2/2122-0930" u="1"/>
        <s v="SI-2/2122-1850" u="1"/>
        <s v="SI-2/2122-1942" u="1"/>
        <s v="CN2/2122-0015" u="1"/>
        <s v="SI-2/2122-1097" u="1"/>
        <s v="SI-2/2122-1189" u="1"/>
        <s v="SI-2/2223-0086" u="1"/>
        <s v="SI-2/2122-1930" u="1"/>
        <s v="SI-2/2122-1085" u="1"/>
        <s v="SI-2/2122-1177" u="1"/>
        <s v="SI-2/2122-1269" u="1"/>
        <s v="SI-2/2223-0074" u="1"/>
        <s v="DN2/2122-0039" u="1"/>
        <s v="SI-2/2122-1073" u="1"/>
        <s v="SI-2/2122-1165" u="1"/>
        <s v="SI-2/2122-1257" u="1"/>
        <s v="SI-2/2122-1349" u="1"/>
        <s v="SI-2/2223-0062" u="1"/>
        <s v="DN2/2122-0047" u="1"/>
        <s v="SI-2/2122-0897" u="1"/>
        <s v="SI-2/2122-0989" u="1"/>
        <s v="SI-2/2122-1061" u="1"/>
        <s v="SI-2/2122-1153" u="1"/>
        <s v="SI-2/2122-1245" u="1"/>
        <s v="SI-2/2122-1337" u="1"/>
        <s v="SI-2/2122-1429" u="1"/>
        <s v="SI-2/2223-0050" u="1"/>
        <s v="SI-2/2122-0793" u="1"/>
        <s v="SI-2/2122-0885" u="1"/>
        <s v="SI-2/2122-0977" u="1"/>
        <s v="SI-2/2122-1897" u="1"/>
        <s v="SI-2/2122-1989" u="1"/>
        <s v="SI-2/2122-1141" u="1"/>
        <s v="SI-2/2122-1233" u="1"/>
        <s v="SI-2/2122-1325" u="1"/>
        <s v="SI-2/2122-1417" u="1"/>
        <s v="SI-2/2122-1509" u="1"/>
        <s v="SI-2/2223-0130" u="1"/>
        <s v="DN2/2122-0063" u="1"/>
        <s v="SI-2/2122-0781" u="1"/>
        <s v="SI-2/2122-0873" u="1"/>
        <s v="SI-2/2122-0965" u="1"/>
        <s v="SI-2/2122-1793" u="1"/>
        <s v="SI-2/2122-1885" u="1"/>
        <s v="SI-2/2122-1977" u="1"/>
        <s v="SI-2/2122-1221" u="1"/>
        <s v="SI-2/2122-1313" u="1"/>
        <s v="SI-2/2122-1405" u="1"/>
        <s v="SI-2/2122-0861" u="1"/>
        <s v="SI-2/2122-0953" u="1"/>
        <s v="SI-2/2122-1781" u="1"/>
        <s v="SI-2/2122-1873" u="1"/>
        <s v="SI-2/2122-1965" u="1"/>
        <s v="SI-2/2122-1301" u="1"/>
        <s v="SI-2/2122-0941" u="1"/>
        <s v="SI-2/2122-1861" u="1"/>
        <s v="SI-2/2122-1953" u="1"/>
        <s v="SI-2/2223-0097" u="1"/>
        <s v="SI-2/2122-1941" u="1"/>
        <s v="SI-2/2122-1096" u="1"/>
        <s v="SI-2/2122-1188" u="1"/>
        <s v="SI-2/2223-0085" u="1"/>
        <s v="SI-2/2122-1084" u="1"/>
        <s v="SI-2/2122-1176" u="1"/>
        <s v="SI-2/2122-1268" u="1"/>
        <s v="SI-2/2223-0073" u="1"/>
        <s v="SI-2/2122-1164" u="1"/>
        <s v="SI-2/2122-1256" u="1"/>
        <s v="SI-2/2122-1348" u="1"/>
        <s v="SI-2/2223-0061" u="1"/>
        <s v="SI-2/2122-0896" u="1"/>
        <s v="SI-2/2122-0988" u="1"/>
        <s v="SI-2/2122-1060" u="1"/>
        <s v="SI-2/2122-1152" u="1"/>
        <s v="SI-2/2122-1244" u="1"/>
        <s v="SI-2/2122-1336" u="1"/>
        <s v="SI-2/2122-1428" u="1"/>
        <s v="SI-2/2122-0792" u="1"/>
        <s v="SI-2/2122-0884" u="1"/>
        <s v="SI-2/2122-0976" u="1"/>
        <s v="SI-2/2122-1896" u="1"/>
        <s v="SI-2/2122-1988" u="1"/>
        <s v="SI-2/2122-1140" u="1"/>
        <s v="SI-2/2122-1232" u="1"/>
        <s v="SI-2/2122-1324" u="1"/>
        <s v="SI-2/2122-1416" u="1"/>
        <s v="SI-2/2122-1508" u="1"/>
        <s v="SI-2/2122-0780" u="1"/>
        <s v="SI-2/2122-0872" u="1"/>
        <s v="SI-2/2122-0964" u="1"/>
        <s v="SI-2/2122-1792" u="1"/>
        <s v="SI-2/2122-1884" u="1"/>
        <s v="SI-2/2122-1976" u="1"/>
        <s v="SI-2/2122-1220" u="1"/>
        <s v="SI-2/2122-1312" u="1"/>
        <s v="SI-2/2122-1404" u="1"/>
        <s v="SI-2/2122-0860" u="1"/>
        <s v="SI-2/2122-0952" u="1"/>
        <s v="SI-2/2122-1780" u="1"/>
        <s v="SI-2/2122-1872" u="1"/>
        <s v="SI-2/2122-1964" u="1"/>
        <s v="CN2/2122-0008" u="1"/>
        <s v="SI-2/2122-1300" u="1"/>
        <s v="SI-2/2122-0940" u="1"/>
        <s v="SI-2/2122-1860" u="1"/>
        <s v="SI-2/2122-1952" u="1"/>
        <s v="CN2/2122-0016" u="1"/>
        <s v="SI-2/2122-1199" u="1"/>
        <s v="SI-2/2223-0096" u="1"/>
        <s v="SI-2/2122-1940" u="1"/>
        <s v="SI-2/2122-1095" u="1"/>
        <s v="SI-2/2122-1187" u="1"/>
        <s v="SI-2/2122-1279" u="1"/>
        <s v="SI-2/2223-0084" u="1"/>
        <s v="SI-2/2122-1083" u="1"/>
        <s v="SI-2/2122-1175" u="1"/>
        <s v="SI-2/2122-1267" u="1"/>
        <s v="SI-2/2122-1359" u="1"/>
        <s v="SI-2/2223-0072" u="1"/>
        <s v="SI-2/2122-0999" u="1"/>
        <s v="SI-2/2122-1071" u="1"/>
        <s v="SI-2/2122-1163" u="1"/>
        <s v="SI-2/2122-1255" u="1"/>
        <s v="SI-2/2122-1347" u="1"/>
        <s v="SI-2/2122-1439" u="1"/>
        <s v="SI-2/2223-0060" u="1"/>
        <s v="DN2/2122-0056" u="1"/>
        <s v="SI-2/2122-0895" u="1"/>
        <s v="SI-2/2122-0987" u="1"/>
        <s v="SI-2/2122-1999" u="1"/>
        <s v="SI-2/2122-1151" u="1"/>
        <s v="SI-2/2122-1243" u="1"/>
        <s v="SI-2/2122-1335" u="1"/>
        <s v="SI-2/2122-1427" u="1"/>
        <s v="SI-2/2122-1519" u="1"/>
        <s v="SI-2/2122-0791" u="1"/>
        <s v="SI-2/2122-0883" u="1"/>
        <s v="SI-2/2122-0975" u="1"/>
        <s v="SI-2/2122-1895" u="1"/>
        <s v="SI-2/2122-1987" u="1"/>
        <s v="SI-2/2122-1231" u="1"/>
        <s v="SI-2/2122-1323" u="1"/>
        <s v="SI-2/2122-1415" u="1"/>
        <s v="SI-2/2122-1507" u="1"/>
        <s v="SI-2/2122-0871" u="1"/>
        <s v="SI-2/2122-0963" u="1"/>
        <s v="SI-2/2122-1791" u="1"/>
        <s v="SI-2/2122-1883" u="1"/>
        <s v="SI-2/2122-1975" u="1"/>
        <s v="SI-2/2122-1311" u="1"/>
        <s v="SI-2/2122-1403" u="1"/>
        <s v="SI-2/2122-0951" u="1"/>
        <s v="SI-2/2122-1871" u="1"/>
        <s v="SI-2/2122-1963" u="1"/>
        <s v="SI-2/2122-1951" u="1"/>
        <s v="SI-2/2122-1198" u="1"/>
        <s v="SI-2/2223-0095" u="1"/>
        <s v="SI-2/2122-1094" u="1"/>
        <s v="SI-2/2122-1186" u="1"/>
        <s v="SI-2/2122-1278" u="1"/>
        <s v="SI-2/2223-0083" u="1"/>
        <s v="SI-2/2122-1082" u="1"/>
        <s v="SI-2/2122-1174" u="1"/>
        <s v="SI-2/2122-1266" u="1"/>
        <s v="SI-2/2122-1358" u="1"/>
        <s v="SI-2/2223-0071" u="1"/>
        <s v="SI-2/2122-0998" u="1"/>
        <s v="SI-2/2122-1070" u="1"/>
        <s v="SI-2/2122-1162" u="1"/>
        <s v="SI-2/2122-1254" u="1"/>
        <s v="SI-2/2122-1346" u="1"/>
        <s v="SI-2/2122-1438" u="1"/>
        <s v="SI-2/2122-0894" u="1"/>
        <s v="SI-2/2122-0986" u="1"/>
        <s v="SI-2/2122-1998" u="1"/>
        <s v="SI-2/2122-1150" u="1"/>
        <s v="SI-2/2122-1242" u="1"/>
        <s v="SI-2/2122-1334" u="1"/>
        <s v="SI-2/2122-1426" u="1"/>
        <s v="SI-2/2122-1518" u="1"/>
        <s v="SI-2/2122-0790" u="1"/>
        <s v="SI-2/2122-0882" u="1"/>
        <s v="SI-2/2122-0974" u="1"/>
        <s v="SI-2/2122-1894" u="1"/>
        <s v="SI-2/2122-1986" u="1"/>
        <s v="SI-2/2122-1230" u="1"/>
        <s v="SI-2/2122-1414" u="1"/>
        <s v="SI-2/2122-1506" u="1"/>
        <s v="SI-2/2122-0870" u="1"/>
        <s v="SI-2/2122-0962" u="1"/>
        <s v="SI-2/2122-1790" u="1"/>
        <s v="SI-2/2122-1882" u="1"/>
        <s v="SI-2/2122-1974" u="1"/>
        <s v="CN2/2122-0009" u="1"/>
        <s v="SI-2/2122-1310" u="1"/>
        <s v="SI-2/2122-1402" u="1"/>
        <s v="SI-2/2122-0950" u="1"/>
        <s v="SI-2/2122-1870" u="1"/>
        <s v="SI-2/2122-1962" u="1"/>
        <s v="SI-2/2122-1950" u="1"/>
        <s v="SI-2/2122-1197" u="1"/>
        <s v="SI-2/2122-1289" u="1"/>
        <s v="SI-2/2223-0094" u="1"/>
        <s v="SI-2/2122-1093" u="1"/>
        <s v="SI-2/2122-1185" u="1"/>
        <s v="SI-2/2122-1277" u="1"/>
        <s v="SI-2/2122-1369" u="1"/>
        <s v="SI-2/2223-0082" u="1"/>
        <s v="SI-2/2122-1081" u="1"/>
        <s v="SI-2/2122-1173" u="1"/>
        <s v="SI-2/2122-1265" u="1"/>
        <s v="SI-2/2122-1357" u="1"/>
        <s v="SI-2/2122-1449" u="1"/>
        <s v="SI-2/2223-0070" u="1"/>
        <s v="SI-2/2122-0997" u="1"/>
        <s v="SI-2/2122-1161" u="1"/>
        <s v="SI-2/2122-1253" u="1"/>
        <s v="SI-2/2122-1345" u="1"/>
        <s v="SI-2/2122-1437" u="1"/>
        <s v="SI-2/2122-1529" u="1"/>
        <s v="DN2/2122-0065" u="1"/>
        <s v="SI-2/2122-0893" u="1"/>
        <s v="SI-2/2122-0985" u="1"/>
        <s v="SI-2/2122-1997" u="1"/>
        <s v="SI-2/2122-1241" u="1"/>
        <s v="SI-2/2122-1333" u="1"/>
        <s v="SI-2/2122-1425" u="1"/>
        <s v="SI-2/2122-1517" u="1"/>
        <s v="SI-2/2122-1609" u="1"/>
        <s v="SI-2/2122-0881" u="1"/>
        <s v="SI-2/2122-0973" u="1"/>
        <s v="SI-2/2122-1893" u="1"/>
        <s v="SI-2/2122-1985" u="1"/>
        <s v="SI-2/2122-1321" u="1"/>
        <s v="SI-2/2122-1413" u="1"/>
        <s v="SI-2/2122-1505" u="1"/>
        <s v="SI-2/2122-0961" u="1"/>
        <s v="SI-2/2122-1881" u="1"/>
        <s v="SI-2/2122-1973" u="1"/>
        <s v="SI-2/2122-1401" u="1"/>
        <s v="SI-2/2122-1961" u="1"/>
        <s v="SI-2/2122-1196" u="1"/>
        <s v="SI-2/2122-1288" u="1"/>
        <s v="SI-2/2223-0093" u="1"/>
        <s v="SI-2/2122-1092" u="1"/>
        <s v="SI-2/2122-1184" u="1"/>
        <s v="SI-2/2122-1276" u="1"/>
        <s v="SI-2/2122-1368" u="1"/>
        <s v="SI-2/2223-0081" u="1"/>
        <s v="SI-2/2122-1080" u="1"/>
        <s v="SI-2/2122-1172" u="1"/>
        <s v="SI-2/2122-1264" u="1"/>
        <s v="SI-2/2122-1356" u="1"/>
        <s v="SI-2/2122-1448" u="1"/>
        <s v="SI-2/2122-0996" u="1"/>
        <s v="SI-2/2122-1160" u="1"/>
        <s v="SI-2/2122-1252" u="1"/>
        <s v="SI-2/2122-1344" u="1"/>
        <s v="SI-2/2122-1436" u="1"/>
        <s v="SI-2/2122-1528" u="1"/>
        <s v="SI-2/2122-0892" u="1"/>
        <s v="SI-2/2122-0984" u="1"/>
        <s v="SI-2/2122-1996" u="1"/>
        <s v="SI-2/2122-1240" u="1"/>
        <s v="SI-2/2122-1332" u="1"/>
        <s v="SI-2/2122-1516" u="1"/>
        <s v="SI-2/2122-1608" u="1"/>
        <s v="SI-2/2122-0880" u="1"/>
        <s v="SI-2/2122-0972" u="1"/>
        <s v="SI-2/2122-1892" u="1"/>
        <s v="SI-2/2122-1984" u="1"/>
        <s v="SI-2/2122-1320" u="1"/>
        <s v="SI-2/2122-1412" u="1"/>
        <s v="SI-2/2122-1504" u="1"/>
        <s v="CN2/2223-0001" u="1"/>
        <s v="SI-2/2122-0960" u="1"/>
        <s v="SI-2/2122-1880" u="1"/>
        <s v="SI-2/2122-1972" u="1"/>
        <s v="SI-2/2122-1400" u="1"/>
        <s v="SI-2/2122-1960" u="1"/>
        <s v="SI-2/2122-1299" u="1"/>
        <s v="SI-2/2122-1195" u="1"/>
        <s v="SI-2/2122-1287" u="1"/>
        <s v="SI-2/2122-1379" u="1"/>
        <s v="SI-2/2223-0092" u="1"/>
        <s v="SI-2/2122-1091" u="1"/>
        <s v="SI-2/2122-1183" u="1"/>
        <s v="SI-2/2122-1275" u="1"/>
        <s v="SI-2/2122-1367" u="1"/>
        <s v="SI-2/2223-0080" u="1"/>
        <s v="SI-2/2122-1171" u="1"/>
        <s v="SI-2/2122-1263" u="1"/>
        <s v="SI-2/2122-1355" u="1"/>
        <s v="SI-2/2122-1447" u="1"/>
        <s v="SI-2/2122-1539" u="1"/>
        <s v="SI-2/2122-0995" u="1"/>
        <s v="SI-2/2122-1251" u="1"/>
        <s v="SI-2/2122-1343" u="1"/>
        <s v="SI-2/2122-1435" u="1"/>
        <s v="SI-2/2122-1527" u="1"/>
        <s v="SI-2/2122-1619" u="1"/>
        <s v="SI-2/2122-0891" u="1"/>
        <s v="SI-2/2122-0983" u="1"/>
        <s v="SI-2/2122-1995" u="1"/>
        <s v="SI-2/2122-1331" u="1"/>
        <s v="SI-2/2122-1423" u="1"/>
        <s v="SI-2/2122-1515" u="1"/>
        <s v="SI-2/2122-1607" u="1"/>
        <s v="SI-2/2122-0971" u="1"/>
        <s v="SI-2/2122-1891" u="1"/>
        <s v="SI-2/2122-1983" u="1"/>
        <s v="SI-2/2122-1411" u="1"/>
        <s v="SI-2/2122-1503" u="1"/>
        <s v="SI-2/2122-1971" u="1"/>
        <s v="SI-2/2122-1298" u="1"/>
        <s v="SI-2/2122-1194" u="1"/>
        <s v="SI-2/2122-1286" u="1"/>
        <s v="SI-2/2122-1378" u="1"/>
        <s v="SI-2/2223-0091" u="1"/>
        <s v="SI-2/2122-1090" u="1"/>
        <s v="SI-2/2122-1182" u="1"/>
        <s v="SI-2/2122-1274" u="1"/>
        <s v="SI-2/2122-1366" u="1"/>
        <s v="SI-2/2122-1458" u="1"/>
        <s v="SI-2/2122-1170" u="1"/>
        <s v="SI-2/2122-1262" u="1"/>
        <s v="SI-2/2122-1354" u="1"/>
        <s v="SI-2/2122-1446" u="1"/>
        <s v="SI-2/2122-1538" u="1"/>
        <s v="SI-2/2122-0994" u="1"/>
        <s v="SI-2/2122-1250" u="1"/>
        <s v="SI-2/2122-1342" u="1"/>
        <s v="SI-2/2122-1434" u="1"/>
        <s v="SI-2/2122-1526" u="1"/>
        <s v="SI-2/2122-1618" u="1"/>
        <s v="SI-2/2122-0890" u="1"/>
        <s v="SI-2/2122-0982" u="1"/>
        <s v="SI-2/2122-1994" u="1"/>
        <s v="SI-2/2122-1330" u="1"/>
        <s v="SI-2/2122-1422" u="1"/>
        <s v="SI-2/2122-1514" u="1"/>
        <s v="SI-2/2122-1606" u="1"/>
        <s v="SI-2/2122-0970" u="1"/>
        <s v="SI-2/2122-1890" u="1"/>
        <s v="SI-2/2122-1982" u="1"/>
        <s v="SI-2/2122-1410" u="1"/>
        <s v="SI-2/2122-1502" u="1"/>
        <s v="SI-2/2122-1970" u="1"/>
        <s v="SI-2/2122-1297" u="1"/>
        <s v="SI-2/2122-1389" u="1"/>
        <s v="SI-2/2122-1193" u="1"/>
        <s v="SI-2/2122-1285" u="1"/>
        <s v="SI-2/2122-1377" u="1"/>
        <s v="SI-2/2122-1469" u="1"/>
        <s v="SI-2/2223-0090" u="1"/>
        <s v="SI-2/2122-1181" u="1"/>
        <s v="SI-2/2122-1273" u="1"/>
        <s v="SI-2/2122-1365" u="1"/>
        <s v="SI-2/2122-1457" u="1"/>
        <s v="SI-2/2122-1549" u="1"/>
        <s v="DN2/2122-0111" u="1"/>
        <s v="SI-2/2122-0709" u="1"/>
        <s v="SI-2/2122-1261" u="1"/>
        <s v="SI-2/2122-1353" u="1"/>
        <s v="SI-2/2122-1445" u="1"/>
        <s v="SI-2/2122-1537" u="1"/>
        <s v="SI-2/2122-1629" u="1"/>
        <s v="DN2/2122-0075" u="1"/>
        <s v="SI-2/2122-0993" u="1"/>
        <s v="SI-2/2122-1341" u="1"/>
        <s v="SI-2/2122-1433" u="1"/>
        <s v="SI-2/2122-1525" u="1"/>
        <s v="SI-2/2122-1709" u="1"/>
        <s v="SI-2/2122-0981" u="1"/>
        <s v="SI-2/2122-1993" u="1"/>
        <s v="SI-2/2122-1513" u="1"/>
        <s v="SI-2/2122-1605" u="1"/>
        <s v="SI-2/2122-1981" u="1"/>
        <s v="SI-2/2122-1501" u="1"/>
        <s v="SI-2/2122-1296" u="1"/>
        <s v="SI-2/2122-1388" u="1"/>
        <s v="SI-2/2122-1192" u="1"/>
        <s v="SI-2/2122-1284" u="1"/>
        <s v="SI-2/2122-1376" u="1"/>
        <s v="SI-2/2122-1468" u="1"/>
        <s v="SI-2/2122-1180" u="1"/>
        <s v="SI-2/2122-1272" u="1"/>
        <s v="SI-2/2122-1364" u="1"/>
        <s v="SI-2/2122-1456" u="1"/>
        <s v="SI-2/2122-1548" u="1"/>
        <s v="SI-2/2122-0708" u="1"/>
        <s v="SI-2/2122-1260" u="1"/>
        <s v="SI-2/2122-1352" u="1"/>
        <s v="SI-2/2122-1444" u="1"/>
        <s v="SI-2/2122-1536" u="1"/>
        <s v="SI-2/2122-1628" u="1"/>
        <s v="SI-2/2122-0992" u="1"/>
        <s v="SI-2/2122-1340" u="1"/>
        <s v="SI-2/2122-1524" u="1"/>
        <s v="SI-2/2122-1616" u="1"/>
        <s v="SI-2/2122-1708" u="1"/>
        <s v="SI-2/2122-0980" u="1"/>
        <s v="SI-2/2122-1992" u="1"/>
        <s v="SI-2/2122-1420" u="1"/>
        <s v="SI-2/2122-1512" u="1"/>
        <s v="SI-2/2122-1604" u="1"/>
        <s v="SI-2/2122-1980" u="1"/>
        <s v="SI-2/2122-1500" u="1"/>
        <s v="SI-2/2122-1399" u="1"/>
        <s v="SI-2/2122-1295" u="1"/>
        <s v="SI-2/2122-1387" u="1"/>
        <s v="SI-2/2122-1479" u="1"/>
        <s v="DN2/2122-0104" u="1"/>
        <s v="SI-2/2122-1191" u="1"/>
        <s v="SI-2/2122-1375" u="1"/>
        <s v="SI-2/2122-1467" u="1"/>
        <s v="SI-2/2122-1559" u="1"/>
        <s v="DN2/2122-0068" u="1"/>
        <s v="SI-2/2122-0719" u="1"/>
        <s v="SI-2/2122-1271" u="1"/>
        <s v="SI-2/2122-1455" u="1"/>
        <s v="SI-2/2122-1547" u="1"/>
        <s v="SI-2/2122-1639" u="1"/>
        <s v="DN2/2122-0076" u="1"/>
        <s v="SI-2/2122-0707" u="1"/>
        <s v="SI-2/2122-1351" u="1"/>
        <s v="SI-2/2122-1443" u="1"/>
        <s v="SI-2/2122-1535" u="1"/>
        <s v="SI-2/2122-1627" u="1"/>
        <s v="SI-2/2122-1719" u="1"/>
        <s v="SI-2/2122-0991" u="1"/>
        <s v="SI-2/2122-1431" u="1"/>
        <s v="SI-2/2122-1523" u="1"/>
        <s v="SI-2/2122-1615" u="1"/>
        <s v="SI-2/2122-1707" u="1"/>
        <s v="DN2/2122-0092" u="1"/>
        <s v="SI-2/2122-1991" u="1"/>
        <s v="SI-2/2122-1511" u="1"/>
        <s v="SI-2/2122-1603" u="1"/>
        <s v="SI-2/2122-1398" u="1"/>
        <s v="SI-2/2122-1294" u="1"/>
        <s v="SI-2/2122-1386" u="1"/>
        <s v="SI-2/2122-1478" u="1"/>
        <s v="SI-2/2122-1190" u="1"/>
        <s v="SI-2/2122-1282" u="1"/>
        <s v="SI-2/2122-1374" u="1"/>
        <s v="SI-2/2122-1466" u="1"/>
        <s v="SI-2/2122-1558" u="1"/>
        <s v="SI-2/2122-0718" u="1"/>
        <s v="SI-2/2122-1270" u="1"/>
        <s v="SI-2/2122-1362" u="1"/>
        <s v="SI-2/2122-1454" u="1"/>
        <s v="SI-2/2122-1546" u="1"/>
        <s v="SI-2/2122-1638" u="1"/>
        <s v="SI-2/2122-0706" u="1"/>
        <s v="SI-2/2122-1350" u="1"/>
        <s v="SI-2/2122-1442" u="1"/>
        <s v="SI-2/2122-1534" u="1"/>
        <s v="SI-2/2122-1626" u="1"/>
        <s v="SI-2/2122-1718" u="1"/>
        <s v="SI-2/2122-0990" u="1"/>
        <s v="SI-2/2122-1430" u="1"/>
        <s v="SI-2/2122-1522" u="1"/>
        <s v="SI-2/2122-1614" u="1"/>
        <s v="SI-2/2122-1706" u="1"/>
        <s v="SI-2/2122-1990" u="1"/>
        <s v="SI-2/2122-1510" u="1"/>
        <s v="SI-2/2122-1602" u="1"/>
        <s v="SI-2/2122-1397" u="1"/>
        <s v="SI-2/2122-1489" u="1"/>
        <s v="SI-2/2122-1009" u="1"/>
        <s v="DN2/2122-0105" u="1"/>
        <s v="SI-2/2122-1293" u="1"/>
        <s v="SI-2/2122-1385" u="1"/>
        <s v="SI-2/2122-1477" u="1"/>
        <s v="SI-2/2122-1569" u="1"/>
        <s v="SI-2/2122-2009" u="1"/>
        <s v="DN2/2122-0069" u="1"/>
        <s v="SI-2/2122-0729" u="1"/>
        <s v="SI-2/2122-1281" u="1"/>
        <s v="SI-2/2122-1373" u="1"/>
        <s v="SI-2/2122-1465" u="1"/>
        <s v="SI-2/2122-1557" u="1"/>
        <s v="SI-2/2122-1649" u="1"/>
        <s v="SI-2/2122-0717" u="1"/>
        <s v="SI-2/2122-0809" u="1"/>
        <s v="SI-2/2122-1361" u="1"/>
        <s v="SI-2/2122-1453" u="1"/>
        <s v="SI-2/2122-1545" u="1"/>
        <s v="SI-2/2122-1637" u="1"/>
        <s v="SI-2/2122-1729" u="1"/>
        <s v="SI-2/2122-0705" u="1"/>
        <s v="SI-2/2122-1441" u="1"/>
        <s v="SI-2/2122-1533" u="1"/>
        <s v="SI-2/2122-1625" u="1"/>
        <s v="SI-2/2122-1717" u="1"/>
        <s v="SI-2/2122-1809" u="1"/>
        <s v="SI-2/2122-1521" u="1"/>
        <s v="SI-2/2122-1613" u="1"/>
        <s v="SI-2/2122-1705" u="1"/>
        <s v="SI-2/2122-1601" u="1"/>
        <s v="SI-2/2223-0009" u="1"/>
        <s v="SI-2/2122-1396" u="1"/>
        <s v="SI-2/2122-1488" u="1"/>
        <s v="SI-2/2122-1008" u="1"/>
        <s v="SI-2/2122-1292" u="1"/>
        <s v="SI-2/2122-1384" u="1"/>
        <s v="SI-2/2122-1476" u="1"/>
        <s v="SI-2/2122-1568" u="1"/>
        <s v="SI-2/2122-0728" u="1"/>
        <s v="SI-2/2122-1280" u="1"/>
        <s v="SI-2/2122-1372" u="1"/>
        <s v="SI-2/2122-1464" u="1"/>
        <s v="SI-2/2122-1556" u="1"/>
        <s v="SI-2/2122-1648" u="1"/>
        <s v="SI-2/2122-0716" u="1"/>
        <s v="SI-2/2122-0808" u="1"/>
        <s v="SI-2/2122-1360" u="1"/>
        <s v="SI-2/2122-1452" u="1"/>
        <s v="SI-2/2122-1544" u="1"/>
        <s v="SI-2/2122-1636" u="1"/>
        <s v="SI-2/2122-1728" u="1"/>
        <s v="SI-2/2122-0704" u="1"/>
        <s v="SI-2/2122-1440" u="1"/>
        <s v="SI-2/2122-1532" u="1"/>
        <s v="SI-2/2122-1624" u="1"/>
        <s v="SI-2/2122-1716" u="1"/>
        <s v="SI-2/2122-1808" u="1"/>
        <s v="SI-2/2122-1520" u="1"/>
        <s v="SI-2/2122-1612" u="1"/>
        <s v="SI-2/2122-1704" u="1"/>
        <s v="SI-2/2122-1600" u="1"/>
        <s v="SI-2/2122-1499" u="1"/>
        <s v="SI-2/2122-1019" u="1"/>
        <s v="SI-2/2223-0008" u="1"/>
        <s v="DN2/2122-0106" u="1"/>
        <s v="SI-2/2122-1395" u="1"/>
        <s v="SI-2/2122-1487" u="1"/>
        <s v="SI-2/2122-1579" u="1"/>
        <s v="SI-2/2122-1007" u="1"/>
        <s v="SI-2/2122-0739" u="1"/>
        <s v="SI-2/2122-1291" u="1"/>
        <s v="SI-2/2122-1383" u="1"/>
        <s v="SI-2/2122-1475" u="1"/>
        <s v="SI-2/2122-1567" u="1"/>
        <s v="SI-2/2122-1659" u="1"/>
        <s v="SI-2/2122-2007" u="1"/>
        <s v="DN2/2122-0078" u="1"/>
        <s v="SI-2/2122-0727" u="1"/>
        <s v="SI-2/2122-0819" u="1"/>
        <s v="SI-2/2122-1371" u="1"/>
        <s v="SI-2/2122-1463" u="1"/>
        <s v="SI-2/2122-1555" u="1"/>
        <s v="SI-2/2122-1647" u="1"/>
        <s v="SI-2/2122-1739" u="1"/>
        <s v="DN2/2122-0086" u="1"/>
        <s v="SI-2/2122-0715" u="1"/>
        <s v="SI-2/2122-0807" u="1"/>
        <s v="SI-2/2122-1451" u="1"/>
        <s v="SI-2/2122-1543" u="1"/>
        <s v="SI-2/2122-1635" u="1"/>
        <s v="SI-2/2122-1727" u="1"/>
        <s v="SI-2/2122-1819" u="1"/>
        <s v="SI-2/2122-0703" u="1"/>
        <s v="SI-2/2122-1531" u="1"/>
        <s v="SI-2/2122-1623" u="1"/>
        <s v="SI-2/2122-1715" u="1"/>
        <s v="SI-2/2122-1807" u="1"/>
        <s v="SI-2/2122-1611" u="1"/>
        <s v="SI-2/2122-1703" u="1"/>
        <s v="SI-2/2223-0019" u="1"/>
        <s v="SI-2/2122-1498" u="1"/>
        <s v="SI-2/2122-1018" u="1"/>
        <s v="SI-2/2223-0007" u="1"/>
        <s v="SI-2/2122-1394" u="1"/>
        <s v="SI-2/2122-1486" u="1"/>
        <s v="SI-2/2122-1578" u="1"/>
        <s v="SI-2/2122-1006" u="1"/>
        <s v="SI-2/2122-2018" u="1"/>
        <s v="SI-2/2122-0738" u="1"/>
        <s v="SI-2/2122-1290" u="1"/>
        <s v="SI-2/2122-1382" u="1"/>
        <s v="SI-2/2122-1474" u="1"/>
        <s v="SI-2/2122-1566" u="1"/>
        <s v="SI-2/2122-1658" u="1"/>
        <s v="SI-2/2122-2006" u="1"/>
        <s v="SI-2/2122-0726" u="1"/>
        <s v="SI-2/2122-0818" u="1"/>
        <s v="SI-2/2122-1370" u="1"/>
        <s v="SI-2/2122-1462" u="1"/>
        <s v="SI-2/2122-1554" u="1"/>
        <s v="SI-2/2122-1646" u="1"/>
        <s v="SI-2/2122-1738" u="1"/>
        <s v="SI-2/2122-0714" u="1"/>
        <s v="SI-2/2122-0806" u="1"/>
        <s v="SI-2/2122-1450" u="1"/>
        <s v="SI-2/2122-1542" u="1"/>
        <s v="SI-2/2122-1634" u="1"/>
        <s v="SI-2/2122-1726" u="1"/>
        <s v="SI-2/2122-1818" u="1"/>
        <s v="SI-2/2122-0702" u="1"/>
        <s v="SI-2/2122-1530" u="1"/>
        <s v="SI-2/2122-1714" u="1"/>
        <s v="SI-2/2122-1806" u="1"/>
        <s v="SI-2/2122-1610" u="1"/>
        <s v="SI-2/2122-1702" u="1"/>
        <s v="SI-2/2122-1029" u="1"/>
        <s v="SI-2/2223-0018" u="1"/>
        <s v="DN2/2122-0107" u="1"/>
        <s v="SI-2/2122-1497" u="1"/>
        <s v="SI-2/2122-1589" u="1"/>
        <s v="SI-2/2122-1017" u="1"/>
        <s v="SI-2/2122-1109" u="1"/>
        <s v="SI-2/2122-2029" u="1"/>
        <s v="SI-2/2223-0006" u="1"/>
        <s v="SI-2/2122-0749" u="1"/>
        <s v="SI-2/2122-1393" u="1"/>
        <s v="SI-2/2122-1485" u="1"/>
        <s v="SI-2/2122-1577" u="1"/>
        <s v="SI-2/2122-1669" u="1"/>
        <s v="SI-2/2122-1005" u="1"/>
        <s v="SI-2/2122-2017" u="1"/>
        <s v="DN2/2122-0079" u="1"/>
        <s v="SI-2/2122-0737" u="1"/>
        <s v="SI-2/2122-0829" u="1"/>
        <s v="SI-2/2122-1381" u="1"/>
        <s v="SI-2/2122-1473" u="1"/>
        <s v="SI-2/2122-1657" u="1"/>
        <s v="SI-2/2122-1749" u="1"/>
        <s v="SI-2/2122-2005" u="1"/>
        <s v="DN2/2122-0087" u="1"/>
        <s v="SI-2/2122-0725" u="1"/>
        <s v="SI-2/2122-0817" u="1"/>
        <s v="SI-2/2122-0909" u="1"/>
        <s v="SI-2/2122-1461" u="1"/>
        <s v="SI-2/2122-1553" u="1"/>
        <s v="SI-2/2122-1645" u="1"/>
        <s v="SI-2/2122-1737" u="1"/>
        <s v="SI-2/2122-1829" u="1"/>
        <s v="SI-2/2122-0713" u="1"/>
        <s v="SI-2/2122-0805" u="1"/>
        <s v="SI-2/2122-1541" u="1"/>
        <s v="SI-2/2122-1633" u="1"/>
        <s v="SI-2/2122-1725" u="1"/>
        <s v="SI-2/2122-1817" u="1"/>
        <s v="SI-2/2122-1909" u="1"/>
        <s v="SI-2/2122-0701" u="1"/>
        <s v="SI-2/2122-1621" u="1"/>
        <s v="SI-2/2122-1713" u="1"/>
        <s v="SI-2/2122-1805" u="1"/>
        <s v="SI-2/2122-1701" u="1"/>
        <s v="SI-2/2223-0029" u="1"/>
        <s v="SI-2/2122-1028" u="1"/>
        <s v="SI-2/2223-0017" u="1"/>
        <s v="SI-2/2223-0109" u="1"/>
        <s v="SI-2/2122-1496" u="1"/>
        <s v="SI-2/2122-1588" u="1"/>
        <s v="SI-2/2122-1016" u="1"/>
        <s v="SI-2/2122-1108" u="1"/>
        <s v="SI-2/2122-2028" u="1"/>
        <s v="SI-2/2223-0005" u="1"/>
        <s v="SI-2/2122-0748" u="1"/>
        <s v="SI-2/2122-1484" u="1"/>
        <s v="SI-2/2122-1576" u="1"/>
        <s v="SI-2/2122-1668" u="1"/>
        <s v="SI-2/2122-1004" u="1"/>
        <s v="SI-2/2122-2016" u="1"/>
        <s v="SI-2/2122-0736" u="1"/>
        <s v="SI-2/2122-0828" u="1"/>
        <s v="SI-2/2122-1380" u="1"/>
        <s v="SI-2/2122-1472" u="1"/>
        <s v="SI-2/2122-1564" u="1"/>
        <s v="SI-2/2122-1656" u="1"/>
        <s v="SI-2/2122-1748" u="1"/>
        <s v="SI-2/2122-2004" u="1"/>
        <s v="SI-2/2122-0724" u="1"/>
        <s v="SI-2/2122-0816" u="1"/>
        <s v="SI-2/2122-0908" u="1"/>
        <s v="SI-2/2122-1460" u="1"/>
        <s v="SI-2/2122-1552" u="1"/>
        <s v="SI-2/2122-1644" u="1"/>
        <s v="SI-2/2122-1736" u="1"/>
        <s v="SI-2/2122-1828" u="1"/>
        <s v="SI-2/2122-0712" u="1"/>
        <s v="SI-2/2122-0804" u="1"/>
        <s v="SI-2/2122-1540" u="1"/>
        <s v="SI-2/2122-1632" u="1"/>
        <s v="SI-2/2122-1724" u="1"/>
        <s v="SI-2/2122-1816" u="1"/>
        <s v="SI-2/2122-1908" u="1"/>
        <s v="SI-2/2122-0700" u="1"/>
        <s v="SI-2/2122-1620" u="1"/>
        <s v="SI-2/2122-1712" u="1"/>
        <s v="SI-2/2122-1804" u="1"/>
        <s v="SI-2/2122-1700" u="1"/>
        <s v="SI-2/2223-0028" u="1"/>
        <s v="DN2/2122-0108" u="1"/>
        <s v="SI-2/2122-0679" u="1"/>
        <s v="SI-2/2122-1599" u="1"/>
        <s v="SI-2/2122-1027" u="1"/>
        <s v="SI-2/2122-1119" u="1"/>
        <s v="SI-2/2223-0016" u="1"/>
        <s v="SI-2/2223-0108" u="1"/>
        <s v="SI-2/2122-0759" u="1"/>
        <s v="SI-2/2122-1495" u="1"/>
        <s v="SI-2/2122-1587" u="1"/>
        <s v="SI-2/2122-1679" u="1"/>
        <s v="SI-2/2122-1015" u="1"/>
        <s v="SI-2/2122-1107" u="1"/>
        <s v="SI-2/2122-2027" u="1"/>
        <s v="SI-2/2223-0004" u="1"/>
        <s v="DN2/2122-0032" u="1"/>
        <s v="SI-2/2122-0747" u="1"/>
        <s v="SI-2/2122-0839" u="1"/>
        <s v="SI-2/2122-1483" u="1"/>
        <s v="SI-2/2122-1667" u="1"/>
        <s v="SI-2/2122-1759" u="1"/>
        <s v="SI-2/2122-1003" u="1"/>
        <s v="SI-2/2122-2015" u="1"/>
        <s v="DN2/2122-0040" u="1"/>
        <s v="SI-2/2122-0735" u="1"/>
        <s v="SI-2/2122-0827" u="1"/>
        <s v="SI-2/2122-0919" u="1"/>
        <s v="SI-2/2122-1471" u="1"/>
        <s v="SI-2/2122-1563" u="1"/>
        <s v="SI-2/2122-1655" u="1"/>
        <s v="SI-2/2122-1747" u="1"/>
        <s v="SI-2/2122-1839" u="1"/>
        <s v="SI-2/2122-2003" u="1"/>
        <s v="DN2/2122-0096" u="1"/>
        <s v="SI-2/2122-0723" u="1"/>
        <s v="SI-2/2122-0815" u="1"/>
        <s v="SI-2/2122-0907" u="1"/>
        <s v="SI-2/2122-1551" u="1"/>
        <s v="SI-2/2122-1643" u="1"/>
        <s v="SI-2/2122-1735" u="1"/>
        <s v="SI-2/2122-1919" u="1"/>
        <s v="SI-2/2122-0711" u="1"/>
        <s v="SI-2/2122-0803" u="1"/>
        <s v="SI-2/2122-1631" u="1"/>
        <s v="SI-2/2122-1723" u="1"/>
        <s v="SI-2/2122-1815" u="1"/>
        <s v="SI-2/2122-1907" u="1"/>
        <s v="SI-2/2122-1711" u="1"/>
        <s v="SI-2/2122-1803" u="1"/>
        <s v="SI-2/2223-0039" u="1"/>
        <s v="SI-2/2122-1038" u="1"/>
        <s v="SI-2/2223-0119" u="1"/>
        <s v="SI-2/2122-1598" u="1"/>
        <s v="SI-2/2122-1026" u="1"/>
        <s v="SI-2/2122-1118" u="1"/>
        <s v="SI-2/2223-0015" u="1"/>
        <s v="SI-2/2223-0107" u="1"/>
        <s v="SI-2/2122-0758" u="1"/>
        <s v="SI-2/2122-1494" u="1"/>
        <s v="SI-2/2122-1586" u="1"/>
        <s v="SI-2/2122-1678" u="1"/>
        <s v="SI-2/2122-1014" u="1"/>
        <s v="SI-2/2122-1106" u="1"/>
        <s v="SI-2/2122-2026" u="1"/>
        <s v="SI-2/2223-0003" u="1"/>
        <s v="SI-2/2122-0746" u="1"/>
        <s v="SI-2/2122-0838" u="1"/>
        <s v="SI-2/2122-1390" u="1"/>
        <s v="SI-2/2122-1482" u="1"/>
        <s v="SI-2/2122-1574" u="1"/>
        <s v="SI-2/2122-1666" u="1"/>
        <s v="SI-2/2122-1758" u="1"/>
        <s v="SI-2/2122-1002" u="1"/>
        <s v="SI-2/2122-2014" u="1"/>
        <s v="SI-2/2122-0734" u="1"/>
        <s v="SI-2/2122-0826" u="1"/>
        <s v="SI-2/2122-0918" u="1"/>
        <s v="SI-2/2122-1470" u="1"/>
        <s v="SI-2/2122-1562" u="1"/>
        <s v="SI-2/2122-1654" u="1"/>
        <s v="SI-2/2122-1746" u="1"/>
        <s v="SI-2/2122-1838" u="1"/>
        <s v="SI-2/2122-2002" u="1"/>
        <s v="SI-2/2122-0722" u="1"/>
        <s v="SI-2/2122-0814" u="1"/>
        <s v="SI-2/2122-0906" u="1"/>
        <s v="SI-2/2122-1550" u="1"/>
        <s v="SI-2/2122-1642" u="1"/>
        <s v="SI-2/2122-1734" u="1"/>
        <s v="SI-2/2122-1826" u="1"/>
        <s v="SI-2/2122-1918" u="1"/>
        <s v="SI-2/2122-0710" u="1"/>
        <s v="SI-2/2122-0802" u="1"/>
        <s v="SI-2/2122-1630" u="1"/>
        <s v="SI-2/2122-1722" u="1"/>
        <s v="SI-2/2122-1814" u="1"/>
        <s v="SI-2/2122-1906" u="1"/>
        <s v="SI-2/2122-1710" u="1"/>
        <s v="SI-2/2122-1802" u="1"/>
        <s v="SI-2/2122-1049" u="1"/>
        <s v="SI-2/2223-0038" u="1"/>
        <s v="DN2/2122-0109" u="1"/>
        <s v="SI-2/2122-0689" u="1"/>
        <s v="SI-2/2122-1037" u="1"/>
        <s v="SI-2/2122-1129" u="1"/>
        <s v="SI-2/2223-0026" u="1"/>
        <s v="SI-2/2223-0118" u="1"/>
        <s v="DN2/2122-0025" u="1"/>
        <s v="SI-2/2122-0769" u="1"/>
        <s v="SI-2/2122-1597" u="1"/>
        <s v="SI-2/2122-1689" u="1"/>
        <s v="SI-2/2122-1025" u="1"/>
        <s v="SI-2/2122-1117" u="1"/>
        <s v="SI-2/2122-1209" u="1"/>
        <s v="SI-2/2223-0106" u="1"/>
        <s v="DN2/2122-0033" u="1"/>
        <s v="SI-2/2122-0757" u="1"/>
        <s v="SI-2/2122-0849" u="1"/>
        <s v="SI-2/2122-1493" u="1"/>
        <s v="SI-2/2122-1585" u="1"/>
        <s v="SI-2/2122-1677" u="1"/>
        <s v="SI-2/2122-1769" u="1"/>
        <s v="SI-2/2122-1013" u="1"/>
        <s v="SI-2/2122-1105" u="1"/>
        <s v="SI-2/2122-2025" u="1"/>
        <s v="SI-2/2223-0002" u="1"/>
        <s v="DN2/2122-0089" u="1"/>
        <s v="DN2/2122-0041" u="1"/>
        <s v="SI-2/2122-0745" u="1"/>
        <s v="SI-2/2122-0837" u="1"/>
        <s v="SI-2/2122-0929" u="1"/>
        <s v="SI-2/2122-1481" u="1"/>
        <s v="SI-2/2122-1665" u="1"/>
        <s v="SI-2/2122-1757" u="1"/>
        <s v="SI-2/2122-1849" u="1"/>
        <s v="SI-2/2122-1001" u="1"/>
        <s v="SI-2/2122-2013" u="1"/>
        <s v="SI-2/2122-0733" u="1"/>
        <s v="SI-2/2122-0825" u="1"/>
        <s v="SI-2/2122-0917" u="1"/>
        <s v="SI-2/2122-1561" u="1"/>
        <s v="SI-2/2122-1653" u="1"/>
        <s v="SI-2/2122-1745" u="1"/>
        <s v="SI-2/2122-1837" u="1"/>
        <s v="SI-2/2122-1929" u="1"/>
        <s v="SI-2/2122-2001" u="1"/>
        <s v="SI-2/2122-0721" u="1"/>
        <s v="SI-2/2122-0813" u="1"/>
        <s v="SI-2/2122-0905" u="1"/>
        <s v="SI-2/2122-1641" u="1"/>
        <s v="SI-2/2122-1733" u="1"/>
        <s v="SI-2/2122-1825" u="1"/>
        <s v="SI-2/2122-1917" u="1"/>
        <s v="SI-2/2122-0801" u="1"/>
        <s v="SI-2/2122-1721" u="1"/>
        <s v="SI-2/2122-1813" u="1"/>
        <s v="SI-2/2122-1905" u="1"/>
        <s v="SI-2/2223-0049" u="1"/>
        <s v="SI-2/2122-1801" u="1"/>
        <s v="SI-2/2122-1048" u="1"/>
        <s v="SI-2/2223-0037" u="1"/>
        <s v="SI-2/2223-0129" u="1"/>
        <s v="SI-2/2122-0688" u="1"/>
        <s v="SI-2/2122-1036" u="1"/>
        <s v="SI-2/2223-0025" u="1"/>
        <s v="SI-2/2223-0117" u="1"/>
        <s v="SI-2/2122-0768" u="1"/>
        <s v="SI-2/2122-1596" u="1"/>
        <s v="SI-2/2122-1688" u="1"/>
        <s v="SI-2/2122-1024" u="1"/>
        <s v="SI-2/2122-1116" u="1"/>
        <s v="SI-2/2122-1208" u="1"/>
        <s v="SI-2/2223-0013" u="1"/>
        <s v="SI-2/2223-0105" u="1"/>
        <s v="SI-2/2122-0756" u="1"/>
        <s v="SI-2/2122-0848" u="1"/>
        <s v="SI-2/2122-1492" u="1"/>
        <s v="SI-2/2122-1584" u="1"/>
        <s v="SI-2/2122-1676" u="1"/>
        <s v="SI-2/2122-1768" u="1"/>
        <s v="SI-2/2122-1012" u="1"/>
        <s v="SI-2/2122-1104" u="1"/>
        <s v="SI-2/2122-2024" u="1"/>
        <s v="SI-2/2223-0001" u="1"/>
        <s v="SI-2/2122-0744" u="1"/>
        <s v="SI-2/2122-0928" u="1"/>
        <s v="SI-2/2122-1480" u="1"/>
        <s v="SI-2/2122-1572" u="1"/>
        <s v="SI-2/2122-1664" u="1"/>
        <s v="SI-2/2122-1756" u="1"/>
        <s v="SI-2/2122-1848" u="1"/>
        <s v="SI-2/2122-1000" u="1"/>
        <s v="SI-2/2122-2012" u="1"/>
        <s v="SI-2/2122-0732" u="1"/>
        <s v="SI-2/2122-0824" u="1"/>
        <s v="SI-2/2122-0916" u="1"/>
        <s v="SI-2/2122-1560" u="1"/>
        <s v="SI-2/2122-1652" u="1"/>
        <s v="SI-2/2122-1744" u="1"/>
        <s v="SI-2/2122-1836" u="1"/>
        <s v="SI-2/2122-1928" u="1"/>
        <s v="SI-2/2122-2000" u="1"/>
        <s v="SI-2/2122-0720" u="1"/>
        <s v="SI-2/2122-0812" u="1"/>
        <s v="SI-2/2122-0904" u="1"/>
        <s v="SI-2/2122-1640" u="1"/>
        <s v="SI-2/2122-1732" u="1"/>
        <s v="SI-2/2122-1824" u="1"/>
        <s v="SI-2/2122-1916" u="1"/>
        <s v="SI-2/2122-0800" u="1"/>
        <s v="SI-2/2122-1720" u="1"/>
        <s v="SI-2/2122-1812" u="1"/>
        <s v="SI-2/2122-1904" u="1"/>
        <s v="SI-2/2122-1059" u="1"/>
        <s v="SI-2/2223-0048" u="1"/>
        <s v="DN2/2223-0001" u="1"/>
        <s v="SI-2/2122-1800" u="1"/>
        <s v="CN2/2122-0010" u="1"/>
        <s v="SI-2/2122-0699" u="1"/>
        <s v="SI-2/2122-1047" u="1"/>
        <s v="SI-2/2122-1139" u="1"/>
        <s v="SI-2/2223-0036" u="1"/>
        <s v="SI-2/2223-0128" u="1"/>
        <s v="SI-2/2122-0687" u="1"/>
        <s v="SI-2/2122-0779" u="1"/>
        <s v="SI-2/2122-1699" u="1"/>
        <s v="SI-2/2122-1035" u="1"/>
        <s v="SI-2/2122-1127" u="1"/>
        <s v="SI-2/2122-1219" u="1"/>
        <s v="SI-2/2223-0024" u="1"/>
        <s v="DN2/2122-0034" u="1"/>
        <s v="SI-2/2122-0767" u="1"/>
        <s v="SI-2/2122-0859" u="1"/>
        <s v="SI-2/2122-1595" u="1"/>
        <s v="SI-2/2122-1687" u="1"/>
        <s v="SI-2/2122-1779" u="1"/>
        <s v="SI-2/2122-1023" u="1"/>
        <s v="SI-2/2122-1115" u="1"/>
        <s v="SI-2/2122-1207" u="1"/>
        <s v="SI-2/2122-2035" u="1"/>
        <s v="SI-2/2223-0012" u="1"/>
        <s v="SI-2/2223-0104" u="1"/>
        <s v="DN2/2122-0042" u="1"/>
        <s v="SI-2/2122-0755" u="1"/>
        <s v="SI-2/2122-0847" u="1"/>
        <s v="SI-2/2122-0939" u="1"/>
        <s v="SI-2/2122-1491" u="1"/>
        <s v="SI-2/2122-1583" u="1"/>
        <s v="SI-2/2122-1675" u="1"/>
        <s v="SI-2/2122-1767" u="1"/>
        <s v="SI-2/2122-1859" u="1"/>
        <s v="SI-2/2122-1011" u="1"/>
        <s v="SI-2/2122-1103" u="1"/>
        <s v="SI-2/2122-2023" u="1"/>
        <s v="SI-2/2122-0743" u="1"/>
        <s v="SI-2/2122-0835" u="1"/>
        <s v="SI-2/2122-0927" u="1"/>
        <s v="SI-2/2122-1571" u="1"/>
        <s v="SI-2/2122-1663" u="1"/>
        <s v="SI-2/2122-1755" u="1"/>
        <s v="SI-2/2122-1847" u="1"/>
        <s v="SI-2/2122-1939" u="1"/>
        <s v="SI-2/2122-2011" u="1"/>
        <s v="SI-2/2122-0731" u="1"/>
        <s v="SI-2/2122-0823" u="1"/>
        <s v="SI-2/2122-0915" u="1"/>
        <s v="SI-2/2122-1651" u="1"/>
        <s v="SI-2/2122-1743" u="1"/>
        <s v="SI-2/2122-1835" u="1"/>
        <s v="SI-2/2122-1927" u="1"/>
        <s v="SI-2/2122-0811" u="1"/>
        <s v="SI-2/2122-0903" u="1"/>
        <s v="SI-2/2122-1731" u="1"/>
        <s v="SI-2/2122-1823" u="1"/>
        <s v="SI-2/2122-1915" u="1"/>
        <s v="SI-2/2223-0059" u="1"/>
        <s v="SI-2/2122-1811" u="1"/>
        <s v="SI-2/2122-1903" u="1"/>
        <s v="SI-2/2122-1058" u="1"/>
        <s v="SI-2/2223-0047" u="1"/>
        <s v="SI-2/2122-0698" u="1"/>
        <s v="SI-2/2122-1046" u="1"/>
        <s v="SI-2/2122-1138" u="1"/>
        <s v="SI-2/2223-0035" u="1"/>
        <s v="SI-2/2223-0127" u="1"/>
        <s v="SI-2/2122-0686" u="1"/>
        <s v="SI-2/2122-0778" u="1"/>
        <s v="SI-2/2122-1698" u="1"/>
        <s v="SI-2/2122-1034" u="1"/>
        <s v="SI-2/2122-1126" u="1"/>
        <s v="SI-2/2122-1218" u="1"/>
        <s v="SI-2/2223-0023" u="1"/>
        <s v="SI-2/2223-0115" u="1"/>
        <s v="SI-2/2122-0766" u="1"/>
        <s v="SI-2/2122-0858" u="1"/>
        <s v="SI-2/2122-1594" u="1"/>
        <s v="SI-2/2122-1686" u="1"/>
        <s v="SI-2/2122-1778" u="1"/>
        <s v="SI-2/2122-1022" u="1"/>
        <s v="SI-2/2122-1114" u="1"/>
        <s v="SI-2/2122-1206" u="1"/>
        <s v="SI-2/2223-0011" u="1"/>
        <s v="SI-2/2223-0103" u="1"/>
        <s v="SI-2/2122-0754" u="1"/>
        <s v="SI-2/2122-0846" u="1"/>
        <s v="SI-2/2122-0938" u="1"/>
        <s v="SI-2/2122-1490" u="1"/>
        <s v="SI-2/2122-1582" u="1"/>
        <s v="SI-2/2122-1674" u="1"/>
        <s v="SI-2/2122-1766" u="1"/>
        <s v="SI-2/2122-1858" u="1"/>
        <s v="SI-2/2122-1010" u="1"/>
        <s v="SI-2/2122-1102" u="1"/>
        <s v="SI-2/2122-2022" u="1"/>
        <s v="SI-2/2122-0742" u="1"/>
        <s v="SI-2/2122-0834" u="1"/>
        <s v="SI-2/2122-0926" u="1"/>
        <s v="SI-2/2122-1570" u="1"/>
        <s v="SI-2/2122-1662" u="1"/>
        <s v="SI-2/2122-1754" u="1"/>
        <s v="SI-2/2122-1846" u="1"/>
        <s v="SI-2/2122-1938" u="1"/>
        <s v="SI-2/2122-2010" u="1"/>
        <s v="SI-2/2122-0730" u="1"/>
        <s v="SI-2/2122-0914" u="1"/>
        <s v="SI-2/2122-1650" u="1"/>
        <s v="SI-2/2122-1742" u="1"/>
        <s v="SI-2/2122-1834" u="1"/>
        <s v="SI-2/2122-1926" u="1"/>
        <s v="SI-2/2122-0902" u="1"/>
        <s v="SI-2/2122-1730" u="1"/>
        <s v="SI-2/2122-1822" u="1"/>
        <s v="SI-2/2122-1914" u="1"/>
        <s v="SI-2/2122-1069" u="1"/>
        <s v="SI-2/2223-0058" u="1"/>
        <s v="SI-2/2122-1810" u="1"/>
        <s v="SI-2/2122-1902" u="1"/>
        <s v="CN2/2122-0011" u="1"/>
        <s v="SI-2/2122-1149" u="1"/>
        <s v="SI-2/2223-0046" u="1"/>
        <s v="DN2/2122-0027" u="1"/>
        <s v="SI-2/2122-0697" u="1"/>
        <s v="SI-2/2122-0789" u="1"/>
        <s v="SI-2/2122-1045" u="1"/>
        <s v="SI-2/2122-1137" u="1"/>
        <s v="SI-2/2122-1229" u="1"/>
        <s v="SI-2/2223-0034" u="1"/>
        <s v="DN2/2122-0035" u="1"/>
        <s v="SI-2/2122-0685" u="1"/>
        <s v="SI-2/2122-0777" u="1"/>
        <s v="SI-2/2122-0869" u="1"/>
        <s v="SI-2/2122-1697" u="1"/>
        <s v="SI-2/2122-1789" u="1"/>
        <s v="SI-2/2122-1033" u="1"/>
        <s v="SI-2/2122-1125" u="1"/>
        <s v="SI-2/2122-1217" u="1"/>
        <s v="SI-2/2122-1309" u="1"/>
        <s v="SI-2/2223-0022" u="1"/>
        <s v="SI-2/2223-0114" u="1"/>
        <s v="SI-2/2122-0765" u="1"/>
        <s v="SI-2/2122-0857" u="1"/>
        <s v="SI-2/2122-0949" u="1"/>
        <s v="SI-2/2122-1593" u="1"/>
        <s v="SI-2/2122-1685" u="1"/>
        <s v="SI-2/2122-1777" u="1"/>
        <s v="SI-2/2122-1869" u="1"/>
        <s v="SI-2/2122-1021" u="1"/>
        <s v="SI-2/2122-1113" u="1"/>
        <s v="SI-2/2122-1205" u="1"/>
        <s v="SI-2/2122-2033" u="1"/>
        <s v="SI-2/2223-0010" u="1"/>
        <s v="SI-2/2223-0102" u="1"/>
        <s v="SI-2/2122-0753" u="1"/>
        <s v="SI-2/2122-0845" u="1"/>
        <s v="SI-2/2122-0937" u="1"/>
        <s v="SI-2/2122-1581" u="1"/>
        <s v="SI-2/2122-1673" u="1"/>
        <s v="SI-2/2122-1765" u="1"/>
        <s v="SI-2/2122-1857" u="1"/>
        <s v="SI-2/2122-1949" u="1"/>
        <s v="SI-2/2122-1101" u="1"/>
        <s v="SI-2/2122-2021" u="1"/>
        <s v="SI-2/2122-0741" u="1"/>
        <s v="SI-2/2122-0833" u="1"/>
        <s v="SI-2/2122-0925" u="1"/>
        <s v="SI-2/2122-1661" u="1"/>
        <s v="SI-2/2122-1753" u="1"/>
        <s v="SI-2/2122-1845" u="1"/>
        <s v="SI-2/2122-1937" u="1"/>
        <s v="SI-2/2122-0821" u="1"/>
        <s v="SI-2/2122-0913" u="1"/>
        <s v="SI-2/2122-1741" u="1"/>
        <s v="SI-2/2122-1833" u="1"/>
        <s v="SI-2/2122-1925" u="1"/>
        <s v="SI-2/2223-0069" u="1"/>
        <s v="SI-2/2122-0901" u="1"/>
        <s v="SI-2/2122-1821" u="1"/>
        <s v="SI-2/2122-1913" u="1"/>
        <s v="SI-2/2122-1068" u="1"/>
        <s v="SI-2/2223-0057" u="1"/>
        <s v="SI-2/2122-1901" u="1"/>
        <s v="SI-2/2122-1056" u="1"/>
        <s v="SI-2/2122-1148" u="1"/>
        <s v="SI-2/2223-0045" u="1"/>
        <s v="SI-2/2122-0696" u="1"/>
        <s v="SI-2/2122-0788" u="1"/>
        <s v="SI-2/2122-1044" u="1"/>
        <s v="SI-2/2122-1136" u="1"/>
        <s v="SI-2/2122-1228" u="1"/>
        <s v="SI-2/2223-0033" u="1"/>
        <s v="SI-2/2223-0125" u="1"/>
        <s v="SI-2/2122-0684" u="1"/>
        <s v="SI-2/2122-0776" u="1"/>
        <s v="SI-2/2122-0868" u="1"/>
        <s v="SI-2/2122-1696" u="1"/>
        <s v="SI-2/2122-1788" u="1"/>
        <s v="SI-2/2122-1032" u="1"/>
        <s v="SI-2/2122-1124" u="1"/>
        <s v="SI-2/2122-1216" u="1"/>
        <s v="SI-2/2122-1308" u="1"/>
        <s v="SI-2/2223-0021" u="1"/>
        <s v="SI-2/2122-0764" u="1"/>
        <s v="SI-2/2122-0856" u="1"/>
        <s v="SI-2/2122-0948" u="1"/>
        <s v="SI-2/2122-1592" u="1"/>
        <s v="SI-2/2122-1684" u="1"/>
        <s v="SI-2/2122-1776" u="1"/>
        <s v="SI-2/2122-1868" u="1"/>
        <s v="SI-2/2122-1020" u="1"/>
        <s v="SI-2/2122-1112" u="1"/>
        <s v="SI-2/2122-1204" u="1"/>
        <s v="SI-2/2122-2032" u="1"/>
        <s v="SI-2/2223-0101" u="1"/>
        <s v="SI-2/2122-0752" u="1"/>
        <s v="SI-2/2122-0844" u="1"/>
        <s v="SI-2/2122-0936" u="1"/>
        <s v="SI-2/2122-1580" u="1"/>
        <s v="SI-2/2122-1672" u="1"/>
        <s v="SI-2/2122-1764" u="1"/>
        <s v="SI-2/2122-1856" u="1"/>
        <s v="SI-2/2122-1948" u="1"/>
        <s v="SI-2/2122-1100" u="1"/>
        <s v="SI-2/2122-2020" u="1"/>
        <s v="SI-2/2122-0740" u="1"/>
        <s v="SI-2/2122-0832" u="1"/>
        <s v="SI-2/2122-0924" u="1"/>
        <s v="SI-2/2122-1660" u="1"/>
        <s v="SI-2/2122-1752" u="1"/>
        <s v="SI-2/2122-1844" u="1"/>
        <s v="SI-2/2122-1936" u="1"/>
        <s v="SI-2/2122-0820" u="1"/>
        <s v="SI-2/2122-0912" u="1"/>
        <s v="SI-2/2122-1740" u="1"/>
        <s v="SI-2/2122-1832" u="1"/>
        <s v="SI-2/2122-1924" u="1"/>
        <s v="CN2/2122-0004" u="1"/>
        <s v="SI-2/2122-1079" u="1"/>
        <s v="SI-2/2223-0068" u="1"/>
        <s v="SI-2/2122-0900" u="1"/>
        <s v="SI-2/2122-1820" u="1"/>
        <s v="SI-2/2122-1912" u="1"/>
        <s v="CN2/2122-0012" u="1"/>
        <s v="SI-2/2122-1067" u="1"/>
        <s v="SI-2/2122-1159" u="1"/>
        <s v="SI-2/2223-0056" u="1"/>
        <s v="SI-2/2122-1900" u="1"/>
        <s v="SI-2/2122-0799" u="1"/>
        <s v="SI-2/2122-1055" u="1"/>
        <s v="SI-2/2122-1147" u="1"/>
        <s v="SI-2/2122-1239" u="1"/>
        <s v="SI-2/2223-0044" u="1"/>
        <s v="DN2/2122-0036" u="1"/>
        <s v="SI-2/2122-0695" u="1"/>
        <s v="SI-2/2122-0787" u="1"/>
        <s v="SI-2/2122-0879" u="1"/>
        <s v="SI-2/2122-1799" u="1"/>
        <s v="SI-2/2122-1043" u="1"/>
        <s v="SI-2/2122-1135" u="1"/>
        <s v="SI-2/2122-1227" u="1"/>
        <s v="SI-2/2122-1319" u="1"/>
        <s v="SI-2/2223-0032" u="1"/>
        <s v="SI-2/2223-0124" u="1"/>
        <s v="SI-2/2122-0683" u="1"/>
        <s v="SI-2/2122-0775" u="1"/>
        <s v="SI-2/2122-0867" u="1"/>
        <s v="SI-2/2122-0959" u="1"/>
        <s v="SI-2/2122-1695" u="1"/>
        <s v="SI-2/2122-1787" u="1"/>
        <s v="SI-2/2122-1879" u="1"/>
        <s v="SI-2/2122-1031" u="1"/>
        <s v="SI-2/2122-1123" u="1"/>
        <s v="SI-2/2122-1215" u="1"/>
        <s v="SI-2/2223-0020" u="1"/>
        <s v="SI-2/2223-0112" u="1"/>
        <s v="DN2/2122-0052" u="1"/>
        <s v="SI-2/2122-0763" u="1"/>
        <s v="SI-2/2122-0855" u="1"/>
        <s v="SI-2/2122-0947" u="1"/>
        <s v="SI-2/2122-1591" u="1"/>
        <s v="SI-2/2122-1683" u="1"/>
        <s v="SI-2/2122-1775" u="1"/>
        <s v="SI-2/2122-1959" u="1"/>
        <s v="SI-2/2122-1111" u="1"/>
        <s v="SI-2/2122-1203" u="1"/>
        <s v="SI-2/2122-2031" u="1"/>
        <s v="SI-2/2223-0100" u="1"/>
        <s v="SI-2/2122-0751" u="1"/>
        <s v="SI-2/2122-0843" u="1"/>
        <s v="SI-2/2122-0935" u="1"/>
        <s v="SI-2/2122-1671" u="1"/>
        <s v="SI-2/2122-1763" u="1"/>
        <s v="SI-2/2122-1855" u="1"/>
        <s v="SI-2/2122-1947" u="1"/>
      </sharedItems>
    </cacheField>
    <cacheField name="SO/Prj. Reference" numFmtId="0">
      <sharedItems/>
    </cacheField>
    <cacheField name="Sales Order Pfx." numFmtId="0">
      <sharedItems/>
    </cacheField>
    <cacheField name="Sales Order No." numFmtId="0">
      <sharedItems/>
    </cacheField>
    <cacheField name="sale order_date" numFmtId="0">
      <sharedItems/>
    </cacheField>
    <cacheField name="Inv. Date" numFmtId="14">
      <sharedItems containsSemiMixedTypes="0" containsNonDate="0" containsDate="1" containsString="0" minDate="2021-09-01T00:00:00" maxDate="2022-05-01T00:00:00" count="206">
        <d v="2022-02-01T00:00:00"/>
        <d v="2021-09-01T00:00:00" u="1"/>
        <d v="2021-12-23T00:00:00" u="1"/>
        <d v="2022-02-23T00:00:00" u="1"/>
        <d v="2022-04-14T00:00:00" u="1"/>
        <d v="2021-10-06T00:00:00" u="1"/>
        <d v="2022-03-28T00:00:00" u="1"/>
        <d v="2021-09-20T00:00:00" u="1"/>
        <d v="2021-11-11T00:00:00" u="1"/>
        <d v="2022-01-11T00:00:00" u="1"/>
        <d v="2022-03-02T00:00:00" u="1"/>
        <d v="2021-10-25T00:00:00" u="1"/>
        <d v="2021-12-16T00:00:00" u="1"/>
        <d v="2022-02-16T00:00:00" u="1"/>
        <d v="2022-04-07T00:00:00" u="1"/>
        <d v="2021-11-30T00:00:00" u="1"/>
        <d v="2022-03-21T00:00:00" u="1"/>
        <d v="2021-09-13T00:00:00" u="1"/>
        <d v="2022-01-04T00:00:00" u="1"/>
        <d v="2022-04-26T00:00:00" u="1"/>
        <d v="2021-10-18T00:00:00" u="1"/>
        <d v="2021-12-09T00:00:00" u="1"/>
        <d v="2022-02-09T00:00:00" u="1"/>
        <d v="2021-11-23T00:00:00" u="1"/>
        <d v="2022-03-14T00:00:00" u="1"/>
        <d v="2021-09-06T00:00:00" u="1"/>
        <d v="2021-12-28T00:00:00" u="1"/>
        <d v="2022-02-28T00:00:00" u="1"/>
        <d v="2022-04-19T00:00:00" u="1"/>
        <d v="2021-10-11T00:00:00" u="1"/>
        <d v="2021-12-02T00:00:00" u="1"/>
        <d v="2022-02-02T00:00:00" u="1"/>
        <d v="2021-09-25T00:00:00" u="1"/>
        <d v="2021-11-16T00:00:00" u="1"/>
        <d v="2022-03-07T00:00:00" u="1"/>
        <d v="2021-10-30T00:00:00" u="1"/>
        <d v="2021-12-21T00:00:00" u="1"/>
        <d v="2022-02-21T00:00:00" u="1"/>
        <d v="2022-04-12T00:00:00" u="1"/>
        <d v="2021-10-04T00:00:00" u="1"/>
        <d v="2022-03-26T00:00:00" u="1"/>
        <d v="2021-09-18T00:00:00" u="1"/>
        <d v="2021-11-09T00:00:00" u="1"/>
        <d v="2021-10-23T00:00:00" u="1"/>
        <d v="2021-12-14T00:00:00" u="1"/>
        <d v="2022-04-05T00:00:00" u="1"/>
        <d v="2022-01-28T00:00:00" u="1"/>
        <d v="2021-09-11T00:00:00" u="1"/>
        <d v="2021-11-02T00:00:00" u="1"/>
        <d v="2021-10-16T00:00:00" u="1"/>
        <d v="2021-12-07T00:00:00" u="1"/>
        <d v="2022-02-07T00:00:00" u="1"/>
        <d v="2021-09-30T00:00:00" u="1"/>
        <d v="2021-11-21T00:00:00" u="1"/>
        <d v="2022-01-21T00:00:00" u="1"/>
        <d v="2022-03-12T00:00:00" u="1"/>
        <d v="2021-09-04T00:00:00" u="1"/>
        <d v="2022-02-26T00:00:00" u="1"/>
        <d v="2022-04-17T00:00:00" u="1"/>
        <d v="2021-10-09T00:00:00" u="1"/>
        <d v="2022-03-31T00:00:00" u="1"/>
        <d v="2021-09-23T00:00:00" u="1"/>
        <d v="2022-03-05T00:00:00" u="1"/>
        <d v="2021-10-28T00:00:00" u="1"/>
        <d v="2021-12-19T00:00:00" u="1"/>
        <d v="2022-02-19T00:00:00" u="1"/>
        <d v="2022-03-24T00:00:00" u="1"/>
        <d v="2021-09-16T00:00:00" u="1"/>
        <d v="2022-01-07T00:00:00" u="1"/>
        <d v="2022-04-29T00:00:00" u="1"/>
        <d v="2021-10-21T00:00:00" u="1"/>
        <d v="2022-02-12T00:00:00" u="1"/>
        <d v="2022-04-03T00:00:00" u="1"/>
        <d v="2021-11-26T00:00:00" u="1"/>
        <d v="2022-03-17T00:00:00" u="1"/>
        <d v="2021-09-09T00:00:00" u="1"/>
        <d v="2021-12-31T00:00:00" u="1"/>
        <d v="2022-04-22T00:00:00" u="1"/>
        <d v="2021-10-14T00:00:00" u="1"/>
        <d v="2022-02-05T00:00:00" u="1"/>
        <d v="2021-09-28T00:00:00" u="1"/>
        <d v="2021-11-19T00:00:00" u="1"/>
        <d v="2022-01-19T00:00:00" u="1"/>
        <d v="2022-03-10T00:00:00" u="1"/>
        <d v="2021-09-02T00:00:00" u="1"/>
        <d v="2021-12-24T00:00:00" u="1"/>
        <d v="2022-02-24T00:00:00" u="1"/>
        <d v="2022-04-15T00:00:00" u="1"/>
        <d v="2021-10-07T00:00:00" u="1"/>
        <d v="2022-03-29T00:00:00" u="1"/>
        <d v="2021-09-21T00:00:00" u="1"/>
        <d v="2021-11-12T00:00:00" u="1"/>
        <d v="2022-01-12T00:00:00" u="1"/>
        <d v="2022-03-03T00:00:00" u="1"/>
        <d v="2021-10-26T00:00:00" u="1"/>
        <d v="2021-12-17T00:00:00" u="1"/>
        <d v="2022-02-17T00:00:00" u="1"/>
        <d v="2022-04-08T00:00:00" u="1"/>
        <d v="2022-01-31T00:00:00" u="1"/>
        <d v="2022-03-22T00:00:00" u="1"/>
        <d v="2021-09-14T00:00:00" u="1"/>
        <d v="2022-01-05T00:00:00" u="1"/>
        <d v="2022-04-27T00:00:00" u="1"/>
        <d v="2021-10-19T00:00:00" u="1"/>
        <d v="2021-12-10T00:00:00" u="1"/>
        <d v="2022-02-10T00:00:00" u="1"/>
        <d v="2022-04-01T00:00:00" u="1"/>
        <d v="2021-11-24T00:00:00" u="1"/>
        <d v="2022-01-24T00:00:00" u="1"/>
        <d v="2022-03-15T00:00:00" u="1"/>
        <d v="2021-09-07T00:00:00" u="1"/>
        <d v="2021-12-29T00:00:00" u="1"/>
        <d v="2022-04-20T00:00:00" u="1"/>
        <d v="2021-10-12T00:00:00" u="1"/>
        <d v="2021-12-03T00:00:00" u="1"/>
        <d v="2022-02-03T00:00:00" u="1"/>
        <d v="2021-11-17T00:00:00" u="1"/>
        <d v="2022-01-17T00:00:00" u="1"/>
        <d v="2022-03-08T00:00:00" u="1"/>
        <d v="2021-10-31T00:00:00" u="1"/>
        <d v="2021-12-22T00:00:00" u="1"/>
        <d v="2022-02-22T00:00:00" u="1"/>
        <d v="2022-04-13T00:00:00" u="1"/>
        <d v="2021-10-05T00:00:00" u="1"/>
        <d v="2022-03-27T00:00:00" u="1"/>
        <d v="2021-11-10T00:00:00" u="1"/>
        <d v="2022-01-10T00:00:00" u="1"/>
        <d v="2021-10-24T00:00:00" u="1"/>
        <d v="2021-12-15T00:00:00" u="1"/>
        <d v="2022-02-15T00:00:00" u="1"/>
        <d v="2022-04-06T00:00:00" u="1"/>
        <d v="2021-11-29T00:00:00" u="1"/>
        <d v="2022-01-29T00:00:00" u="1"/>
        <d v="2022-03-20T00:00:00" u="1"/>
        <d v="2021-11-03T00:00:00" u="1"/>
        <d v="2022-01-03T00:00:00" u="1"/>
        <d v="2022-04-25T00:00:00" u="1"/>
        <d v="2021-12-08T00:00:00" u="1"/>
        <d v="2022-02-08T00:00:00" u="1"/>
        <d v="2021-11-22T00:00:00" u="1"/>
        <d v="2022-01-22T00:00:00" u="1"/>
        <d v="2021-09-05T00:00:00" u="1"/>
        <d v="2021-12-27T00:00:00" u="1"/>
        <d v="2022-04-18T00:00:00" u="1"/>
        <d v="2021-12-01T00:00:00" u="1"/>
        <d v="2021-09-24T00:00:00" u="1"/>
        <d v="2021-11-15T00:00:00" u="1"/>
        <d v="2022-01-15T00:00:00" u="1"/>
        <d v="2021-10-29T00:00:00" u="1"/>
        <d v="2021-12-20T00:00:00" u="1"/>
        <d v="2022-02-20T00:00:00" u="1"/>
        <d v="2022-04-11T00:00:00" u="1"/>
        <d v="2022-03-25T00:00:00" u="1"/>
        <d v="2021-09-17T00:00:00" u="1"/>
        <d v="2021-11-08T00:00:00" u="1"/>
        <d v="2022-01-08T00:00:00" u="1"/>
        <d v="2022-04-30T00:00:00" u="1"/>
        <d v="2021-10-22T00:00:00" u="1"/>
        <d v="2021-12-13T00:00:00" u="1"/>
        <d v="2022-04-04T00:00:00" u="1"/>
        <d v="2021-11-27T00:00:00" u="1"/>
        <d v="2022-01-27T00:00:00" u="1"/>
        <d v="2021-09-10T00:00:00" u="1"/>
        <d v="2021-11-01T00:00:00" u="1"/>
        <d v="2022-01-01T00:00:00" u="1"/>
        <d v="2022-04-23T00:00:00" u="1"/>
        <d v="2021-12-06T00:00:00" u="1"/>
        <d v="2021-09-29T00:00:00" u="1"/>
        <d v="2021-11-20T00:00:00" u="1"/>
        <d v="2022-01-20T00:00:00" u="1"/>
        <d v="2022-03-11T00:00:00" u="1"/>
        <d v="2021-09-03T00:00:00" u="1"/>
        <d v="2021-12-25T00:00:00" u="1"/>
        <d v="2022-02-25T00:00:00" u="1"/>
        <d v="2022-04-16T00:00:00" u="1"/>
        <d v="2021-10-08T00:00:00" u="1"/>
        <d v="2022-03-30T00:00:00" u="1"/>
        <d v="2021-09-22T00:00:00" u="1"/>
        <d v="2021-11-13T00:00:00" u="1"/>
        <d v="2022-01-13T00:00:00" u="1"/>
        <d v="2022-03-04T00:00:00" u="1"/>
        <d v="2021-10-27T00:00:00" u="1"/>
        <d v="2021-12-18T00:00:00" u="1"/>
        <d v="2022-02-18T00:00:00" u="1"/>
        <d v="2022-04-09T00:00:00" u="1"/>
        <d v="2021-10-01T00:00:00" u="1"/>
        <d v="2022-03-23T00:00:00" u="1"/>
        <d v="2021-09-15T00:00:00" u="1"/>
        <d v="2022-01-06T00:00:00" u="1"/>
        <d v="2021-10-20T00:00:00" u="1"/>
        <d v="2021-12-11T00:00:00" u="1"/>
        <d v="2022-02-11T00:00:00" u="1"/>
        <d v="2022-04-02T00:00:00" u="1"/>
        <d v="2021-11-25T00:00:00" u="1"/>
        <d v="2022-01-25T00:00:00" u="1"/>
        <d v="2022-03-16T00:00:00" u="1"/>
        <d v="2021-09-08T00:00:00" u="1"/>
        <d v="2021-12-30T00:00:00" u="1"/>
        <d v="2022-04-21T00:00:00" u="1"/>
        <d v="2021-10-13T00:00:00" u="1"/>
        <d v="2021-12-04T00:00:00" u="1"/>
        <d v="2022-02-04T00:00:00" u="1"/>
        <d v="2021-09-27T00:00:00" u="1"/>
        <d v="2021-11-18T00:00:00" u="1"/>
        <d v="2022-01-18T00:00:00" u="1"/>
        <d v="2022-03-09T00:00:00" u="1"/>
      </sharedItems>
    </cacheField>
    <cacheField name="Benf. Type" numFmtId="0">
      <sharedItems/>
    </cacheField>
    <cacheField name="Benf." numFmtId="0">
      <sharedItems/>
    </cacheField>
    <cacheField name="Benf. Name" numFmtId="0">
      <sharedItems count="91">
        <s v="ABCD"/>
        <s v="CAVINKARE PVT LTD NAGPUR" u="1"/>
        <s v="ULTRACRAFT MOLDERS PVT. LTD." u="1"/>
        <s v="STERLING HOLIDAY RESORTS LIMITED - MOUNT ABU" u="1"/>
        <s v="CAVINKARE PVT. LTD UNIT I" u="1"/>
        <s v="UNITED ENTERPRISES" u="1"/>
        <s v="NIKITA CONTAINERS PRIVATE LIMITED - IRUNGATUKOTTAI" u="1"/>
        <s v="BHAVANI ENGINEERING" u="1"/>
        <s v="HUHTAMAKI INDIA LIMITED-PANTNAGAR" u="1"/>
        <s v="ARTSANA INDIA PVT LTD-NEW DELHI" u="1"/>
        <s v="CAVINKARE PVT LTD MUMBAI" u="1"/>
        <s v="CAVINKARE PVT LTD CUTTACK" u="1"/>
        <s v="ARTSANA INDIA PRIVATE LIMITED" u="1"/>
        <s v="J.S.H. PACKAGINGS" u="1"/>
        <s v="ME N MOMS PVT. LTD.(DELHI)" u="1"/>
        <s v="RIVPRA FORMULATION PVT . LTD_x000a_" u="1"/>
        <s v="M/S S.K. TRADING COMPANY" u="1"/>
        <s v="SHANTISONS ENTERPRISES - HISAR" u="1"/>
        <s v="CAVINKARE PRIVATE LIMITED JAIPUR" u="1"/>
        <s v="MG SHAHANI AND CO. DELHI PVT. LTD." u="1"/>
        <s v="CAVINKARE PVT LTD ZIRAKPUR" u="1"/>
        <s v="KOCHER PACKAGING INDUSTRIES" u="1"/>
        <s v="OM INDUSTRIES" u="1"/>
        <s v="CAVINKARE PVT LTD ASSAM" u="1"/>
        <s v="AMCOR FLEXIBLES INDIA PVT.LTD HARIDWAR (DABUR)" u="1"/>
        <s v="BALAJI ENTERPRISES" u="1"/>
        <s v="CAVINKARE PRIVATE LIMITED HYDERABAD" u="1"/>
        <s v="STERLING HOLIDAY RESORTS LTD (CORBETT)" u="1"/>
        <s v="GLOBAL TRADE LINKERS" u="1"/>
        <s v="LUMINOUS LOGISTICS" u="1"/>
        <s v="PRITAM INTERNATIONAL PVT LTD" u="1"/>
        <s v="CAVINKARE PVT. LTD, CHE DEPOT." u="1"/>
        <s v="AMCOR FLEXIBLES INDIA PVT.LTD HARIDWAR" u="1"/>
        <s v="G B KULKARNI" u="1"/>
        <s v="A WISH COSMETIC" u="1"/>
        <s v="ADISUN INTERNATIONAL" u="1"/>
        <s v="MAHARASTRA SCRAP TRADERS" u="1"/>
        <s v="CAVINKARE PRIVATE LIMITED GHAZIABAD" u="1"/>
        <s v="JHAPIPANI CASTLE" u="1"/>
        <s v="QUALITY OFFSET PRINTING" u="1"/>
        <s v="HELIOS PACKAGING PVT LTD" u="1"/>
        <s v="HOTEL JASMINE" u="1"/>
        <s v="CAVINKARE PVT LTD PATNA" u="1"/>
        <s v="INDRA CHEMICALS RISHIKESH" u="1"/>
        <s v="ADVANCE POLY PACKAGING CO." u="1"/>
        <s v="HOTEL NEW CLASSIC HERITAGE" u="1"/>
        <s v="CAVINKARE PRIVATE LTD CHENNAI" u="1"/>
        <s v="ZIRCON TECHNOLOGIES INDIA PVT LTD RANGE -II," u="1"/>
        <s v="STERLING PALM BLISS - RISHIKESH" u="1"/>
        <s v="BALAJI PLASTICS" u="1"/>
        <s v="DABUR INDIA LIMITED ( AMBALA )" u="1"/>
        <s v="GARDENIA HOTEL" u="1"/>
        <s v="CAVINKARE PRIVATE LIMITED LUCKNOW" u="1"/>
        <s v="SIMAR ENTERPRISES" u="1"/>
        <s v="DABUR INDIA LTD.,UNIT-3-SBD" u="1"/>
        <s v="CAVINKARE PVT LTD-PUDUCHERRY" u="1"/>
        <s v="M/S AYUSHI TRADERS" u="1"/>
        <s v="GULSHAN LAMEE PACK (P) LTD" u="1"/>
        <s v="ARTSANA INDIA PVT LTD- MUMBAI" u="1"/>
        <s v="ARTSANA INDIA PVT LTD- HARYANA" u="1"/>
        <s v="CAVINKARE PVT. LTD  R &amp; D" u="1"/>
        <s v="VIBGYOR PRINTING &amp; PACKAGING PRIVATE LIMITED_x000a_" u="1"/>
        <s v="UNIFORM SOLUTIONS" u="1"/>
        <s v="BHUVNE KUMAR" u="1"/>
        <s v="SWASTIK ENTERPRISES" u="1"/>
        <s v="DABUR INDIA LIMITED ( KANPUR )" u="1"/>
        <s v="PRATHAM ENTERPRISES" u="1"/>
        <s v="DABUR INDIA LIMITED ( VARANASI )" u="1"/>
        <s v="ADITYA PRINT-N-PACK" u="1"/>
        <s v="CAVINKARE PVT LTD CALCUTTA" u="1"/>
        <s v="DHARAM PRIYA GAUTAM" u="1"/>
        <s v="STERLING HOLIDAY RESORTS LTD-KUFRI" u="1"/>
        <s v="KAANE PACKAGING PVT. LTD." u="1"/>
        <s v="SKYFLARE HOTEL AND RESORTS PVT. LTD" u="1"/>
        <s v="CAVINKARE PVT. LTD HARIDWAR" u="1"/>
        <s v="LOTUS BEAUTY CARE PRODUCT P. LTD." u="1"/>
        <s v="CAVINKARE PVT LTD RAIPUR" u="1"/>
        <s v="CAVINKARE PVT LTD AHMEDABAD" u="1"/>
        <s v="CAVINKARE PRIVATE LIMITED ERODE" u="1"/>
        <s v="STERLING HOLIDAY RESORTS LIMITED-MUSSOORIE" u="1"/>
        <s v="DABUR INDIA LIMITED DADRI" u="1"/>
        <s v="RAMA KRISHNA PACKAGING PVT LTD" u="1"/>
        <s v="CAVINKARE PRIVATE LTD BANGALORE" u="1"/>
        <s v="STERLING HOLIDAY RESORTS LTD-MANALI" u="1"/>
        <s v="TANEJA GENERAL STORE" u="1"/>
        <s v="CAVINKARE PVT.LTD MFG UNIT ASSSAM" u="1"/>
        <s v="CAVINKARE PRIVATE LIMITED VIJAYWADA" u="1"/>
        <s v="STERLING HOLIDAY RESORTS LTD - NAINITAL" u="1"/>
        <s v="ME N MOMS PVT LTD" u="1"/>
        <s v="GANGOTRI GUEST HOUSE" u="1"/>
        <s v="CAVINKARE PVT LTD INDORE" u="1"/>
      </sharedItems>
    </cacheField>
    <cacheField name="DC No." numFmtId="0">
      <sharedItems/>
    </cacheField>
    <cacheField name="DC Date" numFmtId="0">
      <sharedItems/>
    </cacheField>
    <cacheField name="Bill No." numFmtId="0">
      <sharedItems containsNonDate="0" containsString="0" containsBlank="1"/>
    </cacheField>
    <cacheField name="Bill Date" numFmtId="0">
      <sharedItems containsNonDate="0" containsString="0" containsBlank="1"/>
    </cacheField>
    <cacheField name="Item" numFmtId="0">
      <sharedItems containsSemiMixedTypes="0" containsString="0" containsNumber="1" containsInteger="1" minValue="1234" maxValue="1234"/>
    </cacheField>
    <cacheField name="Item Rev." numFmtId="0">
      <sharedItems containsSemiMixedTypes="0" containsString="0" containsNumber="1" containsInteger="1" minValue="0" maxValue="0"/>
    </cacheField>
    <cacheField name="Item Desc." numFmtId="0">
      <sharedItems/>
    </cacheField>
    <cacheField name="HSN/SAC Code" numFmtId="0">
      <sharedItems containsMixedTypes="1" containsNumber="1" containsInteger="1" minValue="996511" maxValue="48191010" count="12">
        <s v="33051090"/>
        <s v="34013090"/>
        <s v="72043000"/>
        <s v="39235010"/>
        <s v="34022090-18%"/>
        <s v="29053990"/>
        <s v="34011990"/>
        <s v="34029011"/>
        <n v="33041000" u="1"/>
        <n v="996511" u="1"/>
        <n v="48191010" u="1"/>
        <n v="47079000" u="1"/>
      </sharedItems>
    </cacheField>
    <cacheField name="Item UOM" numFmtId="0">
      <sharedItems count="8">
        <s v="BOX-BOX"/>
        <s v="NOS-NUMBERS"/>
        <s v="KGS-KILOGRAMS"/>
        <s v="KGS" u="1"/>
        <s v="KGSQ" u="1"/>
        <s v="KGS-KILOGRAMSQ" u="1"/>
        <s v="NOS" u="1"/>
        <s v="CLD" u="1"/>
      </sharedItems>
    </cacheField>
    <cacheField name="Category" numFmtId="0">
      <sharedItems/>
    </cacheField>
    <cacheField name="Grade" numFmtId="0">
      <sharedItems/>
    </cacheField>
    <cacheField name="Size" numFmtId="0">
      <sharedItems/>
    </cacheField>
    <cacheField name="Pack Size" numFmtId="0">
      <sharedItems/>
    </cacheField>
    <cacheField name="Customer Item" numFmtId="0">
      <sharedItems containsNonDate="0" containsString="0" containsBlank="1"/>
    </cacheField>
    <cacheField name="Description" numFmtId="0">
      <sharedItems containsNonDate="0" containsString="0" containsBlank="1"/>
    </cacheField>
    <cacheField name="Invoice Qty." numFmtId="0">
      <sharedItems containsSemiMixedTypes="0" containsString="0" containsNumber="1" containsInteger="1" minValue="1" maxValue="50000"/>
    </cacheField>
    <cacheField name="Price" numFmtId="0">
      <sharedItems containsSemiMixedTypes="0" containsString="0" containsNumber="1" containsInteger="1" minValue="100" maxValue="100"/>
    </cacheField>
    <cacheField name="Curcy." numFmtId="0">
      <sharedItems/>
    </cacheField>
    <cacheField name="Ex. Rate" numFmtId="0">
      <sharedItems containsSemiMixedTypes="0" containsString="0" containsNumber="1" containsInteger="1" minValue="1" maxValue="1"/>
    </cacheField>
    <cacheField name="Sale Amt.(FC)" numFmtId="0">
      <sharedItems containsSemiMixedTypes="0" containsString="0" containsNumber="1" containsInteger="1" minValue="100" maxValue="5000000"/>
    </cacheField>
    <cacheField name="Sale Amt." numFmtId="0">
      <sharedItems containsSemiMixedTypes="0" containsString="0" containsNumber="1" containsInteger="1" minValue="100" maxValue="5000000"/>
    </cacheField>
    <cacheField name="CGST@2.5%" numFmtId="0">
      <sharedItems containsSemiMixedTypes="0" containsString="0" containsNumber="1" containsInteger="1" minValue="0" maxValue="0"/>
    </cacheField>
    <cacheField name="CGST@9%" numFmtId="0">
      <sharedItems containsSemiMixedTypes="0" containsString="0" containsNumber="1" minValue="0" maxValue="106812"/>
    </cacheField>
    <cacheField name="CGSTR@2.5%" numFmtId="0">
      <sharedItems containsSemiMixedTypes="0" containsString="0" containsNumber="1" containsInteger="1" minValue="0" maxValue="0"/>
    </cacheField>
    <cacheField name="CGST" numFmtId="0">
      <sharedItems containsSemiMixedTypes="0" containsString="0" containsNumber="1" minValue="0" maxValue="106812"/>
    </cacheField>
    <cacheField name="IGST@18%" numFmtId="0">
      <sharedItems containsSemiMixedTypes="0" containsString="0" containsNumber="1" minValue="0" maxValue="155481.48000000001"/>
    </cacheField>
    <cacheField name="IGST" numFmtId="0">
      <sharedItems containsSemiMixedTypes="0" containsString="0" containsNumber="1" minValue="0" maxValue="155481.48000000001"/>
    </cacheField>
    <cacheField name="SGST@2.5%" numFmtId="0">
      <sharedItems containsSemiMixedTypes="0" containsString="0" containsNumber="1" containsInteger="1" minValue="0" maxValue="0"/>
    </cacheField>
    <cacheField name="SGST@9%" numFmtId="0">
      <sharedItems containsSemiMixedTypes="0" containsString="0" containsNumber="1" minValue="0" maxValue="106812"/>
    </cacheField>
    <cacheField name="SGSTR@2.5%" numFmtId="0">
      <sharedItems containsSemiMixedTypes="0" containsString="0" containsNumber="1" containsInteger="1" minValue="0" maxValue="0"/>
    </cacheField>
    <cacheField name="SGST" numFmtId="0">
      <sharedItems containsSemiMixedTypes="0" containsString="0" containsNumber="1" minValue="0" maxValue="106812"/>
    </cacheField>
    <cacheField name="GST" numFmtId="0">
      <sharedItems containsSemiMixedTypes="0" containsString="0" containsNumber="1" minValue="63" maxValue="213624"/>
    </cacheField>
    <cacheField name="GST%" numFmtId="0">
      <sharedItems containsSemiMixedTypes="0" containsString="0" containsNumber="1" containsInteger="1" minValue="-18" maxValue="900" count="37">
        <n v="86"/>
        <n v="135"/>
        <n v="175"/>
        <n v="195"/>
        <n v="163"/>
        <n v="130"/>
        <n v="172"/>
        <n v="13"/>
        <n v="179"/>
        <n v="125"/>
        <n v="900"/>
        <n v="153"/>
        <n v="188"/>
        <n v="144"/>
        <n v="141"/>
        <n v="0"/>
        <n v="311"/>
        <n v="345"/>
        <n v="32"/>
        <n v="320"/>
        <n v="196"/>
        <n v="140"/>
        <n v="310"/>
        <n v="362"/>
        <n v="401"/>
        <n v="14"/>
        <n v="185"/>
        <n v="178"/>
        <n v="220"/>
        <n v="148"/>
        <n v="36" u="1"/>
        <n v="5" u="1"/>
        <n v="18" u="1"/>
        <n v="7" u="1"/>
        <n v="8" u="1"/>
        <n v="-18" u="1"/>
        <n v="12" u="1"/>
      </sharedItems>
    </cacheField>
    <cacheField name="0.075 Tcs Amt" numFmtId="0">
      <sharedItems containsSemiMixedTypes="0" containsString="0" containsNumber="1" containsInteger="1" minValue="0" maxValue="0"/>
    </cacheField>
    <cacheField name="Total Amt." numFmtId="0">
      <sharedItems containsSemiMixedTypes="0" containsString="0" containsNumber="1" minValue="413" maxValue="1400424"/>
    </cacheField>
    <cacheField name="GST Classification" numFmtId="0">
      <sharedItems/>
    </cacheField>
    <cacheField name="GST Cust. Type" numFmtId="0">
      <sharedItems count="2">
        <s v="Registered"/>
        <s v="Unregistered" u="1"/>
      </sharedItems>
    </cacheField>
    <cacheField name="GST With/Without Pay" numFmtId="0">
      <sharedItems/>
    </cacheField>
    <cacheField name="GST Reverse Mechanism" numFmtId="0">
      <sharedItems/>
    </cacheField>
    <cacheField name="GST E/OE Type" numFmtId="0">
      <sharedItems/>
    </cacheField>
    <cacheField name="Place of Supply" numFmtId="0">
      <sharedItems count="20">
        <s v="09-UTTAR PRADESH"/>
        <s v="24-GUJARAT"/>
        <s v="03-PUNJAB"/>
        <s v="08-RAJASTHAN"/>
        <s v="27-MAHARASTRA"/>
        <s v="05-UTTARKHAND"/>
        <s v="10-BIHAR"/>
        <s v="23-MADHYAPRADESH"/>
        <s v="33-TAMIL NADU"/>
        <s v="29-KARNATAKA"/>
        <s v="07-DELHI"/>
        <s v="37-ANDRA PRADESH"/>
        <s v="06-HARYANA"/>
        <s v="36-TELUNGANA" u="1"/>
        <s v="19-WEST BENGAL" u="1"/>
        <s v="34-PONDICHERRY" u="1"/>
        <s v="02-HIMACHAL PRADESH" u="1"/>
        <s v="21-ORISSA" u="1"/>
        <s v="22-CHATTISGARH" u="1"/>
        <s v="18-ASSAM" u="1"/>
      </sharedItems>
    </cacheField>
    <cacheField name="GST No." numFmtId="0">
      <sharedItems count="100">
        <s v="24ABCDEFGHIJ1ZA"/>
        <s v="03ABCDEFGHIJ1ZE"/>
        <s v="08ABCDEFGHIJ1Z4"/>
        <s v="27ABCDEFGHIJ1Z4"/>
        <s v="05ABCDEFGHIJ1Z5"/>
        <s v="09ABCDEFGHIJ1Z2"/>
        <s v="09ABCDEFGHIJ1Z3"/>
        <s v="ABCDEFGHIJ"/>
        <s v="10ABCDEFGHIJ1ZJ"/>
        <s v="05ABCDEFGHIJ1ZN"/>
        <s v="23ABCDEFGHIJ1ZC"/>
        <s v="33ABCDEFGHIJ1ZB"/>
        <s v="02ABCDEFGHIJ1ZX"/>
        <s v="33ABCDEFGHIJ1ZL"/>
        <s v="33ABCDEFGHIJ1Z6"/>
        <s v="05ABCDEFGHIJ1ZV"/>
        <s v="29ABCDEFGHIJ1Z0"/>
        <s v="37ABCDEFGHIJ2Z2"/>
        <s v="05ABCDEFGHIJ1ZG"/>
        <s v="05ABCDEFGHIJ1ZA"/>
        <s v="07ABCDEFGHIJ1ZJ"/>
        <s v="29ABCDEFGHIJ1ZD"/>
        <s v="02ABCDEFGHIJ1ZI"/>
        <s v="27ABCDEFGHIJ1ZH"/>
        <s v="05ABCDEFGHIJ1ZZ"/>
        <s v="06ABCDEFGHIJ1Z9"/>
        <s v="" u="1"/>
        <s v="05ACFPG2339H1ZY" u="1"/>
        <s v="05ANEPB9600N2Z1" u="1"/>
        <s v="34AAACB3754B1Z9" u="1"/>
        <s v="07AAHCA9155G1ZJ" u="1"/>
        <s v="08AABCT7079G1Z1" u="1"/>
        <s v="27AAACB3754B1Z4" u="1"/>
        <s v="05AHLPG4060G1ZM" u="1"/>
        <s v="05AAHPB4757G1ZX" u="1"/>
        <s v="05AACCP7023M1ZD" u="1"/>
        <s v="33AAACN9140P1Z6" u="1"/>
        <s v="10AAACB3754B1ZJ" u="1"/>
        <s v="03AAACB3754B1ZE" u="1"/>
        <s v="33AAJCR8750Q1ZL" u="1"/>
        <s v="07AAECM6253C1ZP" u="1"/>
        <s v="36AAACB3754B1Z5" u="1"/>
        <s v="05AAHFN7779E1ZY" u="1"/>
        <s v="27FOJPS2666C1ZM" u="1"/>
        <s v="29AAACB3754B1Z0" u="1"/>
        <s v="05AAACT0086E1ZR" u="1"/>
        <s v="05AAACM7007J1ZO" u="1"/>
        <s v="06AAACD0474C1Z9" u="1"/>
        <s v="05EGSPS9740B1ZY" u="1"/>
        <s v="18AAACB3754B3Z1" u="1"/>
        <s v="05AAJFK2620D1ZV" u="1"/>
        <s v="06AAHCA9155G3ZJ" u="1"/>
        <s v="05AAACB3754B1ZA" u="1"/>
        <s v="05AABCG9199A1ZN" u="1"/>
        <s v="05AAGCA0510J1Z8" u="1"/>
        <s v="37AAACB3754B2Z2" u="1"/>
        <s v="02AABCT7079G1ZD" u="1"/>
        <s v="05AABCU1990K1Z5" u="1"/>
        <s v="21AAACB3754B1ZG" u="1"/>
        <s v="09AAACD0474C1Z3" u="1"/>
        <s v="27AAHCA9155G1ZH" u="1"/>
        <s v="05ABGCS3915E1ZK" u="1"/>
        <s v="05BDZPG6123P2ZV" u="1"/>
        <s v="22AAACB3754B1ZE" u="1"/>
        <s v="05AYPPA4037N1Z9" u="1"/>
        <s v="05GTXPS7082E1ZV" u="1"/>
        <s v="05BCZPG8311E1ZJ" u="1"/>
        <s v="08AACCH5336D1ZU" u="1"/>
        <s v="05AAGCM7262D1ZM" u="1"/>
        <s v="23AAACB3754B1ZC" u="1"/>
        <s v="27AAECM6253C1ZN" u="1"/>
        <s v="29AAHCA9155G1ZD" u="1"/>
        <s v="24AAACB3754B1ZA" u="1"/>
        <s v="05AMGPM6436L1ZR" u="1"/>
        <s v="05CLBPP2586E1Z5" u="1"/>
        <s v="05AADCR2652M1Z9" u="1"/>
        <s v="05AEJPT5123Q1ZY" u="1"/>
        <s v="02AABCV0012B1ZI" u="1"/>
        <s v="08AAACB3754B1Z4" u="1"/>
        <s v="05AGMPR2798E1ZZ" u="1"/>
        <s v="05AGNPG2215J2ZL" u="1"/>
        <s v="07AHOPB5105C1ZW" u="1"/>
        <s v="33AAACB3754B1ZB" u="1"/>
        <s v="05AAACL9593Q1ZO" u="1"/>
        <s v="06AAPPB9110K1ZP" u="1"/>
        <s v="05AJMPB9650L1ZW" u="1"/>
        <s v="09AAACB3754B1Z2" u="1"/>
        <s v="36AADFL3339E1ZJ" u="1"/>
        <s v="05AAACZ1386R1ZP" u="1"/>
        <s v="05AABCT7079G1Z7" u="1"/>
        <s v="05AACFJ5445Q1ZZ" u="1"/>
        <s v="05AJNPA4550H1ZG" u="1"/>
        <s v="05AFEPG3590G2ZN" u="1"/>
        <s v="05AGDPA3100G1ZF" u="1"/>
        <s v="05AITPR7920D2ZY" u="1"/>
        <s v="18AAACB3754B1Z3" u="1"/>
        <s v="05AAMFM6100F1ZN" u="1"/>
        <s v="05AABCG0297P1ZB" u="1"/>
        <s v="19AAACB3754B1Z1" u="1"/>
        <s v="05AQJPA6728L2ZO" u="1"/>
      </sharedItems>
    </cacheField>
    <cacheField name="Vehicle_No" numFmtId="0">
      <sharedItems containsNonDate="0" containsString="0" containsBlank="1"/>
    </cacheField>
    <cacheField name="Weight(Kgs)" numFmtId="0">
      <sharedItems containsSemiMixedTypes="0" containsString="0" containsNumber="1" containsInteger="1" minValue="0" maxValue="0"/>
    </cacheField>
    <cacheField name="PO No." numFmtId="0">
      <sharedItems containsNonDate="0" containsString="0" containsBlank="1"/>
    </cacheField>
    <cacheField name="LR No.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2">
  <r>
    <s v="U2"/>
    <x v="0"/>
    <n v="1234"/>
    <x v="0"/>
    <x v="0"/>
    <x v="0"/>
    <s v="1900-1757"/>
    <x v="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800"/>
    <n v="100"/>
    <s v="INR"/>
    <n v="1"/>
    <n v="180000"/>
    <n v="180000"/>
    <n v="0"/>
    <n v="0"/>
    <n v="0"/>
    <n v="0"/>
    <n v="154159.20000000001"/>
    <n v="154159.20000000001"/>
    <n v="0"/>
    <n v="0"/>
    <n v="0"/>
    <n v="0"/>
    <n v="154159.20000000001"/>
    <x v="0"/>
    <n v="0"/>
    <n v="1010599.2"/>
    <s v="Inter"/>
    <x v="0"/>
    <s v="Without Pay"/>
    <s v="No"/>
    <s v="Other than E-Commerence"/>
    <x v="0"/>
    <x v="0"/>
    <m/>
    <n v="0"/>
    <m/>
    <m/>
  </r>
  <r>
    <s v="U2"/>
    <x v="0"/>
    <n v="1234"/>
    <x v="1"/>
    <x v="0"/>
    <x v="0"/>
    <s v="1900-1759"/>
    <x v="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00"/>
    <n v="100"/>
    <s v="INR"/>
    <n v="1"/>
    <n v="60000"/>
    <n v="60000"/>
    <n v="0"/>
    <n v="0"/>
    <n v="0"/>
    <n v="0"/>
    <n v="81142.559999999998"/>
    <n v="81142.559999999998"/>
    <n v="0"/>
    <n v="0"/>
    <n v="0"/>
    <n v="0"/>
    <n v="81142.559999999998"/>
    <x v="1"/>
    <n v="0"/>
    <n v="531934.56000000006"/>
    <s v="Inter"/>
    <x v="0"/>
    <s v="Without Pay"/>
    <s v="No"/>
    <s v="Other than E-Commerence"/>
    <x v="1"/>
    <x v="1"/>
    <m/>
    <n v="0"/>
    <m/>
    <m/>
  </r>
  <r>
    <s v="U2"/>
    <x v="0"/>
    <n v="1234"/>
    <x v="1"/>
    <x v="0"/>
    <x v="0"/>
    <s v="1900-1759"/>
    <x v="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63"/>
    <n v="100"/>
    <s v="INR"/>
    <n v="1"/>
    <n v="16300"/>
    <n v="16300"/>
    <n v="0"/>
    <n v="0"/>
    <n v="0"/>
    <n v="0"/>
    <n v="28499.7"/>
    <n v="28499.7"/>
    <n v="0"/>
    <n v="0"/>
    <n v="0"/>
    <n v="0"/>
    <n v="28499.7"/>
    <x v="2"/>
    <n v="0"/>
    <n v="186831.38"/>
    <s v="Inter"/>
    <x v="0"/>
    <s v="Without Pay"/>
    <s v="No"/>
    <s v="Other than E-Commerence"/>
    <x v="1"/>
    <x v="1"/>
    <m/>
    <n v="0"/>
    <m/>
    <m/>
  </r>
  <r>
    <s v="U2"/>
    <x v="0"/>
    <n v="1234"/>
    <x v="2"/>
    <x v="0"/>
    <x v="0"/>
    <s v="1900-1760"/>
    <x v="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75"/>
    <n v="100"/>
    <s v="INR"/>
    <n v="1"/>
    <n v="27500"/>
    <n v="27500"/>
    <n v="0"/>
    <n v="0"/>
    <n v="0"/>
    <n v="0"/>
    <n v="37190.339999999997"/>
    <n v="37190.339999999997"/>
    <n v="0"/>
    <n v="0"/>
    <n v="0"/>
    <n v="0"/>
    <n v="37190.339999999997"/>
    <x v="1"/>
    <n v="0"/>
    <n v="243803.34"/>
    <s v="Inter"/>
    <x v="0"/>
    <s v="Without Pay"/>
    <s v="No"/>
    <s v="Other than E-Commerence"/>
    <x v="2"/>
    <x v="1"/>
    <m/>
    <n v="0"/>
    <m/>
    <m/>
  </r>
  <r>
    <s v="U2"/>
    <x v="0"/>
    <n v="1234"/>
    <x v="2"/>
    <x v="0"/>
    <x v="0"/>
    <s v="1900-1760"/>
    <x v="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50"/>
    <n v="100"/>
    <s v="INR"/>
    <n v="1"/>
    <n v="25000"/>
    <n v="25000"/>
    <n v="0"/>
    <n v="0"/>
    <n v="0"/>
    <n v="0"/>
    <n v="43711.199999999997"/>
    <n v="43711.199999999997"/>
    <n v="0"/>
    <n v="0"/>
    <n v="0"/>
    <n v="0"/>
    <n v="43711.199999999997"/>
    <x v="2"/>
    <n v="0"/>
    <n v="286551.2"/>
    <s v="Inter"/>
    <x v="0"/>
    <s v="Without Pay"/>
    <s v="No"/>
    <s v="Other than E-Commerence"/>
    <x v="2"/>
    <x v="1"/>
    <m/>
    <n v="0"/>
    <m/>
    <m/>
  </r>
  <r>
    <s v="U2"/>
    <x v="0"/>
    <n v="1234"/>
    <x v="2"/>
    <x v="0"/>
    <x v="0"/>
    <s v="1900-1760"/>
    <x v="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40"/>
    <n v="100"/>
    <s v="INR"/>
    <n v="1"/>
    <n v="14000"/>
    <n v="14000"/>
    <n v="0"/>
    <n v="0"/>
    <n v="0"/>
    <n v="0"/>
    <n v="27331.919999999998"/>
    <n v="27331.919999999998"/>
    <n v="0"/>
    <n v="0"/>
    <n v="0"/>
    <n v="0"/>
    <n v="27331.919999999998"/>
    <x v="3"/>
    <n v="0"/>
    <n v="179175.92"/>
    <s v="Inter"/>
    <x v="0"/>
    <s v="Without Pay"/>
    <s v="No"/>
    <s v="Other than E-Commerence"/>
    <x v="2"/>
    <x v="2"/>
    <m/>
    <n v="0"/>
    <m/>
    <m/>
  </r>
  <r>
    <s v="U2"/>
    <x v="0"/>
    <n v="1234"/>
    <x v="2"/>
    <x v="0"/>
    <x v="0"/>
    <s v="1900-1760"/>
    <x v="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4"/>
    <n v="100"/>
    <s v="INR"/>
    <n v="1"/>
    <n v="4400"/>
    <n v="4400"/>
    <n v="0"/>
    <n v="0"/>
    <n v="0"/>
    <n v="0"/>
    <n v="7191.36"/>
    <n v="7191.36"/>
    <n v="0"/>
    <n v="0"/>
    <n v="0"/>
    <n v="0"/>
    <n v="7191.36"/>
    <x v="4"/>
    <n v="0"/>
    <n v="47143.360000000001"/>
    <s v="Inter"/>
    <x v="0"/>
    <s v="Without Pay"/>
    <s v="No"/>
    <s v="Other than E-Commerence"/>
    <x v="2"/>
    <x v="2"/>
    <m/>
    <n v="0"/>
    <m/>
    <m/>
  </r>
  <r>
    <s v="U2"/>
    <x v="0"/>
    <n v="1234"/>
    <x v="3"/>
    <x v="0"/>
    <x v="0"/>
    <s v="1900-1761"/>
    <x v="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30"/>
    <n v="100"/>
    <s v="INR"/>
    <n v="1"/>
    <n v="53000"/>
    <n v="53000"/>
    <n v="0"/>
    <n v="0"/>
    <n v="0"/>
    <n v="0"/>
    <n v="71675.929999999993"/>
    <n v="71675.929999999993"/>
    <n v="0"/>
    <n v="0"/>
    <n v="0"/>
    <n v="0"/>
    <n v="71675.929999999993"/>
    <x v="1"/>
    <n v="0"/>
    <n v="469875.53"/>
    <s v="Inter"/>
    <x v="0"/>
    <s v="Without Pay"/>
    <s v="No"/>
    <s v="Other than E-Commerence"/>
    <x v="3"/>
    <x v="3"/>
    <m/>
    <n v="0"/>
    <m/>
    <m/>
  </r>
  <r>
    <s v="U2"/>
    <x v="0"/>
    <n v="1234"/>
    <x v="3"/>
    <x v="0"/>
    <x v="0"/>
    <s v="1900-1761"/>
    <x v="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00"/>
    <n v="100"/>
    <s v="INR"/>
    <n v="1"/>
    <n v="60000"/>
    <n v="60000"/>
    <n v="0"/>
    <n v="0"/>
    <n v="0"/>
    <n v="0"/>
    <n v="78254.64"/>
    <n v="78254.64"/>
    <n v="0"/>
    <n v="0"/>
    <n v="0"/>
    <n v="0"/>
    <n v="78254.64"/>
    <x v="5"/>
    <n v="0"/>
    <n v="513002.64"/>
    <s v="Inter"/>
    <x v="0"/>
    <s v="Without Pay"/>
    <s v="No"/>
    <s v="Other than E-Commerence"/>
    <x v="3"/>
    <x v="3"/>
    <m/>
    <n v="0"/>
    <m/>
    <m/>
  </r>
  <r>
    <s v="U2"/>
    <x v="0"/>
    <n v="1234"/>
    <x v="4"/>
    <x v="0"/>
    <x v="0"/>
    <s v="1900-1762"/>
    <x v="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00"/>
    <n v="100"/>
    <s v="INR"/>
    <n v="1"/>
    <n v="30000"/>
    <n v="30000"/>
    <n v="0"/>
    <n v="0"/>
    <n v="0"/>
    <n v="0"/>
    <n v="51451.74"/>
    <n v="51451.74"/>
    <n v="0"/>
    <n v="0"/>
    <n v="0"/>
    <n v="0"/>
    <n v="51451.74"/>
    <x v="6"/>
    <n v="0"/>
    <n v="337294.74"/>
    <s v="Inter"/>
    <x v="0"/>
    <s v="Without Pay"/>
    <s v="No"/>
    <s v="Other than E-Commerence"/>
    <x v="4"/>
    <x v="4"/>
    <m/>
    <n v="0"/>
    <m/>
    <m/>
  </r>
  <r>
    <s v="U2"/>
    <x v="0"/>
    <n v="1234"/>
    <x v="4"/>
    <x v="0"/>
    <x v="0"/>
    <s v="1900-1762"/>
    <x v="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60"/>
    <n v="100"/>
    <s v="INR"/>
    <n v="1"/>
    <n v="26000"/>
    <n v="26000"/>
    <n v="0"/>
    <n v="0"/>
    <n v="0"/>
    <n v="0"/>
    <n v="35161.78"/>
    <n v="35161.78"/>
    <n v="0"/>
    <n v="0"/>
    <n v="0"/>
    <n v="0"/>
    <n v="35161.78"/>
    <x v="1"/>
    <n v="0"/>
    <n v="230504.98"/>
    <s v="Inter"/>
    <x v="0"/>
    <s v="Without Pay"/>
    <s v="No"/>
    <s v="Other than E-Commerence"/>
    <x v="4"/>
    <x v="4"/>
    <m/>
    <n v="0"/>
    <m/>
    <m/>
  </r>
  <r>
    <s v="U2"/>
    <x v="0"/>
    <n v="1234"/>
    <x v="5"/>
    <x v="0"/>
    <x v="0"/>
    <s v="1900-1763"/>
    <x v="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0"/>
    <n v="100"/>
    <s v="INR"/>
    <n v="1"/>
    <n v="4000"/>
    <n v="4000"/>
    <n v="0"/>
    <n v="252"/>
    <n v="0"/>
    <n v="252"/>
    <n v="0"/>
    <n v="0"/>
    <n v="0"/>
    <n v="252"/>
    <n v="0"/>
    <n v="252"/>
    <n v="504"/>
    <x v="7"/>
    <n v="0"/>
    <n v="3304"/>
    <s v="Local"/>
    <x v="0"/>
    <s v="Without Pay"/>
    <s v="No"/>
    <s v="Other than E-Commerence"/>
    <x v="5"/>
    <x v="5"/>
    <m/>
    <n v="0"/>
    <m/>
    <m/>
  </r>
  <r>
    <s v="U2"/>
    <x v="0"/>
    <n v="1234"/>
    <x v="5"/>
    <x v="0"/>
    <x v="0"/>
    <s v="1900-1763"/>
    <x v="5"/>
    <s v=""/>
    <s v=""/>
    <s v=""/>
    <s v=""/>
    <x v="0"/>
    <s v="Customer"/>
    <s v="SYZ"/>
    <x v="0"/>
    <s v=""/>
    <s v=""/>
    <m/>
    <m/>
    <n v="1234"/>
    <n v="0"/>
    <s v="Material Name"/>
    <x v="1"/>
    <x v="1"/>
    <s v=""/>
    <s v=""/>
    <s v=""/>
    <s v=""/>
    <m/>
    <m/>
    <n v="40"/>
    <n v="100"/>
    <s v="INR"/>
    <n v="1"/>
    <n v="4000"/>
    <n v="4000"/>
    <n v="0"/>
    <n v="252"/>
    <n v="0"/>
    <n v="252"/>
    <n v="0"/>
    <n v="0"/>
    <n v="0"/>
    <n v="252"/>
    <n v="0"/>
    <n v="252"/>
    <n v="504"/>
    <x v="7"/>
    <n v="0"/>
    <n v="3304"/>
    <s v="Local"/>
    <x v="0"/>
    <s v="Without Pay"/>
    <s v="No"/>
    <s v="Other than E-Commerence"/>
    <x v="5"/>
    <x v="5"/>
    <m/>
    <n v="0"/>
    <m/>
    <m/>
  </r>
  <r>
    <s v="U2"/>
    <x v="0"/>
    <n v="1234"/>
    <x v="6"/>
    <x v="0"/>
    <x v="0"/>
    <s v="1900-1764"/>
    <x v="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20"/>
    <n v="100"/>
    <s v="INR"/>
    <n v="1"/>
    <n v="42000"/>
    <n v="42000"/>
    <n v="0"/>
    <n v="0"/>
    <n v="0"/>
    <n v="0"/>
    <n v="72032.44"/>
    <n v="72032.44"/>
    <n v="0"/>
    <n v="0"/>
    <n v="0"/>
    <n v="0"/>
    <n v="72032.44"/>
    <x v="6"/>
    <n v="0"/>
    <n v="472212.64"/>
    <s v="Inter"/>
    <x v="0"/>
    <s v="Without Pay"/>
    <s v="No"/>
    <s v="Other than E-Commerence"/>
    <x v="0"/>
    <x v="6"/>
    <m/>
    <n v="0"/>
    <m/>
    <m/>
  </r>
  <r>
    <s v="U2"/>
    <x v="0"/>
    <n v="1234"/>
    <x v="6"/>
    <x v="0"/>
    <x v="0"/>
    <s v="1900-1764"/>
    <x v="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8937"/>
    <n v="8937"/>
    <n v="0"/>
    <n v="0"/>
    <n v="0"/>
    <n v="0"/>
    <n v="8937"/>
    <x v="8"/>
    <n v="0"/>
    <n v="58587"/>
    <s v="Inter"/>
    <x v="0"/>
    <s v="Without Pay"/>
    <s v="No"/>
    <s v="Other than E-Commerence"/>
    <x v="0"/>
    <x v="5"/>
    <m/>
    <n v="0"/>
    <m/>
    <m/>
  </r>
  <r>
    <s v="U2"/>
    <x v="0"/>
    <n v="1234"/>
    <x v="7"/>
    <x v="0"/>
    <x v="0"/>
    <s v="1900-1765"/>
    <x v="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800"/>
    <n v="100"/>
    <s v="INR"/>
    <n v="1"/>
    <n v="180000"/>
    <n v="180000"/>
    <n v="0"/>
    <n v="0"/>
    <n v="0"/>
    <n v="0"/>
    <n v="154159.20000000001"/>
    <n v="154159.20000000001"/>
    <n v="0"/>
    <n v="0"/>
    <n v="0"/>
    <n v="0"/>
    <n v="154159.20000000001"/>
    <x v="0"/>
    <n v="0"/>
    <n v="1010599.2"/>
    <s v="Inter"/>
    <x v="0"/>
    <s v="Without Pay"/>
    <s v="No"/>
    <s v="Other than E-Commerence"/>
    <x v="0"/>
    <x v="2"/>
    <m/>
    <n v="0"/>
    <m/>
    <m/>
  </r>
  <r>
    <s v="U2"/>
    <x v="0"/>
    <n v="1234"/>
    <x v="8"/>
    <x v="0"/>
    <x v="0"/>
    <s v="1900-1766"/>
    <x v="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80"/>
    <n v="100"/>
    <s v="INR"/>
    <n v="1"/>
    <n v="68000"/>
    <n v="68000"/>
    <n v="0"/>
    <n v="0"/>
    <n v="0"/>
    <n v="0"/>
    <n v="116623.94"/>
    <n v="116623.94"/>
    <n v="0"/>
    <n v="0"/>
    <n v="0"/>
    <n v="0"/>
    <n v="116623.94"/>
    <x v="6"/>
    <n v="0"/>
    <n v="764534.74"/>
    <s v="Inter"/>
    <x v="0"/>
    <s v="Without Pay"/>
    <s v="No"/>
    <s v="Other than E-Commerence"/>
    <x v="0"/>
    <x v="2"/>
    <m/>
    <n v="0"/>
    <m/>
    <m/>
  </r>
  <r>
    <s v="U2"/>
    <x v="0"/>
    <n v="1234"/>
    <x v="9"/>
    <x v="0"/>
    <x v="0"/>
    <s v="1900-1767"/>
    <x v="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90"/>
    <n v="100"/>
    <s v="INR"/>
    <n v="1"/>
    <n v="49000"/>
    <n v="49000"/>
    <n v="0"/>
    <n v="0"/>
    <n v="0"/>
    <n v="0"/>
    <n v="66266.42"/>
    <n v="66266.42"/>
    <n v="0"/>
    <n v="0"/>
    <n v="0"/>
    <n v="0"/>
    <n v="66266.42"/>
    <x v="1"/>
    <n v="0"/>
    <n v="434413.22"/>
    <s v="Inter"/>
    <x v="0"/>
    <s v="Without Pay"/>
    <s v="No"/>
    <s v="Other than E-Commerence"/>
    <x v="3"/>
    <x v="7"/>
    <m/>
    <n v="0"/>
    <m/>
    <m/>
  </r>
  <r>
    <s v="U2"/>
    <x v="0"/>
    <n v="1234"/>
    <x v="9"/>
    <x v="0"/>
    <x v="0"/>
    <s v="1900-1767"/>
    <x v="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00"/>
    <n v="100"/>
    <s v="INR"/>
    <n v="1"/>
    <n v="60000"/>
    <n v="60000"/>
    <n v="0"/>
    <n v="0"/>
    <n v="0"/>
    <n v="0"/>
    <n v="78254.64"/>
    <n v="78254.64"/>
    <n v="0"/>
    <n v="0"/>
    <n v="0"/>
    <n v="0"/>
    <n v="78254.64"/>
    <x v="5"/>
    <n v="0"/>
    <n v="513002.64"/>
    <s v="Inter"/>
    <x v="0"/>
    <s v="Without Pay"/>
    <s v="No"/>
    <s v="Other than E-Commerence"/>
    <x v="3"/>
    <x v="7"/>
    <m/>
    <n v="0"/>
    <m/>
    <m/>
  </r>
  <r>
    <s v="U2"/>
    <x v="0"/>
    <n v="1234"/>
    <x v="10"/>
    <x v="0"/>
    <x v="0"/>
    <s v="1900-1768"/>
    <x v="1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80"/>
    <n v="100"/>
    <s v="INR"/>
    <n v="1"/>
    <n v="68000"/>
    <n v="68000"/>
    <n v="0"/>
    <n v="0"/>
    <n v="0"/>
    <n v="0"/>
    <n v="116623.94"/>
    <n v="116623.94"/>
    <n v="0"/>
    <n v="0"/>
    <n v="0"/>
    <n v="0"/>
    <n v="116623.94"/>
    <x v="6"/>
    <n v="0"/>
    <n v="764534.74"/>
    <s v="Inter"/>
    <x v="0"/>
    <s v="Without Pay"/>
    <s v="No"/>
    <s v="Other than E-Commerence"/>
    <x v="0"/>
    <x v="3"/>
    <m/>
    <n v="0"/>
    <m/>
    <m/>
  </r>
  <r>
    <s v="U2"/>
    <x v="0"/>
    <n v="1234"/>
    <x v="11"/>
    <x v="0"/>
    <x v="0"/>
    <s v="1900-1770"/>
    <x v="1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50"/>
    <n v="100"/>
    <s v="INR"/>
    <n v="1"/>
    <n v="65000"/>
    <n v="65000"/>
    <n v="0"/>
    <n v="0"/>
    <n v="0"/>
    <n v="0"/>
    <n v="111478.77"/>
    <n v="111478.77"/>
    <n v="0"/>
    <n v="0"/>
    <n v="0"/>
    <n v="0"/>
    <n v="111478.77"/>
    <x v="6"/>
    <n v="0"/>
    <n v="730805.27"/>
    <s v="Inter"/>
    <x v="0"/>
    <s v="Without Pay"/>
    <s v="No"/>
    <s v="Other than E-Commerence"/>
    <x v="4"/>
    <x v="8"/>
    <m/>
    <n v="0"/>
    <m/>
    <m/>
  </r>
  <r>
    <s v="U2"/>
    <x v="0"/>
    <n v="1234"/>
    <x v="11"/>
    <x v="0"/>
    <x v="0"/>
    <s v="1900-1770"/>
    <x v="1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6268.5"/>
    <n v="6268.5"/>
    <n v="0"/>
    <n v="0"/>
    <n v="0"/>
    <n v="0"/>
    <n v="6268.5"/>
    <x v="9"/>
    <n v="0"/>
    <n v="41093.5"/>
    <s v="Inter"/>
    <x v="0"/>
    <s v="Without Pay"/>
    <s v="No"/>
    <s v="Other than E-Commerence"/>
    <x v="4"/>
    <x v="8"/>
    <m/>
    <n v="0"/>
    <m/>
    <m/>
  </r>
  <r>
    <s v="U2"/>
    <x v="0"/>
    <n v="1234"/>
    <x v="12"/>
    <x v="0"/>
    <x v="0"/>
    <s v="1900-1771"/>
    <x v="1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0"/>
    <n v="100"/>
    <s v="INR"/>
    <n v="1"/>
    <n v="20000"/>
    <n v="20000"/>
    <n v="0"/>
    <n v="0"/>
    <n v="0"/>
    <n v="0"/>
    <n v="34301.160000000003"/>
    <n v="34301.160000000003"/>
    <n v="0"/>
    <n v="0"/>
    <n v="0"/>
    <n v="0"/>
    <n v="34301.160000000003"/>
    <x v="6"/>
    <n v="0"/>
    <n v="224863.16"/>
    <s v="Inter"/>
    <x v="0"/>
    <s v="Without Pay"/>
    <s v="No"/>
    <s v="Other than E-Commerence"/>
    <x v="6"/>
    <x v="8"/>
    <m/>
    <n v="0"/>
    <m/>
    <m/>
  </r>
  <r>
    <s v="U2"/>
    <x v="0"/>
    <n v="1234"/>
    <x v="12"/>
    <x v="0"/>
    <x v="0"/>
    <s v="1900-1771"/>
    <x v="1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80"/>
    <n v="100"/>
    <s v="INR"/>
    <n v="1"/>
    <n v="18000"/>
    <n v="18000"/>
    <n v="0"/>
    <n v="0"/>
    <n v="0"/>
    <n v="0"/>
    <n v="23476.39"/>
    <n v="23476.39"/>
    <n v="0"/>
    <n v="0"/>
    <n v="0"/>
    <n v="0"/>
    <n v="23476.39"/>
    <x v="5"/>
    <n v="0"/>
    <n v="153900.79"/>
    <s v="Inter"/>
    <x v="0"/>
    <s v="Without Pay"/>
    <s v="No"/>
    <s v="Other than E-Commerence"/>
    <x v="6"/>
    <x v="8"/>
    <m/>
    <n v="0"/>
    <m/>
    <m/>
  </r>
  <r>
    <s v="U2"/>
    <x v="0"/>
    <n v="1234"/>
    <x v="12"/>
    <x v="0"/>
    <x v="0"/>
    <s v="1900-1771"/>
    <x v="1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0"/>
    <n v="100"/>
    <s v="INR"/>
    <n v="1"/>
    <n v="10000"/>
    <n v="10000"/>
    <n v="0"/>
    <n v="0"/>
    <n v="0"/>
    <n v="0"/>
    <n v="12537"/>
    <n v="12537"/>
    <n v="0"/>
    <n v="0"/>
    <n v="0"/>
    <n v="0"/>
    <n v="12537"/>
    <x v="9"/>
    <n v="0"/>
    <n v="82187"/>
    <s v="Inter"/>
    <x v="0"/>
    <s v="Without Pay"/>
    <s v="No"/>
    <s v="Other than E-Commerence"/>
    <x v="6"/>
    <x v="5"/>
    <m/>
    <n v="0"/>
    <m/>
    <m/>
  </r>
  <r>
    <s v="U2"/>
    <x v="0"/>
    <n v="1234"/>
    <x v="12"/>
    <x v="0"/>
    <x v="0"/>
    <s v="1900-1771"/>
    <x v="1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2"/>
    <n v="100"/>
    <s v="INR"/>
    <n v="1"/>
    <n v="2200"/>
    <n v="2200"/>
    <n v="0"/>
    <n v="0"/>
    <n v="0"/>
    <n v="0"/>
    <n v="3846.59"/>
    <n v="3846.59"/>
    <n v="0"/>
    <n v="0"/>
    <n v="0"/>
    <n v="0"/>
    <n v="3846.59"/>
    <x v="2"/>
    <n v="0"/>
    <n v="25216.51"/>
    <s v="Inter"/>
    <x v="0"/>
    <s v="Without Pay"/>
    <s v="No"/>
    <s v="Other than E-Commerence"/>
    <x v="6"/>
    <x v="5"/>
    <m/>
    <n v="0"/>
    <m/>
    <m/>
  </r>
  <r>
    <s v="U2"/>
    <x v="0"/>
    <n v="1234"/>
    <x v="13"/>
    <x v="0"/>
    <x v="0"/>
    <s v="1900-1772"/>
    <x v="1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00"/>
    <n v="100"/>
    <s v="INR"/>
    <n v="1"/>
    <n v="40000"/>
    <n v="40000"/>
    <n v="0"/>
    <n v="0"/>
    <n v="0"/>
    <n v="0"/>
    <n v="68602.320000000007"/>
    <n v="68602.320000000007"/>
    <n v="0"/>
    <n v="0"/>
    <n v="0"/>
    <n v="0"/>
    <n v="68602.320000000007"/>
    <x v="6"/>
    <n v="0"/>
    <n v="449726.32"/>
    <s v="Inter"/>
    <x v="0"/>
    <s v="Without Pay"/>
    <s v="No"/>
    <s v="Other than E-Commerence"/>
    <x v="0"/>
    <x v="5"/>
    <m/>
    <n v="0"/>
    <m/>
    <m/>
  </r>
  <r>
    <s v="U2"/>
    <x v="0"/>
    <n v="1234"/>
    <x v="13"/>
    <x v="0"/>
    <x v="0"/>
    <s v="1900-1772"/>
    <x v="1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00"/>
    <n v="100"/>
    <s v="INR"/>
    <n v="1"/>
    <n v="40000"/>
    <n v="40000"/>
    <n v="0"/>
    <n v="0"/>
    <n v="0"/>
    <n v="0"/>
    <n v="54095.040000000001"/>
    <n v="54095.040000000001"/>
    <n v="0"/>
    <n v="0"/>
    <n v="0"/>
    <n v="0"/>
    <n v="54095.040000000001"/>
    <x v="1"/>
    <n v="0"/>
    <n v="354623.04"/>
    <s v="Inter"/>
    <x v="0"/>
    <s v="Without Pay"/>
    <s v="No"/>
    <s v="Other than E-Commerence"/>
    <x v="0"/>
    <x v="2"/>
    <m/>
    <n v="0"/>
    <m/>
    <m/>
  </r>
  <r>
    <s v="U2"/>
    <x v="0"/>
    <n v="1234"/>
    <x v="13"/>
    <x v="0"/>
    <x v="0"/>
    <s v="1900-1772"/>
    <x v="1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6268.5"/>
    <n v="6268.5"/>
    <n v="0"/>
    <n v="0"/>
    <n v="0"/>
    <n v="0"/>
    <n v="6268.5"/>
    <x v="9"/>
    <n v="0"/>
    <n v="41093.5"/>
    <s v="Inter"/>
    <x v="0"/>
    <s v="Without Pay"/>
    <s v="No"/>
    <s v="Other than E-Commerence"/>
    <x v="0"/>
    <x v="2"/>
    <m/>
    <n v="0"/>
    <m/>
    <m/>
  </r>
  <r>
    <s v="U2"/>
    <x v="0"/>
    <n v="1234"/>
    <x v="14"/>
    <x v="0"/>
    <x v="0"/>
    <s v="1900-1773"/>
    <x v="1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50"/>
    <n v="100"/>
    <s v="INR"/>
    <n v="1"/>
    <n v="105000"/>
    <n v="105000"/>
    <n v="0"/>
    <n v="0"/>
    <n v="0"/>
    <n v="0"/>
    <n v="136945.62"/>
    <n v="136945.62"/>
    <n v="0"/>
    <n v="0"/>
    <n v="0"/>
    <n v="0"/>
    <n v="136945.62"/>
    <x v="5"/>
    <n v="0"/>
    <n v="897754.62"/>
    <s v="Inter"/>
    <x v="0"/>
    <s v="Without Pay"/>
    <s v="No"/>
    <s v="Other than E-Commerence"/>
    <x v="3"/>
    <x v="9"/>
    <m/>
    <n v="0"/>
    <m/>
    <m/>
  </r>
  <r>
    <s v="U2"/>
    <x v="0"/>
    <n v="1234"/>
    <x v="14"/>
    <x v="0"/>
    <x v="0"/>
    <s v="1900-1773"/>
    <x v="1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6268.5"/>
    <n v="6268.5"/>
    <n v="0"/>
    <n v="0"/>
    <n v="0"/>
    <n v="0"/>
    <n v="6268.5"/>
    <x v="9"/>
    <n v="0"/>
    <n v="41093.5"/>
    <s v="Inter"/>
    <x v="0"/>
    <s v="Without Pay"/>
    <s v="No"/>
    <s v="Other than E-Commerence"/>
    <x v="3"/>
    <x v="9"/>
    <m/>
    <n v="0"/>
    <m/>
    <m/>
  </r>
  <r>
    <s v="U2"/>
    <x v="0"/>
    <n v="1234"/>
    <x v="15"/>
    <x v="0"/>
    <x v="0"/>
    <s v="1900-1774"/>
    <x v="1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0"/>
    <n v="100"/>
    <s v="INR"/>
    <n v="1"/>
    <n v="50000"/>
    <n v="50000"/>
    <n v="0"/>
    <n v="0"/>
    <n v="0"/>
    <n v="0"/>
    <n v="85752.9"/>
    <n v="85752.9"/>
    <n v="0"/>
    <n v="0"/>
    <n v="0"/>
    <n v="0"/>
    <n v="85752.9"/>
    <x v="6"/>
    <n v="0"/>
    <n v="562157.9"/>
    <s v="Inter"/>
    <x v="0"/>
    <s v="Without Pay"/>
    <s v="No"/>
    <s v="Other than E-Commerence"/>
    <x v="0"/>
    <x v="3"/>
    <m/>
    <n v="0"/>
    <m/>
    <m/>
  </r>
  <r>
    <s v="U2"/>
    <x v="0"/>
    <n v="1234"/>
    <x v="15"/>
    <x v="0"/>
    <x v="0"/>
    <s v="1900-1774"/>
    <x v="1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00"/>
    <n v="100"/>
    <s v="INR"/>
    <n v="1"/>
    <n v="30000"/>
    <n v="30000"/>
    <n v="0"/>
    <n v="0"/>
    <n v="0"/>
    <n v="0"/>
    <n v="40571.279999999999"/>
    <n v="40571.279999999999"/>
    <n v="0"/>
    <n v="0"/>
    <n v="0"/>
    <n v="0"/>
    <n v="40571.279999999999"/>
    <x v="1"/>
    <n v="0"/>
    <n v="265967.28000000003"/>
    <s v="Inter"/>
    <x v="0"/>
    <s v="Without Pay"/>
    <s v="No"/>
    <s v="Other than E-Commerence"/>
    <x v="0"/>
    <x v="10"/>
    <m/>
    <n v="0"/>
    <m/>
    <m/>
  </r>
  <r>
    <s v="U2"/>
    <x v="0"/>
    <n v="1234"/>
    <x v="16"/>
    <x v="0"/>
    <x v="0"/>
    <s v="1900-1776"/>
    <x v="1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70"/>
    <n v="100"/>
    <s v="INR"/>
    <n v="1"/>
    <n v="37000"/>
    <n v="37000"/>
    <n v="0"/>
    <n v="0"/>
    <n v="0"/>
    <n v="0"/>
    <n v="63457.15"/>
    <n v="63457.15"/>
    <n v="0"/>
    <n v="0"/>
    <n v="0"/>
    <n v="0"/>
    <n v="63457.15"/>
    <x v="6"/>
    <n v="0"/>
    <n v="415996.85"/>
    <s v="Inter"/>
    <x v="0"/>
    <s v="Without Pay"/>
    <s v="No"/>
    <s v="Other than E-Commerence"/>
    <x v="4"/>
    <x v="10"/>
    <m/>
    <n v="0"/>
    <m/>
    <m/>
  </r>
  <r>
    <s v="U2"/>
    <x v="0"/>
    <n v="1234"/>
    <x v="17"/>
    <x v="0"/>
    <x v="0"/>
    <s v="1900-1777"/>
    <x v="1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900"/>
    <n v="100"/>
    <s v="INR"/>
    <n v="1"/>
    <n v="90000"/>
    <n v="90000"/>
    <n v="0"/>
    <n v="0"/>
    <n v="0"/>
    <n v="0"/>
    <n v="117381.96"/>
    <n v="117381.96"/>
    <n v="0"/>
    <n v="0"/>
    <n v="0"/>
    <n v="0"/>
    <n v="117381.96"/>
    <x v="5"/>
    <n v="0"/>
    <n v="769503.96"/>
    <s v="Inter"/>
    <x v="0"/>
    <s v="Without Pay"/>
    <s v="No"/>
    <s v="Other than E-Commerence"/>
    <x v="7"/>
    <x v="1"/>
    <m/>
    <n v="0"/>
    <m/>
    <m/>
  </r>
  <r>
    <s v="U2"/>
    <x v="0"/>
    <n v="1234"/>
    <x v="17"/>
    <x v="0"/>
    <x v="0"/>
    <s v="1900-1777"/>
    <x v="1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6268.5"/>
    <n v="6268.5"/>
    <n v="0"/>
    <n v="0"/>
    <n v="0"/>
    <n v="0"/>
    <n v="6268.5"/>
    <x v="9"/>
    <n v="0"/>
    <n v="41093.5"/>
    <s v="Inter"/>
    <x v="0"/>
    <s v="Without Pay"/>
    <s v="No"/>
    <s v="Other than E-Commerence"/>
    <x v="7"/>
    <x v="1"/>
    <m/>
    <n v="0"/>
    <m/>
    <m/>
  </r>
  <r>
    <s v="U2"/>
    <x v="0"/>
    <n v="1234"/>
    <x v="18"/>
    <x v="0"/>
    <x v="0"/>
    <s v="1900-1778"/>
    <x v="1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00"/>
    <n v="100"/>
    <s v="INR"/>
    <n v="1"/>
    <n v="40000"/>
    <n v="40000"/>
    <n v="0"/>
    <n v="0"/>
    <n v="0"/>
    <n v="0"/>
    <n v="54095.040000000001"/>
    <n v="54095.040000000001"/>
    <n v="0"/>
    <n v="0"/>
    <n v="0"/>
    <n v="0"/>
    <n v="54095.040000000001"/>
    <x v="1"/>
    <n v="0"/>
    <n v="354623.04"/>
    <s v="Inter"/>
    <x v="0"/>
    <s v="Without Pay"/>
    <s v="No"/>
    <s v="Other than E-Commerence"/>
    <x v="2"/>
    <x v="1"/>
    <m/>
    <n v="0"/>
    <m/>
    <m/>
  </r>
  <r>
    <s v="U2"/>
    <x v="0"/>
    <n v="1234"/>
    <x v="18"/>
    <x v="0"/>
    <x v="0"/>
    <s v="1900-1778"/>
    <x v="1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5"/>
    <n v="100"/>
    <s v="INR"/>
    <n v="1"/>
    <n v="2500"/>
    <n v="2500"/>
    <n v="0"/>
    <n v="0"/>
    <n v="0"/>
    <n v="0"/>
    <n v="3134.25"/>
    <n v="3134.25"/>
    <n v="0"/>
    <n v="0"/>
    <n v="0"/>
    <n v="0"/>
    <n v="3134.25"/>
    <x v="9"/>
    <n v="0"/>
    <n v="20546.75"/>
    <s v="Inter"/>
    <x v="0"/>
    <s v="Without Pay"/>
    <s v="No"/>
    <s v="Other than E-Commerence"/>
    <x v="2"/>
    <x v="1"/>
    <m/>
    <n v="0"/>
    <m/>
    <m/>
  </r>
  <r>
    <s v="U2"/>
    <x v="0"/>
    <n v="1234"/>
    <x v="18"/>
    <x v="0"/>
    <x v="0"/>
    <s v="1900-1778"/>
    <x v="1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0"/>
    <n v="100"/>
    <s v="INR"/>
    <n v="1"/>
    <n v="10000"/>
    <n v="10000"/>
    <n v="0"/>
    <n v="0"/>
    <n v="0"/>
    <n v="0"/>
    <n v="19522.8"/>
    <n v="19522.8"/>
    <n v="0"/>
    <n v="0"/>
    <n v="0"/>
    <n v="0"/>
    <n v="19522.8"/>
    <x v="3"/>
    <n v="0"/>
    <n v="127982.8"/>
    <s v="Inter"/>
    <x v="0"/>
    <s v="Without Pay"/>
    <s v="No"/>
    <s v="Other than E-Commerence"/>
    <x v="2"/>
    <x v="3"/>
    <m/>
    <n v="0"/>
    <m/>
    <m/>
  </r>
  <r>
    <s v="U2"/>
    <x v="0"/>
    <n v="1234"/>
    <x v="18"/>
    <x v="0"/>
    <x v="0"/>
    <s v="1900-1778"/>
    <x v="1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20"/>
    <n v="100"/>
    <s v="INR"/>
    <n v="1"/>
    <n v="12000"/>
    <n v="12000"/>
    <n v="0"/>
    <n v="0"/>
    <n v="0"/>
    <n v="0"/>
    <n v="19612.8"/>
    <n v="19612.8"/>
    <n v="0"/>
    <n v="0"/>
    <n v="0"/>
    <n v="0"/>
    <n v="19612.8"/>
    <x v="4"/>
    <n v="0"/>
    <n v="128572.8"/>
    <s v="Inter"/>
    <x v="0"/>
    <s v="Without Pay"/>
    <s v="No"/>
    <s v="Other than E-Commerence"/>
    <x v="2"/>
    <x v="9"/>
    <m/>
    <n v="0"/>
    <m/>
    <m/>
  </r>
  <r>
    <s v="U2"/>
    <x v="0"/>
    <n v="1234"/>
    <x v="19"/>
    <x v="0"/>
    <x v="0"/>
    <s v="1900-1779"/>
    <x v="1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50"/>
    <n v="100"/>
    <s v="INR"/>
    <n v="1"/>
    <n v="45000"/>
    <n v="45000"/>
    <n v="0"/>
    <n v="0"/>
    <n v="0"/>
    <n v="0"/>
    <n v="77177.61"/>
    <n v="77177.61"/>
    <n v="0"/>
    <n v="0"/>
    <n v="0"/>
    <n v="0"/>
    <n v="77177.61"/>
    <x v="6"/>
    <n v="0"/>
    <n v="505942.11"/>
    <s v="Inter"/>
    <x v="0"/>
    <s v="Without Pay"/>
    <s v="No"/>
    <s v="Other than E-Commerence"/>
    <x v="4"/>
    <x v="6"/>
    <m/>
    <n v="0"/>
    <m/>
    <m/>
  </r>
  <r>
    <s v="U2"/>
    <x v="1"/>
    <n v="1234"/>
    <x v="20"/>
    <x v="1"/>
    <x v="1"/>
    <s v="1900-0089"/>
    <x v="20"/>
    <s v=""/>
    <s v=""/>
    <s v=""/>
    <s v=""/>
    <x v="0"/>
    <s v="Customer"/>
    <s v="SYZ"/>
    <x v="0"/>
    <s v=""/>
    <s v=""/>
    <m/>
    <m/>
    <n v="1234"/>
    <n v="0"/>
    <s v="Material Name"/>
    <x v="2"/>
    <x v="1"/>
    <s v=""/>
    <s v=""/>
    <s v=""/>
    <s v=""/>
    <m/>
    <m/>
    <n v="1"/>
    <n v="100"/>
    <s v="INR"/>
    <n v="1"/>
    <n v="100"/>
    <n v="100"/>
    <n v="0"/>
    <n v="450"/>
    <n v="0"/>
    <n v="450"/>
    <n v="0"/>
    <n v="0"/>
    <n v="0"/>
    <n v="450"/>
    <n v="0"/>
    <n v="450"/>
    <n v="900"/>
    <x v="10"/>
    <n v="0"/>
    <n v="5900"/>
    <s v="Local"/>
    <x v="0"/>
    <s v="Without Pay"/>
    <s v="No"/>
    <s v="Other than E-Commerence"/>
    <x v="5"/>
    <x v="3"/>
    <m/>
    <n v="0"/>
    <m/>
    <m/>
  </r>
  <r>
    <s v="U2"/>
    <x v="0"/>
    <n v="1234"/>
    <x v="21"/>
    <x v="0"/>
    <x v="0"/>
    <s v="1900-1780"/>
    <x v="2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800"/>
    <n v="100"/>
    <s v="INR"/>
    <n v="1"/>
    <n v="180000"/>
    <n v="180000"/>
    <n v="0"/>
    <n v="0"/>
    <n v="0"/>
    <n v="0"/>
    <n v="154159.20000000001"/>
    <n v="154159.20000000001"/>
    <n v="0"/>
    <n v="0"/>
    <n v="0"/>
    <n v="0"/>
    <n v="154159.20000000001"/>
    <x v="0"/>
    <n v="0"/>
    <n v="1010599.2"/>
    <s v="Inter"/>
    <x v="0"/>
    <s v="Without Pay"/>
    <s v="No"/>
    <s v="Other than E-Commerence"/>
    <x v="0"/>
    <x v="3"/>
    <m/>
    <n v="0"/>
    <m/>
    <m/>
  </r>
  <r>
    <s v="U2"/>
    <x v="0"/>
    <n v="1234"/>
    <x v="22"/>
    <x v="0"/>
    <x v="0"/>
    <s v="1900-1781"/>
    <x v="2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0"/>
    <n v="100"/>
    <s v="INR"/>
    <n v="1"/>
    <n v="20000"/>
    <n v="20000"/>
    <n v="0"/>
    <n v="0"/>
    <n v="0"/>
    <n v="0"/>
    <n v="34301.160000000003"/>
    <n v="34301.160000000003"/>
    <n v="0"/>
    <n v="0"/>
    <n v="0"/>
    <n v="0"/>
    <n v="34301.160000000003"/>
    <x v="6"/>
    <n v="0"/>
    <n v="224863.16"/>
    <s v="Inter"/>
    <x v="0"/>
    <s v="Without Pay"/>
    <s v="No"/>
    <s v="Other than E-Commerence"/>
    <x v="4"/>
    <x v="3"/>
    <m/>
    <n v="0"/>
    <m/>
    <m/>
  </r>
  <r>
    <s v="U2"/>
    <x v="0"/>
    <n v="1234"/>
    <x v="22"/>
    <x v="0"/>
    <x v="0"/>
    <s v="1900-1781"/>
    <x v="2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50"/>
    <n v="100"/>
    <s v="INR"/>
    <n v="1"/>
    <n v="55000"/>
    <n v="55000"/>
    <n v="0"/>
    <n v="0"/>
    <n v="0"/>
    <n v="0"/>
    <n v="74380.679999999993"/>
    <n v="74380.679999999993"/>
    <n v="0"/>
    <n v="0"/>
    <n v="0"/>
    <n v="0"/>
    <n v="74380.679999999993"/>
    <x v="1"/>
    <n v="0"/>
    <n v="487606.68"/>
    <s v="Inter"/>
    <x v="0"/>
    <s v="Without Pay"/>
    <s v="No"/>
    <s v="Other than E-Commerence"/>
    <x v="4"/>
    <x v="3"/>
    <m/>
    <n v="0"/>
    <m/>
    <m/>
  </r>
  <r>
    <s v="U2"/>
    <x v="0"/>
    <n v="1234"/>
    <x v="22"/>
    <x v="0"/>
    <x v="0"/>
    <s v="1900-1781"/>
    <x v="2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"/>
    <n v="100"/>
    <s v="INR"/>
    <n v="1"/>
    <n v="1000"/>
    <n v="1000"/>
    <n v="0"/>
    <n v="0"/>
    <n v="0"/>
    <n v="0"/>
    <n v="1530.54"/>
    <n v="1530.54"/>
    <n v="0"/>
    <n v="0"/>
    <n v="0"/>
    <n v="0"/>
    <n v="1530.54"/>
    <x v="11"/>
    <n v="0"/>
    <n v="10033.540000000001"/>
    <s v="Inter"/>
    <x v="0"/>
    <s v="Without Pay"/>
    <s v="No"/>
    <s v="Other than E-Commerence"/>
    <x v="4"/>
    <x v="2"/>
    <m/>
    <n v="0"/>
    <m/>
    <m/>
  </r>
  <r>
    <s v="U2"/>
    <x v="0"/>
    <n v="1234"/>
    <x v="22"/>
    <x v="0"/>
    <x v="0"/>
    <s v="1900-1781"/>
    <x v="2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56"/>
    <n v="100"/>
    <s v="INR"/>
    <n v="1"/>
    <n v="25600"/>
    <n v="25600"/>
    <n v="0"/>
    <n v="0"/>
    <n v="0"/>
    <n v="0"/>
    <n v="44760.27"/>
    <n v="44760.27"/>
    <n v="0"/>
    <n v="0"/>
    <n v="0"/>
    <n v="0"/>
    <n v="44760.27"/>
    <x v="2"/>
    <n v="0"/>
    <n v="293428.43"/>
    <s v="Inter"/>
    <x v="0"/>
    <s v="Without Pay"/>
    <s v="No"/>
    <s v="Other than E-Commerence"/>
    <x v="4"/>
    <x v="2"/>
    <m/>
    <n v="0"/>
    <m/>
    <m/>
  </r>
  <r>
    <s v="U2"/>
    <x v="0"/>
    <n v="1234"/>
    <x v="23"/>
    <x v="0"/>
    <x v="0"/>
    <s v="1900-1782"/>
    <x v="2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100"/>
    <n v="100"/>
    <s v="INR"/>
    <n v="1"/>
    <n v="110000"/>
    <n v="110000"/>
    <n v="0"/>
    <n v="0"/>
    <n v="0"/>
    <n v="0"/>
    <n v="143466.84"/>
    <n v="143466.84"/>
    <n v="0"/>
    <n v="0"/>
    <n v="0"/>
    <n v="0"/>
    <n v="143466.84"/>
    <x v="5"/>
    <n v="0"/>
    <n v="940504.84"/>
    <s v="Inter"/>
    <x v="0"/>
    <s v="Without Pay"/>
    <s v="No"/>
    <s v="Other than E-Commerence"/>
    <x v="3"/>
    <x v="3"/>
    <m/>
    <n v="0"/>
    <m/>
    <m/>
  </r>
  <r>
    <s v="U2"/>
    <x v="0"/>
    <n v="1234"/>
    <x v="23"/>
    <x v="0"/>
    <x v="0"/>
    <s v="1900-1782"/>
    <x v="2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5"/>
    <n v="100"/>
    <s v="INR"/>
    <n v="1"/>
    <n v="1500"/>
    <n v="1500"/>
    <n v="0"/>
    <n v="0"/>
    <n v="0"/>
    <n v="0"/>
    <n v="2295.81"/>
    <n v="2295.81"/>
    <n v="0"/>
    <n v="0"/>
    <n v="0"/>
    <n v="0"/>
    <n v="2295.81"/>
    <x v="11"/>
    <n v="0"/>
    <n v="15050.31"/>
    <s v="Inter"/>
    <x v="0"/>
    <s v="Without Pay"/>
    <s v="No"/>
    <s v="Other than E-Commerence"/>
    <x v="3"/>
    <x v="10"/>
    <m/>
    <n v="0"/>
    <m/>
    <m/>
  </r>
  <r>
    <s v="U2"/>
    <x v="0"/>
    <n v="1234"/>
    <x v="24"/>
    <x v="0"/>
    <x v="0"/>
    <s v="1900-1783"/>
    <x v="2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80"/>
    <n v="100"/>
    <s v="INR"/>
    <n v="1"/>
    <n v="68000"/>
    <n v="68000"/>
    <n v="0"/>
    <n v="0"/>
    <n v="0"/>
    <n v="0"/>
    <n v="116623.94"/>
    <n v="116623.94"/>
    <n v="0"/>
    <n v="0"/>
    <n v="0"/>
    <n v="0"/>
    <n v="116623.94"/>
    <x v="6"/>
    <n v="0"/>
    <n v="764534.74"/>
    <s v="Inter"/>
    <x v="0"/>
    <s v="Without Pay"/>
    <s v="No"/>
    <s v="Other than E-Commerence"/>
    <x v="4"/>
    <x v="10"/>
    <m/>
    <n v="0"/>
    <m/>
    <m/>
  </r>
  <r>
    <s v="U2"/>
    <x v="0"/>
    <n v="1234"/>
    <x v="25"/>
    <x v="0"/>
    <x v="0"/>
    <s v="1900-1784"/>
    <x v="2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920"/>
    <n v="100"/>
    <s v="INR"/>
    <n v="1"/>
    <n v="92000"/>
    <n v="92000"/>
    <n v="0"/>
    <n v="0"/>
    <n v="0"/>
    <n v="0"/>
    <n v="119990.45"/>
    <n v="119990.45"/>
    <n v="0"/>
    <n v="0"/>
    <n v="0"/>
    <n v="0"/>
    <n v="119990.45"/>
    <x v="5"/>
    <n v="0"/>
    <n v="786604.05"/>
    <s v="Inter"/>
    <x v="0"/>
    <s v="Without Pay"/>
    <s v="No"/>
    <s v="Other than E-Commerence"/>
    <x v="7"/>
    <x v="10"/>
    <m/>
    <n v="0"/>
    <m/>
    <m/>
  </r>
  <r>
    <s v="U2"/>
    <x v="0"/>
    <n v="1234"/>
    <x v="25"/>
    <x v="0"/>
    <x v="0"/>
    <s v="1900-1784"/>
    <x v="2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"/>
    <n v="100"/>
    <s v="INR"/>
    <n v="1"/>
    <n v="1000"/>
    <n v="1000"/>
    <n v="0"/>
    <n v="0"/>
    <n v="0"/>
    <n v="0"/>
    <n v="1530.54"/>
    <n v="1530.54"/>
    <n v="0"/>
    <n v="0"/>
    <n v="0"/>
    <n v="0"/>
    <n v="1530.54"/>
    <x v="11"/>
    <n v="0"/>
    <n v="10033.540000000001"/>
    <s v="Inter"/>
    <x v="0"/>
    <s v="Without Pay"/>
    <s v="No"/>
    <s v="Other than E-Commerence"/>
    <x v="7"/>
    <x v="6"/>
    <m/>
    <n v="0"/>
    <m/>
    <m/>
  </r>
  <r>
    <s v="U2"/>
    <x v="0"/>
    <n v="1234"/>
    <x v="25"/>
    <x v="0"/>
    <x v="0"/>
    <s v="1900-1784"/>
    <x v="2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0"/>
    <n v="100"/>
    <s v="INR"/>
    <n v="1"/>
    <n v="10000"/>
    <n v="10000"/>
    <n v="0"/>
    <n v="0"/>
    <n v="0"/>
    <n v="0"/>
    <n v="18799.2"/>
    <n v="18799.2"/>
    <n v="0"/>
    <n v="0"/>
    <n v="0"/>
    <n v="0"/>
    <n v="18799.2"/>
    <x v="12"/>
    <n v="0"/>
    <n v="123239.2"/>
    <s v="Inter"/>
    <x v="0"/>
    <s v="Without Pay"/>
    <s v="No"/>
    <s v="Other than E-Commerence"/>
    <x v="7"/>
    <x v="11"/>
    <m/>
    <n v="0"/>
    <m/>
    <m/>
  </r>
  <r>
    <s v="U2"/>
    <x v="0"/>
    <n v="1234"/>
    <x v="26"/>
    <x v="0"/>
    <x v="0"/>
    <s v="1900-1785"/>
    <x v="2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800"/>
    <n v="100"/>
    <s v="INR"/>
    <n v="1"/>
    <n v="180000"/>
    <n v="180000"/>
    <n v="0"/>
    <n v="0"/>
    <n v="0"/>
    <n v="0"/>
    <n v="154159.20000000001"/>
    <n v="154159.20000000001"/>
    <n v="0"/>
    <n v="0"/>
    <n v="0"/>
    <n v="0"/>
    <n v="154159.20000000001"/>
    <x v="0"/>
    <n v="0"/>
    <n v="1010599.2"/>
    <s v="Inter"/>
    <x v="0"/>
    <s v="Without Pay"/>
    <s v="No"/>
    <s v="Other than E-Commerence"/>
    <x v="0"/>
    <x v="11"/>
    <m/>
    <n v="0"/>
    <m/>
    <m/>
  </r>
  <r>
    <s v="U2"/>
    <x v="0"/>
    <n v="1234"/>
    <x v="27"/>
    <x v="0"/>
    <x v="0"/>
    <s v="1900-1786"/>
    <x v="2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5"/>
    <n v="100"/>
    <s v="INR"/>
    <n v="1"/>
    <n v="2500"/>
    <n v="2500"/>
    <n v="0"/>
    <n v="0"/>
    <n v="0"/>
    <n v="0"/>
    <n v="3134.25"/>
    <n v="3134.25"/>
    <n v="0"/>
    <n v="0"/>
    <n v="0"/>
    <n v="0"/>
    <n v="3134.25"/>
    <x v="9"/>
    <n v="0"/>
    <n v="20546.75"/>
    <s v="Inter"/>
    <x v="0"/>
    <s v="Without Pay"/>
    <s v="No"/>
    <s v="Other than E-Commerence"/>
    <x v="8"/>
    <x v="11"/>
    <m/>
    <n v="0"/>
    <m/>
    <m/>
  </r>
  <r>
    <s v="U2"/>
    <x v="0"/>
    <n v="1234"/>
    <x v="27"/>
    <x v="0"/>
    <x v="0"/>
    <s v="1900-1786"/>
    <x v="2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7652.7"/>
    <n v="7652.7"/>
    <n v="0"/>
    <n v="0"/>
    <n v="0"/>
    <n v="0"/>
    <n v="7652.7"/>
    <x v="11"/>
    <n v="0"/>
    <n v="50167.7"/>
    <s v="Inter"/>
    <x v="0"/>
    <s v="Without Pay"/>
    <s v="No"/>
    <s v="Other than E-Commerence"/>
    <x v="8"/>
    <x v="11"/>
    <m/>
    <n v="0"/>
    <m/>
    <m/>
  </r>
  <r>
    <s v="U2"/>
    <x v="0"/>
    <n v="1234"/>
    <x v="27"/>
    <x v="0"/>
    <x v="0"/>
    <s v="1900-1786"/>
    <x v="2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8937"/>
    <n v="8937"/>
    <n v="0"/>
    <n v="0"/>
    <n v="0"/>
    <n v="0"/>
    <n v="8937"/>
    <x v="8"/>
    <n v="0"/>
    <n v="58587"/>
    <s v="Inter"/>
    <x v="0"/>
    <s v="Without Pay"/>
    <s v="No"/>
    <s v="Other than E-Commerence"/>
    <x v="8"/>
    <x v="0"/>
    <m/>
    <n v="0"/>
    <m/>
    <m/>
  </r>
  <r>
    <s v="U2"/>
    <x v="0"/>
    <n v="1234"/>
    <x v="27"/>
    <x v="0"/>
    <x v="0"/>
    <s v="1900-1786"/>
    <x v="2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80"/>
    <n v="100"/>
    <s v="INR"/>
    <n v="1"/>
    <n v="18000"/>
    <n v="18000"/>
    <n v="0"/>
    <n v="0"/>
    <n v="0"/>
    <n v="0"/>
    <n v="25997.759999999998"/>
    <n v="25997.759999999998"/>
    <n v="0"/>
    <n v="0"/>
    <n v="0"/>
    <n v="0"/>
    <n v="25997.759999999998"/>
    <x v="13"/>
    <n v="0"/>
    <n v="170429.76"/>
    <s v="Inter"/>
    <x v="0"/>
    <s v="Without Pay"/>
    <s v="No"/>
    <s v="Other than E-Commerence"/>
    <x v="8"/>
    <x v="0"/>
    <m/>
    <n v="0"/>
    <m/>
    <m/>
  </r>
  <r>
    <s v="U2"/>
    <x v="0"/>
    <n v="1234"/>
    <x v="28"/>
    <x v="0"/>
    <x v="0"/>
    <s v="1900-1787"/>
    <x v="2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0"/>
    <n v="100"/>
    <s v="INR"/>
    <n v="1"/>
    <n v="50000"/>
    <n v="50000"/>
    <n v="0"/>
    <n v="0"/>
    <n v="0"/>
    <n v="0"/>
    <n v="67618.8"/>
    <n v="67618.8"/>
    <n v="0"/>
    <n v="0"/>
    <n v="0"/>
    <n v="0"/>
    <n v="67618.8"/>
    <x v="1"/>
    <n v="0"/>
    <n v="443278.8"/>
    <s v="Inter"/>
    <x v="0"/>
    <s v="Without Pay"/>
    <s v="No"/>
    <s v="Other than E-Commerence"/>
    <x v="1"/>
    <x v="0"/>
    <m/>
    <n v="0"/>
    <m/>
    <m/>
  </r>
  <r>
    <s v="U2"/>
    <x v="0"/>
    <n v="1234"/>
    <x v="28"/>
    <x v="0"/>
    <x v="0"/>
    <s v="1900-1787"/>
    <x v="2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50"/>
    <n v="100"/>
    <s v="INR"/>
    <n v="1"/>
    <n v="45000"/>
    <n v="45000"/>
    <n v="0"/>
    <n v="0"/>
    <n v="0"/>
    <n v="0"/>
    <n v="58690.98"/>
    <n v="58690.98"/>
    <n v="0"/>
    <n v="0"/>
    <n v="0"/>
    <n v="0"/>
    <n v="58690.98"/>
    <x v="5"/>
    <n v="0"/>
    <n v="384751.98"/>
    <s v="Inter"/>
    <x v="0"/>
    <s v="Without Pay"/>
    <s v="No"/>
    <s v="Other than E-Commerence"/>
    <x v="1"/>
    <x v="0"/>
    <m/>
    <n v="0"/>
    <m/>
    <m/>
  </r>
  <r>
    <s v="U2"/>
    <x v="0"/>
    <n v="1234"/>
    <x v="28"/>
    <x v="0"/>
    <x v="0"/>
    <s v="1900-1787"/>
    <x v="2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"/>
    <n v="100"/>
    <s v="INR"/>
    <n v="1"/>
    <n v="1000"/>
    <n v="1000"/>
    <n v="0"/>
    <n v="0"/>
    <n v="0"/>
    <n v="0"/>
    <n v="1530.54"/>
    <n v="1530.54"/>
    <n v="0"/>
    <n v="0"/>
    <n v="0"/>
    <n v="0"/>
    <n v="1530.54"/>
    <x v="11"/>
    <n v="0"/>
    <n v="10033.540000000001"/>
    <s v="Inter"/>
    <x v="0"/>
    <s v="Without Pay"/>
    <s v="No"/>
    <s v="Other than E-Commerence"/>
    <x v="1"/>
    <x v="9"/>
    <m/>
    <n v="0"/>
    <m/>
    <m/>
  </r>
  <r>
    <s v="U2"/>
    <x v="0"/>
    <n v="1234"/>
    <x v="28"/>
    <x v="0"/>
    <x v="0"/>
    <s v="1900-1787"/>
    <x v="2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98"/>
    <n v="100"/>
    <s v="INR"/>
    <n v="1"/>
    <n v="9800"/>
    <n v="9800"/>
    <n v="0"/>
    <n v="0"/>
    <n v="0"/>
    <n v="0"/>
    <n v="17134.79"/>
    <n v="17134.79"/>
    <n v="0"/>
    <n v="0"/>
    <n v="0"/>
    <n v="0"/>
    <n v="17134.79"/>
    <x v="2"/>
    <n v="0"/>
    <n v="112328.07"/>
    <s v="Inter"/>
    <x v="0"/>
    <s v="Without Pay"/>
    <s v="No"/>
    <s v="Other than E-Commerence"/>
    <x v="1"/>
    <x v="9"/>
    <m/>
    <n v="0"/>
    <m/>
    <m/>
  </r>
  <r>
    <s v="U2"/>
    <x v="0"/>
    <n v="1234"/>
    <x v="29"/>
    <x v="0"/>
    <x v="0"/>
    <s v="1900-1789"/>
    <x v="2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80"/>
    <n v="100"/>
    <s v="INR"/>
    <n v="1"/>
    <n v="68000"/>
    <n v="68000"/>
    <n v="0"/>
    <n v="0"/>
    <n v="0"/>
    <n v="0"/>
    <n v="116623.94"/>
    <n v="116623.94"/>
    <n v="0"/>
    <n v="0"/>
    <n v="0"/>
    <n v="0"/>
    <n v="116623.94"/>
    <x v="6"/>
    <n v="0"/>
    <n v="764534.74"/>
    <s v="Inter"/>
    <x v="0"/>
    <s v="Without Pay"/>
    <s v="No"/>
    <s v="Other than E-Commerence"/>
    <x v="4"/>
    <x v="2"/>
    <m/>
    <n v="0"/>
    <m/>
    <m/>
  </r>
  <r>
    <s v="U2"/>
    <x v="0"/>
    <n v="1234"/>
    <x v="30"/>
    <x v="0"/>
    <x v="0"/>
    <s v="1900-1790"/>
    <x v="3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80"/>
    <n v="100"/>
    <s v="INR"/>
    <n v="1"/>
    <n v="68000"/>
    <n v="68000"/>
    <n v="0"/>
    <n v="0"/>
    <n v="0"/>
    <n v="0"/>
    <n v="116623.94"/>
    <n v="116623.94"/>
    <n v="0"/>
    <n v="0"/>
    <n v="0"/>
    <n v="0"/>
    <n v="116623.94"/>
    <x v="6"/>
    <n v="0"/>
    <n v="764534.74"/>
    <s v="Inter"/>
    <x v="0"/>
    <s v="Without Pay"/>
    <s v="No"/>
    <s v="Other than E-Commerence"/>
    <x v="0"/>
    <x v="2"/>
    <m/>
    <n v="0"/>
    <m/>
    <m/>
  </r>
  <r>
    <s v="U2"/>
    <x v="0"/>
    <n v="1234"/>
    <x v="31"/>
    <x v="0"/>
    <x v="0"/>
    <s v="1900-1791"/>
    <x v="3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00"/>
    <n v="100"/>
    <s v="INR"/>
    <n v="1"/>
    <n v="30000"/>
    <n v="30000"/>
    <n v="0"/>
    <n v="0"/>
    <n v="0"/>
    <n v="0"/>
    <n v="51451.74"/>
    <n v="51451.74"/>
    <n v="0"/>
    <n v="0"/>
    <n v="0"/>
    <n v="0"/>
    <n v="51451.74"/>
    <x v="6"/>
    <n v="0"/>
    <n v="337294.74"/>
    <s v="Inter"/>
    <x v="0"/>
    <s v="Without Pay"/>
    <s v="No"/>
    <s v="Other than E-Commerence"/>
    <x v="3"/>
    <x v="3"/>
    <m/>
    <n v="0"/>
    <m/>
    <m/>
  </r>
  <r>
    <s v="U2"/>
    <x v="0"/>
    <n v="1234"/>
    <x v="31"/>
    <x v="0"/>
    <x v="0"/>
    <s v="1900-1791"/>
    <x v="3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30"/>
    <n v="100"/>
    <s v="INR"/>
    <n v="1"/>
    <n v="63000"/>
    <n v="63000"/>
    <n v="0"/>
    <n v="0"/>
    <n v="0"/>
    <n v="0"/>
    <n v="82167.37"/>
    <n v="82167.37"/>
    <n v="0"/>
    <n v="0"/>
    <n v="0"/>
    <n v="0"/>
    <n v="82167.37"/>
    <x v="5"/>
    <n v="0"/>
    <n v="538652.77"/>
    <s v="Inter"/>
    <x v="0"/>
    <s v="Without Pay"/>
    <s v="No"/>
    <s v="Other than E-Commerence"/>
    <x v="3"/>
    <x v="3"/>
    <m/>
    <n v="0"/>
    <m/>
    <m/>
  </r>
  <r>
    <s v="U2"/>
    <x v="0"/>
    <n v="1234"/>
    <x v="32"/>
    <x v="0"/>
    <x v="0"/>
    <s v="1900-1792"/>
    <x v="3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60"/>
    <n v="100"/>
    <s v="INR"/>
    <n v="1"/>
    <n v="66000"/>
    <n v="66000"/>
    <n v="0"/>
    <n v="0"/>
    <n v="0"/>
    <n v="0"/>
    <n v="113193.83"/>
    <n v="113193.83"/>
    <n v="0"/>
    <n v="0"/>
    <n v="0"/>
    <n v="0"/>
    <n v="113193.83"/>
    <x v="6"/>
    <n v="0"/>
    <n v="742048.43"/>
    <s v="Inter"/>
    <x v="0"/>
    <s v="Without Pay"/>
    <s v="No"/>
    <s v="Other than E-Commerence"/>
    <x v="4"/>
    <x v="2"/>
    <m/>
    <n v="0"/>
    <m/>
    <m/>
  </r>
  <r>
    <s v="U2"/>
    <x v="0"/>
    <n v="1234"/>
    <x v="32"/>
    <x v="0"/>
    <x v="0"/>
    <s v="1900-1792"/>
    <x v="3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5"/>
    <n v="100"/>
    <s v="INR"/>
    <n v="1"/>
    <n v="2500"/>
    <n v="2500"/>
    <n v="0"/>
    <n v="0"/>
    <n v="0"/>
    <n v="0"/>
    <n v="3134.25"/>
    <n v="3134.25"/>
    <n v="0"/>
    <n v="0"/>
    <n v="0"/>
    <n v="0"/>
    <n v="3134.25"/>
    <x v="9"/>
    <n v="0"/>
    <n v="20546.75"/>
    <s v="Inter"/>
    <x v="0"/>
    <s v="Without Pay"/>
    <s v="No"/>
    <s v="Other than E-Commerence"/>
    <x v="4"/>
    <x v="2"/>
    <m/>
    <n v="0"/>
    <m/>
    <m/>
  </r>
  <r>
    <s v="U2"/>
    <x v="0"/>
    <n v="1234"/>
    <x v="33"/>
    <x v="0"/>
    <x v="0"/>
    <s v="1900-1793"/>
    <x v="3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0"/>
    <n v="100"/>
    <s v="INR"/>
    <n v="1"/>
    <n v="20000"/>
    <n v="20000"/>
    <n v="0"/>
    <n v="0"/>
    <n v="0"/>
    <n v="0"/>
    <n v="34301.160000000003"/>
    <n v="34301.160000000003"/>
    <n v="0"/>
    <n v="0"/>
    <n v="0"/>
    <n v="0"/>
    <n v="34301.160000000003"/>
    <x v="6"/>
    <n v="0"/>
    <n v="224863.16"/>
    <s v="Inter"/>
    <x v="0"/>
    <s v="Without Pay"/>
    <s v="No"/>
    <s v="Other than E-Commerence"/>
    <x v="3"/>
    <x v="5"/>
    <m/>
    <n v="0"/>
    <m/>
    <m/>
  </r>
  <r>
    <s v="U2"/>
    <x v="0"/>
    <n v="1234"/>
    <x v="33"/>
    <x v="0"/>
    <x v="0"/>
    <s v="1900-1793"/>
    <x v="3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810"/>
    <n v="100"/>
    <s v="INR"/>
    <n v="1"/>
    <n v="81000"/>
    <n v="81000"/>
    <n v="0"/>
    <n v="0"/>
    <n v="0"/>
    <n v="0"/>
    <n v="105643.76"/>
    <n v="105643.76"/>
    <n v="0"/>
    <n v="0"/>
    <n v="0"/>
    <n v="0"/>
    <n v="105643.76"/>
    <x v="5"/>
    <n v="0"/>
    <n v="692553.56"/>
    <s v="Inter"/>
    <x v="0"/>
    <s v="Without Pay"/>
    <s v="No"/>
    <s v="Other than E-Commerence"/>
    <x v="3"/>
    <x v="5"/>
    <m/>
    <n v="0"/>
    <m/>
    <m/>
  </r>
  <r>
    <s v="U2"/>
    <x v="0"/>
    <n v="1234"/>
    <x v="34"/>
    <x v="0"/>
    <x v="0"/>
    <s v="1900-1794"/>
    <x v="3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25"/>
    <n v="100"/>
    <s v="INR"/>
    <n v="1"/>
    <n v="32500"/>
    <n v="32500"/>
    <n v="0"/>
    <n v="0"/>
    <n v="0"/>
    <n v="0"/>
    <n v="55739.39"/>
    <n v="55739.39"/>
    <n v="0"/>
    <n v="0"/>
    <n v="0"/>
    <n v="0"/>
    <n v="55739.39"/>
    <x v="6"/>
    <n v="0"/>
    <n v="365402.64"/>
    <s v="Inter"/>
    <x v="0"/>
    <s v="Without Pay"/>
    <s v="No"/>
    <s v="Other than E-Commerence"/>
    <x v="0"/>
    <x v="12"/>
    <m/>
    <n v="0"/>
    <m/>
    <m/>
  </r>
  <r>
    <s v="U2"/>
    <x v="0"/>
    <n v="1234"/>
    <x v="34"/>
    <x v="0"/>
    <x v="0"/>
    <s v="1900-1794"/>
    <x v="3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30"/>
    <n v="100"/>
    <s v="INR"/>
    <n v="1"/>
    <n v="23000"/>
    <n v="23000"/>
    <n v="0"/>
    <n v="0"/>
    <n v="0"/>
    <n v="0"/>
    <n v="31104.65"/>
    <n v="31104.65"/>
    <n v="0"/>
    <n v="0"/>
    <n v="0"/>
    <n v="0"/>
    <n v="31104.65"/>
    <x v="1"/>
    <n v="0"/>
    <n v="203908.25"/>
    <s v="Inter"/>
    <x v="0"/>
    <s v="Without Pay"/>
    <s v="No"/>
    <s v="Other than E-Commerence"/>
    <x v="0"/>
    <x v="3"/>
    <m/>
    <n v="0"/>
    <m/>
    <m/>
  </r>
  <r>
    <s v="U2"/>
    <x v="0"/>
    <n v="1234"/>
    <x v="35"/>
    <x v="0"/>
    <x v="0"/>
    <s v="1900-1795"/>
    <x v="3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80"/>
    <n v="100"/>
    <s v="INR"/>
    <n v="1"/>
    <n v="68000"/>
    <n v="68000"/>
    <n v="0"/>
    <n v="0"/>
    <n v="0"/>
    <n v="0"/>
    <n v="116623.94"/>
    <n v="116623.94"/>
    <n v="0"/>
    <n v="0"/>
    <n v="0"/>
    <n v="0"/>
    <n v="116623.94"/>
    <x v="6"/>
    <n v="0"/>
    <n v="764534.74"/>
    <s v="Inter"/>
    <x v="0"/>
    <s v="Without Pay"/>
    <s v="No"/>
    <s v="Other than E-Commerence"/>
    <x v="4"/>
    <x v="3"/>
    <m/>
    <n v="0"/>
    <m/>
    <m/>
  </r>
  <r>
    <s v="U2"/>
    <x v="0"/>
    <n v="1234"/>
    <x v="36"/>
    <x v="0"/>
    <x v="0"/>
    <s v="1900-1796"/>
    <x v="3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100"/>
    <n v="100"/>
    <s v="INR"/>
    <n v="1"/>
    <n v="110000"/>
    <n v="110000"/>
    <n v="0"/>
    <n v="0"/>
    <n v="0"/>
    <n v="0"/>
    <n v="143466.84"/>
    <n v="143466.84"/>
    <n v="0"/>
    <n v="0"/>
    <n v="0"/>
    <n v="0"/>
    <n v="143466.84"/>
    <x v="5"/>
    <n v="0"/>
    <n v="940504.84"/>
    <s v="Inter"/>
    <x v="0"/>
    <s v="Without Pay"/>
    <s v="No"/>
    <s v="Other than E-Commerence"/>
    <x v="7"/>
    <x v="2"/>
    <m/>
    <n v="0"/>
    <m/>
    <m/>
  </r>
  <r>
    <s v="U2"/>
    <x v="0"/>
    <n v="1234"/>
    <x v="37"/>
    <x v="0"/>
    <x v="0"/>
    <s v="1900-1797"/>
    <x v="3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12"/>
    <n v="100"/>
    <s v="INR"/>
    <n v="1"/>
    <n v="101200"/>
    <n v="101200"/>
    <n v="0"/>
    <n v="0"/>
    <n v="0"/>
    <n v="0"/>
    <n v="143042.96"/>
    <n v="143042.96"/>
    <n v="0"/>
    <n v="0"/>
    <n v="0"/>
    <n v="0"/>
    <n v="143042.96"/>
    <x v="14"/>
    <n v="0"/>
    <n v="937726.08"/>
    <s v="Inter"/>
    <x v="0"/>
    <s v="Without Pay"/>
    <s v="No"/>
    <s v="Other than E-Commerence"/>
    <x v="4"/>
    <x v="0"/>
    <m/>
    <n v="0"/>
    <m/>
    <m/>
  </r>
  <r>
    <s v="U2"/>
    <x v="0"/>
    <n v="1234"/>
    <x v="38"/>
    <x v="0"/>
    <x v="0"/>
    <s v="1900-1798"/>
    <x v="3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100"/>
    <n v="100"/>
    <s v="INR"/>
    <n v="1"/>
    <n v="110000"/>
    <n v="110000"/>
    <n v="0"/>
    <n v="0"/>
    <n v="0"/>
    <n v="0"/>
    <n v="143466.84"/>
    <n v="143466.84"/>
    <n v="0"/>
    <n v="0"/>
    <n v="0"/>
    <n v="0"/>
    <n v="143466.84"/>
    <x v="5"/>
    <n v="0"/>
    <n v="940504.84"/>
    <s v="Inter"/>
    <x v="0"/>
    <s v="Without Pay"/>
    <s v="No"/>
    <s v="Other than E-Commerence"/>
    <x v="3"/>
    <x v="5"/>
    <m/>
    <n v="0"/>
    <m/>
    <m/>
  </r>
  <r>
    <s v="U2"/>
    <x v="0"/>
    <n v="1234"/>
    <x v="39"/>
    <x v="0"/>
    <x v="0"/>
    <s v="1900-1799"/>
    <x v="3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00"/>
    <n v="100"/>
    <s v="INR"/>
    <n v="1"/>
    <n v="100000"/>
    <n v="100000"/>
    <n v="0"/>
    <n v="0"/>
    <n v="0"/>
    <n v="0"/>
    <n v="141346.79999999999"/>
    <n v="141346.79999999999"/>
    <n v="0"/>
    <n v="0"/>
    <n v="0"/>
    <n v="0"/>
    <n v="141346.79999999999"/>
    <x v="14"/>
    <n v="0"/>
    <n v="926606.8"/>
    <s v="Inter"/>
    <x v="0"/>
    <s v="Without Pay"/>
    <s v="No"/>
    <s v="Other than E-Commerence"/>
    <x v="1"/>
    <x v="3"/>
    <m/>
    <n v="0"/>
    <m/>
    <m/>
  </r>
  <r>
    <s v="U2"/>
    <x v="0"/>
    <n v="1234"/>
    <x v="40"/>
    <x v="0"/>
    <x v="0"/>
    <s v="1900-1800"/>
    <x v="4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80"/>
    <n v="100"/>
    <s v="INR"/>
    <n v="1"/>
    <n v="108000"/>
    <n v="108000"/>
    <n v="0"/>
    <n v="0"/>
    <n v="0"/>
    <n v="0"/>
    <n v="152654.54"/>
    <n v="152654.54"/>
    <n v="0"/>
    <n v="0"/>
    <n v="0"/>
    <n v="0"/>
    <n v="152654.54"/>
    <x v="14"/>
    <n v="0"/>
    <n v="1000735.34"/>
    <s v="Inter"/>
    <x v="0"/>
    <s v="Without Pay"/>
    <s v="No"/>
    <s v="Other than E-Commerence"/>
    <x v="0"/>
    <x v="3"/>
    <m/>
    <n v="0"/>
    <m/>
    <m/>
  </r>
  <r>
    <s v="U2"/>
    <x v="0"/>
    <n v="1234"/>
    <x v="41"/>
    <x v="0"/>
    <x v="0"/>
    <s v="1900-1801"/>
    <x v="4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0"/>
    <n v="100"/>
    <s v="INR"/>
    <n v="1"/>
    <n v="20000"/>
    <n v="20000"/>
    <n v="0"/>
    <n v="0"/>
    <n v="0"/>
    <n v="0"/>
    <n v="34301.160000000003"/>
    <n v="34301.160000000003"/>
    <n v="0"/>
    <n v="0"/>
    <n v="0"/>
    <n v="0"/>
    <n v="34301.160000000003"/>
    <x v="6"/>
    <n v="0"/>
    <n v="224863.16"/>
    <s v="Inter"/>
    <x v="0"/>
    <s v="Without Pay"/>
    <s v="No"/>
    <s v="Other than E-Commerence"/>
    <x v="4"/>
    <x v="0"/>
    <m/>
    <n v="0"/>
    <m/>
    <m/>
  </r>
  <r>
    <s v="U2"/>
    <x v="0"/>
    <n v="1234"/>
    <x v="41"/>
    <x v="0"/>
    <x v="0"/>
    <s v="1900-1801"/>
    <x v="4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80"/>
    <n v="100"/>
    <s v="INR"/>
    <n v="1"/>
    <n v="38000"/>
    <n v="38000"/>
    <n v="0"/>
    <n v="0"/>
    <n v="0"/>
    <n v="0"/>
    <n v="53711.78"/>
    <n v="53711.78"/>
    <n v="0"/>
    <n v="0"/>
    <n v="0"/>
    <n v="0"/>
    <n v="53711.78"/>
    <x v="14"/>
    <n v="0"/>
    <n v="352110.58"/>
    <s v="Inter"/>
    <x v="0"/>
    <s v="Without Pay"/>
    <s v="No"/>
    <s v="Other than E-Commerence"/>
    <x v="4"/>
    <x v="2"/>
    <m/>
    <n v="0"/>
    <m/>
    <m/>
  </r>
  <r>
    <s v="U2"/>
    <x v="0"/>
    <n v="1234"/>
    <x v="42"/>
    <x v="0"/>
    <x v="0"/>
    <s v="1900-1802"/>
    <x v="4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900"/>
    <n v="100"/>
    <s v="INR"/>
    <n v="1"/>
    <n v="90000"/>
    <n v="90000"/>
    <n v="0"/>
    <n v="0"/>
    <n v="0"/>
    <n v="0"/>
    <n v="127212.12"/>
    <n v="127212.12"/>
    <n v="0"/>
    <n v="0"/>
    <n v="0"/>
    <n v="0"/>
    <n v="127212.12"/>
    <x v="14"/>
    <n v="0"/>
    <n v="833946.12"/>
    <s v="Inter"/>
    <x v="0"/>
    <s v="Without Pay"/>
    <s v="No"/>
    <s v="Other than E-Commerence"/>
    <x v="1"/>
    <x v="2"/>
    <m/>
    <n v="0"/>
    <m/>
    <m/>
  </r>
  <r>
    <s v="U2"/>
    <x v="0"/>
    <n v="1234"/>
    <x v="43"/>
    <x v="0"/>
    <x v="0"/>
    <s v="1900-1803"/>
    <x v="4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96"/>
    <n v="100"/>
    <s v="INR"/>
    <n v="1"/>
    <n v="29600"/>
    <n v="29600"/>
    <n v="0"/>
    <n v="0"/>
    <n v="0"/>
    <n v="0"/>
    <n v="38605.620000000003"/>
    <n v="38605.620000000003"/>
    <n v="0"/>
    <n v="0"/>
    <n v="0"/>
    <n v="0"/>
    <n v="38605.620000000003"/>
    <x v="5"/>
    <n v="0"/>
    <n v="253081.3"/>
    <s v="Inter"/>
    <x v="0"/>
    <s v="Without Pay"/>
    <s v="No"/>
    <s v="Other than E-Commerence"/>
    <x v="3"/>
    <x v="13"/>
    <m/>
    <n v="0"/>
    <m/>
    <m/>
  </r>
  <r>
    <s v="U2"/>
    <x v="0"/>
    <n v="1234"/>
    <x v="43"/>
    <x v="0"/>
    <x v="0"/>
    <s v="1900-1803"/>
    <x v="4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80"/>
    <n v="100"/>
    <s v="INR"/>
    <n v="1"/>
    <n v="18000"/>
    <n v="18000"/>
    <n v="0"/>
    <n v="0"/>
    <n v="0"/>
    <n v="0"/>
    <n v="25442.42"/>
    <n v="25442.42"/>
    <n v="0"/>
    <n v="0"/>
    <n v="0"/>
    <n v="0"/>
    <n v="25442.42"/>
    <x v="14"/>
    <n v="0"/>
    <n v="166789.22"/>
    <s v="Inter"/>
    <x v="0"/>
    <s v="Without Pay"/>
    <s v="No"/>
    <s v="Other than E-Commerence"/>
    <x v="3"/>
    <x v="2"/>
    <m/>
    <n v="0"/>
    <m/>
    <m/>
  </r>
  <r>
    <s v="U2"/>
    <x v="0"/>
    <n v="1234"/>
    <x v="44"/>
    <x v="0"/>
    <x v="0"/>
    <s v="1900-1804"/>
    <x v="44"/>
    <s v=""/>
    <s v=""/>
    <s v=""/>
    <s v=""/>
    <x v="0"/>
    <s v="Customer"/>
    <s v="SYZ"/>
    <x v="0"/>
    <s v=""/>
    <s v=""/>
    <m/>
    <m/>
    <n v="1234"/>
    <n v="0"/>
    <s v="Material Name"/>
    <x v="3"/>
    <x v="1"/>
    <s v=""/>
    <s v=""/>
    <s v=""/>
    <s v=""/>
    <m/>
    <m/>
    <n v="10000"/>
    <n v="100"/>
    <s v="INR"/>
    <n v="1"/>
    <n v="1000000"/>
    <n v="1000000"/>
    <n v="0"/>
    <n v="0"/>
    <n v="0"/>
    <n v="0"/>
    <n v="2160"/>
    <n v="2160"/>
    <n v="0"/>
    <n v="0"/>
    <n v="0"/>
    <n v="0"/>
    <n v="2160"/>
    <x v="15"/>
    <n v="0"/>
    <n v="14160"/>
    <s v="Inter"/>
    <x v="0"/>
    <s v="Without Pay"/>
    <s v="No"/>
    <s v="Other than E-Commerence"/>
    <x v="8"/>
    <x v="2"/>
    <m/>
    <n v="0"/>
    <m/>
    <m/>
  </r>
  <r>
    <s v="U2"/>
    <x v="0"/>
    <n v="1234"/>
    <x v="45"/>
    <x v="0"/>
    <x v="0"/>
    <s v="1900-1805"/>
    <x v="4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10"/>
    <n v="100"/>
    <s v="INR"/>
    <n v="1"/>
    <n v="101000"/>
    <n v="101000"/>
    <n v="0"/>
    <n v="0"/>
    <n v="0"/>
    <n v="0"/>
    <n v="142760.26999999999"/>
    <n v="142760.26999999999"/>
    <n v="0"/>
    <n v="0"/>
    <n v="0"/>
    <n v="0"/>
    <n v="142760.26999999999"/>
    <x v="14"/>
    <n v="0"/>
    <n v="935872.87"/>
    <s v="Inter"/>
    <x v="0"/>
    <s v="Without Pay"/>
    <s v="No"/>
    <s v="Other than E-Commerence"/>
    <x v="3"/>
    <x v="5"/>
    <m/>
    <n v="0"/>
    <m/>
    <m/>
  </r>
  <r>
    <s v="U2"/>
    <x v="0"/>
    <n v="1234"/>
    <x v="45"/>
    <x v="0"/>
    <x v="0"/>
    <s v="1900-1805"/>
    <x v="4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6268.5"/>
    <n v="6268.5"/>
    <n v="0"/>
    <n v="0"/>
    <n v="0"/>
    <n v="0"/>
    <n v="6268.5"/>
    <x v="9"/>
    <n v="0"/>
    <n v="41093.5"/>
    <s v="Inter"/>
    <x v="0"/>
    <s v="Without Pay"/>
    <s v="No"/>
    <s v="Other than E-Commerence"/>
    <x v="3"/>
    <x v="5"/>
    <m/>
    <n v="0"/>
    <m/>
    <m/>
  </r>
  <r>
    <s v="U2"/>
    <x v="0"/>
    <n v="1234"/>
    <x v="46"/>
    <x v="0"/>
    <x v="0"/>
    <s v="1900-1806"/>
    <x v="4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00"/>
    <n v="100"/>
    <s v="INR"/>
    <n v="1"/>
    <n v="30000"/>
    <n v="30000"/>
    <n v="0"/>
    <n v="0"/>
    <n v="0"/>
    <n v="0"/>
    <n v="51451.74"/>
    <n v="51451.74"/>
    <n v="0"/>
    <n v="0"/>
    <n v="0"/>
    <n v="0"/>
    <n v="51451.74"/>
    <x v="6"/>
    <n v="0"/>
    <n v="337294.74"/>
    <s v="Inter"/>
    <x v="0"/>
    <s v="Without Pay"/>
    <s v="No"/>
    <s v="Other than E-Commerence"/>
    <x v="0"/>
    <x v="3"/>
    <m/>
    <n v="0"/>
    <m/>
    <m/>
  </r>
  <r>
    <s v="U2"/>
    <x v="0"/>
    <n v="1234"/>
    <x v="46"/>
    <x v="0"/>
    <x v="0"/>
    <s v="1900-1806"/>
    <x v="4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80"/>
    <n v="100"/>
    <s v="INR"/>
    <n v="1"/>
    <n v="58000"/>
    <n v="58000"/>
    <n v="0"/>
    <n v="0"/>
    <n v="0"/>
    <n v="0"/>
    <n v="81981.14"/>
    <n v="81981.14"/>
    <n v="0"/>
    <n v="0"/>
    <n v="0"/>
    <n v="0"/>
    <n v="81981.14"/>
    <x v="14"/>
    <n v="0"/>
    <n v="537431.93999999994"/>
    <s v="Inter"/>
    <x v="0"/>
    <s v="Without Pay"/>
    <s v="No"/>
    <s v="Other than E-Commerence"/>
    <x v="0"/>
    <x v="3"/>
    <m/>
    <n v="0"/>
    <m/>
    <m/>
  </r>
  <r>
    <s v="U2"/>
    <x v="0"/>
    <n v="1234"/>
    <x v="47"/>
    <x v="0"/>
    <x v="0"/>
    <s v="1900-1807"/>
    <x v="4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00"/>
    <n v="100"/>
    <s v="INR"/>
    <n v="1"/>
    <n v="30000"/>
    <n v="30000"/>
    <n v="0"/>
    <n v="0"/>
    <n v="0"/>
    <n v="0"/>
    <n v="51451.74"/>
    <n v="51451.74"/>
    <n v="0"/>
    <n v="0"/>
    <n v="0"/>
    <n v="0"/>
    <n v="51451.74"/>
    <x v="6"/>
    <n v="0"/>
    <n v="337294.74"/>
    <s v="Inter"/>
    <x v="0"/>
    <s v="Without Pay"/>
    <s v="No"/>
    <s v="Other than E-Commerence"/>
    <x v="4"/>
    <x v="5"/>
    <m/>
    <n v="0"/>
    <m/>
    <m/>
  </r>
  <r>
    <s v="U2"/>
    <x v="0"/>
    <n v="1234"/>
    <x v="47"/>
    <x v="0"/>
    <x v="0"/>
    <s v="1900-1807"/>
    <x v="4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80"/>
    <n v="100"/>
    <s v="INR"/>
    <n v="1"/>
    <n v="58000"/>
    <n v="58000"/>
    <n v="0"/>
    <n v="0"/>
    <n v="0"/>
    <n v="0"/>
    <n v="81981.14"/>
    <n v="81981.14"/>
    <n v="0"/>
    <n v="0"/>
    <n v="0"/>
    <n v="0"/>
    <n v="81981.14"/>
    <x v="14"/>
    <n v="0"/>
    <n v="537431.93999999994"/>
    <s v="Inter"/>
    <x v="0"/>
    <s v="Without Pay"/>
    <s v="No"/>
    <s v="Other than E-Commerence"/>
    <x v="4"/>
    <x v="0"/>
    <m/>
    <n v="0"/>
    <m/>
    <m/>
  </r>
  <r>
    <s v="U2"/>
    <x v="0"/>
    <n v="1234"/>
    <x v="48"/>
    <x v="0"/>
    <x v="0"/>
    <s v="1900-1808"/>
    <x v="4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80"/>
    <n v="100"/>
    <s v="INR"/>
    <n v="1"/>
    <n v="68000"/>
    <n v="68000"/>
    <n v="0"/>
    <n v="0"/>
    <n v="0"/>
    <n v="0"/>
    <n v="116623.94"/>
    <n v="116623.94"/>
    <n v="0"/>
    <n v="0"/>
    <n v="0"/>
    <n v="0"/>
    <n v="116623.94"/>
    <x v="6"/>
    <n v="0"/>
    <n v="764534.74"/>
    <s v="Inter"/>
    <x v="0"/>
    <s v="Without Pay"/>
    <s v="No"/>
    <s v="Other than E-Commerence"/>
    <x v="0"/>
    <x v="0"/>
    <m/>
    <n v="0"/>
    <m/>
    <m/>
  </r>
  <r>
    <s v="U2"/>
    <x v="0"/>
    <n v="1234"/>
    <x v="49"/>
    <x v="0"/>
    <x v="0"/>
    <s v="1900-1809"/>
    <x v="4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800"/>
    <n v="100"/>
    <s v="INR"/>
    <n v="1"/>
    <n v="80000"/>
    <n v="80000"/>
    <n v="0"/>
    <n v="0"/>
    <n v="0"/>
    <n v="0"/>
    <n v="113077.44"/>
    <n v="113077.44"/>
    <n v="0"/>
    <n v="0"/>
    <n v="0"/>
    <n v="0"/>
    <n v="113077.44"/>
    <x v="14"/>
    <n v="0"/>
    <n v="741285.44"/>
    <s v="Inter"/>
    <x v="0"/>
    <s v="Without Pay"/>
    <s v="No"/>
    <s v="Other than E-Commerence"/>
    <x v="1"/>
    <x v="10"/>
    <m/>
    <n v="0"/>
    <m/>
    <m/>
  </r>
  <r>
    <s v="U2"/>
    <x v="0"/>
    <n v="1234"/>
    <x v="49"/>
    <x v="0"/>
    <x v="0"/>
    <s v="1900-1809"/>
    <x v="4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6268.5"/>
    <n v="6268.5"/>
    <n v="0"/>
    <n v="0"/>
    <n v="0"/>
    <n v="0"/>
    <n v="6268.5"/>
    <x v="9"/>
    <n v="0"/>
    <n v="41093.5"/>
    <s v="Inter"/>
    <x v="0"/>
    <s v="Without Pay"/>
    <s v="No"/>
    <s v="Other than E-Commerence"/>
    <x v="1"/>
    <x v="10"/>
    <m/>
    <n v="0"/>
    <m/>
    <m/>
  </r>
  <r>
    <s v="U2"/>
    <x v="0"/>
    <n v="1234"/>
    <x v="50"/>
    <x v="0"/>
    <x v="0"/>
    <s v="1900-1810"/>
    <x v="5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0"/>
    <n v="100"/>
    <s v="INR"/>
    <n v="1"/>
    <n v="10000"/>
    <n v="10000"/>
    <n v="0"/>
    <n v="0"/>
    <n v="0"/>
    <n v="0"/>
    <n v="17150.580000000002"/>
    <n v="17150.580000000002"/>
    <n v="0"/>
    <n v="0"/>
    <n v="0"/>
    <n v="0"/>
    <n v="17150.580000000002"/>
    <x v="6"/>
    <n v="0"/>
    <n v="112431.58"/>
    <s v="Inter"/>
    <x v="0"/>
    <s v="Without Pay"/>
    <s v="No"/>
    <s v="Other than E-Commerence"/>
    <x v="7"/>
    <x v="3"/>
    <m/>
    <n v="0"/>
    <m/>
    <m/>
  </r>
  <r>
    <s v="U2"/>
    <x v="0"/>
    <n v="1234"/>
    <x v="50"/>
    <x v="0"/>
    <x v="0"/>
    <s v="1900-1810"/>
    <x v="5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00"/>
    <n v="100"/>
    <s v="INR"/>
    <n v="1"/>
    <n v="60000"/>
    <n v="60000"/>
    <n v="0"/>
    <n v="0"/>
    <n v="0"/>
    <n v="0"/>
    <n v="84808.08"/>
    <n v="84808.08"/>
    <n v="0"/>
    <n v="0"/>
    <n v="0"/>
    <n v="0"/>
    <n v="84808.08"/>
    <x v="14"/>
    <n v="0"/>
    <n v="555964.07999999996"/>
    <s v="Inter"/>
    <x v="0"/>
    <s v="Without Pay"/>
    <s v="No"/>
    <s v="Other than E-Commerence"/>
    <x v="7"/>
    <x v="0"/>
    <m/>
    <n v="0"/>
    <m/>
    <m/>
  </r>
  <r>
    <s v="U2"/>
    <x v="0"/>
    <n v="1234"/>
    <x v="51"/>
    <x v="0"/>
    <x v="0"/>
    <s v="1900-1811"/>
    <x v="5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80"/>
    <n v="100"/>
    <s v="INR"/>
    <n v="1"/>
    <n v="68000"/>
    <n v="68000"/>
    <n v="0"/>
    <n v="0"/>
    <n v="0"/>
    <n v="0"/>
    <n v="116623.94"/>
    <n v="116623.94"/>
    <n v="0"/>
    <n v="0"/>
    <n v="0"/>
    <n v="0"/>
    <n v="116623.94"/>
    <x v="6"/>
    <n v="0"/>
    <n v="764534.74"/>
    <s v="Inter"/>
    <x v="0"/>
    <s v="Without Pay"/>
    <s v="No"/>
    <s v="Other than E-Commerence"/>
    <x v="4"/>
    <x v="0"/>
    <m/>
    <n v="0"/>
    <m/>
    <m/>
  </r>
  <r>
    <s v="U2"/>
    <x v="0"/>
    <n v="1234"/>
    <x v="52"/>
    <x v="0"/>
    <x v="0"/>
    <s v="1900-1812"/>
    <x v="5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0"/>
    <n v="100"/>
    <s v="INR"/>
    <n v="1"/>
    <n v="10000"/>
    <n v="10000"/>
    <n v="0"/>
    <n v="0"/>
    <n v="0"/>
    <n v="0"/>
    <n v="17150.580000000002"/>
    <n v="17150.580000000002"/>
    <n v="0"/>
    <n v="0"/>
    <n v="0"/>
    <n v="0"/>
    <n v="17150.580000000002"/>
    <x v="6"/>
    <n v="0"/>
    <n v="112431.58"/>
    <s v="Inter"/>
    <x v="0"/>
    <s v="Without Pay"/>
    <s v="No"/>
    <s v="Other than E-Commerence"/>
    <x v="1"/>
    <x v="5"/>
    <m/>
    <n v="0"/>
    <m/>
    <m/>
  </r>
  <r>
    <s v="U2"/>
    <x v="0"/>
    <n v="1234"/>
    <x v="52"/>
    <x v="0"/>
    <x v="0"/>
    <s v="1900-1812"/>
    <x v="5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860"/>
    <n v="100"/>
    <s v="INR"/>
    <n v="1"/>
    <n v="86000"/>
    <n v="86000"/>
    <n v="0"/>
    <n v="0"/>
    <n v="0"/>
    <n v="0"/>
    <n v="121558.25"/>
    <n v="121558.25"/>
    <n v="0"/>
    <n v="0"/>
    <n v="0"/>
    <n v="0"/>
    <n v="121558.25"/>
    <x v="14"/>
    <n v="0"/>
    <n v="796881.85"/>
    <s v="Inter"/>
    <x v="0"/>
    <s v="Without Pay"/>
    <s v="No"/>
    <s v="Other than E-Commerence"/>
    <x v="1"/>
    <x v="5"/>
    <m/>
    <n v="0"/>
    <m/>
    <m/>
  </r>
  <r>
    <s v="U2"/>
    <x v="0"/>
    <n v="1234"/>
    <x v="53"/>
    <x v="0"/>
    <x v="0"/>
    <s v="1900-1813"/>
    <x v="5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60"/>
    <n v="100"/>
    <s v="INR"/>
    <n v="1"/>
    <n v="66000"/>
    <n v="66000"/>
    <n v="0"/>
    <n v="0"/>
    <n v="0"/>
    <n v="0"/>
    <n v="113193.83"/>
    <n v="113193.83"/>
    <n v="0"/>
    <n v="0"/>
    <n v="0"/>
    <n v="0"/>
    <n v="113193.83"/>
    <x v="6"/>
    <n v="0"/>
    <n v="742048.43"/>
    <s v="Inter"/>
    <x v="0"/>
    <s v="Without Pay"/>
    <s v="No"/>
    <s v="Other than E-Commerence"/>
    <x v="0"/>
    <x v="10"/>
    <m/>
    <n v="0"/>
    <m/>
    <m/>
  </r>
  <r>
    <s v="U2"/>
    <x v="0"/>
    <n v="1234"/>
    <x v="53"/>
    <x v="0"/>
    <x v="0"/>
    <s v="1900-1813"/>
    <x v="5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8937"/>
    <n v="8937"/>
    <n v="0"/>
    <n v="0"/>
    <n v="0"/>
    <n v="0"/>
    <n v="8937"/>
    <x v="8"/>
    <n v="0"/>
    <n v="58587"/>
    <s v="Inter"/>
    <x v="0"/>
    <s v="Without Pay"/>
    <s v="No"/>
    <s v="Other than E-Commerence"/>
    <x v="0"/>
    <x v="10"/>
    <m/>
    <n v="0"/>
    <m/>
    <m/>
  </r>
  <r>
    <s v="U2"/>
    <x v="0"/>
    <n v="1234"/>
    <x v="54"/>
    <x v="0"/>
    <x v="0"/>
    <s v="1900-1814"/>
    <x v="5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0"/>
    <n v="100"/>
    <s v="INR"/>
    <n v="1"/>
    <n v="10000"/>
    <n v="10000"/>
    <n v="0"/>
    <n v="0"/>
    <n v="0"/>
    <n v="0"/>
    <n v="17150.580000000002"/>
    <n v="17150.580000000002"/>
    <n v="0"/>
    <n v="0"/>
    <n v="0"/>
    <n v="0"/>
    <n v="17150.580000000002"/>
    <x v="6"/>
    <n v="0"/>
    <n v="112431.58"/>
    <s v="Inter"/>
    <x v="0"/>
    <s v="Without Pay"/>
    <s v="No"/>
    <s v="Other than E-Commerence"/>
    <x v="7"/>
    <x v="5"/>
    <m/>
    <n v="0"/>
    <m/>
    <m/>
  </r>
  <r>
    <s v="U2"/>
    <x v="0"/>
    <n v="1234"/>
    <x v="54"/>
    <x v="0"/>
    <x v="0"/>
    <s v="1900-1814"/>
    <x v="5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0"/>
    <n v="100"/>
    <s v="INR"/>
    <n v="1"/>
    <n v="50000"/>
    <n v="50000"/>
    <n v="0"/>
    <n v="0"/>
    <n v="0"/>
    <n v="0"/>
    <n v="70673.399999999994"/>
    <n v="70673.399999999994"/>
    <n v="0"/>
    <n v="0"/>
    <n v="0"/>
    <n v="0"/>
    <n v="70673.399999999994"/>
    <x v="14"/>
    <n v="0"/>
    <n v="463303.4"/>
    <s v="Inter"/>
    <x v="0"/>
    <s v="Without Pay"/>
    <s v="No"/>
    <s v="Other than E-Commerence"/>
    <x v="7"/>
    <x v="1"/>
    <m/>
    <n v="0"/>
    <m/>
    <m/>
  </r>
  <r>
    <s v="U2"/>
    <x v="0"/>
    <n v="1234"/>
    <x v="55"/>
    <x v="0"/>
    <x v="0"/>
    <s v="1900-1815"/>
    <x v="5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00"/>
    <n v="100"/>
    <s v="INR"/>
    <n v="1"/>
    <n v="40000"/>
    <n v="40000"/>
    <n v="0"/>
    <n v="0"/>
    <n v="0"/>
    <n v="0"/>
    <n v="68602.320000000007"/>
    <n v="68602.320000000007"/>
    <n v="0"/>
    <n v="0"/>
    <n v="0"/>
    <n v="0"/>
    <n v="68602.320000000007"/>
    <x v="6"/>
    <n v="0"/>
    <n v="449726.32"/>
    <s v="Inter"/>
    <x v="0"/>
    <s v="Without Pay"/>
    <s v="No"/>
    <s v="Other than E-Commerence"/>
    <x v="0"/>
    <x v="11"/>
    <m/>
    <n v="0"/>
    <m/>
    <m/>
  </r>
  <r>
    <s v="U2"/>
    <x v="0"/>
    <n v="1234"/>
    <x v="56"/>
    <x v="0"/>
    <x v="0"/>
    <s v="1900-1816"/>
    <x v="5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30"/>
    <n v="100"/>
    <s v="INR"/>
    <n v="1"/>
    <n v="63000"/>
    <n v="63000"/>
    <n v="0"/>
    <n v="0"/>
    <n v="0"/>
    <n v="0"/>
    <n v="89048.48"/>
    <n v="89048.48"/>
    <n v="0"/>
    <n v="0"/>
    <n v="0"/>
    <n v="0"/>
    <n v="89048.48"/>
    <x v="14"/>
    <n v="0"/>
    <n v="583762.28"/>
    <s v="Inter"/>
    <x v="0"/>
    <s v="Without Pay"/>
    <s v="No"/>
    <s v="Other than E-Commerence"/>
    <x v="2"/>
    <x v="11"/>
    <m/>
    <n v="0"/>
    <m/>
    <m/>
  </r>
  <r>
    <s v="U2"/>
    <x v="0"/>
    <n v="1234"/>
    <x v="57"/>
    <x v="0"/>
    <x v="0"/>
    <s v="1900-1817"/>
    <x v="5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6268.5"/>
    <n v="6268.5"/>
    <n v="0"/>
    <n v="0"/>
    <n v="0"/>
    <n v="0"/>
    <n v="6268.5"/>
    <x v="9"/>
    <n v="0"/>
    <n v="41093.5"/>
    <s v="Inter"/>
    <x v="0"/>
    <s v="Without Pay"/>
    <s v="No"/>
    <s v="Other than E-Commerence"/>
    <x v="8"/>
    <x v="11"/>
    <m/>
    <n v="0"/>
    <m/>
    <m/>
  </r>
  <r>
    <s v="U2"/>
    <x v="0"/>
    <n v="1234"/>
    <x v="57"/>
    <x v="0"/>
    <x v="0"/>
    <s v="1900-1817"/>
    <x v="5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5"/>
    <n v="100"/>
    <s v="INR"/>
    <n v="1"/>
    <n v="2500"/>
    <n v="2500"/>
    <n v="0"/>
    <n v="0"/>
    <n v="0"/>
    <n v="0"/>
    <n v="3826.35"/>
    <n v="3826.35"/>
    <n v="0"/>
    <n v="0"/>
    <n v="0"/>
    <n v="0"/>
    <n v="3826.35"/>
    <x v="11"/>
    <n v="0"/>
    <n v="25083.85"/>
    <s v="Inter"/>
    <x v="0"/>
    <s v="Without Pay"/>
    <s v="No"/>
    <s v="Other than E-Commerence"/>
    <x v="8"/>
    <x v="11"/>
    <m/>
    <n v="0"/>
    <m/>
    <m/>
  </r>
  <r>
    <s v="U2"/>
    <x v="0"/>
    <n v="1234"/>
    <x v="57"/>
    <x v="0"/>
    <x v="0"/>
    <s v="1900-1817"/>
    <x v="5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8937"/>
    <n v="8937"/>
    <n v="0"/>
    <n v="0"/>
    <n v="0"/>
    <n v="0"/>
    <n v="8937"/>
    <x v="8"/>
    <n v="0"/>
    <n v="58587"/>
    <s v="Inter"/>
    <x v="0"/>
    <s v="Without Pay"/>
    <s v="No"/>
    <s v="Other than E-Commerence"/>
    <x v="8"/>
    <x v="11"/>
    <m/>
    <n v="0"/>
    <m/>
    <m/>
  </r>
  <r>
    <s v="U2"/>
    <x v="0"/>
    <n v="1234"/>
    <x v="57"/>
    <x v="0"/>
    <x v="0"/>
    <s v="1900-1817"/>
    <x v="5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4"/>
    <n v="100"/>
    <s v="INR"/>
    <n v="1"/>
    <n v="10400"/>
    <n v="10400"/>
    <n v="0"/>
    <n v="0"/>
    <n v="0"/>
    <n v="0"/>
    <n v="20318.689999999999"/>
    <n v="20318.689999999999"/>
    <n v="0"/>
    <n v="0"/>
    <n v="0"/>
    <n v="0"/>
    <n v="20318.689999999999"/>
    <x v="3"/>
    <n v="0"/>
    <n v="133200.29"/>
    <s v="Inter"/>
    <x v="0"/>
    <s v="Without Pay"/>
    <s v="No"/>
    <s v="Other than E-Commerence"/>
    <x v="8"/>
    <x v="2"/>
    <m/>
    <n v="0"/>
    <m/>
    <m/>
  </r>
  <r>
    <s v="U2"/>
    <x v="0"/>
    <n v="1234"/>
    <x v="57"/>
    <x v="0"/>
    <x v="0"/>
    <s v="1900-1817"/>
    <x v="5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50"/>
    <n v="100"/>
    <s v="INR"/>
    <n v="1"/>
    <n v="15000"/>
    <n v="15000"/>
    <n v="0"/>
    <n v="0"/>
    <n v="0"/>
    <n v="0"/>
    <n v="21664.799999999999"/>
    <n v="21664.799999999999"/>
    <n v="0"/>
    <n v="0"/>
    <n v="0"/>
    <n v="0"/>
    <n v="21664.799999999999"/>
    <x v="13"/>
    <n v="0"/>
    <n v="142024.79999999999"/>
    <s v="Inter"/>
    <x v="0"/>
    <s v="Without Pay"/>
    <s v="No"/>
    <s v="Other than E-Commerence"/>
    <x v="8"/>
    <x v="2"/>
    <m/>
    <n v="0"/>
    <m/>
    <m/>
  </r>
  <r>
    <s v="U2"/>
    <x v="0"/>
    <n v="1234"/>
    <x v="58"/>
    <x v="0"/>
    <x v="0"/>
    <s v="1900-1818"/>
    <x v="5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50"/>
    <n v="100"/>
    <s v="INR"/>
    <n v="1"/>
    <n v="45000"/>
    <n v="45000"/>
    <n v="0"/>
    <n v="0"/>
    <n v="0"/>
    <n v="0"/>
    <n v="58690.98"/>
    <n v="58690.98"/>
    <n v="0"/>
    <n v="0"/>
    <n v="0"/>
    <n v="0"/>
    <n v="58690.98"/>
    <x v="5"/>
    <n v="0"/>
    <n v="384751.98"/>
    <s v="Inter"/>
    <x v="0"/>
    <s v="Without Pay"/>
    <s v="No"/>
    <s v="Other than E-Commerence"/>
    <x v="3"/>
    <x v="2"/>
    <m/>
    <n v="0"/>
    <m/>
    <m/>
  </r>
  <r>
    <s v="U2"/>
    <x v="0"/>
    <n v="1234"/>
    <x v="58"/>
    <x v="0"/>
    <x v="0"/>
    <s v="1900-1818"/>
    <x v="5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00"/>
    <n v="100"/>
    <s v="INR"/>
    <n v="1"/>
    <n v="60000"/>
    <n v="60000"/>
    <n v="0"/>
    <n v="0"/>
    <n v="0"/>
    <n v="0"/>
    <n v="84808.08"/>
    <n v="84808.08"/>
    <n v="0"/>
    <n v="0"/>
    <n v="0"/>
    <n v="0"/>
    <n v="84808.08"/>
    <x v="14"/>
    <n v="0"/>
    <n v="555964.07999999996"/>
    <s v="Inter"/>
    <x v="0"/>
    <s v="Without Pay"/>
    <s v="No"/>
    <s v="Other than E-Commerence"/>
    <x v="3"/>
    <x v="0"/>
    <m/>
    <n v="0"/>
    <m/>
    <m/>
  </r>
  <r>
    <s v="U2"/>
    <x v="0"/>
    <n v="1234"/>
    <x v="58"/>
    <x v="0"/>
    <x v="0"/>
    <s v="1900-1818"/>
    <x v="5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5"/>
    <n v="100"/>
    <s v="INR"/>
    <n v="1"/>
    <n v="2500"/>
    <n v="2500"/>
    <n v="0"/>
    <n v="0"/>
    <n v="0"/>
    <n v="0"/>
    <n v="3826.35"/>
    <n v="3826.35"/>
    <n v="0"/>
    <n v="0"/>
    <n v="0"/>
    <n v="0"/>
    <n v="3826.35"/>
    <x v="11"/>
    <n v="0"/>
    <n v="25083.85"/>
    <s v="Inter"/>
    <x v="0"/>
    <s v="Without Pay"/>
    <s v="No"/>
    <s v="Other than E-Commerence"/>
    <x v="3"/>
    <x v="14"/>
    <m/>
    <n v="0"/>
    <m/>
    <m/>
  </r>
  <r>
    <s v="U2"/>
    <x v="0"/>
    <n v="1234"/>
    <x v="59"/>
    <x v="0"/>
    <x v="0"/>
    <s v="1900-1819"/>
    <x v="5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35"/>
    <n v="100"/>
    <s v="INR"/>
    <n v="1"/>
    <n v="103500"/>
    <n v="103500"/>
    <n v="0"/>
    <n v="0"/>
    <n v="0"/>
    <n v="0"/>
    <n v="146293.94"/>
    <n v="146293.94"/>
    <n v="0"/>
    <n v="0"/>
    <n v="0"/>
    <n v="0"/>
    <n v="146293.94"/>
    <x v="14"/>
    <n v="0"/>
    <n v="959038.04"/>
    <s v="Inter"/>
    <x v="0"/>
    <s v="Without Pay"/>
    <s v="No"/>
    <s v="Other than E-Commerence"/>
    <x v="1"/>
    <x v="14"/>
    <m/>
    <n v="0"/>
    <m/>
    <m/>
  </r>
  <r>
    <s v="U2"/>
    <x v="0"/>
    <n v="1234"/>
    <x v="60"/>
    <x v="0"/>
    <x v="0"/>
    <s v="1900-1820"/>
    <x v="60"/>
    <s v=""/>
    <s v=""/>
    <s v=""/>
    <s v=""/>
    <x v="0"/>
    <s v="Customer"/>
    <s v="SYZ"/>
    <x v="0"/>
    <s v=""/>
    <s v=""/>
    <m/>
    <m/>
    <n v="1234"/>
    <n v="0"/>
    <s v="Material Name"/>
    <x v="4"/>
    <x v="2"/>
    <s v=""/>
    <s v=""/>
    <s v=""/>
    <s v=""/>
    <m/>
    <m/>
    <n v="8"/>
    <n v="100"/>
    <s v="INR"/>
    <n v="1"/>
    <n v="800"/>
    <n v="800"/>
    <n v="0"/>
    <n v="0"/>
    <n v="0"/>
    <n v="0"/>
    <n v="2484"/>
    <n v="2484"/>
    <n v="0"/>
    <n v="0"/>
    <n v="0"/>
    <n v="0"/>
    <n v="2484"/>
    <x v="16"/>
    <n v="0"/>
    <n v="16284"/>
    <s v="Inter"/>
    <x v="0"/>
    <s v="Without Pay"/>
    <s v="No"/>
    <s v="Other than E-Commerence"/>
    <x v="8"/>
    <x v="14"/>
    <m/>
    <n v="0"/>
    <m/>
    <m/>
  </r>
  <r>
    <s v="U2"/>
    <x v="0"/>
    <n v="1234"/>
    <x v="60"/>
    <x v="0"/>
    <x v="0"/>
    <s v="1900-1820"/>
    <x v="60"/>
    <s v=""/>
    <s v=""/>
    <s v=""/>
    <s v=""/>
    <x v="0"/>
    <s v="Customer"/>
    <s v="SYZ"/>
    <x v="0"/>
    <s v=""/>
    <s v=""/>
    <m/>
    <m/>
    <n v="1234"/>
    <n v="0"/>
    <s v="Material Name"/>
    <x v="4"/>
    <x v="2"/>
    <s v=""/>
    <s v=""/>
    <s v=""/>
    <s v=""/>
    <m/>
    <m/>
    <n v="11"/>
    <n v="100"/>
    <s v="INR"/>
    <n v="1"/>
    <n v="1100"/>
    <n v="1100"/>
    <n v="0"/>
    <n v="0"/>
    <n v="0"/>
    <n v="0"/>
    <n v="3791.7"/>
    <n v="3791.7"/>
    <n v="0"/>
    <n v="0"/>
    <n v="0"/>
    <n v="0"/>
    <n v="3791.7"/>
    <x v="17"/>
    <n v="0"/>
    <n v="24856.7"/>
    <s v="Inter"/>
    <x v="0"/>
    <s v="Without Pay"/>
    <s v="No"/>
    <s v="Other than E-Commerence"/>
    <x v="8"/>
    <x v="14"/>
    <m/>
    <n v="0"/>
    <m/>
    <m/>
  </r>
  <r>
    <s v="U2"/>
    <x v="0"/>
    <n v="1234"/>
    <x v="60"/>
    <x v="0"/>
    <x v="0"/>
    <s v="1900-1820"/>
    <x v="60"/>
    <s v=""/>
    <s v=""/>
    <s v=""/>
    <s v=""/>
    <x v="0"/>
    <s v="Customer"/>
    <s v="SYZ"/>
    <x v="0"/>
    <s v=""/>
    <s v=""/>
    <m/>
    <m/>
    <n v="1234"/>
    <n v="0"/>
    <s v="Material Name"/>
    <x v="4"/>
    <x v="2"/>
    <s v=""/>
    <s v=""/>
    <s v=""/>
    <s v=""/>
    <m/>
    <m/>
    <n v="2"/>
    <n v="100"/>
    <s v="INR"/>
    <n v="1"/>
    <n v="200"/>
    <n v="200"/>
    <n v="0"/>
    <n v="0"/>
    <n v="0"/>
    <n v="0"/>
    <n v="64.8"/>
    <n v="64.8"/>
    <n v="0"/>
    <n v="0"/>
    <n v="0"/>
    <n v="0"/>
    <n v="64.8"/>
    <x v="18"/>
    <n v="0"/>
    <n v="424.8"/>
    <s v="Inter"/>
    <x v="0"/>
    <s v="Without Pay"/>
    <s v="No"/>
    <s v="Other than E-Commerence"/>
    <x v="8"/>
    <x v="15"/>
    <m/>
    <n v="0"/>
    <m/>
    <m/>
  </r>
  <r>
    <s v="U2"/>
    <x v="0"/>
    <n v="1234"/>
    <x v="60"/>
    <x v="0"/>
    <x v="0"/>
    <s v="1900-1820"/>
    <x v="60"/>
    <s v=""/>
    <s v=""/>
    <s v=""/>
    <s v=""/>
    <x v="0"/>
    <s v="Customer"/>
    <s v="SYZ"/>
    <x v="0"/>
    <s v=""/>
    <s v=""/>
    <m/>
    <m/>
    <n v="1234"/>
    <n v="0"/>
    <s v="Material Name"/>
    <x v="5"/>
    <x v="2"/>
    <s v=""/>
    <s v=""/>
    <s v=""/>
    <s v=""/>
    <m/>
    <m/>
    <n v="14"/>
    <n v="100"/>
    <s v="INR"/>
    <n v="1"/>
    <n v="1400"/>
    <n v="1400"/>
    <n v="0"/>
    <n v="0"/>
    <n v="0"/>
    <n v="0"/>
    <n v="4483.08"/>
    <n v="4483.08"/>
    <n v="0"/>
    <n v="0"/>
    <n v="0"/>
    <n v="0"/>
    <n v="4483.08"/>
    <x v="19"/>
    <n v="0"/>
    <n v="29389.08"/>
    <s v="Inter"/>
    <x v="0"/>
    <s v="Without Pay"/>
    <s v="No"/>
    <s v="Other than E-Commerence"/>
    <x v="8"/>
    <x v="5"/>
    <m/>
    <n v="0"/>
    <m/>
    <m/>
  </r>
  <r>
    <s v="U2"/>
    <x v="2"/>
    <n v="1234"/>
    <x v="61"/>
    <x v="0"/>
    <x v="0"/>
    <s v="1900-1821"/>
    <x v="61"/>
    <s v=""/>
    <s v=""/>
    <s v=""/>
    <s v=""/>
    <x v="0"/>
    <s v="Supplier"/>
    <s v="SYZ"/>
    <x v="0"/>
    <s v=""/>
    <s v=""/>
    <m/>
    <m/>
    <n v="1234"/>
    <n v="0"/>
    <s v="Material Name"/>
    <x v="3"/>
    <x v="1"/>
    <s v=""/>
    <s v=""/>
    <s v=""/>
    <s v=""/>
    <m/>
    <m/>
    <n v="50000"/>
    <n v="100"/>
    <s v="INR"/>
    <n v="1"/>
    <n v="5000000"/>
    <n v="5000000"/>
    <n v="0"/>
    <n v="5400"/>
    <n v="0"/>
    <n v="5400"/>
    <n v="0"/>
    <n v="0"/>
    <n v="0"/>
    <n v="5400"/>
    <n v="0"/>
    <n v="5400"/>
    <n v="10800"/>
    <x v="15"/>
    <n v="0"/>
    <n v="70800"/>
    <s v="Local"/>
    <x v="0"/>
    <s v="Without Pay"/>
    <s v="No"/>
    <s v="Other than E-Commerence"/>
    <x v="5"/>
    <x v="13"/>
    <m/>
    <n v="0"/>
    <m/>
    <m/>
  </r>
  <r>
    <s v="U2"/>
    <x v="0"/>
    <n v="1234"/>
    <x v="62"/>
    <x v="0"/>
    <x v="0"/>
    <s v="1900-1822"/>
    <x v="6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20"/>
    <n v="100"/>
    <s v="INR"/>
    <n v="1"/>
    <n v="42000"/>
    <n v="42000"/>
    <n v="0"/>
    <n v="0"/>
    <n v="0"/>
    <n v="0"/>
    <n v="72032.44"/>
    <n v="72032.44"/>
    <n v="0"/>
    <n v="0"/>
    <n v="0"/>
    <n v="0"/>
    <n v="72032.44"/>
    <x v="6"/>
    <n v="0"/>
    <n v="472212.64"/>
    <s v="Inter"/>
    <x v="0"/>
    <s v="Without Pay"/>
    <s v="No"/>
    <s v="Other than E-Commerence"/>
    <x v="0"/>
    <x v="0"/>
    <m/>
    <n v="0"/>
    <m/>
    <m/>
  </r>
  <r>
    <s v="U2"/>
    <x v="0"/>
    <n v="1234"/>
    <x v="63"/>
    <x v="0"/>
    <x v="0"/>
    <s v="1900-1824"/>
    <x v="63"/>
    <s v=""/>
    <s v=""/>
    <s v=""/>
    <s v=""/>
    <x v="0"/>
    <s v="Customer"/>
    <s v="SYZ"/>
    <x v="0"/>
    <s v=""/>
    <s v=""/>
    <m/>
    <m/>
    <n v="1234"/>
    <n v="0"/>
    <s v="Material Name"/>
    <x v="3"/>
    <x v="1"/>
    <s v=""/>
    <s v=""/>
    <s v=""/>
    <s v=""/>
    <m/>
    <m/>
    <n v="50000"/>
    <n v="100"/>
    <s v="INR"/>
    <n v="1"/>
    <n v="5000000"/>
    <n v="5000000"/>
    <n v="0"/>
    <n v="0"/>
    <n v="0"/>
    <n v="0"/>
    <n v="10800"/>
    <n v="10800"/>
    <n v="0"/>
    <n v="0"/>
    <n v="0"/>
    <n v="0"/>
    <n v="10800"/>
    <x v="15"/>
    <n v="0"/>
    <n v="70800"/>
    <s v="Inter"/>
    <x v="0"/>
    <s v="Without Pay"/>
    <s v="No"/>
    <s v="Other than E-Commerence"/>
    <x v="8"/>
    <x v="2"/>
    <m/>
    <n v="0"/>
    <m/>
    <m/>
  </r>
  <r>
    <s v="U2"/>
    <x v="0"/>
    <n v="1234"/>
    <x v="64"/>
    <x v="0"/>
    <x v="0"/>
    <s v="1900-1823"/>
    <x v="6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900"/>
    <n v="100"/>
    <s v="INR"/>
    <n v="1"/>
    <n v="90000"/>
    <n v="90000"/>
    <n v="0"/>
    <n v="0"/>
    <n v="0"/>
    <n v="0"/>
    <n v="127212.12"/>
    <n v="127212.12"/>
    <n v="0"/>
    <n v="0"/>
    <n v="0"/>
    <n v="0"/>
    <n v="127212.12"/>
    <x v="14"/>
    <n v="0"/>
    <n v="833946.12"/>
    <s v="Inter"/>
    <x v="0"/>
    <s v="Without Pay"/>
    <s v="No"/>
    <s v="Other than E-Commerence"/>
    <x v="1"/>
    <x v="5"/>
    <m/>
    <n v="0"/>
    <m/>
    <m/>
  </r>
  <r>
    <s v="U2"/>
    <x v="0"/>
    <n v="1234"/>
    <x v="65"/>
    <x v="0"/>
    <x v="0"/>
    <s v="1900-1825"/>
    <x v="6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770"/>
    <n v="100"/>
    <s v="INR"/>
    <n v="1"/>
    <n v="77000"/>
    <n v="77000"/>
    <n v="0"/>
    <n v="0"/>
    <n v="0"/>
    <n v="0"/>
    <n v="100426.79"/>
    <n v="100426.79"/>
    <n v="0"/>
    <n v="0"/>
    <n v="0"/>
    <n v="0"/>
    <n v="100426.79"/>
    <x v="5"/>
    <n v="0"/>
    <n v="658353.39"/>
    <s v="Inter"/>
    <x v="0"/>
    <s v="Without Pay"/>
    <s v="No"/>
    <s v="Other than E-Commerence"/>
    <x v="3"/>
    <x v="5"/>
    <m/>
    <n v="0"/>
    <m/>
    <m/>
  </r>
  <r>
    <s v="U2"/>
    <x v="0"/>
    <n v="1234"/>
    <x v="66"/>
    <x v="0"/>
    <x v="0"/>
    <s v="1900-1826"/>
    <x v="6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00"/>
    <n v="100"/>
    <s v="INR"/>
    <n v="1"/>
    <n v="30000"/>
    <n v="30000"/>
    <n v="0"/>
    <n v="0"/>
    <n v="0"/>
    <n v="0"/>
    <n v="51451.74"/>
    <n v="51451.74"/>
    <n v="0"/>
    <n v="0"/>
    <n v="0"/>
    <n v="0"/>
    <n v="51451.74"/>
    <x v="6"/>
    <n v="0"/>
    <n v="337294.74"/>
    <s v="Inter"/>
    <x v="0"/>
    <s v="Without Pay"/>
    <s v="No"/>
    <s v="Other than E-Commerence"/>
    <x v="0"/>
    <x v="5"/>
    <m/>
    <n v="0"/>
    <m/>
    <m/>
  </r>
  <r>
    <s v="U2"/>
    <x v="0"/>
    <n v="1234"/>
    <x v="66"/>
    <x v="0"/>
    <x v="0"/>
    <s v="1900-1826"/>
    <x v="6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40"/>
    <n v="100"/>
    <s v="INR"/>
    <n v="1"/>
    <n v="44000"/>
    <n v="44000"/>
    <n v="0"/>
    <n v="0"/>
    <n v="0"/>
    <n v="0"/>
    <n v="62192.59"/>
    <n v="62192.59"/>
    <n v="0"/>
    <n v="0"/>
    <n v="0"/>
    <n v="0"/>
    <n v="62192.59"/>
    <x v="14"/>
    <n v="0"/>
    <n v="407706.99"/>
    <s v="Inter"/>
    <x v="0"/>
    <s v="Without Pay"/>
    <s v="No"/>
    <s v="Other than E-Commerence"/>
    <x v="0"/>
    <x v="0"/>
    <m/>
    <n v="0"/>
    <m/>
    <m/>
  </r>
  <r>
    <s v="U2"/>
    <x v="0"/>
    <n v="1234"/>
    <x v="66"/>
    <x v="0"/>
    <x v="0"/>
    <s v="1900-1826"/>
    <x v="6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8937"/>
    <n v="8937"/>
    <n v="0"/>
    <n v="0"/>
    <n v="0"/>
    <n v="0"/>
    <n v="8937"/>
    <x v="8"/>
    <n v="0"/>
    <n v="58587"/>
    <s v="Inter"/>
    <x v="0"/>
    <s v="Without Pay"/>
    <s v="No"/>
    <s v="Other than E-Commerence"/>
    <x v="0"/>
    <x v="0"/>
    <m/>
    <n v="0"/>
    <m/>
    <m/>
  </r>
  <r>
    <s v="U2"/>
    <x v="0"/>
    <n v="1234"/>
    <x v="67"/>
    <x v="0"/>
    <x v="0"/>
    <s v="1900-1828"/>
    <x v="6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10"/>
    <n v="100"/>
    <s v="INR"/>
    <n v="1"/>
    <n v="101000"/>
    <n v="101000"/>
    <n v="0"/>
    <n v="0"/>
    <n v="0"/>
    <n v="0"/>
    <n v="142760.26999999999"/>
    <n v="142760.26999999999"/>
    <n v="0"/>
    <n v="0"/>
    <n v="0"/>
    <n v="0"/>
    <n v="142760.26999999999"/>
    <x v="14"/>
    <n v="0"/>
    <n v="935872.87"/>
    <s v="Inter"/>
    <x v="0"/>
    <s v="Without Pay"/>
    <s v="No"/>
    <s v="Other than E-Commerence"/>
    <x v="1"/>
    <x v="2"/>
    <m/>
    <n v="0"/>
    <m/>
    <m/>
  </r>
  <r>
    <s v="U2"/>
    <x v="0"/>
    <n v="1234"/>
    <x v="67"/>
    <x v="0"/>
    <x v="0"/>
    <s v="1900-1828"/>
    <x v="6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"/>
    <n v="100"/>
    <s v="INR"/>
    <n v="1"/>
    <n v="2000"/>
    <n v="2000"/>
    <n v="0"/>
    <n v="0"/>
    <n v="0"/>
    <n v="0"/>
    <n v="3904.56"/>
    <n v="3904.56"/>
    <n v="0"/>
    <n v="0"/>
    <n v="0"/>
    <n v="0"/>
    <n v="3904.56"/>
    <x v="3"/>
    <n v="0"/>
    <n v="25596.560000000001"/>
    <s v="Inter"/>
    <x v="0"/>
    <s v="Without Pay"/>
    <s v="No"/>
    <s v="Other than E-Commerence"/>
    <x v="1"/>
    <x v="2"/>
    <m/>
    <n v="0"/>
    <m/>
    <m/>
  </r>
  <r>
    <s v="U2"/>
    <x v="0"/>
    <n v="1234"/>
    <x v="68"/>
    <x v="0"/>
    <x v="0"/>
    <s v="1900-1829"/>
    <x v="6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30"/>
    <n v="100"/>
    <s v="INR"/>
    <n v="1"/>
    <n v="103000"/>
    <n v="103000"/>
    <n v="0"/>
    <n v="0"/>
    <n v="0"/>
    <n v="0"/>
    <n v="134337.13"/>
    <n v="134337.13"/>
    <n v="0"/>
    <n v="0"/>
    <n v="0"/>
    <n v="0"/>
    <n v="134337.13"/>
    <x v="5"/>
    <n v="0"/>
    <n v="880654.53"/>
    <s v="Inter"/>
    <x v="0"/>
    <s v="Without Pay"/>
    <s v="No"/>
    <s v="Other than E-Commerence"/>
    <x v="3"/>
    <x v="16"/>
    <m/>
    <n v="0"/>
    <m/>
    <m/>
  </r>
  <r>
    <s v="U2"/>
    <x v="0"/>
    <n v="1234"/>
    <x v="68"/>
    <x v="0"/>
    <x v="0"/>
    <s v="1900-1829"/>
    <x v="6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0"/>
    <n v="100"/>
    <s v="INR"/>
    <n v="1"/>
    <n v="3000"/>
    <n v="3000"/>
    <n v="0"/>
    <n v="0"/>
    <n v="0"/>
    <n v="0"/>
    <n v="4903.2"/>
    <n v="4903.2"/>
    <n v="0"/>
    <n v="0"/>
    <n v="0"/>
    <n v="0"/>
    <n v="4903.2"/>
    <x v="4"/>
    <n v="0"/>
    <n v="32143.200000000001"/>
    <s v="Inter"/>
    <x v="0"/>
    <s v="Without Pay"/>
    <s v="No"/>
    <s v="Other than E-Commerence"/>
    <x v="3"/>
    <x v="16"/>
    <m/>
    <n v="0"/>
    <m/>
    <m/>
  </r>
  <r>
    <s v="U2"/>
    <x v="0"/>
    <n v="1234"/>
    <x v="69"/>
    <x v="0"/>
    <x v="0"/>
    <s v="1900-1830"/>
    <x v="6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0"/>
    <n v="100"/>
    <s v="INR"/>
    <n v="1"/>
    <n v="10000"/>
    <n v="10000"/>
    <n v="0"/>
    <n v="0"/>
    <n v="0"/>
    <n v="0"/>
    <n v="12537"/>
    <n v="12537"/>
    <n v="0"/>
    <n v="0"/>
    <n v="0"/>
    <n v="0"/>
    <n v="12537"/>
    <x v="9"/>
    <n v="0"/>
    <n v="82187"/>
    <s v="Inter"/>
    <x v="0"/>
    <s v="Without Pay"/>
    <s v="No"/>
    <s v="Other than E-Commerence"/>
    <x v="9"/>
    <x v="16"/>
    <m/>
    <n v="0"/>
    <m/>
    <m/>
  </r>
  <r>
    <s v="U2"/>
    <x v="0"/>
    <n v="1234"/>
    <x v="69"/>
    <x v="0"/>
    <x v="0"/>
    <s v="1900-1830"/>
    <x v="6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0"/>
    <n v="100"/>
    <s v="INR"/>
    <n v="1"/>
    <n v="20000"/>
    <n v="20000"/>
    <n v="0"/>
    <n v="0"/>
    <n v="0"/>
    <n v="0"/>
    <n v="35748"/>
    <n v="35748"/>
    <n v="0"/>
    <n v="0"/>
    <n v="0"/>
    <n v="0"/>
    <n v="35748"/>
    <x v="8"/>
    <n v="0"/>
    <n v="234348"/>
    <s v="Inter"/>
    <x v="0"/>
    <s v="Without Pay"/>
    <s v="No"/>
    <s v="Other than E-Commerence"/>
    <x v="9"/>
    <x v="16"/>
    <m/>
    <n v="0"/>
    <m/>
    <m/>
  </r>
  <r>
    <s v="U2"/>
    <x v="0"/>
    <n v="1234"/>
    <x v="69"/>
    <x v="0"/>
    <x v="0"/>
    <s v="1900-1830"/>
    <x v="6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5"/>
    <n v="100"/>
    <s v="INR"/>
    <n v="1"/>
    <n v="2500"/>
    <n v="2500"/>
    <n v="0"/>
    <n v="0"/>
    <n v="0"/>
    <n v="0"/>
    <n v="4899.1499999999996"/>
    <n v="4899.1499999999996"/>
    <n v="0"/>
    <n v="0"/>
    <n v="0"/>
    <n v="0"/>
    <n v="4899.1499999999996"/>
    <x v="20"/>
    <n v="0"/>
    <n v="32116.65"/>
    <s v="Inter"/>
    <x v="0"/>
    <s v="Without Pay"/>
    <s v="No"/>
    <s v="Other than E-Commerence"/>
    <x v="9"/>
    <x v="16"/>
    <m/>
    <n v="0"/>
    <m/>
    <m/>
  </r>
  <r>
    <s v="U2"/>
    <x v="0"/>
    <n v="1234"/>
    <x v="69"/>
    <x v="0"/>
    <x v="0"/>
    <s v="1900-1830"/>
    <x v="6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0"/>
    <n v="100"/>
    <s v="INR"/>
    <n v="1"/>
    <n v="20000"/>
    <n v="20000"/>
    <n v="0"/>
    <n v="0"/>
    <n v="0"/>
    <n v="0"/>
    <n v="28886.400000000001"/>
    <n v="28886.400000000001"/>
    <n v="0"/>
    <n v="0"/>
    <n v="0"/>
    <n v="0"/>
    <n v="28886.400000000001"/>
    <x v="13"/>
    <n v="0"/>
    <n v="189366.39999999999"/>
    <s v="Inter"/>
    <x v="0"/>
    <s v="Without Pay"/>
    <s v="No"/>
    <s v="Other than E-Commerence"/>
    <x v="9"/>
    <x v="0"/>
    <m/>
    <n v="0"/>
    <m/>
    <m/>
  </r>
  <r>
    <s v="U2"/>
    <x v="0"/>
    <n v="1234"/>
    <x v="69"/>
    <x v="0"/>
    <x v="0"/>
    <s v="1900-1830"/>
    <x v="6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"/>
    <n v="100"/>
    <s v="INR"/>
    <n v="1"/>
    <n v="2000"/>
    <n v="2000"/>
    <n v="0"/>
    <n v="0"/>
    <n v="0"/>
    <n v="0"/>
    <n v="3904.56"/>
    <n v="3904.56"/>
    <n v="0"/>
    <n v="0"/>
    <n v="0"/>
    <n v="0"/>
    <n v="3904.56"/>
    <x v="3"/>
    <n v="0"/>
    <n v="25596.560000000001"/>
    <s v="Inter"/>
    <x v="0"/>
    <s v="Without Pay"/>
    <s v="No"/>
    <s v="Other than E-Commerence"/>
    <x v="9"/>
    <x v="0"/>
    <m/>
    <n v="0"/>
    <m/>
    <m/>
  </r>
  <r>
    <s v="U2"/>
    <x v="0"/>
    <n v="1234"/>
    <x v="70"/>
    <x v="0"/>
    <x v="0"/>
    <s v="1900-1831"/>
    <x v="7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950"/>
    <n v="100"/>
    <s v="INR"/>
    <n v="1"/>
    <n v="95000"/>
    <n v="95000"/>
    <n v="0"/>
    <n v="0"/>
    <n v="0"/>
    <n v="0"/>
    <n v="134279.46"/>
    <n v="134279.46"/>
    <n v="0"/>
    <n v="0"/>
    <n v="0"/>
    <n v="0"/>
    <n v="134279.46"/>
    <x v="14"/>
    <n v="0"/>
    <n v="880276.46"/>
    <s v="Inter"/>
    <x v="0"/>
    <s v="Without Pay"/>
    <s v="No"/>
    <s v="Other than E-Commerence"/>
    <x v="1"/>
    <x v="2"/>
    <m/>
    <n v="0"/>
    <m/>
    <m/>
  </r>
  <r>
    <s v="U2"/>
    <x v="0"/>
    <n v="1234"/>
    <x v="70"/>
    <x v="0"/>
    <x v="0"/>
    <s v="1900-1831"/>
    <x v="7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6"/>
    <n v="100"/>
    <s v="INR"/>
    <n v="1"/>
    <n v="10600"/>
    <n v="10600"/>
    <n v="0"/>
    <n v="0"/>
    <n v="0"/>
    <n v="0"/>
    <n v="18533.55"/>
    <n v="18533.55"/>
    <n v="0"/>
    <n v="0"/>
    <n v="0"/>
    <n v="0"/>
    <n v="18533.55"/>
    <x v="2"/>
    <n v="0"/>
    <n v="121497.71"/>
    <s v="Inter"/>
    <x v="0"/>
    <s v="Without Pay"/>
    <s v="No"/>
    <s v="Other than E-Commerence"/>
    <x v="1"/>
    <x v="5"/>
    <m/>
    <n v="0"/>
    <m/>
    <m/>
  </r>
  <r>
    <s v="U2"/>
    <x v="0"/>
    <n v="1234"/>
    <x v="71"/>
    <x v="0"/>
    <x v="0"/>
    <s v="1900-1832"/>
    <x v="7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50"/>
    <n v="100"/>
    <s v="INR"/>
    <n v="1"/>
    <n v="105000"/>
    <n v="105000"/>
    <n v="0"/>
    <n v="0"/>
    <n v="0"/>
    <n v="0"/>
    <n v="136945.62"/>
    <n v="136945.62"/>
    <n v="0"/>
    <n v="0"/>
    <n v="0"/>
    <n v="0"/>
    <n v="136945.62"/>
    <x v="5"/>
    <n v="0"/>
    <n v="897754.62"/>
    <s v="Inter"/>
    <x v="0"/>
    <s v="Without Pay"/>
    <s v="No"/>
    <s v="Other than E-Commerence"/>
    <x v="3"/>
    <x v="5"/>
    <m/>
    <n v="0"/>
    <m/>
    <m/>
  </r>
  <r>
    <s v="U2"/>
    <x v="0"/>
    <n v="1234"/>
    <x v="72"/>
    <x v="0"/>
    <x v="0"/>
    <s v="1900-1833"/>
    <x v="7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30"/>
    <n v="100"/>
    <s v="INR"/>
    <n v="1"/>
    <n v="53000"/>
    <n v="53000"/>
    <n v="0"/>
    <n v="0"/>
    <n v="0"/>
    <n v="0"/>
    <n v="90898.07"/>
    <n v="90898.07"/>
    <n v="0"/>
    <n v="0"/>
    <n v="0"/>
    <n v="0"/>
    <n v="90898.07"/>
    <x v="6"/>
    <n v="0"/>
    <n v="595887.37"/>
    <s v="Inter"/>
    <x v="0"/>
    <s v="Without Pay"/>
    <s v="No"/>
    <s v="Other than E-Commerence"/>
    <x v="0"/>
    <x v="10"/>
    <m/>
    <n v="0"/>
    <m/>
    <m/>
  </r>
  <r>
    <s v="U2"/>
    <x v="0"/>
    <n v="1234"/>
    <x v="72"/>
    <x v="0"/>
    <x v="0"/>
    <s v="1900-1833"/>
    <x v="7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"/>
    <n v="100"/>
    <s v="INR"/>
    <n v="1"/>
    <n v="2000"/>
    <n v="2000"/>
    <n v="0"/>
    <n v="0"/>
    <n v="0"/>
    <n v="0"/>
    <n v="3268.8"/>
    <n v="3268.8"/>
    <n v="0"/>
    <n v="0"/>
    <n v="0"/>
    <n v="0"/>
    <n v="3268.8"/>
    <x v="4"/>
    <n v="0"/>
    <n v="21428.799999999999"/>
    <s v="Inter"/>
    <x v="0"/>
    <s v="Without Pay"/>
    <s v="No"/>
    <s v="Other than E-Commerence"/>
    <x v="0"/>
    <x v="10"/>
    <m/>
    <n v="0"/>
    <m/>
    <m/>
  </r>
  <r>
    <s v="U2"/>
    <x v="0"/>
    <n v="1234"/>
    <x v="73"/>
    <x v="0"/>
    <x v="0"/>
    <s v="1900-1834"/>
    <x v="7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0"/>
    <n v="100"/>
    <s v="INR"/>
    <n v="1"/>
    <n v="10000"/>
    <n v="10000"/>
    <n v="0"/>
    <n v="0"/>
    <n v="0"/>
    <n v="0"/>
    <n v="17150.580000000002"/>
    <n v="17150.580000000002"/>
    <n v="0"/>
    <n v="0"/>
    <n v="0"/>
    <n v="0"/>
    <n v="17150.580000000002"/>
    <x v="6"/>
    <n v="0"/>
    <n v="112431.58"/>
    <s v="Inter"/>
    <x v="0"/>
    <s v="Without Pay"/>
    <s v="No"/>
    <s v="Other than E-Commerence"/>
    <x v="7"/>
    <x v="10"/>
    <m/>
    <n v="0"/>
    <m/>
    <m/>
  </r>
  <r>
    <s v="U2"/>
    <x v="0"/>
    <n v="1234"/>
    <x v="73"/>
    <x v="0"/>
    <x v="0"/>
    <s v="1900-1834"/>
    <x v="7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"/>
    <n v="100"/>
    <s v="INR"/>
    <n v="1"/>
    <n v="1000"/>
    <n v="1000"/>
    <n v="0"/>
    <n v="0"/>
    <n v="0"/>
    <n v="0"/>
    <n v="1952.28"/>
    <n v="1952.28"/>
    <n v="0"/>
    <n v="0"/>
    <n v="0"/>
    <n v="0"/>
    <n v="1952.28"/>
    <x v="3"/>
    <n v="0"/>
    <n v="12798.28"/>
    <s v="Inter"/>
    <x v="0"/>
    <s v="Without Pay"/>
    <s v="No"/>
    <s v="Other than E-Commerence"/>
    <x v="7"/>
    <x v="8"/>
    <m/>
    <n v="0"/>
    <m/>
    <m/>
  </r>
  <r>
    <s v="U2"/>
    <x v="0"/>
    <n v="1234"/>
    <x v="73"/>
    <x v="0"/>
    <x v="0"/>
    <s v="1900-1834"/>
    <x v="7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"/>
    <n v="100"/>
    <s v="INR"/>
    <n v="1"/>
    <n v="1000"/>
    <n v="1000"/>
    <n v="0"/>
    <n v="0"/>
    <n v="0"/>
    <n v="0"/>
    <n v="1634.4"/>
    <n v="1634.4"/>
    <n v="0"/>
    <n v="0"/>
    <n v="0"/>
    <n v="0"/>
    <n v="1634.4"/>
    <x v="4"/>
    <n v="0"/>
    <n v="10714.4"/>
    <s v="Inter"/>
    <x v="0"/>
    <s v="Without Pay"/>
    <s v="No"/>
    <s v="Other than E-Commerence"/>
    <x v="7"/>
    <x v="8"/>
    <m/>
    <n v="0"/>
    <m/>
    <m/>
  </r>
  <r>
    <s v="U2"/>
    <x v="0"/>
    <n v="1234"/>
    <x v="74"/>
    <x v="0"/>
    <x v="0"/>
    <s v="1900-1835"/>
    <x v="7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50"/>
    <n v="100"/>
    <s v="INR"/>
    <n v="1"/>
    <n v="45000"/>
    <n v="45000"/>
    <n v="0"/>
    <n v="0"/>
    <n v="0"/>
    <n v="0"/>
    <n v="63606.06"/>
    <n v="63606.06"/>
    <n v="0"/>
    <n v="0"/>
    <n v="0"/>
    <n v="0"/>
    <n v="63606.06"/>
    <x v="14"/>
    <n v="0"/>
    <n v="416973.06"/>
    <s v="Inter"/>
    <x v="0"/>
    <s v="Without Pay"/>
    <s v="No"/>
    <s v="Other than E-Commerence"/>
    <x v="6"/>
    <x v="8"/>
    <m/>
    <n v="0"/>
    <m/>
    <m/>
  </r>
  <r>
    <s v="U2"/>
    <x v="0"/>
    <n v="1234"/>
    <x v="74"/>
    <x v="0"/>
    <x v="0"/>
    <s v="1900-1835"/>
    <x v="7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50"/>
    <n v="100"/>
    <s v="INR"/>
    <n v="1"/>
    <n v="15000"/>
    <n v="15000"/>
    <n v="0"/>
    <n v="0"/>
    <n v="0"/>
    <n v="0"/>
    <n v="18805.5"/>
    <n v="18805.5"/>
    <n v="0"/>
    <n v="0"/>
    <n v="0"/>
    <n v="0"/>
    <n v="18805.5"/>
    <x v="9"/>
    <n v="0"/>
    <n v="123280.5"/>
    <s v="Inter"/>
    <x v="0"/>
    <s v="Without Pay"/>
    <s v="No"/>
    <s v="Other than E-Commerence"/>
    <x v="6"/>
    <x v="8"/>
    <m/>
    <n v="0"/>
    <m/>
    <m/>
  </r>
  <r>
    <s v="U2"/>
    <x v="0"/>
    <n v="1234"/>
    <x v="74"/>
    <x v="0"/>
    <x v="0"/>
    <s v="1900-1835"/>
    <x v="7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8937"/>
    <n v="8937"/>
    <n v="0"/>
    <n v="0"/>
    <n v="0"/>
    <n v="0"/>
    <n v="8937"/>
    <x v="8"/>
    <n v="0"/>
    <n v="58587"/>
    <s v="Inter"/>
    <x v="0"/>
    <s v="Without Pay"/>
    <s v="No"/>
    <s v="Other than E-Commerence"/>
    <x v="6"/>
    <x v="8"/>
    <m/>
    <n v="0"/>
    <m/>
    <m/>
  </r>
  <r>
    <s v="U2"/>
    <x v="0"/>
    <n v="1234"/>
    <x v="74"/>
    <x v="0"/>
    <x v="0"/>
    <s v="1900-1835"/>
    <x v="7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"/>
    <n v="100"/>
    <s v="INR"/>
    <n v="1"/>
    <n v="1000"/>
    <n v="1000"/>
    <n v="0"/>
    <n v="0"/>
    <n v="0"/>
    <n v="0"/>
    <n v="1879.92"/>
    <n v="1879.92"/>
    <n v="0"/>
    <n v="0"/>
    <n v="0"/>
    <n v="0"/>
    <n v="1879.92"/>
    <x v="12"/>
    <n v="0"/>
    <n v="12323.92"/>
    <s v="Inter"/>
    <x v="0"/>
    <s v="Without Pay"/>
    <s v="No"/>
    <s v="Other than E-Commerence"/>
    <x v="6"/>
    <x v="8"/>
    <m/>
    <n v="0"/>
    <m/>
    <m/>
  </r>
  <r>
    <s v="U2"/>
    <x v="0"/>
    <n v="1234"/>
    <x v="74"/>
    <x v="0"/>
    <x v="0"/>
    <s v="1900-1835"/>
    <x v="7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70"/>
    <n v="100"/>
    <s v="INR"/>
    <n v="1"/>
    <n v="7000"/>
    <n v="7000"/>
    <n v="0"/>
    <n v="0"/>
    <n v="0"/>
    <n v="0"/>
    <n v="13665.96"/>
    <n v="13665.96"/>
    <n v="0"/>
    <n v="0"/>
    <n v="0"/>
    <n v="0"/>
    <n v="13665.96"/>
    <x v="3"/>
    <n v="0"/>
    <n v="89587.96"/>
    <s v="Inter"/>
    <x v="0"/>
    <s v="Without Pay"/>
    <s v="No"/>
    <s v="Other than E-Commerence"/>
    <x v="6"/>
    <x v="3"/>
    <m/>
    <n v="0"/>
    <m/>
    <m/>
  </r>
  <r>
    <s v="U2"/>
    <x v="0"/>
    <n v="1234"/>
    <x v="74"/>
    <x v="0"/>
    <x v="0"/>
    <s v="1900-1835"/>
    <x v="7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0"/>
    <n v="100"/>
    <s v="INR"/>
    <n v="1"/>
    <n v="4000"/>
    <n v="4000"/>
    <n v="0"/>
    <n v="0"/>
    <n v="0"/>
    <n v="0"/>
    <n v="6537.6"/>
    <n v="6537.6"/>
    <n v="0"/>
    <n v="0"/>
    <n v="0"/>
    <n v="0"/>
    <n v="6537.6"/>
    <x v="4"/>
    <n v="0"/>
    <n v="42857.599999999999"/>
    <s v="Inter"/>
    <x v="0"/>
    <s v="Without Pay"/>
    <s v="No"/>
    <s v="Other than E-Commerence"/>
    <x v="6"/>
    <x v="3"/>
    <m/>
    <n v="0"/>
    <m/>
    <m/>
  </r>
  <r>
    <s v="U2"/>
    <x v="0"/>
    <n v="1234"/>
    <x v="75"/>
    <x v="0"/>
    <x v="0"/>
    <s v="1900-1836"/>
    <x v="7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20"/>
    <n v="100"/>
    <s v="INR"/>
    <n v="1"/>
    <n v="42000"/>
    <n v="42000"/>
    <n v="0"/>
    <n v="0"/>
    <n v="0"/>
    <n v="0"/>
    <n v="59365.66"/>
    <n v="59365.66"/>
    <n v="0"/>
    <n v="0"/>
    <n v="0"/>
    <n v="0"/>
    <n v="59365.66"/>
    <x v="14"/>
    <n v="0"/>
    <n v="389174.86"/>
    <s v="Inter"/>
    <x v="0"/>
    <s v="Without Pay"/>
    <s v="No"/>
    <s v="Other than E-Commerence"/>
    <x v="4"/>
    <x v="3"/>
    <m/>
    <n v="0"/>
    <m/>
    <m/>
  </r>
  <r>
    <s v="U2"/>
    <x v="0"/>
    <n v="1234"/>
    <x v="75"/>
    <x v="0"/>
    <x v="0"/>
    <s v="1900-1836"/>
    <x v="7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8937"/>
    <n v="8937"/>
    <n v="0"/>
    <n v="0"/>
    <n v="0"/>
    <n v="0"/>
    <n v="8937"/>
    <x v="8"/>
    <n v="0"/>
    <n v="58587"/>
    <s v="Inter"/>
    <x v="0"/>
    <s v="Without Pay"/>
    <s v="No"/>
    <s v="Other than E-Commerence"/>
    <x v="4"/>
    <x v="3"/>
    <m/>
    <n v="0"/>
    <m/>
    <m/>
  </r>
  <r>
    <s v="U2"/>
    <x v="0"/>
    <n v="1234"/>
    <x v="75"/>
    <x v="0"/>
    <x v="0"/>
    <s v="1900-1836"/>
    <x v="7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9761.4"/>
    <n v="9761.4"/>
    <n v="0"/>
    <n v="0"/>
    <n v="0"/>
    <n v="0"/>
    <n v="9761.4"/>
    <x v="3"/>
    <n v="0"/>
    <n v="63991.4"/>
    <s v="Inter"/>
    <x v="0"/>
    <s v="Without Pay"/>
    <s v="No"/>
    <s v="Other than E-Commerence"/>
    <x v="4"/>
    <x v="5"/>
    <m/>
    <n v="0"/>
    <m/>
    <m/>
  </r>
  <r>
    <s v="U2"/>
    <x v="0"/>
    <n v="1234"/>
    <x v="75"/>
    <x v="0"/>
    <x v="0"/>
    <s v="1900-1836"/>
    <x v="7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"/>
    <n v="100"/>
    <s v="INR"/>
    <n v="1"/>
    <n v="500"/>
    <n v="500"/>
    <n v="0"/>
    <n v="0"/>
    <n v="0"/>
    <n v="0"/>
    <n v="817.2"/>
    <n v="817.2"/>
    <n v="0"/>
    <n v="0"/>
    <n v="0"/>
    <n v="0"/>
    <n v="817.2"/>
    <x v="4"/>
    <n v="0"/>
    <n v="5357.2"/>
    <s v="Inter"/>
    <x v="0"/>
    <s v="Without Pay"/>
    <s v="No"/>
    <s v="Other than E-Commerence"/>
    <x v="4"/>
    <x v="0"/>
    <m/>
    <n v="0"/>
    <m/>
    <m/>
  </r>
  <r>
    <s v="U2"/>
    <x v="0"/>
    <n v="1234"/>
    <x v="76"/>
    <x v="0"/>
    <x v="0"/>
    <s v="1900-1837"/>
    <x v="7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80"/>
    <n v="100"/>
    <s v="INR"/>
    <n v="1"/>
    <n v="68000"/>
    <n v="68000"/>
    <n v="0"/>
    <n v="0"/>
    <n v="0"/>
    <n v="0"/>
    <n v="116623.94"/>
    <n v="116623.94"/>
    <n v="0"/>
    <n v="0"/>
    <n v="0"/>
    <n v="0"/>
    <n v="116623.94"/>
    <x v="6"/>
    <n v="0"/>
    <n v="764534.74"/>
    <s v="Inter"/>
    <x v="0"/>
    <s v="Without Pay"/>
    <s v="No"/>
    <s v="Other than E-Commerence"/>
    <x v="0"/>
    <x v="0"/>
    <m/>
    <n v="0"/>
    <m/>
    <m/>
  </r>
  <r>
    <s v="U2"/>
    <x v="0"/>
    <n v="1234"/>
    <x v="77"/>
    <x v="0"/>
    <x v="0"/>
    <s v="1900-1839"/>
    <x v="7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00"/>
    <n v="100"/>
    <s v="INR"/>
    <n v="1"/>
    <n v="30000"/>
    <n v="30000"/>
    <n v="0"/>
    <n v="0"/>
    <n v="0"/>
    <n v="0"/>
    <n v="39127.32"/>
    <n v="39127.32"/>
    <n v="0"/>
    <n v="0"/>
    <n v="0"/>
    <n v="0"/>
    <n v="39127.32"/>
    <x v="5"/>
    <n v="0"/>
    <n v="256501.32"/>
    <s v="Inter"/>
    <x v="0"/>
    <s v="Without Pay"/>
    <s v="No"/>
    <s v="Other than E-Commerence"/>
    <x v="1"/>
    <x v="9"/>
    <m/>
    <n v="0"/>
    <m/>
    <m/>
  </r>
  <r>
    <s v="U2"/>
    <x v="0"/>
    <n v="1234"/>
    <x v="77"/>
    <x v="0"/>
    <x v="0"/>
    <s v="1900-1839"/>
    <x v="7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720"/>
    <n v="100"/>
    <s v="INR"/>
    <n v="1"/>
    <n v="72000"/>
    <n v="72000"/>
    <n v="0"/>
    <n v="0"/>
    <n v="0"/>
    <n v="0"/>
    <n v="101769.7"/>
    <n v="101769.7"/>
    <n v="0"/>
    <n v="0"/>
    <n v="0"/>
    <n v="0"/>
    <n v="101769.7"/>
    <x v="14"/>
    <n v="0"/>
    <n v="667156.9"/>
    <s v="Inter"/>
    <x v="0"/>
    <s v="Without Pay"/>
    <s v="No"/>
    <s v="Other than E-Commerence"/>
    <x v="1"/>
    <x v="9"/>
    <m/>
    <n v="0"/>
    <m/>
    <m/>
  </r>
  <r>
    <s v="U2"/>
    <x v="0"/>
    <n v="1234"/>
    <x v="78"/>
    <x v="0"/>
    <x v="0"/>
    <s v="1900-1840"/>
    <x v="78"/>
    <s v=""/>
    <s v=""/>
    <s v=""/>
    <s v=""/>
    <x v="0"/>
    <s v="Customer"/>
    <s v="SYZ"/>
    <x v="0"/>
    <s v=""/>
    <s v=""/>
    <m/>
    <m/>
    <n v="1234"/>
    <n v="0"/>
    <s v="Material Name"/>
    <x v="6"/>
    <x v="0"/>
    <s v=""/>
    <s v=""/>
    <s v=""/>
    <s v=""/>
    <m/>
    <m/>
    <n v="409"/>
    <n v="100"/>
    <s v="INR"/>
    <n v="1"/>
    <n v="40900"/>
    <n v="40900"/>
    <n v="0"/>
    <n v="0"/>
    <n v="0"/>
    <n v="0"/>
    <n v="57171.82"/>
    <n v="57171.82"/>
    <n v="0"/>
    <n v="0"/>
    <n v="0"/>
    <n v="0"/>
    <n v="57171.82"/>
    <x v="21"/>
    <n v="0"/>
    <n v="374793.04"/>
    <s v="Inter"/>
    <x v="0"/>
    <s v="Without Pay"/>
    <s v="No"/>
    <s v="Other than E-Commerence"/>
    <x v="10"/>
    <x v="5"/>
    <m/>
    <n v="0"/>
    <m/>
    <m/>
  </r>
  <r>
    <s v="U2"/>
    <x v="0"/>
    <n v="1234"/>
    <x v="79"/>
    <x v="0"/>
    <x v="0"/>
    <s v="1900-1841"/>
    <x v="7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0"/>
    <n v="100"/>
    <s v="INR"/>
    <n v="1"/>
    <n v="20000"/>
    <n v="20000"/>
    <n v="0"/>
    <n v="0"/>
    <n v="0"/>
    <n v="0"/>
    <n v="34301.160000000003"/>
    <n v="34301.160000000003"/>
    <n v="0"/>
    <n v="0"/>
    <n v="0"/>
    <n v="0"/>
    <n v="34301.160000000003"/>
    <x v="6"/>
    <n v="0"/>
    <n v="224863.16"/>
    <s v="Inter"/>
    <x v="0"/>
    <s v="Without Pay"/>
    <s v="No"/>
    <s v="Other than E-Commerence"/>
    <x v="0"/>
    <x v="5"/>
    <m/>
    <n v="0"/>
    <m/>
    <m/>
  </r>
  <r>
    <s v="U2"/>
    <x v="0"/>
    <n v="1234"/>
    <x v="79"/>
    <x v="0"/>
    <x v="0"/>
    <s v="1900-1841"/>
    <x v="7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0"/>
    <n v="100"/>
    <s v="INR"/>
    <n v="1"/>
    <n v="50000"/>
    <n v="50000"/>
    <n v="0"/>
    <n v="0"/>
    <n v="0"/>
    <n v="0"/>
    <n v="70673.399999999994"/>
    <n v="70673.399999999994"/>
    <n v="0"/>
    <n v="0"/>
    <n v="0"/>
    <n v="0"/>
    <n v="70673.399999999994"/>
    <x v="14"/>
    <n v="0"/>
    <n v="463303.4"/>
    <s v="Inter"/>
    <x v="0"/>
    <s v="Without Pay"/>
    <s v="No"/>
    <s v="Other than E-Commerence"/>
    <x v="0"/>
    <x v="2"/>
    <m/>
    <n v="0"/>
    <m/>
    <m/>
  </r>
  <r>
    <s v="U2"/>
    <x v="0"/>
    <n v="1234"/>
    <x v="79"/>
    <x v="0"/>
    <x v="0"/>
    <s v="1900-1841"/>
    <x v="7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30"/>
    <n v="100"/>
    <s v="INR"/>
    <n v="1"/>
    <n v="23000"/>
    <n v="23000"/>
    <n v="0"/>
    <n v="0"/>
    <n v="0"/>
    <n v="0"/>
    <n v="44902.44"/>
    <n v="44902.44"/>
    <n v="0"/>
    <n v="0"/>
    <n v="0"/>
    <n v="0"/>
    <n v="44902.44"/>
    <x v="3"/>
    <n v="0"/>
    <n v="294360.44"/>
    <s v="Inter"/>
    <x v="0"/>
    <s v="Without Pay"/>
    <s v="No"/>
    <s v="Other than E-Commerence"/>
    <x v="0"/>
    <x v="2"/>
    <m/>
    <n v="0"/>
    <m/>
    <m/>
  </r>
  <r>
    <s v="U2"/>
    <x v="0"/>
    <n v="1234"/>
    <x v="80"/>
    <x v="0"/>
    <x v="0"/>
    <s v="1900-1842"/>
    <x v="8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00"/>
    <n v="100"/>
    <s v="INR"/>
    <n v="1"/>
    <n v="100000"/>
    <n v="100000"/>
    <n v="0"/>
    <n v="0"/>
    <n v="0"/>
    <n v="0"/>
    <n v="130424.4"/>
    <n v="130424.4"/>
    <n v="0"/>
    <n v="0"/>
    <n v="0"/>
    <n v="0"/>
    <n v="130424.4"/>
    <x v="5"/>
    <n v="0"/>
    <n v="855004.4"/>
    <s v="Inter"/>
    <x v="0"/>
    <s v="Without Pay"/>
    <s v="No"/>
    <s v="Other than E-Commerence"/>
    <x v="3"/>
    <x v="17"/>
    <m/>
    <n v="0"/>
    <m/>
    <m/>
  </r>
  <r>
    <s v="U2"/>
    <x v="0"/>
    <n v="1234"/>
    <x v="80"/>
    <x v="0"/>
    <x v="0"/>
    <s v="1900-1842"/>
    <x v="8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0"/>
    <n v="100"/>
    <s v="INR"/>
    <n v="1"/>
    <n v="6000"/>
    <n v="6000"/>
    <n v="0"/>
    <n v="0"/>
    <n v="0"/>
    <n v="0"/>
    <n v="11713.68"/>
    <n v="11713.68"/>
    <n v="0"/>
    <n v="0"/>
    <n v="0"/>
    <n v="0"/>
    <n v="11713.68"/>
    <x v="3"/>
    <n v="0"/>
    <n v="76789.679999999993"/>
    <s v="Inter"/>
    <x v="0"/>
    <s v="Without Pay"/>
    <s v="No"/>
    <s v="Other than E-Commerence"/>
    <x v="3"/>
    <x v="17"/>
    <m/>
    <n v="0"/>
    <m/>
    <m/>
  </r>
  <r>
    <s v="U2"/>
    <x v="0"/>
    <n v="1234"/>
    <x v="81"/>
    <x v="0"/>
    <x v="0"/>
    <s v="1900-1843"/>
    <x v="8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8937"/>
    <n v="8937"/>
    <n v="0"/>
    <n v="0"/>
    <n v="0"/>
    <n v="0"/>
    <n v="8937"/>
    <x v="8"/>
    <n v="0"/>
    <n v="58587"/>
    <s v="Inter"/>
    <x v="0"/>
    <s v="Without Pay"/>
    <s v="No"/>
    <s v="Other than E-Commerence"/>
    <x v="11"/>
    <x v="17"/>
    <m/>
    <n v="0"/>
    <m/>
    <m/>
  </r>
  <r>
    <s v="U2"/>
    <x v="0"/>
    <n v="1234"/>
    <x v="81"/>
    <x v="0"/>
    <x v="0"/>
    <s v="1900-1843"/>
    <x v="8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25"/>
    <n v="100"/>
    <s v="INR"/>
    <n v="1"/>
    <n v="12500"/>
    <n v="12500"/>
    <n v="0"/>
    <n v="0"/>
    <n v="0"/>
    <n v="0"/>
    <n v="24495.75"/>
    <n v="24495.75"/>
    <n v="0"/>
    <n v="0"/>
    <n v="0"/>
    <n v="0"/>
    <n v="24495.75"/>
    <x v="20"/>
    <n v="0"/>
    <n v="160583.25"/>
    <s v="Inter"/>
    <x v="0"/>
    <s v="Without Pay"/>
    <s v="No"/>
    <s v="Other than E-Commerence"/>
    <x v="11"/>
    <x v="17"/>
    <m/>
    <n v="0"/>
    <m/>
    <m/>
  </r>
  <r>
    <s v="U2"/>
    <x v="0"/>
    <n v="1234"/>
    <x v="81"/>
    <x v="0"/>
    <x v="0"/>
    <s v="1900-1843"/>
    <x v="8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0"/>
    <n v="100"/>
    <s v="INR"/>
    <n v="1"/>
    <n v="6000"/>
    <n v="6000"/>
    <n v="0"/>
    <n v="0"/>
    <n v="0"/>
    <n v="0"/>
    <n v="11713.68"/>
    <n v="11713.68"/>
    <n v="0"/>
    <n v="0"/>
    <n v="0"/>
    <n v="0"/>
    <n v="11713.68"/>
    <x v="3"/>
    <n v="0"/>
    <n v="76789.679999999993"/>
    <s v="Inter"/>
    <x v="0"/>
    <s v="Without Pay"/>
    <s v="No"/>
    <s v="Other than E-Commerence"/>
    <x v="11"/>
    <x v="3"/>
    <m/>
    <n v="0"/>
    <m/>
    <m/>
  </r>
  <r>
    <s v="U2"/>
    <x v="0"/>
    <n v="1234"/>
    <x v="81"/>
    <x v="0"/>
    <x v="0"/>
    <s v="1900-1843"/>
    <x v="8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10"/>
    <n v="100"/>
    <s v="INR"/>
    <n v="1"/>
    <n v="11000"/>
    <n v="11000"/>
    <n v="0"/>
    <n v="0"/>
    <n v="0"/>
    <n v="0"/>
    <n v="17978.400000000001"/>
    <n v="17978.400000000001"/>
    <n v="0"/>
    <n v="0"/>
    <n v="0"/>
    <n v="0"/>
    <n v="17978.400000000001"/>
    <x v="4"/>
    <n v="0"/>
    <n v="117858.4"/>
    <s v="Inter"/>
    <x v="0"/>
    <s v="Without Pay"/>
    <s v="No"/>
    <s v="Other than E-Commerence"/>
    <x v="11"/>
    <x v="3"/>
    <m/>
    <n v="0"/>
    <m/>
    <m/>
  </r>
  <r>
    <s v="U2"/>
    <x v="0"/>
    <n v="1234"/>
    <x v="82"/>
    <x v="0"/>
    <x v="0"/>
    <s v="1900-1844"/>
    <x v="8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0"/>
    <n v="100"/>
    <s v="INR"/>
    <n v="1"/>
    <n v="20000"/>
    <n v="20000"/>
    <n v="0"/>
    <n v="0"/>
    <n v="0"/>
    <n v="0"/>
    <n v="34301.160000000003"/>
    <n v="34301.160000000003"/>
    <n v="0"/>
    <n v="0"/>
    <n v="0"/>
    <n v="0"/>
    <n v="34301.160000000003"/>
    <x v="6"/>
    <n v="0"/>
    <n v="224863.16"/>
    <s v="Inter"/>
    <x v="0"/>
    <s v="Without Pay"/>
    <s v="No"/>
    <s v="Other than E-Commerence"/>
    <x v="4"/>
    <x v="18"/>
    <m/>
    <n v="0"/>
    <m/>
    <m/>
  </r>
  <r>
    <s v="U2"/>
    <x v="0"/>
    <n v="1234"/>
    <x v="82"/>
    <x v="0"/>
    <x v="0"/>
    <s v="1900-1844"/>
    <x v="8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50"/>
    <n v="100"/>
    <s v="INR"/>
    <n v="1"/>
    <n v="55000"/>
    <n v="55000"/>
    <n v="0"/>
    <n v="0"/>
    <n v="0"/>
    <n v="0"/>
    <n v="77740.740000000005"/>
    <n v="77740.740000000005"/>
    <n v="0"/>
    <n v="0"/>
    <n v="0"/>
    <n v="0"/>
    <n v="77740.740000000005"/>
    <x v="14"/>
    <n v="0"/>
    <n v="509633.74"/>
    <s v="Inter"/>
    <x v="0"/>
    <s v="Without Pay"/>
    <s v="No"/>
    <s v="Other than E-Commerence"/>
    <x v="4"/>
    <x v="18"/>
    <m/>
    <n v="0"/>
    <m/>
    <m/>
  </r>
  <r>
    <s v="U2"/>
    <x v="0"/>
    <n v="1234"/>
    <x v="83"/>
    <x v="0"/>
    <x v="0"/>
    <s v="1900-1845"/>
    <x v="83"/>
    <s v=""/>
    <s v=""/>
    <s v=""/>
    <s v=""/>
    <x v="0"/>
    <s v="Customer"/>
    <s v="SYZ"/>
    <x v="0"/>
    <s v=""/>
    <s v=""/>
    <m/>
    <m/>
    <n v="1234"/>
    <n v="0"/>
    <s v="Material Name"/>
    <x v="0"/>
    <x v="2"/>
    <s v=""/>
    <s v=""/>
    <s v=""/>
    <s v=""/>
    <m/>
    <m/>
    <n v="5"/>
    <n v="100"/>
    <s v="INR"/>
    <n v="1"/>
    <n v="500"/>
    <n v="500"/>
    <n v="0"/>
    <n v="31.5"/>
    <n v="0"/>
    <n v="31.5"/>
    <n v="0"/>
    <n v="0"/>
    <n v="0"/>
    <n v="31.5"/>
    <n v="0"/>
    <n v="31.5"/>
    <n v="63"/>
    <x v="7"/>
    <n v="0"/>
    <n v="413"/>
    <s v="Local"/>
    <x v="0"/>
    <s v="Without Pay"/>
    <s v="No"/>
    <s v="Other than E-Commerence"/>
    <x v="5"/>
    <x v="0"/>
    <m/>
    <n v="0"/>
    <m/>
    <m/>
  </r>
  <r>
    <s v="U2"/>
    <x v="0"/>
    <n v="1234"/>
    <x v="83"/>
    <x v="0"/>
    <x v="0"/>
    <s v="1900-1845"/>
    <x v="8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"/>
    <n v="100"/>
    <s v="INR"/>
    <n v="1"/>
    <n v="500"/>
    <n v="500"/>
    <n v="0"/>
    <n v="31.5"/>
    <n v="0"/>
    <n v="31.5"/>
    <n v="0"/>
    <n v="0"/>
    <n v="0"/>
    <n v="31.5"/>
    <n v="0"/>
    <n v="31.5"/>
    <n v="63"/>
    <x v="7"/>
    <n v="0"/>
    <n v="413"/>
    <s v="Local"/>
    <x v="0"/>
    <s v="Without Pay"/>
    <s v="No"/>
    <s v="Other than E-Commerence"/>
    <x v="5"/>
    <x v="2"/>
    <m/>
    <n v="0"/>
    <m/>
    <m/>
  </r>
  <r>
    <s v="U2"/>
    <x v="0"/>
    <n v="1234"/>
    <x v="84"/>
    <x v="0"/>
    <x v="0"/>
    <s v="1900-1846"/>
    <x v="8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35"/>
    <n v="100"/>
    <s v="INR"/>
    <n v="1"/>
    <n v="103500"/>
    <n v="103500"/>
    <n v="0"/>
    <n v="0"/>
    <n v="0"/>
    <n v="0"/>
    <n v="146293.94"/>
    <n v="146293.94"/>
    <n v="0"/>
    <n v="0"/>
    <n v="0"/>
    <n v="0"/>
    <n v="146293.94"/>
    <x v="14"/>
    <n v="0"/>
    <n v="959038.04"/>
    <s v="Inter"/>
    <x v="0"/>
    <s v="Without Pay"/>
    <s v="No"/>
    <s v="Other than E-Commerence"/>
    <x v="1"/>
    <x v="5"/>
    <m/>
    <n v="0"/>
    <m/>
    <m/>
  </r>
  <r>
    <s v="U2"/>
    <x v="0"/>
    <n v="1234"/>
    <x v="85"/>
    <x v="0"/>
    <x v="0"/>
    <s v="1900-1847"/>
    <x v="8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100"/>
    <n v="100"/>
    <s v="INR"/>
    <n v="1"/>
    <n v="110000"/>
    <n v="110000"/>
    <n v="0"/>
    <n v="0"/>
    <n v="0"/>
    <n v="0"/>
    <n v="143466.84"/>
    <n v="143466.84"/>
    <n v="0"/>
    <n v="0"/>
    <n v="0"/>
    <n v="0"/>
    <n v="143466.84"/>
    <x v="5"/>
    <n v="0"/>
    <n v="940504.84"/>
    <s v="Inter"/>
    <x v="0"/>
    <s v="Without Pay"/>
    <s v="No"/>
    <s v="Other than E-Commerence"/>
    <x v="3"/>
    <x v="5"/>
    <m/>
    <n v="0"/>
    <m/>
    <m/>
  </r>
  <r>
    <s v="U2"/>
    <x v="0"/>
    <n v="1234"/>
    <x v="86"/>
    <x v="0"/>
    <x v="0"/>
    <s v="1900-1848"/>
    <x v="8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50"/>
    <n v="100"/>
    <s v="INR"/>
    <n v="1"/>
    <n v="25000"/>
    <n v="25000"/>
    <n v="0"/>
    <n v="0"/>
    <n v="0"/>
    <n v="0"/>
    <n v="42876.45"/>
    <n v="42876.45"/>
    <n v="0"/>
    <n v="0"/>
    <n v="0"/>
    <n v="0"/>
    <n v="42876.45"/>
    <x v="6"/>
    <n v="0"/>
    <n v="281078.95"/>
    <s v="Inter"/>
    <x v="0"/>
    <s v="Without Pay"/>
    <s v="No"/>
    <s v="Other than E-Commerence"/>
    <x v="0"/>
    <x v="2"/>
    <m/>
    <n v="0"/>
    <m/>
    <m/>
  </r>
  <r>
    <s v="U2"/>
    <x v="0"/>
    <n v="1234"/>
    <x v="86"/>
    <x v="0"/>
    <x v="0"/>
    <s v="1900-1848"/>
    <x v="8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50"/>
    <n v="100"/>
    <s v="INR"/>
    <n v="1"/>
    <n v="65000"/>
    <n v="65000"/>
    <n v="0"/>
    <n v="0"/>
    <n v="0"/>
    <n v="0"/>
    <n v="91875.42"/>
    <n v="91875.42"/>
    <n v="0"/>
    <n v="0"/>
    <n v="0"/>
    <n v="0"/>
    <n v="91875.42"/>
    <x v="14"/>
    <n v="0"/>
    <n v="602294.42000000004"/>
    <s v="Inter"/>
    <x v="0"/>
    <s v="Without Pay"/>
    <s v="No"/>
    <s v="Other than E-Commerence"/>
    <x v="0"/>
    <x v="2"/>
    <m/>
    <n v="0"/>
    <m/>
    <m/>
  </r>
  <r>
    <s v="U2"/>
    <x v="0"/>
    <n v="1234"/>
    <x v="87"/>
    <x v="0"/>
    <x v="0"/>
    <s v="1900-1849"/>
    <x v="8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100"/>
    <n v="100"/>
    <s v="INR"/>
    <n v="1"/>
    <n v="110000"/>
    <n v="110000"/>
    <n v="0"/>
    <n v="0"/>
    <n v="0"/>
    <n v="0"/>
    <n v="143466.84"/>
    <n v="143466.84"/>
    <n v="0"/>
    <n v="0"/>
    <n v="0"/>
    <n v="0"/>
    <n v="143466.84"/>
    <x v="5"/>
    <n v="0"/>
    <n v="940504.84"/>
    <s v="Inter"/>
    <x v="0"/>
    <s v="Without Pay"/>
    <s v="No"/>
    <s v="Other than E-Commerence"/>
    <x v="3"/>
    <x v="2"/>
    <m/>
    <n v="0"/>
    <m/>
    <m/>
  </r>
  <r>
    <s v="U2"/>
    <x v="0"/>
    <n v="1234"/>
    <x v="88"/>
    <x v="0"/>
    <x v="0"/>
    <s v="1900-1850"/>
    <x v="8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80"/>
    <n v="100"/>
    <s v="INR"/>
    <n v="1"/>
    <n v="58000"/>
    <n v="58000"/>
    <n v="0"/>
    <n v="0"/>
    <n v="0"/>
    <n v="0"/>
    <n v="75646.149999999994"/>
    <n v="75646.149999999994"/>
    <n v="0"/>
    <n v="0"/>
    <n v="0"/>
    <n v="0"/>
    <n v="75646.149999999994"/>
    <x v="5"/>
    <n v="0"/>
    <n v="495902.55"/>
    <s v="Inter"/>
    <x v="0"/>
    <s v="Without Pay"/>
    <s v="No"/>
    <s v="Other than E-Commerence"/>
    <x v="3"/>
    <x v="9"/>
    <m/>
    <n v="0"/>
    <m/>
    <m/>
  </r>
  <r>
    <s v="U2"/>
    <x v="0"/>
    <n v="1234"/>
    <x v="88"/>
    <x v="0"/>
    <x v="0"/>
    <s v="1900-1850"/>
    <x v="8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0"/>
    <n v="100"/>
    <s v="INR"/>
    <n v="1"/>
    <n v="50000"/>
    <n v="50000"/>
    <n v="0"/>
    <n v="0"/>
    <n v="0"/>
    <n v="0"/>
    <n v="70673.399999999994"/>
    <n v="70673.399999999994"/>
    <n v="0"/>
    <n v="0"/>
    <n v="0"/>
    <n v="0"/>
    <n v="70673.399999999994"/>
    <x v="14"/>
    <n v="0"/>
    <n v="463303.4"/>
    <s v="Inter"/>
    <x v="0"/>
    <s v="Without Pay"/>
    <s v="No"/>
    <s v="Other than E-Commerence"/>
    <x v="3"/>
    <x v="9"/>
    <m/>
    <n v="0"/>
    <m/>
    <m/>
  </r>
  <r>
    <s v="U2"/>
    <x v="0"/>
    <n v="1234"/>
    <x v="89"/>
    <x v="0"/>
    <x v="0"/>
    <s v="1900-1853"/>
    <x v="8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800"/>
    <n v="100"/>
    <s v="INR"/>
    <n v="1"/>
    <n v="180000"/>
    <n v="180000"/>
    <n v="0"/>
    <n v="0"/>
    <n v="0"/>
    <n v="0"/>
    <n v="154159.20000000001"/>
    <n v="154159.20000000001"/>
    <n v="0"/>
    <n v="0"/>
    <n v="0"/>
    <n v="0"/>
    <n v="154159.20000000001"/>
    <x v="0"/>
    <n v="0"/>
    <n v="1010599.2"/>
    <s v="Inter"/>
    <x v="0"/>
    <s v="Without Pay"/>
    <s v="No"/>
    <s v="Other than E-Commerence"/>
    <x v="0"/>
    <x v="2"/>
    <m/>
    <n v="0"/>
    <m/>
    <m/>
  </r>
  <r>
    <s v="U2"/>
    <x v="0"/>
    <n v="1234"/>
    <x v="90"/>
    <x v="0"/>
    <x v="0"/>
    <s v="1900-1854"/>
    <x v="9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800"/>
    <n v="100"/>
    <s v="INR"/>
    <n v="1"/>
    <n v="180000"/>
    <n v="180000"/>
    <n v="0"/>
    <n v="0"/>
    <n v="0"/>
    <n v="0"/>
    <n v="154159.20000000001"/>
    <n v="154159.20000000001"/>
    <n v="0"/>
    <n v="0"/>
    <n v="0"/>
    <n v="0"/>
    <n v="154159.20000000001"/>
    <x v="0"/>
    <n v="0"/>
    <n v="1010599.2"/>
    <s v="Inter"/>
    <x v="0"/>
    <s v="Without Pay"/>
    <s v="No"/>
    <s v="Other than E-Commerence"/>
    <x v="0"/>
    <x v="2"/>
    <m/>
    <n v="0"/>
    <m/>
    <m/>
  </r>
  <r>
    <s v="U2"/>
    <x v="0"/>
    <n v="1234"/>
    <x v="91"/>
    <x v="0"/>
    <x v="0"/>
    <s v="1900-1855"/>
    <x v="9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0"/>
    <n v="100"/>
    <s v="INR"/>
    <n v="1"/>
    <n v="50000"/>
    <n v="50000"/>
    <n v="0"/>
    <n v="0"/>
    <n v="0"/>
    <n v="0"/>
    <n v="65212.2"/>
    <n v="65212.2"/>
    <n v="0"/>
    <n v="0"/>
    <n v="0"/>
    <n v="0"/>
    <n v="65212.2"/>
    <x v="5"/>
    <n v="0"/>
    <n v="427502.2"/>
    <s v="Inter"/>
    <x v="0"/>
    <s v="Without Pay"/>
    <s v="No"/>
    <s v="Other than E-Commerence"/>
    <x v="3"/>
    <x v="1"/>
    <m/>
    <n v="0"/>
    <m/>
    <m/>
  </r>
  <r>
    <s v="U2"/>
    <x v="0"/>
    <n v="1234"/>
    <x v="91"/>
    <x v="0"/>
    <x v="0"/>
    <s v="1900-1855"/>
    <x v="9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50"/>
    <n v="100"/>
    <s v="INR"/>
    <n v="1"/>
    <n v="55000"/>
    <n v="55000"/>
    <n v="0"/>
    <n v="0"/>
    <n v="0"/>
    <n v="0"/>
    <n v="77740.740000000005"/>
    <n v="77740.740000000005"/>
    <n v="0"/>
    <n v="0"/>
    <n v="0"/>
    <n v="0"/>
    <n v="77740.740000000005"/>
    <x v="14"/>
    <n v="0"/>
    <n v="509633.74"/>
    <s v="Inter"/>
    <x v="0"/>
    <s v="Without Pay"/>
    <s v="No"/>
    <s v="Other than E-Commerence"/>
    <x v="3"/>
    <x v="1"/>
    <m/>
    <n v="0"/>
    <m/>
    <m/>
  </r>
  <r>
    <s v="U2"/>
    <x v="0"/>
    <n v="1234"/>
    <x v="92"/>
    <x v="0"/>
    <x v="0"/>
    <s v="1900-1856"/>
    <x v="9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30"/>
    <n v="100"/>
    <s v="INR"/>
    <n v="1"/>
    <n v="53000"/>
    <n v="53000"/>
    <n v="0"/>
    <n v="0"/>
    <n v="0"/>
    <n v="0"/>
    <n v="74913.8"/>
    <n v="74913.8"/>
    <n v="0"/>
    <n v="0"/>
    <n v="0"/>
    <n v="0"/>
    <n v="74913.8"/>
    <x v="14"/>
    <n v="0"/>
    <n v="491101.6"/>
    <s v="Inter"/>
    <x v="0"/>
    <s v="Without Pay"/>
    <s v="No"/>
    <s v="Other than E-Commerence"/>
    <x v="2"/>
    <x v="1"/>
    <m/>
    <n v="0"/>
    <m/>
    <m/>
  </r>
  <r>
    <s v="U2"/>
    <x v="0"/>
    <n v="1234"/>
    <x v="92"/>
    <x v="0"/>
    <x v="0"/>
    <s v="1900-1856"/>
    <x v="9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5"/>
    <n v="100"/>
    <s v="INR"/>
    <n v="1"/>
    <n v="2500"/>
    <n v="2500"/>
    <n v="0"/>
    <n v="0"/>
    <n v="0"/>
    <n v="0"/>
    <n v="4468.5"/>
    <n v="4468.5"/>
    <n v="0"/>
    <n v="0"/>
    <n v="0"/>
    <n v="0"/>
    <n v="4468.5"/>
    <x v="8"/>
    <n v="0"/>
    <n v="29293.5"/>
    <s v="Inter"/>
    <x v="0"/>
    <s v="Without Pay"/>
    <s v="No"/>
    <s v="Other than E-Commerence"/>
    <x v="2"/>
    <x v="1"/>
    <m/>
    <n v="0"/>
    <m/>
    <m/>
  </r>
  <r>
    <s v="U2"/>
    <x v="0"/>
    <n v="1234"/>
    <x v="92"/>
    <x v="0"/>
    <x v="0"/>
    <s v="1900-1856"/>
    <x v="9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9761.4"/>
    <n v="9761.4"/>
    <n v="0"/>
    <n v="0"/>
    <n v="0"/>
    <n v="0"/>
    <n v="9761.4"/>
    <x v="3"/>
    <n v="0"/>
    <n v="63991.4"/>
    <s v="Inter"/>
    <x v="0"/>
    <s v="Without Pay"/>
    <s v="No"/>
    <s v="Other than E-Commerence"/>
    <x v="2"/>
    <x v="5"/>
    <m/>
    <n v="0"/>
    <m/>
    <m/>
  </r>
  <r>
    <s v="U2"/>
    <x v="0"/>
    <n v="1234"/>
    <x v="92"/>
    <x v="0"/>
    <x v="0"/>
    <s v="1900-1856"/>
    <x v="9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0"/>
    <n v="100"/>
    <s v="INR"/>
    <n v="1"/>
    <n v="3000"/>
    <n v="3000"/>
    <n v="0"/>
    <n v="0"/>
    <n v="0"/>
    <n v="0"/>
    <n v="4903.2"/>
    <n v="4903.2"/>
    <n v="0"/>
    <n v="0"/>
    <n v="0"/>
    <n v="0"/>
    <n v="4903.2"/>
    <x v="4"/>
    <n v="0"/>
    <n v="32143.200000000001"/>
    <s v="Inter"/>
    <x v="0"/>
    <s v="Without Pay"/>
    <s v="No"/>
    <s v="Other than E-Commerence"/>
    <x v="2"/>
    <x v="5"/>
    <m/>
    <n v="0"/>
    <m/>
    <m/>
  </r>
  <r>
    <s v="U2"/>
    <x v="0"/>
    <n v="1234"/>
    <x v="93"/>
    <x v="0"/>
    <x v="0"/>
    <s v="1900-1857"/>
    <x v="9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40"/>
    <n v="100"/>
    <s v="INR"/>
    <n v="1"/>
    <n v="54000"/>
    <n v="54000"/>
    <n v="0"/>
    <n v="0"/>
    <n v="0"/>
    <n v="0"/>
    <n v="92613.13"/>
    <n v="92613.13"/>
    <n v="0"/>
    <n v="0"/>
    <n v="0"/>
    <n v="0"/>
    <n v="92613.13"/>
    <x v="6"/>
    <n v="0"/>
    <n v="607130.53"/>
    <s v="Inter"/>
    <x v="0"/>
    <s v="Without Pay"/>
    <s v="No"/>
    <s v="Other than E-Commerence"/>
    <x v="0"/>
    <x v="19"/>
    <m/>
    <n v="0"/>
    <m/>
    <m/>
  </r>
  <r>
    <s v="U2"/>
    <x v="0"/>
    <n v="1234"/>
    <x v="93"/>
    <x v="0"/>
    <x v="0"/>
    <s v="1900-1857"/>
    <x v="9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0"/>
    <n v="100"/>
    <s v="INR"/>
    <n v="1"/>
    <n v="20000"/>
    <n v="20000"/>
    <n v="0"/>
    <n v="0"/>
    <n v="0"/>
    <n v="0"/>
    <n v="26084.880000000001"/>
    <n v="26084.880000000001"/>
    <n v="0"/>
    <n v="0"/>
    <n v="0"/>
    <n v="0"/>
    <n v="26084.880000000001"/>
    <x v="5"/>
    <n v="0"/>
    <n v="171000.88"/>
    <s v="Inter"/>
    <x v="0"/>
    <s v="Without Pay"/>
    <s v="No"/>
    <s v="Other than E-Commerence"/>
    <x v="0"/>
    <x v="19"/>
    <m/>
    <n v="0"/>
    <m/>
    <m/>
  </r>
  <r>
    <s v="U2"/>
    <x v="0"/>
    <n v="1234"/>
    <x v="94"/>
    <x v="0"/>
    <x v="0"/>
    <s v="1900-1858"/>
    <x v="9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75"/>
    <n v="100"/>
    <s v="INR"/>
    <n v="1"/>
    <n v="7500"/>
    <n v="7500"/>
    <n v="0"/>
    <n v="5739.53"/>
    <n v="0"/>
    <n v="5739.53"/>
    <n v="0"/>
    <n v="0"/>
    <n v="0"/>
    <n v="5739.53"/>
    <n v="0"/>
    <n v="5739.53"/>
    <n v="11479.06"/>
    <x v="11"/>
    <n v="0"/>
    <n v="75251.56"/>
    <s v="Local"/>
    <x v="0"/>
    <s v="Without Pay"/>
    <s v="No"/>
    <s v="Other than E-Commerence"/>
    <x v="5"/>
    <x v="6"/>
    <m/>
    <n v="0"/>
    <m/>
    <m/>
  </r>
  <r>
    <s v="U2"/>
    <x v="0"/>
    <n v="1234"/>
    <x v="94"/>
    <x v="0"/>
    <x v="0"/>
    <s v="1900-1858"/>
    <x v="9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"/>
    <n v="100"/>
    <s v="INR"/>
    <n v="1"/>
    <n v="2000"/>
    <n v="2000"/>
    <n v="0"/>
    <n v="1787.4"/>
    <n v="0"/>
    <n v="1787.4"/>
    <n v="0"/>
    <n v="0"/>
    <n v="0"/>
    <n v="1787.4"/>
    <n v="0"/>
    <n v="1787.4"/>
    <n v="3574.8"/>
    <x v="8"/>
    <n v="0"/>
    <n v="23434.799999999999"/>
    <s v="Local"/>
    <x v="0"/>
    <s v="Without Pay"/>
    <s v="No"/>
    <s v="Other than E-Commerence"/>
    <x v="5"/>
    <x v="6"/>
    <m/>
    <n v="0"/>
    <m/>
    <m/>
  </r>
  <r>
    <s v="U2"/>
    <x v="0"/>
    <n v="1234"/>
    <x v="95"/>
    <x v="0"/>
    <x v="0"/>
    <s v="1900-1859"/>
    <x v="9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800"/>
    <n v="100"/>
    <s v="INR"/>
    <n v="1"/>
    <n v="180000"/>
    <n v="180000"/>
    <n v="0"/>
    <n v="0"/>
    <n v="0"/>
    <n v="0"/>
    <n v="154159.20000000001"/>
    <n v="154159.20000000001"/>
    <n v="0"/>
    <n v="0"/>
    <n v="0"/>
    <n v="0"/>
    <n v="154159.20000000001"/>
    <x v="0"/>
    <n v="0"/>
    <n v="1010599.2"/>
    <s v="Inter"/>
    <x v="0"/>
    <s v="Without Pay"/>
    <s v="No"/>
    <s v="Other than E-Commerence"/>
    <x v="0"/>
    <x v="20"/>
    <m/>
    <n v="0"/>
    <m/>
    <m/>
  </r>
  <r>
    <s v="U2"/>
    <x v="0"/>
    <n v="1234"/>
    <x v="96"/>
    <x v="0"/>
    <x v="0"/>
    <s v="1900-1860"/>
    <x v="9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800"/>
    <n v="100"/>
    <s v="INR"/>
    <n v="1"/>
    <n v="180000"/>
    <n v="180000"/>
    <n v="0"/>
    <n v="0"/>
    <n v="0"/>
    <n v="0"/>
    <n v="154159.20000000001"/>
    <n v="154159.20000000001"/>
    <n v="0"/>
    <n v="0"/>
    <n v="0"/>
    <n v="0"/>
    <n v="154159.20000000001"/>
    <x v="0"/>
    <n v="0"/>
    <n v="1010599.2"/>
    <s v="Inter"/>
    <x v="0"/>
    <s v="Without Pay"/>
    <s v="No"/>
    <s v="Other than E-Commerence"/>
    <x v="0"/>
    <x v="20"/>
    <m/>
    <n v="0"/>
    <m/>
    <m/>
  </r>
  <r>
    <s v="U2"/>
    <x v="0"/>
    <n v="1234"/>
    <x v="97"/>
    <x v="0"/>
    <x v="0"/>
    <s v="1900-1861"/>
    <x v="9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6"/>
    <n v="100"/>
    <s v="INR"/>
    <n v="1"/>
    <n v="6600"/>
    <n v="6600"/>
    <n v="0"/>
    <n v="0"/>
    <n v="0"/>
    <n v="0"/>
    <n v="20439.060000000001"/>
    <n v="20439.060000000001"/>
    <n v="0"/>
    <n v="0"/>
    <n v="0"/>
    <n v="0"/>
    <n v="20439.060000000001"/>
    <x v="22"/>
    <n v="0"/>
    <n v="133989.42000000001"/>
    <s v="Union Territory"/>
    <x v="0"/>
    <s v="Without Pay"/>
    <s v="No"/>
    <s v="Other than E-Commerence"/>
    <x v="10"/>
    <x v="20"/>
    <m/>
    <n v="0"/>
    <m/>
    <m/>
  </r>
  <r>
    <s v="U2"/>
    <x v="0"/>
    <n v="1234"/>
    <x v="97"/>
    <x v="0"/>
    <x v="0"/>
    <s v="1900-1861"/>
    <x v="9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22"/>
    <n v="100"/>
    <s v="INR"/>
    <n v="1"/>
    <n v="12200"/>
    <n v="12200"/>
    <n v="0"/>
    <n v="0"/>
    <n v="0"/>
    <n v="0"/>
    <n v="44131.47"/>
    <n v="44131.47"/>
    <n v="0"/>
    <n v="0"/>
    <n v="0"/>
    <n v="0"/>
    <n v="44131.47"/>
    <x v="23"/>
    <n v="0"/>
    <n v="289306.33"/>
    <s v="Union Territory"/>
    <x v="0"/>
    <s v="Without Pay"/>
    <s v="No"/>
    <s v="Other than E-Commerence"/>
    <x v="10"/>
    <x v="21"/>
    <m/>
    <n v="0"/>
    <m/>
    <m/>
  </r>
  <r>
    <s v="U2"/>
    <x v="0"/>
    <n v="1234"/>
    <x v="97"/>
    <x v="0"/>
    <x v="0"/>
    <s v="1900-1861"/>
    <x v="9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40"/>
    <n v="100"/>
    <s v="INR"/>
    <n v="1"/>
    <n v="24000"/>
    <n v="24000"/>
    <n v="0"/>
    <n v="0"/>
    <n v="0"/>
    <n v="0"/>
    <n v="96346.37"/>
    <n v="96346.37"/>
    <n v="0"/>
    <n v="0"/>
    <n v="0"/>
    <n v="0"/>
    <n v="96346.37"/>
    <x v="24"/>
    <n v="0"/>
    <n v="631603.97"/>
    <s v="Union Territory"/>
    <x v="0"/>
    <s v="Without Pay"/>
    <s v="No"/>
    <s v="Other than E-Commerence"/>
    <x v="10"/>
    <x v="21"/>
    <m/>
    <n v="0"/>
    <m/>
    <m/>
  </r>
  <r>
    <s v="U2"/>
    <x v="0"/>
    <n v="1234"/>
    <x v="98"/>
    <x v="0"/>
    <x v="0"/>
    <s v="1900-1862"/>
    <x v="9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0"/>
    <n v="100"/>
    <s v="INR"/>
    <n v="1"/>
    <n v="4000"/>
    <n v="4000"/>
    <n v="0"/>
    <n v="0"/>
    <n v="0"/>
    <n v="0"/>
    <n v="12387.31"/>
    <n v="12387.31"/>
    <n v="0"/>
    <n v="0"/>
    <n v="0"/>
    <n v="0"/>
    <n v="12387.31"/>
    <x v="22"/>
    <n v="0"/>
    <n v="81205.710000000006"/>
    <s v="Inter"/>
    <x v="0"/>
    <s v="Without Pay"/>
    <s v="No"/>
    <s v="Other than E-Commerence"/>
    <x v="9"/>
    <x v="21"/>
    <m/>
    <n v="0"/>
    <m/>
    <m/>
  </r>
  <r>
    <s v="U2"/>
    <x v="0"/>
    <n v="1234"/>
    <x v="98"/>
    <x v="0"/>
    <x v="0"/>
    <s v="1900-1862"/>
    <x v="9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70"/>
    <n v="100"/>
    <s v="INR"/>
    <n v="1"/>
    <n v="7000"/>
    <n v="7000"/>
    <n v="0"/>
    <n v="0"/>
    <n v="0"/>
    <n v="0"/>
    <n v="25321.34"/>
    <n v="25321.34"/>
    <n v="0"/>
    <n v="0"/>
    <n v="0"/>
    <n v="0"/>
    <n v="25321.34"/>
    <x v="23"/>
    <n v="0"/>
    <n v="165995.44"/>
    <s v="Inter"/>
    <x v="0"/>
    <s v="Without Pay"/>
    <s v="No"/>
    <s v="Other than E-Commerence"/>
    <x v="9"/>
    <x v="10"/>
    <m/>
    <n v="0"/>
    <m/>
    <m/>
  </r>
  <r>
    <s v="U2"/>
    <x v="0"/>
    <n v="1234"/>
    <x v="98"/>
    <x v="0"/>
    <x v="0"/>
    <s v="1900-1862"/>
    <x v="9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20"/>
    <n v="100"/>
    <s v="INR"/>
    <n v="1"/>
    <n v="12000"/>
    <n v="12000"/>
    <n v="0"/>
    <n v="0"/>
    <n v="0"/>
    <n v="0"/>
    <n v="48173.18"/>
    <n v="48173.18"/>
    <n v="0"/>
    <n v="0"/>
    <n v="0"/>
    <n v="0"/>
    <n v="48173.18"/>
    <x v="24"/>
    <n v="0"/>
    <n v="315801.98"/>
    <s v="Inter"/>
    <x v="0"/>
    <s v="Without Pay"/>
    <s v="No"/>
    <s v="Other than E-Commerence"/>
    <x v="9"/>
    <x v="10"/>
    <m/>
    <n v="0"/>
    <m/>
    <m/>
  </r>
  <r>
    <s v="U2"/>
    <x v="0"/>
    <n v="1234"/>
    <x v="99"/>
    <x v="0"/>
    <x v="0"/>
    <s v="1900-1863"/>
    <x v="9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800"/>
    <n v="100"/>
    <s v="INR"/>
    <n v="1"/>
    <n v="80000"/>
    <n v="80000"/>
    <n v="0"/>
    <n v="0"/>
    <n v="0"/>
    <n v="0"/>
    <n v="104339.52"/>
    <n v="104339.52"/>
    <n v="0"/>
    <n v="0"/>
    <n v="0"/>
    <n v="0"/>
    <n v="104339.52"/>
    <x v="5"/>
    <n v="0"/>
    <n v="684003.52"/>
    <s v="Inter"/>
    <x v="0"/>
    <s v="Without Pay"/>
    <s v="No"/>
    <s v="Other than E-Commerence"/>
    <x v="7"/>
    <x v="5"/>
    <m/>
    <n v="0"/>
    <m/>
    <m/>
  </r>
  <r>
    <s v="U2"/>
    <x v="0"/>
    <n v="1234"/>
    <x v="99"/>
    <x v="0"/>
    <x v="0"/>
    <s v="1900-1863"/>
    <x v="9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"/>
    <n v="100"/>
    <s v="INR"/>
    <n v="1"/>
    <n v="2000"/>
    <n v="2000"/>
    <n v="0"/>
    <n v="0"/>
    <n v="0"/>
    <n v="0"/>
    <n v="3904.56"/>
    <n v="3904.56"/>
    <n v="0"/>
    <n v="0"/>
    <n v="0"/>
    <n v="0"/>
    <n v="3904.56"/>
    <x v="3"/>
    <n v="0"/>
    <n v="25596.560000000001"/>
    <s v="Inter"/>
    <x v="0"/>
    <s v="Without Pay"/>
    <s v="No"/>
    <s v="Other than E-Commerence"/>
    <x v="7"/>
    <x v="5"/>
    <m/>
    <n v="0"/>
    <m/>
    <m/>
  </r>
  <r>
    <s v="U2"/>
    <x v="0"/>
    <n v="1234"/>
    <x v="100"/>
    <x v="0"/>
    <x v="0"/>
    <s v="1900-1864"/>
    <x v="10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870"/>
    <n v="100"/>
    <s v="INR"/>
    <n v="1"/>
    <n v="87000"/>
    <n v="87000"/>
    <n v="0"/>
    <n v="0"/>
    <n v="0"/>
    <n v="0"/>
    <n v="113469.23"/>
    <n v="113469.23"/>
    <n v="0"/>
    <n v="0"/>
    <n v="0"/>
    <n v="0"/>
    <n v="113469.23"/>
    <x v="5"/>
    <n v="0"/>
    <n v="743853.83"/>
    <s v="Inter"/>
    <x v="0"/>
    <s v="Without Pay"/>
    <s v="No"/>
    <s v="Other than E-Commerence"/>
    <x v="0"/>
    <x v="3"/>
    <m/>
    <n v="0"/>
    <m/>
    <m/>
  </r>
  <r>
    <s v="U2"/>
    <x v="0"/>
    <n v="1234"/>
    <x v="100"/>
    <x v="0"/>
    <x v="0"/>
    <s v="1900-1864"/>
    <x v="10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30"/>
    <n v="100"/>
    <s v="INR"/>
    <n v="1"/>
    <n v="23000"/>
    <n v="23000"/>
    <n v="0"/>
    <n v="0"/>
    <n v="0"/>
    <n v="0"/>
    <n v="37591.199999999997"/>
    <n v="37591.199999999997"/>
    <n v="0"/>
    <n v="0"/>
    <n v="0"/>
    <n v="0"/>
    <n v="37591.199999999997"/>
    <x v="4"/>
    <n v="0"/>
    <n v="246431.2"/>
    <s v="Inter"/>
    <x v="0"/>
    <s v="Without Pay"/>
    <s v="No"/>
    <s v="Other than E-Commerence"/>
    <x v="0"/>
    <x v="3"/>
    <m/>
    <n v="0"/>
    <m/>
    <m/>
  </r>
  <r>
    <s v="U2"/>
    <x v="0"/>
    <n v="1234"/>
    <x v="101"/>
    <x v="0"/>
    <x v="0"/>
    <s v="1900-1865"/>
    <x v="10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0"/>
    <n v="100"/>
    <s v="INR"/>
    <n v="1"/>
    <n v="10000"/>
    <n v="10000"/>
    <n v="0"/>
    <n v="0"/>
    <n v="0"/>
    <n v="0"/>
    <n v="17150.580000000002"/>
    <n v="17150.580000000002"/>
    <n v="0"/>
    <n v="0"/>
    <n v="0"/>
    <n v="0"/>
    <n v="17150.580000000002"/>
    <x v="6"/>
    <n v="0"/>
    <n v="112431.58"/>
    <s v="Inter"/>
    <x v="0"/>
    <s v="Without Pay"/>
    <s v="No"/>
    <s v="Other than E-Commerence"/>
    <x v="4"/>
    <x v="3"/>
    <m/>
    <n v="0"/>
    <m/>
    <m/>
  </r>
  <r>
    <s v="U2"/>
    <x v="0"/>
    <n v="1234"/>
    <x v="101"/>
    <x v="0"/>
    <x v="0"/>
    <s v="1900-1865"/>
    <x v="10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750"/>
    <n v="100"/>
    <s v="INR"/>
    <n v="1"/>
    <n v="75000"/>
    <n v="75000"/>
    <n v="0"/>
    <n v="0"/>
    <n v="0"/>
    <n v="0"/>
    <n v="106010.1"/>
    <n v="106010.1"/>
    <n v="0"/>
    <n v="0"/>
    <n v="0"/>
    <n v="0"/>
    <n v="106010.1"/>
    <x v="14"/>
    <n v="0"/>
    <n v="694955.1"/>
    <s v="Inter"/>
    <x v="0"/>
    <s v="Without Pay"/>
    <s v="No"/>
    <s v="Other than E-Commerence"/>
    <x v="4"/>
    <x v="11"/>
    <m/>
    <n v="0"/>
    <m/>
    <m/>
  </r>
  <r>
    <s v="U2"/>
    <x v="0"/>
    <n v="1234"/>
    <x v="101"/>
    <x v="0"/>
    <x v="0"/>
    <s v="1900-1865"/>
    <x v="10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5"/>
    <n v="100"/>
    <s v="INR"/>
    <n v="1"/>
    <n v="1500"/>
    <n v="1500"/>
    <n v="0"/>
    <n v="0"/>
    <n v="0"/>
    <n v="0"/>
    <n v="2295.81"/>
    <n v="2295.81"/>
    <n v="0"/>
    <n v="0"/>
    <n v="0"/>
    <n v="0"/>
    <n v="2295.81"/>
    <x v="11"/>
    <n v="0"/>
    <n v="15050.31"/>
    <s v="Inter"/>
    <x v="0"/>
    <s v="Without Pay"/>
    <s v="No"/>
    <s v="Other than E-Commerence"/>
    <x v="4"/>
    <x v="11"/>
    <m/>
    <n v="0"/>
    <m/>
    <m/>
  </r>
  <r>
    <s v="U2"/>
    <x v="0"/>
    <n v="1234"/>
    <x v="102"/>
    <x v="0"/>
    <x v="0"/>
    <s v="1900-1866"/>
    <x v="10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6268.5"/>
    <n v="6268.5"/>
    <n v="0"/>
    <n v="0"/>
    <n v="0"/>
    <n v="0"/>
    <n v="6268.5"/>
    <x v="9"/>
    <n v="0"/>
    <n v="41093.5"/>
    <s v="Inter"/>
    <x v="0"/>
    <s v="Without Pay"/>
    <s v="No"/>
    <s v="Other than E-Commerence"/>
    <x v="8"/>
    <x v="22"/>
    <m/>
    <n v="0"/>
    <m/>
    <m/>
  </r>
  <r>
    <s v="U2"/>
    <x v="0"/>
    <n v="1234"/>
    <x v="102"/>
    <x v="0"/>
    <x v="0"/>
    <s v="1900-1866"/>
    <x v="10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8937"/>
    <n v="8937"/>
    <n v="0"/>
    <n v="0"/>
    <n v="0"/>
    <n v="0"/>
    <n v="8937"/>
    <x v="8"/>
    <n v="0"/>
    <n v="58587"/>
    <s v="Inter"/>
    <x v="0"/>
    <s v="Without Pay"/>
    <s v="No"/>
    <s v="Other than E-Commerence"/>
    <x v="8"/>
    <x v="3"/>
    <m/>
    <n v="0"/>
    <m/>
    <m/>
  </r>
  <r>
    <s v="U2"/>
    <x v="0"/>
    <n v="1234"/>
    <x v="103"/>
    <x v="0"/>
    <x v="0"/>
    <s v="1900-1868"/>
    <x v="10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80"/>
    <n v="100"/>
    <s v="INR"/>
    <n v="1"/>
    <n v="48000"/>
    <n v="48000"/>
    <n v="0"/>
    <n v="0"/>
    <n v="0"/>
    <n v="0"/>
    <n v="64912.32"/>
    <n v="64912.32"/>
    <n v="0"/>
    <n v="0"/>
    <n v="0"/>
    <n v="0"/>
    <n v="64912.32"/>
    <x v="1"/>
    <n v="0"/>
    <n v="425536.32"/>
    <s v="Inter"/>
    <x v="0"/>
    <s v="Without Pay"/>
    <s v="No"/>
    <s v="Other than E-Commerence"/>
    <x v="4"/>
    <x v="3"/>
    <m/>
    <n v="0"/>
    <m/>
    <m/>
  </r>
  <r>
    <s v="U2"/>
    <x v="0"/>
    <n v="1234"/>
    <x v="103"/>
    <x v="0"/>
    <x v="0"/>
    <s v="1900-1868"/>
    <x v="10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00"/>
    <n v="100"/>
    <s v="INR"/>
    <n v="1"/>
    <n v="30000"/>
    <n v="30000"/>
    <n v="0"/>
    <n v="0"/>
    <n v="0"/>
    <n v="0"/>
    <n v="39127.32"/>
    <n v="39127.32"/>
    <n v="0"/>
    <n v="0"/>
    <n v="0"/>
    <n v="0"/>
    <n v="39127.32"/>
    <x v="5"/>
    <n v="0"/>
    <n v="256501.32"/>
    <s v="Inter"/>
    <x v="0"/>
    <s v="Without Pay"/>
    <s v="No"/>
    <s v="Other than E-Commerence"/>
    <x v="4"/>
    <x v="3"/>
    <m/>
    <n v="0"/>
    <m/>
    <m/>
  </r>
  <r>
    <s v="U2"/>
    <x v="0"/>
    <n v="1234"/>
    <x v="103"/>
    <x v="0"/>
    <x v="0"/>
    <s v="1900-1868"/>
    <x v="10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40"/>
    <n v="100"/>
    <s v="INR"/>
    <n v="1"/>
    <n v="24000"/>
    <n v="24000"/>
    <n v="0"/>
    <n v="0"/>
    <n v="0"/>
    <n v="0"/>
    <n v="33923.230000000003"/>
    <n v="33923.230000000003"/>
    <n v="0"/>
    <n v="0"/>
    <n v="0"/>
    <n v="0"/>
    <n v="33923.230000000003"/>
    <x v="14"/>
    <n v="0"/>
    <n v="222385.63"/>
    <s v="Inter"/>
    <x v="0"/>
    <s v="Without Pay"/>
    <s v="No"/>
    <s v="Other than E-Commerence"/>
    <x v="4"/>
    <x v="2"/>
    <m/>
    <n v="0"/>
    <m/>
    <m/>
  </r>
  <r>
    <s v="U2"/>
    <x v="0"/>
    <n v="1234"/>
    <x v="103"/>
    <x v="0"/>
    <x v="0"/>
    <s v="1900-1868"/>
    <x v="10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6268.5"/>
    <n v="6268.5"/>
    <n v="0"/>
    <n v="0"/>
    <n v="0"/>
    <n v="0"/>
    <n v="6268.5"/>
    <x v="9"/>
    <n v="0"/>
    <n v="41093.5"/>
    <s v="Inter"/>
    <x v="0"/>
    <s v="Without Pay"/>
    <s v="No"/>
    <s v="Other than E-Commerence"/>
    <x v="4"/>
    <x v="5"/>
    <m/>
    <n v="0"/>
    <m/>
    <m/>
  </r>
  <r>
    <s v="U2"/>
    <x v="0"/>
    <n v="1234"/>
    <x v="104"/>
    <x v="0"/>
    <x v="0"/>
    <s v="1900-1869"/>
    <x v="10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100"/>
    <n v="100"/>
    <s v="INR"/>
    <n v="1"/>
    <n v="110000"/>
    <n v="110000"/>
    <n v="0"/>
    <n v="0"/>
    <n v="0"/>
    <n v="0"/>
    <n v="155481.48000000001"/>
    <n v="155481.48000000001"/>
    <n v="0"/>
    <n v="0"/>
    <n v="0"/>
    <n v="0"/>
    <n v="155481.48000000001"/>
    <x v="14"/>
    <n v="0"/>
    <n v="1019267.48"/>
    <s v="Inter"/>
    <x v="0"/>
    <s v="Without Pay"/>
    <s v="No"/>
    <s v="Other than E-Commerence"/>
    <x v="3"/>
    <x v="5"/>
    <m/>
    <n v="0"/>
    <m/>
    <m/>
  </r>
  <r>
    <s v="U2"/>
    <x v="0"/>
    <n v="1234"/>
    <x v="105"/>
    <x v="0"/>
    <x v="0"/>
    <s v="1900-1870"/>
    <x v="10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50"/>
    <n v="100"/>
    <s v="INR"/>
    <n v="1"/>
    <n v="45000"/>
    <n v="45000"/>
    <n v="0"/>
    <n v="0"/>
    <n v="0"/>
    <n v="0"/>
    <n v="58690.98"/>
    <n v="58690.98"/>
    <n v="0"/>
    <n v="0"/>
    <n v="0"/>
    <n v="0"/>
    <n v="58690.98"/>
    <x v="5"/>
    <n v="0"/>
    <n v="384751.98"/>
    <s v="Inter"/>
    <x v="0"/>
    <s v="Without Pay"/>
    <s v="No"/>
    <s v="Other than E-Commerence"/>
    <x v="0"/>
    <x v="23"/>
    <m/>
    <n v="0"/>
    <m/>
    <m/>
  </r>
  <r>
    <s v="U2"/>
    <x v="0"/>
    <n v="1234"/>
    <x v="105"/>
    <x v="0"/>
    <x v="0"/>
    <s v="1900-1870"/>
    <x v="10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50"/>
    <n v="100"/>
    <s v="INR"/>
    <n v="1"/>
    <n v="45000"/>
    <n v="45000"/>
    <n v="0"/>
    <n v="0"/>
    <n v="0"/>
    <n v="0"/>
    <n v="63606.06"/>
    <n v="63606.06"/>
    <n v="0"/>
    <n v="0"/>
    <n v="0"/>
    <n v="0"/>
    <n v="63606.06"/>
    <x v="14"/>
    <n v="0"/>
    <n v="416973.06"/>
    <s v="Inter"/>
    <x v="0"/>
    <s v="Without Pay"/>
    <s v="No"/>
    <s v="Other than E-Commerence"/>
    <x v="0"/>
    <x v="23"/>
    <m/>
    <n v="0"/>
    <m/>
    <m/>
  </r>
  <r>
    <s v="U2"/>
    <x v="0"/>
    <n v="1234"/>
    <x v="106"/>
    <x v="0"/>
    <x v="0"/>
    <s v="1900-1871"/>
    <x v="10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0"/>
    <n v="100"/>
    <s v="INR"/>
    <n v="1"/>
    <n v="3000"/>
    <n v="3000"/>
    <n v="0"/>
    <n v="0"/>
    <n v="0"/>
    <n v="0"/>
    <n v="9290.48"/>
    <n v="9290.48"/>
    <n v="0"/>
    <n v="0"/>
    <n v="0"/>
    <n v="0"/>
    <n v="9290.48"/>
    <x v="22"/>
    <n v="0"/>
    <n v="60904.28"/>
    <s v="Inter"/>
    <x v="0"/>
    <s v="Without Pay"/>
    <s v="No"/>
    <s v="Other than E-Commerence"/>
    <x v="4"/>
    <x v="23"/>
    <m/>
    <n v="0"/>
    <m/>
    <m/>
  </r>
  <r>
    <s v="U2"/>
    <x v="0"/>
    <n v="1234"/>
    <x v="106"/>
    <x v="0"/>
    <x v="0"/>
    <s v="1900-1871"/>
    <x v="10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0"/>
    <n v="100"/>
    <s v="INR"/>
    <n v="1"/>
    <n v="6000"/>
    <n v="6000"/>
    <n v="0"/>
    <n v="0"/>
    <n v="0"/>
    <n v="0"/>
    <n v="21704"/>
    <n v="21704"/>
    <n v="0"/>
    <n v="0"/>
    <n v="0"/>
    <n v="0"/>
    <n v="21704"/>
    <x v="23"/>
    <n v="0"/>
    <n v="142281.79999999999"/>
    <s v="Inter"/>
    <x v="0"/>
    <s v="Without Pay"/>
    <s v="No"/>
    <s v="Other than E-Commerence"/>
    <x v="4"/>
    <x v="24"/>
    <m/>
    <n v="0"/>
    <m/>
    <m/>
  </r>
  <r>
    <s v="U2"/>
    <x v="0"/>
    <n v="1234"/>
    <x v="106"/>
    <x v="0"/>
    <x v="0"/>
    <s v="1900-1871"/>
    <x v="10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40"/>
    <n v="100"/>
    <s v="INR"/>
    <n v="1"/>
    <n v="14000"/>
    <n v="14000"/>
    <n v="0"/>
    <n v="0"/>
    <n v="0"/>
    <n v="0"/>
    <n v="56202.05"/>
    <n v="56202.05"/>
    <n v="0"/>
    <n v="0"/>
    <n v="0"/>
    <n v="0"/>
    <n v="56202.05"/>
    <x v="24"/>
    <n v="0"/>
    <n v="368435.65"/>
    <s v="Inter"/>
    <x v="0"/>
    <s v="Without Pay"/>
    <s v="No"/>
    <s v="Other than E-Commerence"/>
    <x v="4"/>
    <x v="24"/>
    <m/>
    <n v="0"/>
    <m/>
    <m/>
  </r>
  <r>
    <s v="U2"/>
    <x v="0"/>
    <n v="1234"/>
    <x v="107"/>
    <x v="0"/>
    <x v="0"/>
    <s v="1900-1872"/>
    <x v="107"/>
    <s v=""/>
    <s v=""/>
    <s v=""/>
    <s v=""/>
    <x v="0"/>
    <s v="Customer"/>
    <s v="SYZ"/>
    <x v="0"/>
    <s v=""/>
    <s v=""/>
    <m/>
    <m/>
    <n v="1234"/>
    <n v="0"/>
    <s v="Material Name"/>
    <x v="1"/>
    <x v="2"/>
    <s v=""/>
    <s v=""/>
    <s v=""/>
    <s v=""/>
    <m/>
    <m/>
    <n v="20"/>
    <n v="100"/>
    <s v="INR"/>
    <n v="1"/>
    <n v="2000"/>
    <n v="2000"/>
    <n v="0"/>
    <n v="139.94999999999999"/>
    <n v="0"/>
    <n v="139.94999999999999"/>
    <n v="0"/>
    <n v="0"/>
    <n v="0"/>
    <n v="139.94999999999999"/>
    <n v="0"/>
    <n v="139.94999999999999"/>
    <n v="279.89999999999998"/>
    <x v="25"/>
    <n v="0"/>
    <n v="1834.9"/>
    <s v="Local"/>
    <x v="0"/>
    <s v="Without Pay"/>
    <s v="No"/>
    <s v="Other than E-Commerence"/>
    <x v="5"/>
    <x v="24"/>
    <m/>
    <n v="0"/>
    <m/>
    <m/>
  </r>
  <r>
    <s v="U2"/>
    <x v="0"/>
    <n v="1234"/>
    <x v="107"/>
    <x v="0"/>
    <x v="0"/>
    <s v="1900-1872"/>
    <x v="107"/>
    <s v=""/>
    <s v=""/>
    <s v=""/>
    <s v=""/>
    <x v="0"/>
    <s v="Customer"/>
    <s v="SYZ"/>
    <x v="0"/>
    <s v=""/>
    <s v=""/>
    <m/>
    <m/>
    <n v="1234"/>
    <n v="0"/>
    <s v="Material Name"/>
    <x v="7"/>
    <x v="0"/>
    <s v=""/>
    <s v=""/>
    <s v=""/>
    <s v=""/>
    <m/>
    <m/>
    <n v="40"/>
    <n v="100"/>
    <s v="INR"/>
    <n v="1"/>
    <n v="4000"/>
    <n v="4000"/>
    <n v="0"/>
    <n v="279.89999999999998"/>
    <n v="0"/>
    <n v="279.89999999999998"/>
    <n v="0"/>
    <n v="0"/>
    <n v="0"/>
    <n v="279.89999999999998"/>
    <n v="0"/>
    <n v="279.89999999999998"/>
    <n v="559.79999999999995"/>
    <x v="25"/>
    <n v="0"/>
    <n v="3669.8"/>
    <s v="Local"/>
    <x v="0"/>
    <s v="Without Pay"/>
    <s v="No"/>
    <s v="Other than E-Commerence"/>
    <x v="5"/>
    <x v="9"/>
    <m/>
    <n v="0"/>
    <m/>
    <m/>
  </r>
  <r>
    <s v="U2"/>
    <x v="0"/>
    <n v="1234"/>
    <x v="107"/>
    <x v="0"/>
    <x v="0"/>
    <s v="1900-1872"/>
    <x v="10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"/>
    <n v="100"/>
    <s v="INR"/>
    <n v="1"/>
    <n v="2000"/>
    <n v="2000"/>
    <n v="0"/>
    <n v="139.94999999999999"/>
    <n v="0"/>
    <n v="139.94999999999999"/>
    <n v="0"/>
    <n v="0"/>
    <n v="0"/>
    <n v="139.94999999999999"/>
    <n v="0"/>
    <n v="139.94999999999999"/>
    <n v="279.89999999999998"/>
    <x v="25"/>
    <n v="0"/>
    <n v="1834.9"/>
    <s v="Local"/>
    <x v="0"/>
    <s v="Without Pay"/>
    <s v="No"/>
    <s v="Other than E-Commerence"/>
    <x v="5"/>
    <x v="1"/>
    <m/>
    <n v="0"/>
    <m/>
    <m/>
  </r>
  <r>
    <s v="U2"/>
    <x v="0"/>
    <n v="1234"/>
    <x v="108"/>
    <x v="0"/>
    <x v="0"/>
    <s v="1900-1874"/>
    <x v="10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95"/>
    <n v="100"/>
    <s v="INR"/>
    <n v="1"/>
    <n v="39500"/>
    <n v="39500"/>
    <n v="0"/>
    <n v="0"/>
    <n v="0"/>
    <n v="0"/>
    <n v="55831.99"/>
    <n v="55831.99"/>
    <n v="0"/>
    <n v="0"/>
    <n v="0"/>
    <n v="0"/>
    <n v="55831.99"/>
    <x v="14"/>
    <n v="0"/>
    <n v="366009.69"/>
    <s v="Inter"/>
    <x v="0"/>
    <s v="Without Pay"/>
    <s v="No"/>
    <s v="Other than E-Commerence"/>
    <x v="2"/>
    <x v="1"/>
    <m/>
    <n v="0"/>
    <m/>
    <m/>
  </r>
  <r>
    <s v="U2"/>
    <x v="0"/>
    <n v="1234"/>
    <x v="108"/>
    <x v="0"/>
    <x v="0"/>
    <s v="1900-1874"/>
    <x v="10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40"/>
    <n v="100"/>
    <s v="INR"/>
    <n v="1"/>
    <n v="4000"/>
    <n v="4000"/>
    <n v="0"/>
    <n v="0"/>
    <n v="0"/>
    <n v="0"/>
    <n v="7002"/>
    <n v="7002"/>
    <n v="0"/>
    <n v="0"/>
    <n v="0"/>
    <n v="0"/>
    <n v="7002"/>
    <x v="2"/>
    <n v="0"/>
    <n v="45902"/>
    <s v="Inter"/>
    <x v="0"/>
    <s v="Without Pay"/>
    <s v="No"/>
    <s v="Other than E-Commerence"/>
    <x v="2"/>
    <x v="1"/>
    <m/>
    <n v="0"/>
    <m/>
    <m/>
  </r>
  <r>
    <s v="U2"/>
    <x v="0"/>
    <n v="1234"/>
    <x v="108"/>
    <x v="0"/>
    <x v="0"/>
    <s v="1900-1874"/>
    <x v="10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0"/>
    <n v="100"/>
    <s v="INR"/>
    <n v="1"/>
    <n v="3000"/>
    <n v="3000"/>
    <n v="0"/>
    <n v="0"/>
    <n v="0"/>
    <n v="0"/>
    <n v="5856.84"/>
    <n v="5856.84"/>
    <n v="0"/>
    <n v="0"/>
    <n v="0"/>
    <n v="0"/>
    <n v="5856.84"/>
    <x v="3"/>
    <n v="0"/>
    <n v="38394.839999999997"/>
    <s v="Inter"/>
    <x v="0"/>
    <s v="Without Pay"/>
    <s v="No"/>
    <s v="Other than E-Commerence"/>
    <x v="2"/>
    <x v="8"/>
    <m/>
    <n v="0"/>
    <m/>
    <m/>
  </r>
  <r>
    <s v="U2"/>
    <x v="0"/>
    <n v="1234"/>
    <x v="108"/>
    <x v="0"/>
    <x v="0"/>
    <s v="1900-1874"/>
    <x v="10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50"/>
    <n v="100"/>
    <s v="INR"/>
    <n v="1"/>
    <n v="15000"/>
    <n v="15000"/>
    <n v="0"/>
    <n v="0"/>
    <n v="0"/>
    <n v="0"/>
    <n v="24516"/>
    <n v="24516"/>
    <n v="0"/>
    <n v="0"/>
    <n v="0"/>
    <n v="0"/>
    <n v="24516"/>
    <x v="4"/>
    <n v="0"/>
    <n v="160716"/>
    <s v="Inter"/>
    <x v="0"/>
    <s v="Without Pay"/>
    <s v="No"/>
    <s v="Other than E-Commerence"/>
    <x v="2"/>
    <x v="8"/>
    <m/>
    <n v="0"/>
    <m/>
    <m/>
  </r>
  <r>
    <s v="U2"/>
    <x v="0"/>
    <n v="1234"/>
    <x v="109"/>
    <x v="0"/>
    <x v="0"/>
    <s v="1900-1875"/>
    <x v="10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50"/>
    <n v="100"/>
    <s v="INR"/>
    <n v="1"/>
    <n v="55000"/>
    <n v="55000"/>
    <n v="0"/>
    <n v="0"/>
    <n v="0"/>
    <n v="0"/>
    <n v="77740.740000000005"/>
    <n v="77740.740000000005"/>
    <n v="0"/>
    <n v="0"/>
    <n v="0"/>
    <n v="0"/>
    <n v="77740.740000000005"/>
    <x v="14"/>
    <n v="0"/>
    <n v="509633.74"/>
    <s v="Inter"/>
    <x v="0"/>
    <s v="Without Pay"/>
    <s v="No"/>
    <s v="Other than E-Commerence"/>
    <x v="6"/>
    <x v="8"/>
    <m/>
    <n v="0"/>
    <m/>
    <m/>
  </r>
  <r>
    <s v="U2"/>
    <x v="0"/>
    <n v="1234"/>
    <x v="109"/>
    <x v="0"/>
    <x v="0"/>
    <s v="1900-1875"/>
    <x v="10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50"/>
    <n v="100"/>
    <s v="INR"/>
    <n v="1"/>
    <n v="15000"/>
    <n v="15000"/>
    <n v="0"/>
    <n v="0"/>
    <n v="0"/>
    <n v="0"/>
    <n v="18805.5"/>
    <n v="18805.5"/>
    <n v="0"/>
    <n v="0"/>
    <n v="0"/>
    <n v="0"/>
    <n v="18805.5"/>
    <x v="9"/>
    <n v="0"/>
    <n v="123280.5"/>
    <s v="Inter"/>
    <x v="0"/>
    <s v="Without Pay"/>
    <s v="No"/>
    <s v="Other than E-Commerence"/>
    <x v="6"/>
    <x v="2"/>
    <m/>
    <n v="0"/>
    <m/>
    <m/>
  </r>
  <r>
    <s v="U2"/>
    <x v="0"/>
    <n v="1234"/>
    <x v="109"/>
    <x v="0"/>
    <x v="0"/>
    <s v="1900-1875"/>
    <x v="10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0"/>
    <n v="100"/>
    <s v="INR"/>
    <n v="1"/>
    <n v="3000"/>
    <n v="3000"/>
    <n v="0"/>
    <n v="0"/>
    <n v="0"/>
    <n v="0"/>
    <n v="5251.5"/>
    <n v="5251.5"/>
    <n v="0"/>
    <n v="0"/>
    <n v="0"/>
    <n v="0"/>
    <n v="5251.5"/>
    <x v="2"/>
    <n v="0"/>
    <n v="34426.5"/>
    <s v="Inter"/>
    <x v="0"/>
    <s v="Without Pay"/>
    <s v="No"/>
    <s v="Other than E-Commerence"/>
    <x v="6"/>
    <x v="2"/>
    <m/>
    <n v="0"/>
    <m/>
    <m/>
  </r>
  <r>
    <s v="U2"/>
    <x v="0"/>
    <n v="1234"/>
    <x v="110"/>
    <x v="0"/>
    <x v="0"/>
    <s v="1900-1876"/>
    <x v="11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00"/>
    <n v="100"/>
    <s v="INR"/>
    <n v="1"/>
    <n v="100000"/>
    <n v="100000"/>
    <n v="0"/>
    <n v="0"/>
    <n v="0"/>
    <n v="0"/>
    <n v="130424.4"/>
    <n v="130424.4"/>
    <n v="0"/>
    <n v="0"/>
    <n v="0"/>
    <n v="0"/>
    <n v="130424.4"/>
    <x v="5"/>
    <n v="0"/>
    <n v="855004.4"/>
    <s v="Inter"/>
    <x v="0"/>
    <s v="Without Pay"/>
    <s v="No"/>
    <s v="Other than E-Commerence"/>
    <x v="3"/>
    <x v="25"/>
    <m/>
    <n v="0"/>
    <m/>
    <m/>
  </r>
  <r>
    <s v="U2"/>
    <x v="0"/>
    <n v="1234"/>
    <x v="110"/>
    <x v="0"/>
    <x v="0"/>
    <s v="1900-1876"/>
    <x v="11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5"/>
    <n v="100"/>
    <s v="INR"/>
    <n v="1"/>
    <n v="1500"/>
    <n v="1500"/>
    <n v="0"/>
    <n v="0"/>
    <n v="0"/>
    <n v="0"/>
    <n v="2625.75"/>
    <n v="2625.75"/>
    <n v="0"/>
    <n v="0"/>
    <n v="0"/>
    <n v="0"/>
    <n v="2625.75"/>
    <x v="2"/>
    <n v="0"/>
    <n v="17213.25"/>
    <s v="Inter"/>
    <x v="0"/>
    <s v="Without Pay"/>
    <s v="No"/>
    <s v="Other than E-Commerence"/>
    <x v="3"/>
    <x v="25"/>
    <m/>
    <n v="0"/>
    <m/>
    <m/>
  </r>
  <r>
    <s v="U2"/>
    <x v="0"/>
    <n v="1234"/>
    <x v="111"/>
    <x v="0"/>
    <x v="0"/>
    <s v="1900-1877"/>
    <x v="11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700"/>
    <n v="100"/>
    <s v="INR"/>
    <n v="1"/>
    <n v="70000"/>
    <n v="70000"/>
    <n v="0"/>
    <n v="0"/>
    <n v="0"/>
    <n v="0"/>
    <n v="59950.8"/>
    <n v="59950.8"/>
    <n v="0"/>
    <n v="0"/>
    <n v="0"/>
    <n v="0"/>
    <n v="59950.8"/>
    <x v="0"/>
    <n v="0"/>
    <n v="393010.8"/>
    <s v="Inter"/>
    <x v="0"/>
    <s v="Without Pay"/>
    <s v="No"/>
    <s v="Other than E-Commerence"/>
    <x v="12"/>
    <x v="3"/>
    <m/>
    <n v="0"/>
    <m/>
    <m/>
  </r>
  <r>
    <s v="U2"/>
    <x v="0"/>
    <n v="1234"/>
    <x v="111"/>
    <x v="0"/>
    <x v="0"/>
    <s v="1900-1877"/>
    <x v="11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53"/>
    <n v="100"/>
    <s v="INR"/>
    <n v="1"/>
    <n v="25300"/>
    <n v="25300"/>
    <n v="0"/>
    <n v="0"/>
    <n v="0"/>
    <n v="0"/>
    <n v="46718.58"/>
    <n v="46718.58"/>
    <n v="0"/>
    <n v="0"/>
    <n v="0"/>
    <n v="0"/>
    <n v="46718.58"/>
    <x v="26"/>
    <n v="0"/>
    <n v="306266.21999999997"/>
    <s v="Inter"/>
    <x v="0"/>
    <s v="Without Pay"/>
    <s v="No"/>
    <s v="Other than E-Commerence"/>
    <x v="12"/>
    <x v="3"/>
    <m/>
    <n v="0"/>
    <m/>
    <m/>
  </r>
  <r>
    <s v="U2"/>
    <x v="0"/>
    <n v="1234"/>
    <x v="112"/>
    <x v="0"/>
    <x v="0"/>
    <s v="1900-1878"/>
    <x v="11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00"/>
    <n v="100"/>
    <s v="INR"/>
    <n v="1"/>
    <n v="100000"/>
    <n v="100000"/>
    <n v="0"/>
    <n v="0"/>
    <n v="0"/>
    <n v="0"/>
    <n v="141346.79999999999"/>
    <n v="141346.79999999999"/>
    <n v="0"/>
    <n v="0"/>
    <n v="0"/>
    <n v="0"/>
    <n v="141346.79999999999"/>
    <x v="14"/>
    <n v="0"/>
    <n v="926606.8"/>
    <s v="Inter"/>
    <x v="0"/>
    <s v="Without Pay"/>
    <s v="No"/>
    <s v="Other than E-Commerence"/>
    <x v="4"/>
    <x v="5"/>
    <m/>
    <n v="0"/>
    <m/>
    <m/>
  </r>
  <r>
    <s v="U2"/>
    <x v="0"/>
    <n v="1234"/>
    <x v="112"/>
    <x v="0"/>
    <x v="0"/>
    <s v="1900-1878"/>
    <x v="11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0"/>
    <n v="100"/>
    <s v="INR"/>
    <n v="1"/>
    <n v="3000"/>
    <n v="3000"/>
    <n v="0"/>
    <n v="0"/>
    <n v="0"/>
    <n v="0"/>
    <n v="5251.5"/>
    <n v="5251.5"/>
    <n v="0"/>
    <n v="0"/>
    <n v="0"/>
    <n v="0"/>
    <n v="5251.5"/>
    <x v="2"/>
    <n v="0"/>
    <n v="34426.5"/>
    <s v="Inter"/>
    <x v="0"/>
    <s v="Without Pay"/>
    <s v="No"/>
    <s v="Other than E-Commerence"/>
    <x v="4"/>
    <x v="5"/>
    <m/>
    <n v="0"/>
    <m/>
    <m/>
  </r>
  <r>
    <s v="U2"/>
    <x v="0"/>
    <n v="1234"/>
    <x v="113"/>
    <x v="0"/>
    <x v="0"/>
    <s v="1900-1879"/>
    <x v="11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50"/>
    <n v="100"/>
    <s v="INR"/>
    <n v="1"/>
    <n v="55000"/>
    <n v="55000"/>
    <n v="0"/>
    <n v="0"/>
    <n v="0"/>
    <n v="0"/>
    <n v="94328.19"/>
    <n v="94328.19"/>
    <n v="0"/>
    <n v="0"/>
    <n v="0"/>
    <n v="0"/>
    <n v="94328.19"/>
    <x v="6"/>
    <n v="0"/>
    <n v="618373.68999999994"/>
    <s v="Inter"/>
    <x v="0"/>
    <s v="Without Pay"/>
    <s v="No"/>
    <s v="Other than E-Commerence"/>
    <x v="0"/>
    <x v="5"/>
    <m/>
    <n v="0"/>
    <m/>
    <m/>
  </r>
  <r>
    <s v="U2"/>
    <x v="0"/>
    <n v="1234"/>
    <x v="113"/>
    <x v="0"/>
    <x v="0"/>
    <s v="1900-1879"/>
    <x v="11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70"/>
    <n v="100"/>
    <s v="INR"/>
    <n v="1"/>
    <n v="7000"/>
    <n v="7000"/>
    <n v="0"/>
    <n v="0"/>
    <n v="0"/>
    <n v="0"/>
    <n v="12253.5"/>
    <n v="12253.5"/>
    <n v="0"/>
    <n v="0"/>
    <n v="0"/>
    <n v="0"/>
    <n v="12253.5"/>
    <x v="2"/>
    <n v="0"/>
    <n v="80328.5"/>
    <s v="Inter"/>
    <x v="0"/>
    <s v="Without Pay"/>
    <s v="No"/>
    <s v="Other than E-Commerence"/>
    <x v="0"/>
    <x v="0"/>
    <m/>
    <n v="0"/>
    <m/>
    <m/>
  </r>
  <r>
    <s v="U2"/>
    <x v="0"/>
    <n v="1234"/>
    <x v="113"/>
    <x v="0"/>
    <x v="0"/>
    <s v="1900-1879"/>
    <x v="113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50"/>
    <n v="100"/>
    <s v="INR"/>
    <n v="1"/>
    <n v="15000"/>
    <n v="15000"/>
    <n v="0"/>
    <n v="0"/>
    <n v="0"/>
    <n v="0"/>
    <n v="24516"/>
    <n v="24516"/>
    <n v="0"/>
    <n v="0"/>
    <n v="0"/>
    <n v="0"/>
    <n v="24516"/>
    <x v="4"/>
    <n v="0"/>
    <n v="160716"/>
    <s v="Inter"/>
    <x v="0"/>
    <s v="Without Pay"/>
    <s v="No"/>
    <s v="Other than E-Commerence"/>
    <x v="0"/>
    <x v="0"/>
    <m/>
    <n v="0"/>
    <m/>
    <m/>
  </r>
  <r>
    <s v="U2"/>
    <x v="0"/>
    <n v="1234"/>
    <x v="114"/>
    <x v="0"/>
    <x v="0"/>
    <s v="1900-1880"/>
    <x v="11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900"/>
    <n v="100"/>
    <s v="INR"/>
    <n v="1"/>
    <n v="90000"/>
    <n v="90000"/>
    <n v="0"/>
    <n v="0"/>
    <n v="0"/>
    <n v="0"/>
    <n v="117381.96"/>
    <n v="117381.96"/>
    <n v="0"/>
    <n v="0"/>
    <n v="0"/>
    <n v="0"/>
    <n v="117381.96"/>
    <x v="5"/>
    <n v="0"/>
    <n v="769503.96"/>
    <s v="Inter"/>
    <x v="0"/>
    <s v="Without Pay"/>
    <s v="No"/>
    <s v="Other than E-Commerence"/>
    <x v="1"/>
    <x v="0"/>
    <m/>
    <n v="0"/>
    <m/>
    <m/>
  </r>
  <r>
    <s v="U2"/>
    <x v="0"/>
    <n v="1234"/>
    <x v="114"/>
    <x v="0"/>
    <x v="0"/>
    <s v="1900-1880"/>
    <x v="11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"/>
    <n v="100"/>
    <s v="INR"/>
    <n v="1"/>
    <n v="1000"/>
    <n v="1000"/>
    <n v="0"/>
    <n v="0"/>
    <n v="0"/>
    <n v="0"/>
    <n v="1530.54"/>
    <n v="1530.54"/>
    <n v="0"/>
    <n v="0"/>
    <n v="0"/>
    <n v="0"/>
    <n v="1530.54"/>
    <x v="11"/>
    <n v="0"/>
    <n v="10033.540000000001"/>
    <s v="Inter"/>
    <x v="0"/>
    <s v="Without Pay"/>
    <s v="No"/>
    <s v="Other than E-Commerence"/>
    <x v="1"/>
    <x v="10"/>
    <m/>
    <n v="0"/>
    <m/>
    <m/>
  </r>
  <r>
    <s v="U2"/>
    <x v="0"/>
    <n v="1234"/>
    <x v="114"/>
    <x v="0"/>
    <x v="0"/>
    <s v="1900-1880"/>
    <x v="114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0"/>
    <n v="100"/>
    <s v="INR"/>
    <n v="1"/>
    <n v="2000"/>
    <n v="2000"/>
    <n v="0"/>
    <n v="0"/>
    <n v="0"/>
    <n v="0"/>
    <n v="3501"/>
    <n v="3501"/>
    <n v="0"/>
    <n v="0"/>
    <n v="0"/>
    <n v="0"/>
    <n v="3501"/>
    <x v="2"/>
    <n v="0"/>
    <n v="22951"/>
    <s v="Inter"/>
    <x v="0"/>
    <s v="Without Pay"/>
    <s v="No"/>
    <s v="Other than E-Commerence"/>
    <x v="1"/>
    <x v="10"/>
    <m/>
    <n v="0"/>
    <m/>
    <m/>
  </r>
  <r>
    <s v="U2"/>
    <x v="0"/>
    <n v="1234"/>
    <x v="115"/>
    <x v="0"/>
    <x v="0"/>
    <s v="1900-1881"/>
    <x v="11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00"/>
    <n v="100"/>
    <s v="INR"/>
    <n v="1"/>
    <n v="30000"/>
    <n v="30000"/>
    <n v="0"/>
    <n v="0"/>
    <n v="0"/>
    <n v="0"/>
    <n v="39127.32"/>
    <n v="39127.32"/>
    <n v="0"/>
    <n v="0"/>
    <n v="0"/>
    <n v="0"/>
    <n v="39127.32"/>
    <x v="5"/>
    <n v="0"/>
    <n v="256501.32"/>
    <s v="Inter"/>
    <x v="0"/>
    <s v="Without Pay"/>
    <s v="No"/>
    <s v="Other than E-Commerence"/>
    <x v="7"/>
    <x v="3"/>
    <m/>
    <n v="0"/>
    <m/>
    <m/>
  </r>
  <r>
    <s v="U2"/>
    <x v="0"/>
    <n v="1234"/>
    <x v="115"/>
    <x v="0"/>
    <x v="0"/>
    <s v="1900-1881"/>
    <x v="115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"/>
    <n v="100"/>
    <s v="INR"/>
    <n v="1"/>
    <n v="500"/>
    <n v="500"/>
    <n v="0"/>
    <n v="0"/>
    <n v="0"/>
    <n v="0"/>
    <n v="875.25"/>
    <n v="875.25"/>
    <n v="0"/>
    <n v="0"/>
    <n v="0"/>
    <n v="0"/>
    <n v="875.25"/>
    <x v="2"/>
    <n v="0"/>
    <n v="5737.75"/>
    <s v="Inter"/>
    <x v="0"/>
    <s v="Without Pay"/>
    <s v="No"/>
    <s v="Other than E-Commerence"/>
    <x v="7"/>
    <x v="11"/>
    <m/>
    <n v="0"/>
    <m/>
    <m/>
  </r>
  <r>
    <s v="U2"/>
    <x v="0"/>
    <n v="1234"/>
    <x v="116"/>
    <x v="0"/>
    <x v="0"/>
    <s v="1900-1882"/>
    <x v="116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50"/>
    <n v="100"/>
    <s v="INR"/>
    <n v="1"/>
    <n v="55000"/>
    <n v="55000"/>
    <n v="0"/>
    <n v="0"/>
    <n v="0"/>
    <n v="0"/>
    <n v="77740.740000000005"/>
    <n v="77740.740000000005"/>
    <n v="0"/>
    <n v="0"/>
    <n v="0"/>
    <n v="0"/>
    <n v="77740.740000000005"/>
    <x v="14"/>
    <n v="0"/>
    <n v="509633.74"/>
    <s v="Inter"/>
    <x v="0"/>
    <s v="Without Pay"/>
    <s v="No"/>
    <s v="Other than E-Commerence"/>
    <x v="4"/>
    <x v="11"/>
    <m/>
    <n v="0"/>
    <m/>
    <m/>
  </r>
  <r>
    <s v="U2"/>
    <x v="0"/>
    <n v="1234"/>
    <x v="117"/>
    <x v="0"/>
    <x v="0"/>
    <s v="1900-1883"/>
    <x v="11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50"/>
    <n v="100"/>
    <s v="INR"/>
    <n v="1"/>
    <n v="5000"/>
    <n v="5000"/>
    <n v="0"/>
    <n v="0"/>
    <n v="0"/>
    <n v="0"/>
    <n v="7652.7"/>
    <n v="7652.7"/>
    <n v="0"/>
    <n v="0"/>
    <n v="0"/>
    <n v="0"/>
    <n v="7652.7"/>
    <x v="11"/>
    <n v="0"/>
    <n v="50167.7"/>
    <s v="Inter"/>
    <x v="0"/>
    <s v="Without Pay"/>
    <s v="No"/>
    <s v="Other than E-Commerence"/>
    <x v="8"/>
    <x v="19"/>
    <m/>
    <n v="0"/>
    <m/>
    <m/>
  </r>
  <r>
    <s v="U2"/>
    <x v="0"/>
    <n v="1234"/>
    <x v="117"/>
    <x v="0"/>
    <x v="0"/>
    <s v="1900-1883"/>
    <x v="117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8"/>
    <n v="100"/>
    <s v="INR"/>
    <n v="1"/>
    <n v="800"/>
    <n v="800"/>
    <n v="0"/>
    <n v="0"/>
    <n v="0"/>
    <n v="0"/>
    <n v="1400.4"/>
    <n v="1400.4"/>
    <n v="0"/>
    <n v="0"/>
    <n v="0"/>
    <n v="0"/>
    <n v="1400.4"/>
    <x v="2"/>
    <n v="0"/>
    <n v="9180.4"/>
    <s v="Inter"/>
    <x v="0"/>
    <s v="Without Pay"/>
    <s v="No"/>
    <s v="Other than E-Commerence"/>
    <x v="8"/>
    <x v="19"/>
    <m/>
    <n v="0"/>
    <m/>
    <m/>
  </r>
  <r>
    <s v="U2"/>
    <x v="0"/>
    <n v="1234"/>
    <x v="118"/>
    <x v="0"/>
    <x v="0"/>
    <s v="1900-1884"/>
    <x v="118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200"/>
    <n v="100"/>
    <s v="INR"/>
    <n v="1"/>
    <n v="120000"/>
    <n v="120000"/>
    <n v="0"/>
    <n v="106812"/>
    <n v="0"/>
    <n v="106812"/>
    <n v="0"/>
    <n v="0"/>
    <n v="0"/>
    <n v="106812"/>
    <n v="0"/>
    <n v="106812"/>
    <n v="213624"/>
    <x v="27"/>
    <n v="0"/>
    <n v="1400424"/>
    <s v="Local"/>
    <x v="0"/>
    <s v="Without Pay"/>
    <s v="No"/>
    <s v="Other than E-Commerence"/>
    <x v="5"/>
    <x v="19"/>
    <m/>
    <n v="0"/>
    <m/>
    <m/>
  </r>
  <r>
    <s v="U2"/>
    <x v="0"/>
    <n v="1234"/>
    <x v="119"/>
    <x v="0"/>
    <x v="0"/>
    <s v="1900-1885"/>
    <x v="11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360"/>
    <n v="100"/>
    <s v="INR"/>
    <n v="1"/>
    <n v="36000"/>
    <n v="36000"/>
    <n v="0"/>
    <n v="39583.08"/>
    <n v="0"/>
    <n v="39583.08"/>
    <n v="0"/>
    <n v="0"/>
    <n v="0"/>
    <n v="39583.08"/>
    <n v="0"/>
    <n v="39583.08"/>
    <n v="79166.16"/>
    <x v="28"/>
    <n v="0"/>
    <n v="518978.16"/>
    <s v="Local"/>
    <x v="0"/>
    <s v="Without Pay"/>
    <s v="No"/>
    <s v="Other than E-Commerence"/>
    <x v="5"/>
    <x v="19"/>
    <m/>
    <n v="0"/>
    <m/>
    <m/>
  </r>
  <r>
    <s v="U2"/>
    <x v="0"/>
    <n v="1234"/>
    <x v="119"/>
    <x v="0"/>
    <x v="0"/>
    <s v="1900-1885"/>
    <x v="11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4"/>
    <n v="100"/>
    <s v="INR"/>
    <n v="1"/>
    <n v="10400"/>
    <n v="10400"/>
    <n v="0"/>
    <n v="9257.0400000000009"/>
    <n v="0"/>
    <n v="9257.0400000000009"/>
    <n v="0"/>
    <n v="0"/>
    <n v="0"/>
    <n v="9257.0400000000009"/>
    <n v="0"/>
    <n v="9257.0400000000009"/>
    <n v="18514.080000000002"/>
    <x v="27"/>
    <n v="0"/>
    <n v="121370.08"/>
    <s v="Local"/>
    <x v="0"/>
    <s v="Without Pay"/>
    <s v="No"/>
    <s v="Other than E-Commerence"/>
    <x v="5"/>
    <x v="19"/>
    <m/>
    <n v="0"/>
    <m/>
    <m/>
  </r>
  <r>
    <s v="U2"/>
    <x v="0"/>
    <n v="1234"/>
    <x v="119"/>
    <x v="0"/>
    <x v="0"/>
    <s v="1900-1885"/>
    <x v="11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36"/>
    <n v="100"/>
    <s v="INR"/>
    <n v="1"/>
    <n v="23600"/>
    <n v="23600"/>
    <n v="0"/>
    <n v="23070.89"/>
    <n v="0"/>
    <n v="23070.89"/>
    <n v="0"/>
    <n v="0"/>
    <n v="0"/>
    <n v="23070.89"/>
    <n v="0"/>
    <n v="23070.89"/>
    <n v="46141.78"/>
    <x v="20"/>
    <n v="0"/>
    <n v="302484.98"/>
    <s v="Local"/>
    <x v="0"/>
    <s v="Without Pay"/>
    <s v="No"/>
    <s v="Other than E-Commerence"/>
    <x v="5"/>
    <x v="19"/>
    <m/>
    <n v="0"/>
    <m/>
    <m/>
  </r>
  <r>
    <s v="U2"/>
    <x v="0"/>
    <n v="1234"/>
    <x v="119"/>
    <x v="0"/>
    <x v="0"/>
    <s v="1900-1885"/>
    <x v="11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58"/>
    <n v="100"/>
    <s v="INR"/>
    <n v="1"/>
    <n v="25800"/>
    <n v="25800"/>
    <n v="0"/>
    <n v="25184.41"/>
    <n v="0"/>
    <n v="25184.41"/>
    <n v="0"/>
    <n v="0"/>
    <n v="0"/>
    <n v="25184.41"/>
    <n v="0"/>
    <n v="25184.41"/>
    <n v="50368.82"/>
    <x v="3"/>
    <n v="0"/>
    <n v="330195.62"/>
    <s v="Local"/>
    <x v="0"/>
    <s v="Without Pay"/>
    <s v="No"/>
    <s v="Other than E-Commerence"/>
    <x v="5"/>
    <x v="2"/>
    <m/>
    <n v="0"/>
    <m/>
    <m/>
  </r>
  <r>
    <s v="U2"/>
    <x v="0"/>
    <n v="1234"/>
    <x v="119"/>
    <x v="0"/>
    <x v="0"/>
    <s v="1900-1885"/>
    <x v="119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38"/>
    <n v="100"/>
    <s v="INR"/>
    <n v="1"/>
    <n v="13800"/>
    <n v="13800"/>
    <n v="0"/>
    <n v="11277.36"/>
    <n v="0"/>
    <n v="11277.36"/>
    <n v="0"/>
    <n v="0"/>
    <n v="0"/>
    <n v="11277.36"/>
    <n v="0"/>
    <n v="11277.36"/>
    <n v="22554.720000000001"/>
    <x v="4"/>
    <n v="0"/>
    <n v="147858.72"/>
    <s v="Local"/>
    <x v="0"/>
    <s v="Without Pay"/>
    <s v="No"/>
    <s v="Other than E-Commerence"/>
    <x v="5"/>
    <x v="5"/>
    <m/>
    <n v="0"/>
    <m/>
    <m/>
  </r>
  <r>
    <s v="U2"/>
    <x v="0"/>
    <n v="1234"/>
    <x v="120"/>
    <x v="0"/>
    <x v="0"/>
    <s v="1900-1886"/>
    <x v="120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050"/>
    <n v="100"/>
    <s v="INR"/>
    <n v="1"/>
    <n v="105000"/>
    <n v="105000"/>
    <n v="0"/>
    <n v="0"/>
    <n v="0"/>
    <n v="0"/>
    <n v="136945.62"/>
    <n v="136945.62"/>
    <n v="0"/>
    <n v="0"/>
    <n v="0"/>
    <n v="0"/>
    <n v="136945.62"/>
    <x v="5"/>
    <n v="0"/>
    <n v="897754.62"/>
    <s v="Inter"/>
    <x v="0"/>
    <s v="Without Pay"/>
    <s v="No"/>
    <s v="Other than E-Commerence"/>
    <x v="3"/>
    <x v="5"/>
    <m/>
    <n v="0"/>
    <m/>
    <m/>
  </r>
  <r>
    <s v="U2"/>
    <x v="0"/>
    <n v="1234"/>
    <x v="121"/>
    <x v="0"/>
    <x v="0"/>
    <s v="1900-1887"/>
    <x v="12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660"/>
    <n v="100"/>
    <s v="INR"/>
    <n v="1"/>
    <n v="66000"/>
    <n v="66000"/>
    <n v="0"/>
    <n v="0"/>
    <n v="0"/>
    <n v="0"/>
    <n v="113193.83"/>
    <n v="113193.83"/>
    <n v="0"/>
    <n v="0"/>
    <n v="0"/>
    <n v="0"/>
    <n v="113193.83"/>
    <x v="6"/>
    <n v="0"/>
    <n v="742048.43"/>
    <s v="Inter"/>
    <x v="0"/>
    <s v="Without Pay"/>
    <s v="No"/>
    <s v="Other than E-Commerence"/>
    <x v="0"/>
    <x v="6"/>
    <m/>
    <n v="0"/>
    <m/>
    <m/>
  </r>
  <r>
    <s v="U2"/>
    <x v="0"/>
    <n v="1234"/>
    <x v="121"/>
    <x v="0"/>
    <x v="0"/>
    <s v="1900-1887"/>
    <x v="121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25"/>
    <n v="100"/>
    <s v="INR"/>
    <n v="1"/>
    <n v="2500"/>
    <n v="2500"/>
    <n v="0"/>
    <n v="0"/>
    <n v="0"/>
    <n v="0"/>
    <n v="3695.85"/>
    <n v="3695.85"/>
    <n v="0"/>
    <n v="0"/>
    <n v="0"/>
    <n v="0"/>
    <n v="3695.85"/>
    <x v="29"/>
    <n v="0"/>
    <n v="24228.35"/>
    <s v="Inter"/>
    <x v="0"/>
    <s v="Without Pay"/>
    <s v="No"/>
    <s v="Other than E-Commerence"/>
    <x v="0"/>
    <x v="5"/>
    <m/>
    <n v="0"/>
    <m/>
    <m/>
  </r>
  <r>
    <s v="U2"/>
    <x v="0"/>
    <n v="1234"/>
    <x v="122"/>
    <x v="0"/>
    <x v="0"/>
    <s v="1900-1888"/>
    <x v="122"/>
    <s v=""/>
    <s v=""/>
    <s v=""/>
    <s v=""/>
    <x v="0"/>
    <s v="Customer"/>
    <s v="SYZ"/>
    <x v="0"/>
    <s v=""/>
    <s v=""/>
    <m/>
    <m/>
    <n v="1234"/>
    <n v="0"/>
    <s v="Material Name"/>
    <x v="0"/>
    <x v="0"/>
    <s v=""/>
    <s v=""/>
    <s v=""/>
    <s v=""/>
    <m/>
    <m/>
    <n v="1800"/>
    <n v="100"/>
    <s v="INR"/>
    <n v="1"/>
    <n v="180000"/>
    <n v="180000"/>
    <n v="0"/>
    <n v="0"/>
    <n v="0"/>
    <n v="0"/>
    <n v="154159.20000000001"/>
    <n v="154159.20000000001"/>
    <n v="0"/>
    <n v="0"/>
    <n v="0"/>
    <n v="0"/>
    <n v="154159.20000000001"/>
    <x v="0"/>
    <n v="0"/>
    <n v="1010599.2"/>
    <s v="Inter"/>
    <x v="0"/>
    <s v="Without Pay"/>
    <s v="No"/>
    <s v="Other than E-Commerence"/>
    <x v="0"/>
    <x v="6"/>
    <m/>
    <n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60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compact="0" compactData="0" gridDropZones="1" multipleFieldFilters="0">
  <location ref="W5:AC9" firstHeaderRow="2" firstDataRow="2" firstDataCol="1"/>
  <pivotFields count="6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0" axis="axisRow" compact="0" outline="0" multipleItemSelectionAllowed="1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9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1" cacheId="60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compact="0" compactData="0" gridDropZones="1" multipleFieldFilters="0">
  <location ref="A5:J130" firstHeaderRow="2" firstDataRow="2" firstDataCol="4"/>
  <pivotFields count="6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63">
        <item m="1" x="730"/>
        <item m="1" x="961"/>
        <item m="1" x="256"/>
        <item m="1" x="469"/>
        <item m="1" x="702"/>
        <item m="1" x="526"/>
        <item m="1" x="1002"/>
        <item m="1" x="541"/>
        <item m="1" x="1017"/>
        <item m="1" x="556"/>
        <item m="1" x="1032"/>
        <item m="1" x="569"/>
        <item m="1" x="1047"/>
        <item m="1" x="585"/>
        <item m="1" x="1062"/>
        <item m="1" x="600"/>
        <item m="1" x="137"/>
        <item m="1" x="614"/>
        <item m="1" x="153"/>
        <item m="1" x="628"/>
        <item m="1" x="169"/>
        <item m="1" x="643"/>
        <item m="1" x="184"/>
        <item m="1" x="657"/>
        <item m="1" x="199"/>
        <item m="1" x="671"/>
        <item m="1" x="213"/>
        <item m="1" x="228"/>
        <item m="1" x="700"/>
        <item m="1" x="241"/>
        <item m="1" x="255"/>
        <item m="1" x="728"/>
        <item m="1" x="271"/>
        <item m="1" x="744"/>
        <item m="1" x="286"/>
        <item m="1" x="760"/>
        <item m="1" x="300"/>
        <item m="1" x="775"/>
        <item m="1" x="314"/>
        <item m="1" x="789"/>
        <item m="1" x="328"/>
        <item m="1" x="803"/>
        <item m="1" x="818"/>
        <item m="1" x="356"/>
        <item m="1" x="832"/>
        <item m="1" x="371"/>
        <item m="1" x="846"/>
        <item m="1" x="385"/>
        <item m="1" x="859"/>
        <item m="1" x="398"/>
        <item m="1" x="874"/>
        <item m="1" x="412"/>
        <item m="1" x="888"/>
        <item m="1" x="426"/>
        <item m="1" x="903"/>
        <item m="1" x="440"/>
        <item m="1" x="918"/>
        <item m="1" x="453"/>
        <item m="1" x="932"/>
        <item m="1" x="468"/>
        <item m="1" x="946"/>
        <item m="1" x="483"/>
        <item m="1" x="960"/>
        <item m="1" x="497"/>
        <item m="1" x="974"/>
        <item m="1" x="511"/>
        <item m="1" x="988"/>
        <item m="1" x="525"/>
        <item m="1" x="1001"/>
        <item m="1" x="540"/>
        <item m="1" x="1016"/>
        <item m="1" x="555"/>
        <item m="1" x="1031"/>
        <item m="1" x="568"/>
        <item m="1" x="1046"/>
        <item m="1" x="584"/>
        <item m="1" x="1061"/>
        <item m="1" x="599"/>
        <item m="1" x="136"/>
        <item m="1" x="613"/>
        <item m="1" x="152"/>
        <item m="1" x="627"/>
        <item m="1" x="168"/>
        <item m="1" x="642"/>
        <item m="1" x="183"/>
        <item m="1" x="656"/>
        <item m="1" x="198"/>
        <item m="1" x="670"/>
        <item m="1" x="212"/>
        <item m="1" x="685"/>
        <item m="1" x="227"/>
        <item m="1" x="699"/>
        <item m="1" x="240"/>
        <item m="1" x="714"/>
        <item m="1" x="254"/>
        <item m="1" x="727"/>
        <item m="1" x="270"/>
        <item m="1" x="743"/>
        <item m="1" x="285"/>
        <item m="1" x="758"/>
        <item m="1" x="299"/>
        <item m="1" x="774"/>
        <item m="1" x="313"/>
        <item m="1" x="788"/>
        <item m="1" x="327"/>
        <item m="1" x="802"/>
        <item m="1" x="341"/>
        <item m="1" x="817"/>
        <item m="1" x="355"/>
        <item m="1" x="831"/>
        <item m="1" x="370"/>
        <item m="1" x="845"/>
        <item m="1" x="384"/>
        <item m="1" x="858"/>
        <item m="1" x="397"/>
        <item m="1" x="872"/>
        <item m="1" x="411"/>
        <item m="1" x="887"/>
        <item m="1" x="425"/>
        <item m="1" x="902"/>
        <item m="1" x="439"/>
        <item m="1" x="917"/>
        <item m="1" x="452"/>
        <item m="1" x="931"/>
        <item m="1" x="467"/>
        <item m="1" x="945"/>
        <item m="1" x="482"/>
        <item m="1" x="959"/>
        <item m="1" x="496"/>
        <item m="1" x="973"/>
        <item m="1" x="510"/>
        <item m="1" x="987"/>
        <item m="1" x="524"/>
        <item m="1" x="1000"/>
        <item m="1" x="539"/>
        <item m="1" x="1015"/>
        <item m="1" x="554"/>
        <item m="1" x="1030"/>
        <item m="1" x="567"/>
        <item m="1" x="1045"/>
        <item m="1" x="583"/>
        <item m="1" x="1060"/>
        <item m="1" x="598"/>
        <item m="1" x="135"/>
        <item m="1" x="612"/>
        <item m="1" x="151"/>
        <item m="1" x="626"/>
        <item m="1" x="166"/>
        <item m="1" x="641"/>
        <item m="1" x="182"/>
        <item m="1" x="655"/>
        <item m="1" x="197"/>
        <item m="1" x="669"/>
        <item m="1" x="211"/>
        <item m="1" x="684"/>
        <item m="1" x="226"/>
        <item m="1" x="698"/>
        <item m="1" x="239"/>
        <item m="1" x="713"/>
        <item m="1" x="253"/>
        <item m="1" x="726"/>
        <item m="1" x="269"/>
        <item m="1" x="742"/>
        <item m="1" x="283"/>
        <item m="1" x="757"/>
        <item m="1" x="298"/>
        <item m="1" x="773"/>
        <item m="1" x="312"/>
        <item m="1" x="787"/>
        <item m="1" x="326"/>
        <item m="1" x="801"/>
        <item m="1" x="340"/>
        <item m="1" x="816"/>
        <item m="1" x="354"/>
        <item m="1" x="830"/>
        <item m="1" x="369"/>
        <item m="1" x="844"/>
        <item m="1" x="383"/>
        <item m="1" x="857"/>
        <item m="1" x="871"/>
        <item m="1" x="410"/>
        <item m="1" x="886"/>
        <item m="1" x="424"/>
        <item m="1" x="901"/>
        <item m="1" x="438"/>
        <item m="1" x="916"/>
        <item m="1" x="451"/>
        <item m="1" x="930"/>
        <item m="1" x="466"/>
        <item m="1" x="944"/>
        <item m="1" x="481"/>
        <item m="1" x="958"/>
        <item m="1" x="495"/>
        <item m="1" x="972"/>
        <item m="1" x="509"/>
        <item m="1" x="523"/>
        <item m="1" x="986"/>
        <item m="1" x="999"/>
        <item m="1" x="538"/>
        <item m="1" x="1014"/>
        <item m="1" x="553"/>
        <item m="1" x="1029"/>
        <item m="1" x="1044"/>
        <item m="1" x="582"/>
        <item m="1" x="1059"/>
        <item m="1" x="597"/>
        <item m="1" x="134"/>
        <item m="1" x="611"/>
        <item m="1" x="150"/>
        <item m="1" x="625"/>
        <item m="1" x="165"/>
        <item m="1" x="640"/>
        <item m="1" x="181"/>
        <item m="1" x="654"/>
        <item m="1" x="196"/>
        <item m="1" x="668"/>
        <item m="1" x="683"/>
        <item m="1" x="225"/>
        <item m="1" x="697"/>
        <item m="1" x="238"/>
        <item m="1" x="712"/>
        <item m="1" x="252"/>
        <item m="1" x="725"/>
        <item m="1" x="268"/>
        <item m="1" x="933"/>
        <item m="1" x="741"/>
        <item m="1" x="282"/>
        <item m="1" x="756"/>
        <item m="1" x="297"/>
        <item m="1" x="772"/>
        <item m="1" x="311"/>
        <item m="1" x="786"/>
        <item m="1" x="325"/>
        <item m="1" x="800"/>
        <item m="1" x="339"/>
        <item m="1" x="815"/>
        <item m="1" x="353"/>
        <item m="1" x="829"/>
        <item m="1" x="368"/>
        <item m="1" x="843"/>
        <item m="1" x="382"/>
        <item m="1" x="856"/>
        <item m="1" x="396"/>
        <item m="1" x="870"/>
        <item m="1" x="409"/>
        <item m="1" x="885"/>
        <item m="1" x="423"/>
        <item m="1" x="900"/>
        <item m="1" x="437"/>
        <item m="1" x="915"/>
        <item m="1" x="450"/>
        <item m="1" x="929"/>
        <item m="1" x="465"/>
        <item m="1" x="943"/>
        <item m="1" x="480"/>
        <item m="1" x="957"/>
        <item m="1" x="494"/>
        <item m="1" x="508"/>
        <item m="1" x="985"/>
        <item m="1" x="522"/>
        <item m="1" x="998"/>
        <item m="1" x="537"/>
        <item m="1" x="1013"/>
        <item m="1" x="552"/>
        <item m="1" x="1028"/>
        <item m="1" x="566"/>
        <item m="1" x="1043"/>
        <item m="1" x="581"/>
        <item m="1" x="1058"/>
        <item m="1" x="596"/>
        <item m="1" x="133"/>
        <item m="1" x="610"/>
        <item m="1" x="148"/>
        <item m="1" x="624"/>
        <item m="1" x="164"/>
        <item m="1" x="639"/>
        <item m="1" x="180"/>
        <item m="1" x="653"/>
        <item m="1" x="195"/>
        <item m="1" x="667"/>
        <item m="1" x="210"/>
        <item m="1" x="682"/>
        <item m="1" x="224"/>
        <item m="1" x="696"/>
        <item m="1" x="251"/>
        <item m="1" x="724"/>
        <item m="1" x="266"/>
        <item m="1" x="740"/>
        <item m="1" x="281"/>
        <item m="1" x="755"/>
        <item m="1" x="296"/>
        <item m="1" x="771"/>
        <item m="1" x="310"/>
        <item m="1" x="785"/>
        <item m="1" x="324"/>
        <item m="1" x="799"/>
        <item m="1" x="338"/>
        <item m="1" x="814"/>
        <item m="1" x="352"/>
        <item m="1" x="828"/>
        <item m="1" x="367"/>
        <item m="1" x="842"/>
        <item m="1" x="381"/>
        <item m="1" x="855"/>
        <item m="1" x="395"/>
        <item m="1" x="869"/>
        <item m="1" x="408"/>
        <item m="1" x="884"/>
        <item m="1" x="422"/>
        <item m="1" x="899"/>
        <item m="1" x="454"/>
        <item m="1" x="436"/>
        <item m="1" x="914"/>
        <item m="1" x="928"/>
        <item m="1" x="776"/>
        <item m="1" x="464"/>
        <item m="1" x="479"/>
        <item m="1" x="956"/>
        <item m="1" x="492"/>
        <item m="1" x="971"/>
        <item m="1" x="507"/>
        <item m="1" x="984"/>
        <item m="1" x="521"/>
        <item m="1" x="536"/>
        <item m="1" x="1012"/>
        <item m="1" x="551"/>
        <item m="1" x="1027"/>
        <item m="1" x="565"/>
        <item m="1" x="1042"/>
        <item m="1" x="580"/>
        <item m="1" x="1057"/>
        <item m="1" x="595"/>
        <item m="1" x="132"/>
        <item m="1" x="609"/>
        <item m="1" x="147"/>
        <item m="1" x="623"/>
        <item m="1" x="163"/>
        <item m="1" x="638"/>
        <item m="1" x="179"/>
        <item m="1" x="652"/>
        <item m="1" x="194"/>
        <item m="1" x="666"/>
        <item m="1" x="209"/>
        <item m="1" x="681"/>
        <item m="1" x="904"/>
        <item m="1" x="223"/>
        <item m="1" x="695"/>
        <item m="1" x="237"/>
        <item m="1" x="711"/>
        <item m="1" x="250"/>
        <item m="1" x="265"/>
        <item m="1" x="739"/>
        <item m="1" x="280"/>
        <item m="1" x="200"/>
        <item m="1" x="754"/>
        <item m="1" x="295"/>
        <item m="1" x="770"/>
        <item m="1" x="309"/>
        <item m="1" x="784"/>
        <item m="1" x="323"/>
        <item m="1" x="798"/>
        <item m="1" x="337"/>
        <item m="1" x="813"/>
        <item m="1" x="351"/>
        <item m="1" x="827"/>
        <item m="1" x="366"/>
        <item m="1" x="840"/>
        <item m="1" x="380"/>
        <item m="1" x="854"/>
        <item m="1" x="394"/>
        <item m="1" x="868"/>
        <item m="1" x="407"/>
        <item m="1" x="883"/>
        <item m="1" x="421"/>
        <item m="1" x="898"/>
        <item m="1" x="435"/>
        <item m="1" x="913"/>
        <item m="1" x="449"/>
        <item m="1" x="927"/>
        <item m="1" x="463"/>
        <item m="1" x="942"/>
        <item m="1" x="478"/>
        <item m="1" x="955"/>
        <item m="1" x="491"/>
        <item m="1" x="970"/>
        <item m="1" x="506"/>
        <item m="1" x="520"/>
        <item m="1" x="983"/>
        <item m="1" x="997"/>
        <item m="1" x="535"/>
        <item m="1" x="1011"/>
        <item m="1" x="550"/>
        <item m="1" x="1026"/>
        <item m="1" x="564"/>
        <item m="1" x="1041"/>
        <item m="1" x="579"/>
        <item m="1" x="1056"/>
        <item m="1" x="594"/>
        <item m="1" x="131"/>
        <item m="1" x="608"/>
        <item m="1" x="146"/>
        <item m="1" x="622"/>
        <item m="1" x="162"/>
        <item m="1" x="637"/>
        <item m="1" x="178"/>
        <item m="1" x="651"/>
        <item m="1" x="193"/>
        <item m="1" x="665"/>
        <item m="1" x="208"/>
        <item m="1" x="680"/>
        <item m="1" x="222"/>
        <item m="1" x="694"/>
        <item m="1" x="236"/>
        <item m="1" x="710"/>
        <item m="1" x="249"/>
        <item m="1" x="723"/>
        <item m="1" x="264"/>
        <item m="1" x="738"/>
        <item m="1" x="279"/>
        <item m="1" x="753"/>
        <item m="1" x="294"/>
        <item m="1" x="769"/>
        <item m="1" x="308"/>
        <item m="1" x="783"/>
        <item m="1" x="322"/>
        <item m="1" x="797"/>
        <item m="1" x="336"/>
        <item m="1" x="812"/>
        <item m="1" x="350"/>
        <item m="1" x="826"/>
        <item m="1" x="364"/>
        <item m="1" x="839"/>
        <item m="1" x="542"/>
        <item m="1" x="379"/>
        <item m="1" x="853"/>
        <item m="1" x="393"/>
        <item m="1" x="867"/>
        <item m="1" x="406"/>
        <item m="1" x="882"/>
        <item m="1" x="420"/>
        <item m="1" x="897"/>
        <item m="1" x="434"/>
        <item m="1" x="912"/>
        <item m="1" x="448"/>
        <item m="1" x="926"/>
        <item m="1" x="462"/>
        <item m="1" x="477"/>
        <item m="1" x="941"/>
        <item m="1" x="954"/>
        <item m="1" x="490"/>
        <item m="1" x="969"/>
        <item m="1" x="505"/>
        <item m="1" x="982"/>
        <item m="1" x="519"/>
        <item m="1" x="996"/>
        <item m="1" x="534"/>
        <item m="1" x="1025"/>
        <item m="1" x="563"/>
        <item m="1" x="1040"/>
        <item m="1" x="578"/>
        <item m="1" x="1055"/>
        <item m="1" x="593"/>
        <item m="1" x="130"/>
        <item m="1" x="145"/>
        <item m="1" x="161"/>
        <item m="1" x="636"/>
        <item m="1" x="177"/>
        <item m="1" x="650"/>
        <item m="1" x="192"/>
        <item m="1" x="664"/>
        <item m="1" x="207"/>
        <item m="1" x="679"/>
        <item m="1" x="221"/>
        <item m="1" x="693"/>
        <item m="1" x="235"/>
        <item m="1" x="709"/>
        <item m="1" x="248"/>
        <item m="1" x="722"/>
        <item m="1" x="737"/>
        <item m="1" x="263"/>
        <item m="1" x="278"/>
        <item m="1" x="752"/>
        <item m="1" x="293"/>
        <item m="1" x="768"/>
        <item m="1" x="307"/>
        <item m="1" x="782"/>
        <item m="1" x="321"/>
        <item m="1" x="796"/>
        <item m="1" x="335"/>
        <item m="1" x="761"/>
        <item m="1" x="889"/>
        <item m="1" x="1003"/>
        <item m="1" x="811"/>
        <item m="1" x="349"/>
        <item m="1" x="825"/>
        <item m="1" x="363"/>
        <item m="1" x="838"/>
        <item m="1" x="378"/>
        <item m="1" x="852"/>
        <item m="1" x="392"/>
        <item m="1" x="866"/>
        <item m="1" x="405"/>
        <item m="1" x="881"/>
        <item m="1" x="419"/>
        <item m="1" x="896"/>
        <item m="1" x="433"/>
        <item m="1" x="1010"/>
        <item m="1" x="911"/>
        <item m="1" x="447"/>
        <item m="1" x="461"/>
        <item m="1" x="940"/>
        <item m="1" x="476"/>
        <item m="1" x="953"/>
        <item m="1" x="968"/>
        <item m="1" x="504"/>
        <item m="1" x="981"/>
        <item m="1" x="518"/>
        <item m="1" x="995"/>
        <item m="1" x="533"/>
        <item m="1" x="1009"/>
        <item m="1" x="549"/>
        <item m="1" x="1024"/>
        <item m="1" x="562"/>
        <item m="1" x="1039"/>
        <item m="1" x="577"/>
        <item m="1" x="759"/>
        <item m="1" x="1054"/>
        <item m="1" x="592"/>
        <item m="1" x="129"/>
        <item m="1" x="873"/>
        <item m="1" x="607"/>
        <item m="1" x="144"/>
        <item m="1" x="621"/>
        <item m="1" x="160"/>
        <item m="1" x="635"/>
        <item m="1" x="176"/>
        <item m="1" x="649"/>
        <item m="1" x="191"/>
        <item m="1" x="663"/>
        <item m="1" x="206"/>
        <item m="1" x="678"/>
        <item m="1" x="220"/>
        <item m="1" x="692"/>
        <item m="1" x="247"/>
        <item m="1" x="234"/>
        <item m="1" x="708"/>
        <item m="1" x="721"/>
        <item m="1" x="262"/>
        <item m="1" x="736"/>
        <item m="1" x="277"/>
        <item m="1" x="751"/>
        <item m="1" x="745"/>
        <item m="1" x="729"/>
        <item m="1" x="292"/>
        <item m="1" x="715"/>
        <item m="1" x="767"/>
        <item m="1" x="306"/>
        <item m="1" x="781"/>
        <item m="1" x="320"/>
        <item m="1" x="795"/>
        <item m="1" x="334"/>
        <item m="1" x="810"/>
        <item m="1" x="347"/>
        <item m="1" x="824"/>
        <item m="1" x="362"/>
        <item m="1" x="377"/>
        <item m="1" x="851"/>
        <item m="1" x="391"/>
        <item m="1" x="865"/>
        <item m="1" x="404"/>
        <item m="1" x="880"/>
        <item m="1" x="418"/>
        <item m="1" x="895"/>
        <item m="1" x="432"/>
        <item m="1" x="910"/>
        <item m="1" x="446"/>
        <item m="1" x="925"/>
        <item m="1" x="459"/>
        <item m="1" x="939"/>
        <item m="1" x="475"/>
        <item m="1" x="952"/>
        <item m="1" x="489"/>
        <item m="1" x="967"/>
        <item m="1" x="503"/>
        <item m="1" x="980"/>
        <item m="1" x="517"/>
        <item m="1" x="994"/>
        <item m="1" x="532"/>
        <item m="1" x="1008"/>
        <item m="1" x="548"/>
        <item m="1" x="1023"/>
        <item m="1" x="561"/>
        <item m="1" x="1038"/>
        <item m="1" x="575"/>
        <item m="1" x="167"/>
        <item m="1" x="1053"/>
        <item m="1" x="284"/>
        <item m="1" x="591"/>
        <item m="1" x="128"/>
        <item m="1" x="606"/>
        <item m="1" x="143"/>
        <item m="1" x="620"/>
        <item m="1" x="159"/>
        <item m="1" x="634"/>
        <item m="1" x="175"/>
        <item m="1" x="648"/>
        <item m="1" x="190"/>
        <item m="1" x="662"/>
        <item m="1" x="205"/>
        <item m="1" x="677"/>
        <item m="1" x="219"/>
        <item m="1" x="690"/>
        <item m="1" x="233"/>
        <item m="1" x="707"/>
        <item m="1" x="246"/>
        <item m="1" x="720"/>
        <item m="1" x="261"/>
        <item m="1" x="735"/>
        <item m="1" x="276"/>
        <item m="1" x="750"/>
        <item m="1" x="291"/>
        <item m="1" x="766"/>
        <item m="1" x="305"/>
        <item m="1" x="780"/>
        <item m="1" x="319"/>
        <item m="1" x="794"/>
        <item m="1" x="333"/>
        <item m="1" x="808"/>
        <item m="1" x="346"/>
        <item m="1" x="823"/>
        <item m="1" x="361"/>
        <item m="1" x="837"/>
        <item m="1" x="376"/>
        <item m="1" x="850"/>
        <item m="1" x="390"/>
        <item m="1" x="864"/>
        <item m="1" x="403"/>
        <item m="1" x="879"/>
        <item m="1" x="417"/>
        <item m="1" x="894"/>
        <item m="1" x="431"/>
        <item m="1" x="909"/>
        <item m="1" x="445"/>
        <item m="1" x="149"/>
        <item m="1" x="923"/>
        <item m="1" x="458"/>
        <item m="1" x="938"/>
        <item m="1" x="474"/>
        <item m="1" x="951"/>
        <item m="1" x="488"/>
        <item m="1" x="966"/>
        <item m="1" x="502"/>
        <item m="1" x="979"/>
        <item m="1" x="516"/>
        <item m="1" x="701"/>
        <item m="1" x="267"/>
        <item m="1" x="686"/>
        <item m="1" x="531"/>
        <item m="1" x="993"/>
        <item m="1" x="1007"/>
        <item m="1" x="547"/>
        <item m="1" x="1022"/>
        <item m="1" x="560"/>
        <item m="1" x="1037"/>
        <item m="1" x="574"/>
        <item m="1" x="1052"/>
        <item m="1" x="590"/>
        <item m="1" x="127"/>
        <item m="1" x="142"/>
        <item m="1" x="605"/>
        <item m="1" x="619"/>
        <item m="1" x="158"/>
        <item m="1" x="633"/>
        <item m="1" x="174"/>
        <item m="1" x="189"/>
        <item m="1" x="647"/>
        <item m="1" x="661"/>
        <item m="1" x="204"/>
        <item m="1" x="676"/>
        <item m="1" x="217"/>
        <item m="1" x="493"/>
        <item m="1" x="689"/>
        <item m="1" x="232"/>
        <item m="1" x="706"/>
        <item m="1" x="245"/>
        <item m="1" x="719"/>
        <item m="1" x="260"/>
        <item m="1" x="734"/>
        <item m="1" x="275"/>
        <item m="1" x="749"/>
        <item m="1" x="290"/>
        <item m="1" x="765"/>
        <item m="1" x="304"/>
        <item m="1" x="779"/>
        <item m="1" x="318"/>
        <item m="1" x="793"/>
        <item m="1" x="332"/>
        <item m="1" x="807"/>
        <item m="1" x="345"/>
        <item m="1" x="822"/>
        <item m="1" x="360"/>
        <item m="1" x="836"/>
        <item m="1" x="375"/>
        <item m="1" x="849"/>
        <item m="1" x="389"/>
        <item m="1" x="863"/>
        <item m="1" x="402"/>
        <item m="1" x="878"/>
        <item m="1" x="416"/>
        <item m="1" x="893"/>
        <item m="1" x="430"/>
        <item m="1" x="908"/>
        <item m="1" x="444"/>
        <item m="1" x="922"/>
        <item m="1" x="457"/>
        <item m="1" x="937"/>
        <item m="1" x="473"/>
        <item m="1" x="950"/>
        <item m="1" x="487"/>
        <item m="1" x="965"/>
        <item m="1" x="501"/>
        <item m="1" x="978"/>
        <item m="1" x="515"/>
        <item m="1" x="992"/>
        <item m="1" x="1006"/>
        <item m="1" x="530"/>
        <item m="1" x="546"/>
        <item m="1" x="1021"/>
        <item m="1" x="1036"/>
        <item m="1" x="573"/>
        <item m="1" x="1051"/>
        <item m="1" x="589"/>
        <item m="1" x="126"/>
        <item m="1" x="604"/>
        <item m="1" x="141"/>
        <item m="1" x="618"/>
        <item m="1" x="157"/>
        <item m="1" x="632"/>
        <item m="1" x="646"/>
        <item m="1" x="173"/>
        <item m="1" x="188"/>
        <item m="1" x="660"/>
        <item m="1" x="203"/>
        <item m="1" x="675"/>
        <item m="1" x="216"/>
        <item m="1" x="688"/>
        <item m="1" x="231"/>
        <item m="1" x="705"/>
        <item m="1" x="244"/>
        <item m="1" x="718"/>
        <item m="1" x="259"/>
        <item m="1" x="733"/>
        <item m="1" x="274"/>
        <item m="1" x="748"/>
        <item m="1" x="289"/>
        <item m="1" x="764"/>
        <item m="1" x="303"/>
        <item m="1" x="778"/>
        <item m="1" x="317"/>
        <item m="1" x="792"/>
        <item m="1" x="331"/>
        <item m="1" x="806"/>
        <item m="1" x="344"/>
        <item m="1" x="821"/>
        <item m="1" x="359"/>
        <item m="1" x="835"/>
        <item m="1" x="374"/>
        <item m="1" x="388"/>
        <item m="1" x="862"/>
        <item m="1" x="401"/>
        <item m="1" x="877"/>
        <item m="1" x="415"/>
        <item m="1" x="892"/>
        <item m="1" x="429"/>
        <item m="1" x="907"/>
        <item m="1" x="443"/>
        <item m="1" x="921"/>
        <item m="1" x="456"/>
        <item m="1" x="936"/>
        <item m="1" x="472"/>
        <item m="1" x="949"/>
        <item m="1" x="486"/>
        <item m="1" x="964"/>
        <item m="1" x="500"/>
        <item m="1" x="977"/>
        <item m="1" x="514"/>
        <item m="1" x="991"/>
        <item m="1" x="529"/>
        <item m="1" x="1005"/>
        <item m="1" x="545"/>
        <item m="1" x="1020"/>
        <item m="1" x="559"/>
        <item m="1" x="1035"/>
        <item m="1" x="841"/>
        <item m="1" x="572"/>
        <item m="1" x="1050"/>
        <item m="1" x="588"/>
        <item m="1" x="125"/>
        <item m="1" x="603"/>
        <item m="1" x="140"/>
        <item m="1" x="617"/>
        <item m="1" x="156"/>
        <item m="1" x="631"/>
        <item m="1" x="172"/>
        <item m="1" x="365"/>
        <item m="1" x="645"/>
        <item m="1" x="187"/>
        <item m="1" x="659"/>
        <item m="1" x="202"/>
        <item m="1" x="674"/>
        <item m="1" x="215"/>
        <item m="1" x="230"/>
        <item m="1" x="704"/>
        <item m="1" x="243"/>
        <item m="1" x="717"/>
        <item m="1" x="258"/>
        <item m="1" x="732"/>
        <item m="1" x="273"/>
        <item m="1" x="747"/>
        <item m="1" x="288"/>
        <item m="1" x="763"/>
        <item m="1" x="302"/>
        <item m="1" x="316"/>
        <item m="1" x="791"/>
        <item m="1" x="330"/>
        <item m="1" x="805"/>
        <item m="1" x="343"/>
        <item m="1" x="820"/>
        <item m="1" x="358"/>
        <item m="1" x="834"/>
        <item m="1" x="373"/>
        <item m="1" x="848"/>
        <item m="1" x="387"/>
        <item m="1" x="861"/>
        <item m="1" x="400"/>
        <item m="1" x="876"/>
        <item m="1" x="414"/>
        <item m="1" x="891"/>
        <item m="1" x="428"/>
        <item m="1" x="906"/>
        <item m="1" x="442"/>
        <item m="1" x="920"/>
        <item m="1" x="455"/>
        <item m="1" x="935"/>
        <item m="1" x="471"/>
        <item m="1" x="948"/>
        <item m="1" x="485"/>
        <item m="1" x="963"/>
        <item m="1" x="499"/>
        <item m="1" x="976"/>
        <item m="1" x="513"/>
        <item m="1" x="990"/>
        <item m="1" x="528"/>
        <item m="1" x="1004"/>
        <item m="1" x="544"/>
        <item m="1" x="1019"/>
        <item m="1" x="558"/>
        <item m="1" x="1034"/>
        <item m="1" x="571"/>
        <item m="1" x="1049"/>
        <item m="1" x="587"/>
        <item m="1" x="124"/>
        <item m="1" x="602"/>
        <item m="1" x="139"/>
        <item m="1" x="616"/>
        <item m="1" x="155"/>
        <item m="1" x="630"/>
        <item m="1" x="171"/>
        <item m="1" x="644"/>
        <item m="1" x="186"/>
        <item m="1" x="201"/>
        <item m="1" x="658"/>
        <item m="1" x="348"/>
        <item m="1" x="460"/>
        <item m="1" x="576"/>
        <item m="1" x="691"/>
        <item m="1" x="673"/>
        <item m="1" x="214"/>
        <item m="1" x="687"/>
        <item m="1" x="229"/>
        <item m="1" x="703"/>
        <item m="1" x="242"/>
        <item m="1" x="716"/>
        <item m="1" x="257"/>
        <item m="1" x="731"/>
        <item m="1" x="272"/>
        <item m="1" x="746"/>
        <item m="1" x="287"/>
        <item m="1" x="762"/>
        <item m="1" x="809"/>
        <item m="1" x="672"/>
        <item m="1" x="301"/>
        <item m="1" x="777"/>
        <item m="1" x="315"/>
        <item m="1" x="790"/>
        <item m="1" x="329"/>
        <item m="1" x="924"/>
        <item m="1" x="804"/>
        <item m="1" x="342"/>
        <item m="1" x="819"/>
        <item m="1" x="357"/>
        <item m="1" x="833"/>
        <item m="1" x="372"/>
        <item m="1" x="847"/>
        <item m="1" x="386"/>
        <item m="1" x="860"/>
        <item m="1" x="399"/>
        <item m="1" x="875"/>
        <item m="1" x="413"/>
        <item m="1" x="890"/>
        <item m="1" x="427"/>
        <item m="1" x="905"/>
        <item m="1" x="441"/>
        <item m="1" x="919"/>
        <item m="1" x="934"/>
        <item m="1" x="470"/>
        <item m="1" x="947"/>
        <item m="1" x="484"/>
        <item m="1" x="962"/>
        <item m="1" x="498"/>
        <item m="1" x="975"/>
        <item m="1" x="512"/>
        <item m="1" x="989"/>
        <item m="1" x="527"/>
        <item m="1" x="543"/>
        <item m="1" x="1018"/>
        <item m="1" x="557"/>
        <item m="1" x="1033"/>
        <item m="1" x="570"/>
        <item m="1" x="1048"/>
        <item m="1" x="586"/>
        <item m="1" x="218"/>
        <item m="1" x="123"/>
        <item m="1" x="601"/>
        <item m="1" x="138"/>
        <item m="1" x="615"/>
        <item m="1" x="154"/>
        <item m="1" x="629"/>
        <item m="1" x="170"/>
        <item m="1" x="18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0" axis="axisRow" compact="0" outline="0" multipleItemSelectionAllowed="1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31">
        <item m="1" x="1573"/>
        <item m="1" x="187"/>
        <item m="1" x="303"/>
        <item m="1" x="419"/>
        <item m="1" x="523"/>
        <item m="1" x="1225"/>
        <item m="1" x="1458"/>
        <item m="1" x="1133"/>
        <item m="1" x="1233"/>
        <item m="1" x="1348"/>
        <item m="1" x="1465"/>
        <item m="1" x="1589"/>
        <item m="1" x="200"/>
        <item m="1" x="318"/>
        <item m="1" x="434"/>
        <item m="1" x="1141"/>
        <item m="1" x="1245"/>
        <item m="1" x="1360"/>
        <item m="1" x="207"/>
        <item m="1" x="325"/>
        <item m="1" x="440"/>
        <item m="1" x="1612"/>
        <item m="1" x="221"/>
        <item m="1" x="1119"/>
        <item m="1" x="279"/>
        <item m="1" x="222"/>
        <item m="1" x="153"/>
        <item m="1" x="1600"/>
        <item m="1" x="1529"/>
        <item m="1" x="1466"/>
        <item m="1" x="1403"/>
        <item m="1" x="1341"/>
        <item m="1" x="1280"/>
        <item m="1" x="1220"/>
        <item m="1" x="394"/>
        <item m="1" x="338"/>
        <item m="1" x="268"/>
        <item m="1" x="208"/>
        <item m="1" x="143"/>
        <item m="1" x="1590"/>
        <item m="1" x="1522"/>
        <item m="1" x="1459"/>
        <item m="1" x="1398"/>
        <item m="1" x="1336"/>
        <item m="1" x="1112"/>
        <item m="1" x="1068"/>
        <item m="1" x="1022"/>
        <item m="1" x="985"/>
        <item m="1" x="944"/>
        <item m="1" x="913"/>
        <item m="1" x="876"/>
        <item m="1" x="846"/>
        <item m="1" x="812"/>
        <item m="1" x="783"/>
        <item m="1" x="1209"/>
        <item m="1" x="1159"/>
        <item m="1" x="1105"/>
        <item m="1" x="1061"/>
        <item m="1" x="1015"/>
        <item m="1" x="978"/>
        <item m="1" x="937"/>
        <item m="1" x="906"/>
        <item m="1" x="870"/>
        <item m="1" x="840"/>
        <item m="1" x="1320"/>
        <item m="1" x="1264"/>
        <item m="1" x="1201"/>
        <item m="1" x="1152"/>
        <item m="1" x="1097"/>
        <item m="1" x="1053"/>
        <item m="1" x="1008"/>
        <item m="1" x="970"/>
        <item m="1" x="931"/>
        <item m="1" x="900"/>
        <item m="1" x="1441"/>
        <item m="1" x="1381"/>
        <item m="1" x="1311"/>
        <item m="1" x="1255"/>
        <item m="1" x="1192"/>
        <item m="1" x="1142"/>
        <item m="1" x="1089"/>
        <item m="1" x="1045"/>
        <item m="1" x="1001"/>
        <item m="1" x="962"/>
        <item m="1" x="1561"/>
        <item m="1" x="1500"/>
        <item m="1" x="1432"/>
        <item m="1" x="1372"/>
        <item m="1" x="1302"/>
        <item m="1" x="1246"/>
        <item m="1" x="1183"/>
        <item m="1" x="1134"/>
        <item m="1" x="1083"/>
        <item m="1" x="1037"/>
        <item m="1" x="176"/>
        <item m="1" x="1624"/>
        <item m="1" x="1551"/>
        <item m="1" x="1490"/>
        <item m="1" x="1421"/>
        <item m="1" x="1361"/>
        <item m="1" x="1292"/>
        <item m="1" x="1234"/>
        <item m="1" x="1175"/>
        <item m="1" x="1125"/>
        <item m="1" x="290"/>
        <item m="1" x="234"/>
        <item m="1" x="165"/>
        <item m="1" x="1613"/>
        <item m="1" x="1539"/>
        <item m="1" x="1477"/>
        <item m="1" x="1411"/>
        <item m="1" x="1349"/>
        <item m="1" x="1284"/>
        <item m="1" x="1226"/>
        <item m="1" x="405"/>
        <item m="1" x="351"/>
        <item m="1" x="280"/>
        <item m="1" x="223"/>
        <item m="1" x="154"/>
        <item m="1" x="1601"/>
        <item m="1" x="1530"/>
        <item m="1" x="1467"/>
        <item m="1" x="1404"/>
        <item m="1" x="1342"/>
        <item m="1" x="509"/>
        <item m="1" x="461"/>
        <item m="1" x="395"/>
        <item m="1" x="339"/>
        <item m="1" x="269"/>
        <item m="1" x="209"/>
        <item m="1" x="144"/>
        <item m="1" x="1591"/>
        <item m="1" x="1523"/>
        <item m="1" x="1460"/>
        <item m="1" x="602"/>
        <item m="1" x="557"/>
        <item m="1" x="499"/>
        <item m="1" x="449"/>
        <item m="1" x="384"/>
        <item m="1" x="326"/>
        <item m="1" x="260"/>
        <item m="1" x="201"/>
        <item m="1" x="138"/>
        <item m="1" x="1584"/>
        <item m="1" x="1327"/>
        <item m="1" x="1271"/>
        <item m="1" x="1210"/>
        <item m="1" x="1160"/>
        <item m="1" x="1106"/>
        <item m="1" x="1062"/>
        <item m="1" x="1016"/>
        <item m="1" x="979"/>
        <item m="1" x="938"/>
        <item m="1" x="907"/>
        <item m="1" x="1388"/>
        <item m="1" x="1321"/>
        <item m="1" x="1265"/>
        <item m="1" x="1202"/>
        <item m="1" x="1153"/>
        <item m="1" x="1098"/>
        <item m="1" x="1054"/>
        <item m="1" x="1009"/>
        <item m="1" x="971"/>
        <item m="1" x="1568"/>
        <item m="1" x="1507"/>
        <item m="1" x="1382"/>
        <item m="1" x="1312"/>
        <item m="1" x="1256"/>
        <item m="1" x="1193"/>
        <item m="1" x="1143"/>
        <item m="1" x="1090"/>
        <item m="1" x="1046"/>
        <item m="1" x="182"/>
        <item m="1" x="123"/>
        <item m="1" x="1562"/>
        <item m="1" x="1501"/>
        <item m="1" x="1433"/>
        <item m="1" x="1373"/>
        <item m="1" x="1247"/>
        <item m="1" x="1184"/>
        <item m="1" x="1135"/>
        <item m="1" x="298"/>
        <item m="1" x="241"/>
        <item m="1" x="177"/>
        <item m="1" x="1625"/>
        <item m="1" x="1552"/>
        <item m="1" x="1491"/>
        <item m="1" x="1422"/>
        <item m="1" x="1362"/>
        <item m="1" x="1293"/>
        <item m="1" x="1235"/>
        <item m="1" x="414"/>
        <item m="1" x="360"/>
        <item m="1" x="291"/>
        <item m="1" x="166"/>
        <item m="1" x="1614"/>
        <item m="1" x="1540"/>
        <item m="1" x="1478"/>
        <item m="1" x="1412"/>
        <item m="1" x="1350"/>
        <item m="1" x="518"/>
        <item m="1" x="470"/>
        <item m="1" x="406"/>
        <item m="1" x="352"/>
        <item m="1" x="281"/>
        <item m="1" x="224"/>
        <item m="1" x="155"/>
        <item m="1" x="1602"/>
        <item m="1" x="1531"/>
        <item m="1" x="1468"/>
        <item m="1" x="610"/>
        <item m="1" x="566"/>
        <item m="1" x="510"/>
        <item m="1" x="462"/>
        <item m="1" x="396"/>
        <item m="1" x="340"/>
        <item m="1" x="270"/>
        <item m="1" x="210"/>
        <item m="1" x="145"/>
        <item m="1" x="1592"/>
        <item m="1" x="689"/>
        <item m="1" x="651"/>
        <item m="1" x="603"/>
        <item m="1" x="558"/>
        <item m="1" x="500"/>
        <item m="1" x="450"/>
        <item m="1" x="385"/>
        <item m="1" x="327"/>
        <item m="1" x="261"/>
        <item m="1" x="202"/>
        <item m="1" x="757"/>
        <item m="1" x="723"/>
        <item m="1" x="682"/>
        <item m="1" x="643"/>
        <item m="1" x="594"/>
        <item m="1" x="549"/>
        <item m="1" x="492"/>
        <item m="1" x="441"/>
        <item m="1" x="379"/>
        <item m="1" x="319"/>
        <item m="1" x="1576"/>
        <item m="1" x="1513"/>
        <item m="1" x="1447"/>
        <item m="1" x="1389"/>
        <item m="1" x="1322"/>
        <item m="1" x="1266"/>
        <item m="1" x="1203"/>
        <item m="1" x="1154"/>
        <item m="1" x="1099"/>
        <item m="1" x="1055"/>
        <item m="1" x="190"/>
        <item m="1" x="129"/>
        <item m="1" x="1569"/>
        <item m="1" x="1508"/>
        <item m="1" x="1442"/>
        <item m="1" x="1383"/>
        <item m="1" x="1313"/>
        <item m="1" x="1257"/>
        <item m="1" x="1194"/>
        <item m="1" x="1144"/>
        <item m="1" x="307"/>
        <item m="1" x="247"/>
        <item m="1" x="183"/>
        <item m="1" x="124"/>
        <item m="1" x="1563"/>
        <item m="1" x="1502"/>
        <item m="1" x="1434"/>
        <item m="1" x="1374"/>
        <item m="1" x="1303"/>
        <item m="1" x="1248"/>
        <item m="1" x="422"/>
        <item m="1" x="366"/>
        <item m="1" x="299"/>
        <item m="1" x="242"/>
        <item m="1" x="178"/>
        <item m="1" x="1626"/>
        <item m="1" x="1553"/>
        <item m="1" x="1492"/>
        <item m="1" x="1423"/>
        <item m="1" x="1363"/>
        <item m="1" x="525"/>
        <item m="1" x="476"/>
        <item m="1" x="415"/>
        <item m="1" x="361"/>
        <item m="1" x="292"/>
        <item m="1" x="235"/>
        <item m="1" x="167"/>
        <item m="1" x="1615"/>
        <item m="1" x="1541"/>
        <item m="1" x="1479"/>
        <item m="1" x="618"/>
        <item m="1" x="573"/>
        <item m="1" x="519"/>
        <item m="1" x="471"/>
        <item m="1" x="407"/>
        <item m="1" x="353"/>
        <item m="1" x="282"/>
        <item m="1" x="225"/>
        <item m="1" x="156"/>
        <item m="1" x="1603"/>
        <item m="1" x="697"/>
        <item m="1" x="658"/>
        <item m="1" x="611"/>
        <item m="1" x="567"/>
        <item m="1" x="511"/>
        <item m="1" x="463"/>
        <item m="1" x="397"/>
        <item m="1" x="341"/>
        <item m="1" x="271"/>
        <item m="1" x="211"/>
        <item m="1" x="764"/>
        <item m="1" x="730"/>
        <item m="1" x="690"/>
        <item m="1" x="652"/>
        <item m="1" x="604"/>
        <item m="1" x="559"/>
        <item m="1" x="501"/>
        <item m="1" x="451"/>
        <item m="1" x="386"/>
        <item m="1" x="328"/>
        <item m="1" x="823"/>
        <item m="1" x="795"/>
        <item m="1" x="758"/>
        <item m="1" x="724"/>
        <item m="1" x="683"/>
        <item m="1" x="644"/>
        <item m="1" x="595"/>
        <item m="1" x="550"/>
        <item m="1" x="493"/>
        <item m="1" x="442"/>
        <item m="1" x="882"/>
        <item m="1" x="852"/>
        <item m="1" x="818"/>
        <item m="1" x="790"/>
        <item m="1" x="751"/>
        <item m="1" x="717"/>
        <item m="1" x="676"/>
        <item m="1" x="636"/>
        <item m="1" x="588"/>
        <item m="1" x="541"/>
        <item m="1" x="1309"/>
        <item m="1" x="1253"/>
        <item m="1" x="1190"/>
        <item m="1" x="1139"/>
        <item m="1" x="1087"/>
        <item m="1" x="1042"/>
        <item m="1" x="999"/>
        <item m="1" x="961"/>
        <item m="1" x="926"/>
        <item m="1" x="892"/>
        <item m="1" x="1429"/>
        <item m="1" x="1369"/>
        <item m="1" x="1298"/>
        <item m="1" x="1240"/>
        <item m="1" x="1179"/>
        <item m="1" x="1129"/>
        <item m="1" x="1079"/>
        <item m="1" x="1033"/>
        <item m="1" x="994"/>
        <item m="1" x="955"/>
        <item m="1" x="1546"/>
        <item m="1" x="1484"/>
        <item m="1" x="1416"/>
        <item m="1" x="1354"/>
        <item m="1" x="1287"/>
        <item m="1" x="1229"/>
        <item m="1" x="1171"/>
        <item m="1" x="1121"/>
        <item m="1" x="1074"/>
        <item m="1" x="1028"/>
        <item m="1" x="160"/>
        <item m="1" x="1607"/>
        <item m="1" x="1534"/>
        <item m="1" x="1471"/>
        <item m="1" x="1406"/>
        <item m="1" x="1344"/>
        <item m="1" x="1281"/>
        <item m="1" x="1221"/>
        <item m="1" x="1168"/>
        <item m="1" x="274"/>
        <item m="1" x="214"/>
        <item m="1" x="147"/>
        <item m="1" x="1594"/>
        <item m="1" x="1524"/>
        <item m="1" x="1461"/>
        <item m="1" x="1399"/>
        <item m="1" x="1337"/>
        <item m="1" x="1277"/>
        <item m="1" x="1217"/>
        <item m="1" x="388"/>
        <item m="1" x="330"/>
        <item m="1" x="262"/>
        <item m="1" x="203"/>
        <item m="1" x="139"/>
        <item m="1" x="1585"/>
        <item m="1" x="1519"/>
        <item m="1" x="1396"/>
        <item m="1" x="1331"/>
        <item m="1" x="494"/>
        <item m="1" x="443"/>
        <item m="1" x="320"/>
        <item m="1" x="256"/>
        <item m="1" x="196"/>
        <item m="1" x="135"/>
        <item m="1" x="1580"/>
        <item m="1" x="1516"/>
        <item m="1" x="1451"/>
        <item m="1" x="589"/>
        <item m="1" x="542"/>
        <item m="1" x="435"/>
        <item m="1" x="375"/>
        <item m="1" x="315"/>
        <item m="1" x="253"/>
        <item m="1" x="193"/>
        <item m="1" x="132"/>
        <item m="1" x="1574"/>
        <item m="1" x="671"/>
        <item m="1" x="630"/>
        <item m="1" x="583"/>
        <item m="1" x="536"/>
        <item m="1" x="484"/>
        <item m="1" x="430"/>
        <item m="1" x="372"/>
        <item m="1" x="311"/>
        <item m="1" x="250"/>
        <item m="1" x="188"/>
        <item m="1" x="741"/>
        <item m="1" x="707"/>
        <item m="1" x="666"/>
        <item m="1" x="625"/>
        <item m="1" x="579"/>
        <item m="1" x="532"/>
        <item m="1" x="481"/>
        <item m="1" x="426"/>
        <item m="1" x="369"/>
        <item m="1" x="304"/>
        <item m="1" x="1559"/>
        <item m="1" x="1498"/>
        <item m="1" x="1430"/>
        <item m="1" x="1370"/>
        <item m="1" x="1299"/>
        <item m="1" x="1241"/>
        <item m="1" x="1180"/>
        <item m="1" x="1130"/>
        <item m="1" x="1080"/>
        <item m="1" x="1034"/>
        <item m="1" x="173"/>
        <item m="1" x="1620"/>
        <item m="1" x="1547"/>
        <item m="1" x="1485"/>
        <item m="1" x="1417"/>
        <item m="1" x="1355"/>
        <item m="1" x="1288"/>
        <item m="1" x="1230"/>
        <item m="1" x="1172"/>
        <item m="1" x="1122"/>
        <item m="1" x="287"/>
        <item m="1" x="230"/>
        <item m="1" x="161"/>
        <item m="1" x="1608"/>
        <item m="1" x="1535"/>
        <item m="1" x="1472"/>
        <item m="1" x="1407"/>
        <item m="1" x="1345"/>
        <item m="1" x="1222"/>
        <item m="1" x="401"/>
        <item m="1" x="345"/>
        <item m="1" x="215"/>
        <item m="1" x="148"/>
        <item m="1" x="1595"/>
        <item m="1" x="1525"/>
        <item m="1" x="1462"/>
        <item m="1" x="1400"/>
        <item m="1" x="1338"/>
        <item m="1" x="504"/>
        <item m="1" x="454"/>
        <item m="1" x="389"/>
        <item m="1" x="331"/>
        <item m="1" x="263"/>
        <item m="1" x="140"/>
        <item m="1" x="1586"/>
        <item m="1" x="1520"/>
        <item m="1" x="1456"/>
        <item m="1" x="597"/>
        <item m="1" x="552"/>
        <item m="1" x="495"/>
        <item m="1" x="444"/>
        <item m="1" x="380"/>
        <item m="1" x="321"/>
        <item m="1" x="257"/>
        <item m="1" x="197"/>
        <item m="1" x="136"/>
        <item m="1" x="1581"/>
        <item m="1" x="677"/>
        <item m="1" x="637"/>
        <item m="1" x="590"/>
        <item m="1" x="543"/>
        <item m="1" x="488"/>
        <item m="1" x="436"/>
        <item m="1" x="376"/>
        <item m="1" x="316"/>
        <item m="1" x="254"/>
        <item m="1" x="194"/>
        <item m="1" x="746"/>
        <item m="1" x="712"/>
        <item m="1" x="672"/>
        <item m="1" x="631"/>
        <item m="1" x="584"/>
        <item m="1" x="537"/>
        <item m="1" x="485"/>
        <item m="1" x="431"/>
        <item m="1" x="373"/>
        <item m="1" x="312"/>
        <item m="1" x="807"/>
        <item m="1" x="777"/>
        <item m="1" x="742"/>
        <item m="1" x="708"/>
        <item m="1" x="667"/>
        <item m="1" x="626"/>
        <item m="1" x="580"/>
        <item m="1" x="533"/>
        <item m="1" x="482"/>
        <item m="1" x="427"/>
        <item m="1" x="865"/>
        <item m="1" x="835"/>
        <item m="1" x="803"/>
        <item m="1" x="772"/>
        <item m="1" x="737"/>
        <item m="1" x="703"/>
        <item m="1" x="663"/>
        <item m="1" x="622"/>
        <item m="1" x="577"/>
        <item m="1" x="529"/>
        <item m="1" x="297"/>
        <item m="1" x="240"/>
        <item m="1" x="174"/>
        <item m="1" x="1621"/>
        <item m="1" x="1548"/>
        <item m="1" x="1486"/>
        <item m="1" x="1418"/>
        <item m="1" x="1356"/>
        <item m="1" x="1289"/>
        <item m="1" x="1231"/>
        <item m="1" x="412"/>
        <item m="1" x="358"/>
        <item m="1" x="288"/>
        <item m="1" x="231"/>
        <item m="1" x="162"/>
        <item m="1" x="1609"/>
        <item m="1" x="1536"/>
        <item m="1" x="1473"/>
        <item m="1" x="1408"/>
        <item m="1" x="1346"/>
        <item m="1" x="515"/>
        <item m="1" x="467"/>
        <item m="1" x="402"/>
        <item m="1" x="346"/>
        <item m="1" x="275"/>
        <item m="1" x="216"/>
        <item m="1" x="149"/>
        <item m="1" x="1596"/>
        <item m="1" x="1526"/>
        <item m="1" x="1463"/>
        <item m="1" x="607"/>
        <item m="1" x="562"/>
        <item m="1" x="505"/>
        <item m="1" x="455"/>
        <item m="1" x="390"/>
        <item m="1" x="332"/>
        <item m="1" x="264"/>
        <item m="1" x="204"/>
        <item m="1" x="141"/>
        <item m="1" x="1587"/>
        <item m="1" x="685"/>
        <item m="1" x="646"/>
        <item m="1" x="598"/>
        <item m="1" x="553"/>
        <item m="1" x="496"/>
        <item m="1" x="445"/>
        <item m="1" x="381"/>
        <item m="1" x="322"/>
        <item m="1" x="258"/>
        <item m="1" x="198"/>
        <item m="1" x="752"/>
        <item m="1" x="718"/>
        <item m="1" x="678"/>
        <item m="1" x="638"/>
        <item m="1" x="591"/>
        <item m="1" x="544"/>
        <item m="1" x="489"/>
        <item m="1" x="437"/>
        <item m="1" x="377"/>
        <item m="1" x="317"/>
        <item m="1" x="813"/>
        <item m="1" x="784"/>
        <item m="1" x="747"/>
        <item m="1" x="713"/>
        <item m="1" x="673"/>
        <item m="1" x="632"/>
        <item m="1" x="585"/>
        <item m="1" x="538"/>
        <item m="1" x="486"/>
        <item m="1" x="432"/>
        <item m="1" x="871"/>
        <item m="1" x="841"/>
        <item m="1" x="808"/>
        <item m="1" x="778"/>
        <item m="1" x="743"/>
        <item m="1" x="709"/>
        <item m="1" x="668"/>
        <item m="1" x="627"/>
        <item m="1" x="581"/>
        <item m="1" x="534"/>
        <item m="1" x="932"/>
        <item m="1" x="901"/>
        <item m="1" x="866"/>
        <item m="1" x="804"/>
        <item m="1" x="773"/>
        <item m="1" x="738"/>
        <item m="1" x="704"/>
        <item m="1" x="664"/>
        <item m="1" x="623"/>
        <item m="1" x="1002"/>
        <item m="1" x="963"/>
        <item m="1" x="927"/>
        <item m="1" x="894"/>
        <item m="1" x="862"/>
        <item m="1" x="831"/>
        <item m="1" x="801"/>
        <item m="1" x="770"/>
        <item m="1" x="736"/>
        <item m="1" x="702"/>
        <item m="1" x="475"/>
        <item m="1" x="524"/>
        <item m="1" x="413"/>
        <item m="1" x="359"/>
        <item m="1" x="289"/>
        <item m="1" x="232"/>
        <item m="1" x="163"/>
        <item m="1" x="1537"/>
        <item m="1" x="1474"/>
        <item m="1" x="616"/>
        <item m="1" x="571"/>
        <item m="1" x="516"/>
        <item m="1" x="468"/>
        <item m="1" x="403"/>
        <item m="1" x="347"/>
        <item m="1" x="276"/>
        <item m="1" x="217"/>
        <item m="1" x="150"/>
        <item m="1" x="1597"/>
        <item m="1" x="693"/>
        <item m="1" x="655"/>
        <item m="1" x="563"/>
        <item m="1" x="506"/>
        <item m="1" x="456"/>
        <item m="1" x="391"/>
        <item m="1" x="333"/>
        <item m="1" x="265"/>
        <item m="1" x="205"/>
        <item m="1" x="760"/>
        <item m="1" x="337"/>
        <item m="1" x="726"/>
        <item m="1" x="686"/>
        <item m="1" x="647"/>
        <item m="1" x="599"/>
        <item m="1" x="554"/>
        <item m="1" x="497"/>
        <item m="1" x="446"/>
        <item m="1" x="382"/>
        <item m="1" x="323"/>
        <item m="1" x="819"/>
        <item m="1" x="791"/>
        <item m="1" x="753"/>
        <item m="1" x="719"/>
        <item m="1" x="679"/>
        <item m="1" x="639"/>
        <item m="1" x="592"/>
        <item m="1" x="545"/>
        <item m="1" x="490"/>
        <item m="1" x="438"/>
        <item m="1" x="877"/>
        <item m="1" x="847"/>
        <item m="1" x="814"/>
        <item m="1" x="785"/>
        <item m="1" x="748"/>
        <item m="1" x="714"/>
        <item m="1" x="674"/>
        <item m="1" x="633"/>
        <item m="1" x="586"/>
        <item m="1" x="539"/>
        <item m="1" x="939"/>
        <item m="1" x="908"/>
        <item m="1" x="872"/>
        <item m="1" x="809"/>
        <item m="1" x="779"/>
        <item m="1" x="744"/>
        <item m="1" x="710"/>
        <item m="1" x="669"/>
        <item m="1" x="628"/>
        <item m="1" x="1010"/>
        <item m="1" x="972"/>
        <item m="1" x="933"/>
        <item m="1" x="902"/>
        <item m="1" x="867"/>
        <item m="1" x="836"/>
        <item m="1" x="805"/>
        <item m="1" x="774"/>
        <item m="1" x="739"/>
        <item m="1" x="705"/>
        <item m="1" x="1091"/>
        <item m="1" x="1047"/>
        <item m="1" x="1003"/>
        <item m="1" x="964"/>
        <item m="1" x="928"/>
        <item m="1" x="895"/>
        <item m="1" x="863"/>
        <item m="1" x="832"/>
        <item m="1" x="802"/>
        <item m="1" x="771"/>
        <item m="1" x="1185"/>
        <item m="1" x="1038"/>
        <item m="1" x="996"/>
        <item m="1" x="958"/>
        <item m="1" x="924"/>
        <item m="1" x="890"/>
        <item m="1" x="861"/>
        <item m="1" x="830"/>
        <item m="1" x="700"/>
        <item m="1" x="661"/>
        <item m="1" x="617"/>
        <item m="1" x="572"/>
        <item m="1" x="517"/>
        <item m="1" x="469"/>
        <item m="1" x="404"/>
        <item m="1" x="348"/>
        <item m="1" x="277"/>
        <item m="1" x="218"/>
        <item m="1" x="767"/>
        <item m="1" x="733"/>
        <item m="1" x="694"/>
        <item m="1" x="656"/>
        <item m="1" x="608"/>
        <item m="1" x="564"/>
        <item m="1" x="507"/>
        <item m="1" x="457"/>
        <item m="1" x="392"/>
        <item m="1" x="548"/>
        <item m="1" x="334"/>
        <item m="1" x="825"/>
        <item m="1" x="761"/>
        <item m="1" x="615"/>
        <item m="1" x="727"/>
        <item m="1" x="648"/>
        <item m="1" x="600"/>
        <item m="1" x="555"/>
        <item m="1" x="498"/>
        <item m="1" x="447"/>
        <item m="1" x="883"/>
        <item m="1" x="853"/>
        <item m="1" x="792"/>
        <item m="1" x="754"/>
        <item m="1" x="720"/>
        <item m="1" x="680"/>
        <item m="1" x="640"/>
        <item m="1" x="593"/>
        <item m="1" x="546"/>
        <item m="1" x="945"/>
        <item m="1" x="914"/>
        <item m="1" x="878"/>
        <item m="1" x="848"/>
        <item m="1" x="815"/>
        <item m="1" x="786"/>
        <item m="1" x="749"/>
        <item m="1" x="715"/>
        <item m="1" x="675"/>
        <item m="1" x="634"/>
        <item m="1" x="1017"/>
        <item m="1" x="980"/>
        <item m="1" x="940"/>
        <item m="1" x="909"/>
        <item m="1" x="350"/>
        <item m="1" x="873"/>
        <item m="1" x="842"/>
        <item m="1" x="810"/>
        <item m="1" x="780"/>
        <item m="1" x="745"/>
        <item m="1" x="1100"/>
        <item m="1" x="1056"/>
        <item m="1" x="1011"/>
        <item m="1" x="460"/>
        <item m="1" x="973"/>
        <item m="1" x="934"/>
        <item m="1" x="903"/>
        <item m="1" x="868"/>
        <item m="1" x="837"/>
        <item m="1" x="806"/>
        <item m="1" x="775"/>
        <item m="1" x="1195"/>
        <item m="1" x="1145"/>
        <item m="1" x="1092"/>
        <item m="1" x="1048"/>
        <item m="1" x="1004"/>
        <item m="1" x="965"/>
        <item m="1" x="929"/>
        <item m="1" x="896"/>
        <item m="1" x="864"/>
        <item m="1" x="833"/>
        <item m="1" x="1304"/>
        <item m="1" x="1249"/>
        <item m="1" x="1186"/>
        <item m="1" x="1136"/>
        <item m="1" x="1084"/>
        <item m="1" x="1039"/>
        <item m="1" x="997"/>
        <item m="1" x="959"/>
        <item m="1" x="925"/>
        <item m="1" x="891"/>
        <item m="1" x="1424"/>
        <item m="1" x="1364"/>
        <item m="1" x="1294"/>
        <item m="1" x="1236"/>
        <item m="1" x="1176"/>
        <item m="1" x="1077"/>
        <item m="1" x="1126"/>
        <item m="1" x="1031"/>
        <item m="1" x="993"/>
        <item m="1" x="954"/>
        <item m="1" x="829"/>
        <item m="1" x="800"/>
        <item m="1" x="768"/>
        <item m="1" x="734"/>
        <item m="1" x="695"/>
        <item m="1" x="657"/>
        <item m="1" x="609"/>
        <item m="1" x="565"/>
        <item m="1" x="508"/>
        <item m="1" x="458"/>
        <item m="1" x="888"/>
        <item m="1" x="859"/>
        <item m="1" x="826"/>
        <item m="1" x="797"/>
        <item m="1" x="762"/>
        <item m="1" x="728"/>
        <item m="1" x="687"/>
        <item m="1" x="649"/>
        <item m="1" x="601"/>
        <item m="1" x="556"/>
        <item m="1" x="950"/>
        <item m="1" x="919"/>
        <item m="1" x="884"/>
        <item m="1" x="854"/>
        <item m="1" x="820"/>
        <item m="1" x="793"/>
        <item m="1" x="755"/>
        <item m="1" x="721"/>
        <item m="1" x="681"/>
        <item m="1" x="641"/>
        <item m="1" x="1023"/>
        <item m="1" x="986"/>
        <item m="1" x="946"/>
        <item m="1" x="915"/>
        <item m="1" x="879"/>
        <item m="1" x="849"/>
        <item m="1" x="816"/>
        <item m="1" x="787"/>
        <item m="1" x="750"/>
        <item m="1" x="716"/>
        <item m="1" x="1107"/>
        <item m="1" x="642"/>
        <item m="1" x="1063"/>
        <item m="1" x="1018"/>
        <item m="1" x="981"/>
        <item m="1" x="941"/>
        <item m="1" x="910"/>
        <item m="1" x="874"/>
        <item m="1" x="843"/>
        <item m="1" x="811"/>
        <item m="1" x="781"/>
        <item m="1" x="1204"/>
        <item m="1" x="1155"/>
        <item m="1" x="1101"/>
        <item m="1" x="1057"/>
        <item m="1" x="974"/>
        <item m="1" x="1012"/>
        <item m="1" x="935"/>
        <item m="1" x="904"/>
        <item m="1" x="869"/>
        <item m="1" x="838"/>
        <item m="1" x="1314"/>
        <item m="1" x="1258"/>
        <item m="1" x="1196"/>
        <item m="1" x="1146"/>
        <item m="1" x="1005"/>
        <item m="1" x="966"/>
        <item m="1" x="930"/>
        <item m="1" x="897"/>
        <item m="1" x="1435"/>
        <item m="1" x="1375"/>
        <item m="1" x="1305"/>
        <item m="1" x="1187"/>
        <item m="1" x="1085"/>
        <item m="1" x="1040"/>
        <item m="1" x="998"/>
        <item m="1" x="960"/>
        <item m="1" x="1554"/>
        <item m="1" x="1493"/>
        <item m="1" x="1425"/>
        <item m="1" x="1365"/>
        <item m="1" x="1295"/>
        <item m="1" x="1237"/>
        <item m="1" x="1177"/>
        <item m="1" x="1127"/>
        <item m="1" x="1078"/>
        <item m="1" x="1032"/>
        <item m="1" x="1616"/>
        <item m="1" x="168"/>
        <item m="1" x="1542"/>
        <item m="1" x="1480"/>
        <item m="1" x="1413"/>
        <item m="1" x="1351"/>
        <item m="1" x="1285"/>
        <item m="1" x="1227"/>
        <item m="1" x="1170"/>
        <item m="1" x="1120"/>
        <item m="1" x="953"/>
        <item m="1" x="1335"/>
        <item m="1" x="839"/>
        <item m="1" x="899"/>
        <item m="1" x="922"/>
        <item m="1" x="889"/>
        <item m="1" x="860"/>
        <item m="1" x="827"/>
        <item m="1" x="798"/>
        <item m="1" x="763"/>
        <item m="1" x="729"/>
        <item m="1" x="688"/>
        <item m="1" x="650"/>
        <item m="1" x="1026"/>
        <item m="1" x="990"/>
        <item m="1" x="951"/>
        <item m="1" x="920"/>
        <item m="1" x="885"/>
        <item m="1" x="1093"/>
        <item m="1" x="855"/>
        <item m="1" x="821"/>
        <item m="1" x="756"/>
        <item m="1" x="722"/>
        <item m="1" x="1113"/>
        <item m="1" x="1069"/>
        <item m="1" x="987"/>
        <item m="1" x="947"/>
        <item m="1" x="916"/>
        <item m="1" x="880"/>
        <item m="1" x="850"/>
        <item m="1" x="817"/>
        <item m="1" x="788"/>
        <item m="1" x="1211"/>
        <item m="1" x="1161"/>
        <item m="1" x="1108"/>
        <item m="1" x="1064"/>
        <item m="1" x="1019"/>
        <item m="1" x="789"/>
        <item m="1" x="982"/>
        <item m="1" x="942"/>
        <item m="1" x="911"/>
        <item m="1" x="845"/>
        <item m="1" x="875"/>
        <item m="1" x="844"/>
        <item m="1" x="1323"/>
        <item m="1" x="1267"/>
        <item m="1" x="1205"/>
        <item m="1" x="1156"/>
        <item m="1" x="1102"/>
        <item m="1" x="1058"/>
        <item m="1" x="1013"/>
        <item m="1" x="975"/>
        <item m="1" x="936"/>
        <item m="1" x="905"/>
        <item m="1" x="1443"/>
        <item m="1" x="1259"/>
        <item m="1" x="1384"/>
        <item m="1" x="1315"/>
        <item m="1" x="1197"/>
        <item m="1" x="1147"/>
        <item m="1" x="1094"/>
        <item m="1" x="1049"/>
        <item m="1" x="1006"/>
        <item m="1" x="1455"/>
        <item m="1" x="1579"/>
        <item m="1" x="967"/>
        <item m="1" x="192"/>
        <item m="1" x="1564"/>
        <item m="1" x="1503"/>
        <item m="1" x="1436"/>
        <item m="1" x="1376"/>
        <item m="1" x="1306"/>
        <item m="1" x="1250"/>
        <item m="1" x="1188"/>
        <item m="1" x="1137"/>
        <item m="1" x="1086"/>
        <item m="1" x="1041"/>
        <item m="1" x="1627"/>
        <item m="1" x="1555"/>
        <item m="1" x="1494"/>
        <item m="1" x="1426"/>
        <item m="1" x="1366"/>
        <item m="1" x="1296"/>
        <item m="1" x="1238"/>
        <item m="1" x="1178"/>
        <item m="1" x="1128"/>
        <item m="1" x="293"/>
        <item m="1" x="236"/>
        <item m="1" x="169"/>
        <item m="1" x="1617"/>
        <item m="1" x="1543"/>
        <item m="1" x="1481"/>
        <item m="1" x="1414"/>
        <item m="1" x="1352"/>
        <item m="1" x="1286"/>
        <item m="1" x="1228"/>
        <item m="1" x="408"/>
        <item m="1" x="354"/>
        <item m="1" x="283"/>
        <item m="1" x="226"/>
        <item m="1" x="157"/>
        <item m="1" x="1604"/>
        <item m="1" x="1532"/>
        <item m="1" x="1469"/>
        <item m="1" x="1405"/>
        <item m="1" x="1343"/>
        <item m="1" x="969"/>
        <item m="1" x="1116"/>
        <item m="1" x="1044"/>
        <item m="1" x="1072"/>
        <item m="1" x="1027"/>
        <item m="1" x="991"/>
        <item m="1" x="952"/>
        <item m="1" x="921"/>
        <item m="1" x="886"/>
        <item m="1" x="856"/>
        <item m="1" x="822"/>
        <item m="1" x="794"/>
        <item m="1" x="1215"/>
        <item m="1" x="1165"/>
        <item m="1" x="1114"/>
        <item m="1" x="1070"/>
        <item m="1" x="1024"/>
        <item m="1" x="988"/>
        <item m="1" x="948"/>
        <item m="1" x="917"/>
        <item m="1" x="881"/>
        <item m="1" x="851"/>
        <item m="1" x="1328"/>
        <item m="1" x="1272"/>
        <item m="1" x="1212"/>
        <item m="1" x="1162"/>
        <item m="1" x="1109"/>
        <item m="1" x="1065"/>
        <item m="1" x="1020"/>
        <item m="1" x="983"/>
        <item m="1" x="943"/>
        <item m="1" x="912"/>
        <item m="1" x="1448"/>
        <item m="1" x="1390"/>
        <item m="1" x="1324"/>
        <item m="1" x="1268"/>
        <item m="1" x="1206"/>
        <item m="1" x="1157"/>
        <item m="1" x="1103"/>
        <item m="1" x="1059"/>
        <item m="1" x="1014"/>
        <item m="1" x="976"/>
        <item m="1" x="1570"/>
        <item m="1" x="1509"/>
        <item m="1" x="1444"/>
        <item m="1" x="1385"/>
        <item m="1" x="1316"/>
        <item m="1" x="1260"/>
        <item m="1" x="1198"/>
        <item m="1" x="977"/>
        <item m="1" x="1148"/>
        <item m="1" x="1095"/>
        <item m="1" x="1050"/>
        <item m="1" x="184"/>
        <item m="1" x="125"/>
        <item m="1" x="1565"/>
        <item m="1" x="1504"/>
        <item m="1" x="1437"/>
        <item m="1" x="1377"/>
        <item m="1" x="1307"/>
        <item m="1" x="310"/>
        <item m="1" x="1052"/>
        <item m="1" x="425"/>
        <item m="1" x="1189"/>
        <item m="1" x="1251"/>
        <item m="1" x="1138"/>
        <item m="1" x="300"/>
        <item m="1" x="243"/>
        <item m="1" x="179"/>
        <item m="1" x="1628"/>
        <item m="1" x="1556"/>
        <item m="1" x="1495"/>
        <item m="1" x="1427"/>
        <item m="1" x="1367"/>
        <item m="1" x="1239"/>
        <item m="1" x="1297"/>
        <item m="1" x="416"/>
        <item m="1" x="362"/>
        <item m="1" x="294"/>
        <item m="1" x="237"/>
        <item m="1" x="1618"/>
        <item m="1" x="170"/>
        <item m="1" x="1544"/>
        <item m="1" x="1482"/>
        <item m="1" x="1415"/>
        <item m="1" x="1353"/>
        <item m="1" x="1244"/>
        <item m="1" x="520"/>
        <item m="1" x="472"/>
        <item m="1" x="409"/>
        <item m="1" x="355"/>
        <item m="1" x="284"/>
        <item m="1" x="227"/>
        <item m="1" x="158"/>
        <item m="1" x="1605"/>
        <item m="1" x="1533"/>
        <item m="1" x="1470"/>
        <item m="1" x="612"/>
        <item m="1" x="568"/>
        <item m="1" x="512"/>
        <item m="1" x="464"/>
        <item m="1" x="398"/>
        <item m="1" x="342"/>
        <item m="1" x="272"/>
        <item m="1" x="212"/>
        <item m="1" x="146"/>
        <item m="1" x="1593"/>
        <item m="1" x="1334"/>
        <item m="1" x="1276"/>
        <item m="1" x="1216"/>
        <item m="1" x="1166"/>
        <item m="1" x="1115"/>
        <item m="1" x="1071"/>
        <item m="1" x="1025"/>
        <item m="1" x="989"/>
        <item m="1" x="949"/>
        <item m="1" x="918"/>
        <item m="1" x="1453"/>
        <item m="1" x="1394"/>
        <item m="1" x="1329"/>
        <item m="1" x="1273"/>
        <item m="1" x="1213"/>
        <item m="1" x="1163"/>
        <item m="1" x="1110"/>
        <item m="1" x="1066"/>
        <item m="1" x="1021"/>
        <item m="1" x="984"/>
        <item m="1" x="1577"/>
        <item m="1" x="1514"/>
        <item m="1" x="1449"/>
        <item m="1" x="1325"/>
        <item m="1" x="1391"/>
        <item m="1" x="1269"/>
        <item m="1" x="1207"/>
        <item m="1" x="1104"/>
        <item m="1" x="1060"/>
        <item m="1" x="191"/>
        <item m="1" x="130"/>
        <item m="1" x="1571"/>
        <item m="1" x="1510"/>
        <item m="1" x="1445"/>
        <item m="1" x="1386"/>
        <item m="1" x="1317"/>
        <item m="1" x="1261"/>
        <item m="1" x="1149"/>
        <item m="1" x="1199"/>
        <item m="1" x="308"/>
        <item m="1" x="248"/>
        <item m="1" x="185"/>
        <item m="1" x="126"/>
        <item m="1" x="1566"/>
        <item m="1" x="1505"/>
        <item m="1" x="1438"/>
        <item m="1" x="1378"/>
        <item m="1" x="1308"/>
        <item m="1" x="1252"/>
        <item m="1" x="423"/>
        <item m="1" x="367"/>
        <item m="1" x="301"/>
        <item m="1" x="244"/>
        <item m="1" x="180"/>
        <item m="1" x="1629"/>
        <item m="1" x="1557"/>
        <item m="1" x="1496"/>
        <item m="1" x="1428"/>
        <item m="1" x="1368"/>
        <item m="1" x="526"/>
        <item m="1" x="477"/>
        <item m="1" x="417"/>
        <item m="1" x="363"/>
        <item m="1" x="295"/>
        <item m="1" x="238"/>
        <item m="1" x="171"/>
        <item m="1" x="1545"/>
        <item m="1" x="1483"/>
        <item m="1" x="619"/>
        <item m="1" x="574"/>
        <item m="1" x="521"/>
        <item m="1" x="473"/>
        <item m="1" x="410"/>
        <item m="1" x="356"/>
        <item m="1" x="285"/>
        <item m="1" x="228"/>
        <item m="1" x="159"/>
        <item m="1" x="1606"/>
        <item m="1" x="698"/>
        <item m="1" x="659"/>
        <item m="1" x="613"/>
        <item m="1" x="569"/>
        <item m="1" x="513"/>
        <item m="1" x="465"/>
        <item m="1" x="399"/>
        <item m="1" x="343"/>
        <item m="1" x="273"/>
        <item m="1" x="213"/>
        <item m="1" x="765"/>
        <item m="1" x="731"/>
        <item m="1" x="691"/>
        <item m="1" x="653"/>
        <item m="1" x="857"/>
        <item m="1" x="605"/>
        <item m="1" x="560"/>
        <item m="1" x="502"/>
        <item m="1" x="452"/>
        <item m="1" x="387"/>
        <item m="1" x="329"/>
        <item m="1" x="1583"/>
        <item m="1" x="1518"/>
        <item m="1" x="1454"/>
        <item m="1" x="1395"/>
        <item m="1" x="1151"/>
        <item m="1" x="1330"/>
        <item m="1" x="1274"/>
        <item m="1" x="1214"/>
        <item m="1" x="1164"/>
        <item m="1" x="1111"/>
        <item m="1" x="1067"/>
        <item m="1" x="134"/>
        <item m="1" x="1578"/>
        <item m="1" x="1515"/>
        <item m="1" x="1450"/>
        <item m="1" x="1392"/>
        <item m="1" x="1326"/>
        <item m="1" x="1270"/>
        <item m="1" x="1208"/>
        <item m="1" x="1158"/>
        <item m="1" x="314"/>
        <item m="1" x="252"/>
        <item m="1" x="131"/>
        <item m="1" x="1572"/>
        <item m="1" x="1511"/>
        <item m="1" x="1446"/>
        <item m="1" x="1387"/>
        <item m="1" x="1318"/>
        <item m="1" x="1262"/>
        <item m="1" x="429"/>
        <item m="1" x="371"/>
        <item m="1" x="309"/>
        <item m="1" x="249"/>
        <item m="1" x="186"/>
        <item m="1" x="127"/>
        <item m="1" x="1567"/>
        <item m="1" x="1506"/>
        <item m="1" x="1439"/>
        <item m="1" x="1379"/>
        <item m="1" x="531"/>
        <item m="1" x="480"/>
        <item m="1" x="424"/>
        <item m="1" x="368"/>
        <item m="1" x="302"/>
        <item m="1" x="245"/>
        <item m="1" x="181"/>
        <item m="1" x="1630"/>
        <item m="1" x="1558"/>
        <item m="1" x="1497"/>
        <item m="1" x="621"/>
        <item m="1" x="576"/>
        <item m="1" x="527"/>
        <item m="1" x="478"/>
        <item m="1" x="418"/>
        <item m="1" x="364"/>
        <item m="1" x="296"/>
        <item m="1" x="239"/>
        <item m="1" x="172"/>
        <item m="1" x="1619"/>
        <item m="1" x="701"/>
        <item m="1" x="662"/>
        <item m="1" x="620"/>
        <item m="1" x="575"/>
        <item m="1" x="522"/>
        <item m="1" x="474"/>
        <item m="1" x="411"/>
        <item m="1" x="357"/>
        <item m="1" x="286"/>
        <item m="1" x="229"/>
        <item m="1" x="769"/>
        <item m="1" x="699"/>
        <item m="1" x="735"/>
        <item m="1" x="834"/>
        <item m="1" x="893"/>
        <item m="1" x="957"/>
        <item m="1" x="1030"/>
        <item m="1" x="660"/>
        <item m="1" x="614"/>
        <item m="1" x="570"/>
        <item m="1" x="514"/>
        <item m="1" x="466"/>
        <item m="1" x="400"/>
        <item m="1" x="344"/>
        <item m="1" x="828"/>
        <item m="1" x="799"/>
        <item m="1" x="766"/>
        <item m="1" x="732"/>
        <item m="1" x="692"/>
        <item m="1" x="654"/>
        <item m="1" x="1118"/>
        <item m="1" x="528"/>
        <item m="1" x="606"/>
        <item m="1" x="561"/>
        <item m="1" x="503"/>
        <item m="1" x="453"/>
        <item m="1" x="887"/>
        <item m="1" x="1219"/>
        <item m="1" x="858"/>
        <item m="1" x="824"/>
        <item m="1" x="796"/>
        <item m="1" x="759"/>
        <item m="1" x="725"/>
        <item m="1" x="684"/>
        <item m="1" x="645"/>
        <item m="1" x="596"/>
        <item m="1" x="551"/>
        <item m="1" x="1319"/>
        <item m="1" x="1263"/>
        <item m="1" x="1200"/>
        <item m="1" x="1150"/>
        <item m="1" x="1096"/>
        <item m="1" x="1051"/>
        <item m="1" x="1007"/>
        <item m="1" x="968"/>
        <item m="1" x="898"/>
        <item m="1" x="1440"/>
        <item m="1" x="1380"/>
        <item m="1" x="1310"/>
        <item m="1" x="1254"/>
        <item m="1" x="1191"/>
        <item m="1" x="1140"/>
        <item m="1" x="1088"/>
        <item m="1" x="1043"/>
        <item m="1" x="1000"/>
        <item m="1" x="1560"/>
        <item m="1" x="1499"/>
        <item m="1" x="1431"/>
        <item m="1" x="1371"/>
        <item m="1" x="1300"/>
        <item m="1" x="1242"/>
        <item m="1" x="1181"/>
        <item m="1" x="782"/>
        <item m="1" x="1131"/>
        <item m="1" x="1081"/>
        <item m="1" x="1035"/>
        <item m="1" x="175"/>
        <item m="1" x="1622"/>
        <item m="1" x="1549"/>
        <item m="1" x="1487"/>
        <item m="1" x="1357"/>
        <item m="1" x="1397"/>
        <item m="1" x="1301"/>
        <item m="1" x="1243"/>
        <item m="1" x="1182"/>
        <item m="1" x="1132"/>
        <item m="1" x="1082"/>
        <item m="1" x="1036"/>
        <item m="1" x="995"/>
        <item m="1" x="956"/>
        <item m="1" x="923"/>
        <item m="1" x="1488"/>
        <item m="1" x="1419"/>
        <item m="1" x="1358"/>
        <item m="1" x="1290"/>
        <item m="1" x="1173"/>
        <item m="1" x="1123"/>
        <item m="1" x="1075"/>
        <item m="1" x="1029"/>
        <item m="1" x="992"/>
        <item m="1" x="1610"/>
        <item m="1" x="1538"/>
        <item m="1" x="1475"/>
        <item m="1" x="1409"/>
        <item m="1" x="1347"/>
        <item m="1" x="1282"/>
        <item m="1" x="1223"/>
        <item m="1" x="1117"/>
        <item m="1" x="1073"/>
        <item m="1" x="219"/>
        <item m="1" x="151"/>
        <item m="1" x="1598"/>
        <item m="1" x="1527"/>
        <item m="1" x="1464"/>
        <item m="1" x="1278"/>
        <item m="1" x="1401"/>
        <item m="1" x="1339"/>
        <item m="1" x="1218"/>
        <item m="1" x="1167"/>
        <item m="1" x="335"/>
        <item m="1" x="266"/>
        <item m="1" x="206"/>
        <item m="1" x="142"/>
        <item m="1" x="1588"/>
        <item m="1" x="1521"/>
        <item m="1" x="1457"/>
        <item m="1" x="1332"/>
        <item m="1" x="1275"/>
        <item m="1" x="448"/>
        <item m="1" x="383"/>
        <item m="1" x="324"/>
        <item m="1" x="259"/>
        <item m="1" x="199"/>
        <item m="1" x="137"/>
        <item m="1" x="1582"/>
        <item m="1" x="1517"/>
        <item m="1" x="1333"/>
        <item m="1" x="696"/>
        <item m="1" x="1452"/>
        <item m="1" x="1393"/>
        <item m="1" x="547"/>
        <item m="1" x="491"/>
        <item m="1" x="439"/>
        <item m="1" x="378"/>
        <item m="1" x="255"/>
        <item m="1" x="195"/>
        <item m="1" x="133"/>
        <item m="1" x="1575"/>
        <item m="1" x="1512"/>
        <item m="1" x="635"/>
        <item m="1" x="587"/>
        <item m="1" x="540"/>
        <item m="1" x="487"/>
        <item m="1" x="433"/>
        <item m="1" x="374"/>
        <item m="1" x="313"/>
        <item m="1" x="251"/>
        <item m="1" x="189"/>
        <item m="1" x="128"/>
        <item m="1" x="711"/>
        <item m="1" x="670"/>
        <item m="1" x="629"/>
        <item m="1" x="582"/>
        <item m="1" x="535"/>
        <item m="1" x="483"/>
        <item m="1" x="428"/>
        <item m="1" x="370"/>
        <item m="1" x="305"/>
        <item m="1" x="246"/>
        <item m="1" x="776"/>
        <item m="1" x="740"/>
        <item m="1" x="706"/>
        <item m="1" x="665"/>
        <item m="1" x="624"/>
        <item m="1" x="578"/>
        <item m="1" x="530"/>
        <item m="1" x="479"/>
        <item m="1" x="420"/>
        <item m="1" x="365"/>
        <item m="1" x="1623"/>
        <item m="1" x="1550"/>
        <item m="1" x="1489"/>
        <item m="1" x="1420"/>
        <item m="1" x="1359"/>
        <item m="1" x="1291"/>
        <item m="1" x="1232"/>
        <item m="1" x="1174"/>
        <item m="1" x="1124"/>
        <item m="1" x="1076"/>
        <item m="1" x="233"/>
        <item m="1" x="164"/>
        <item m="1" x="1611"/>
        <item m="1" x="306"/>
        <item m="1" x="1476"/>
        <item m="1" x="1410"/>
        <item m="1" x="421"/>
        <item m="1" x="1283"/>
        <item m="1" x="1224"/>
        <item m="1" x="1169"/>
        <item m="1" x="349"/>
        <item m="1" x="278"/>
        <item m="1" x="220"/>
        <item m="1" x="152"/>
        <item m="1" x="1599"/>
        <item m="1" x="1528"/>
        <item m="1" x="1402"/>
        <item m="1" x="1340"/>
        <item m="1" x="1279"/>
        <item m="1" x="459"/>
        <item m="1" x="393"/>
        <item m="1" x="336"/>
        <item m="1" x="26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9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4"/>
    <field x="5"/>
    <field x="3"/>
    <field x="7"/>
  </rowFields>
  <rowItems count="124">
    <i>
      <x/>
      <x/>
      <x v="960"/>
      <x v="1528"/>
    </i>
    <i>
      <x v="1"/>
      <x v="1"/>
      <x v="940"/>
      <x v="1508"/>
    </i>
    <i r="2">
      <x v="941"/>
      <x v="1509"/>
    </i>
    <i r="2">
      <x v="942"/>
      <x v="1510"/>
    </i>
    <i r="2">
      <x v="943"/>
      <x v="1511"/>
    </i>
    <i r="2">
      <x v="944"/>
      <x v="1512"/>
    </i>
    <i r="2">
      <x v="945"/>
      <x v="1513"/>
    </i>
    <i r="2">
      <x v="946"/>
      <x v="1514"/>
    </i>
    <i r="2">
      <x v="947"/>
      <x v="1515"/>
    </i>
    <i r="2">
      <x v="948"/>
      <x v="1516"/>
    </i>
    <i r="2">
      <x v="949"/>
      <x v="1517"/>
    </i>
    <i r="2">
      <x v="950"/>
      <x v="1518"/>
    </i>
    <i r="2">
      <x v="951"/>
      <x v="1519"/>
    </i>
    <i r="2">
      <x v="952"/>
      <x v="1520"/>
    </i>
    <i r="2">
      <x v="953"/>
      <x v="1521"/>
    </i>
    <i r="2">
      <x v="954"/>
      <x v="1522"/>
    </i>
    <i r="2">
      <x v="955"/>
      <x v="1523"/>
    </i>
    <i r="2">
      <x v="956"/>
      <x v="1524"/>
    </i>
    <i r="2">
      <x v="957"/>
      <x v="1525"/>
    </i>
    <i r="2">
      <x v="958"/>
      <x v="1526"/>
    </i>
    <i r="2">
      <x v="959"/>
      <x v="1527"/>
    </i>
    <i r="2">
      <x v="961"/>
      <x v="1529"/>
    </i>
    <i r="2">
      <x v="962"/>
      <x v="1530"/>
    </i>
    <i r="2">
      <x v="963"/>
      <x v="1531"/>
    </i>
    <i r="2">
      <x v="964"/>
      <x v="1532"/>
    </i>
    <i r="2">
      <x v="965"/>
      <x v="1533"/>
    </i>
    <i r="2">
      <x v="966"/>
      <x v="1534"/>
    </i>
    <i r="2">
      <x v="967"/>
      <x v="1535"/>
    </i>
    <i r="2">
      <x v="968"/>
      <x v="1536"/>
    </i>
    <i r="2">
      <x v="969"/>
      <x v="1537"/>
    </i>
    <i r="2">
      <x v="970"/>
      <x v="1538"/>
    </i>
    <i r="2">
      <x v="971"/>
      <x v="1539"/>
    </i>
    <i r="2">
      <x v="972"/>
      <x v="1540"/>
    </i>
    <i r="2">
      <x v="973"/>
      <x v="1541"/>
    </i>
    <i r="2">
      <x v="974"/>
      <x v="1542"/>
    </i>
    <i r="2">
      <x v="975"/>
      <x v="1543"/>
    </i>
    <i r="2">
      <x v="976"/>
      <x v="1544"/>
    </i>
    <i r="2">
      <x v="977"/>
      <x v="1545"/>
    </i>
    <i r="2">
      <x v="978"/>
      <x v="1546"/>
    </i>
    <i r="2">
      <x v="979"/>
      <x v="1547"/>
    </i>
    <i r="2">
      <x v="980"/>
      <x v="1548"/>
    </i>
    <i r="2">
      <x v="981"/>
      <x v="1549"/>
    </i>
    <i r="2">
      <x v="982"/>
      <x v="1550"/>
    </i>
    <i r="2">
      <x v="983"/>
      <x v="1551"/>
    </i>
    <i r="2">
      <x v="984"/>
      <x v="1552"/>
    </i>
    <i r="2">
      <x v="985"/>
      <x v="1553"/>
    </i>
    <i r="2">
      <x v="986"/>
      <x v="1554"/>
    </i>
    <i r="2">
      <x v="987"/>
      <x v="1555"/>
    </i>
    <i r="2">
      <x v="988"/>
      <x v="1556"/>
    </i>
    <i r="2">
      <x v="989"/>
      <x v="1557"/>
    </i>
    <i r="2">
      <x v="990"/>
      <x v="1558"/>
    </i>
    <i r="2">
      <x v="991"/>
      <x v="1559"/>
    </i>
    <i r="2">
      <x v="992"/>
      <x v="1560"/>
    </i>
    <i r="2">
      <x v="993"/>
      <x v="1561"/>
    </i>
    <i r="2">
      <x v="994"/>
      <x v="1562"/>
    </i>
    <i r="2">
      <x v="995"/>
      <x v="1563"/>
    </i>
    <i r="2">
      <x v="996"/>
      <x v="1564"/>
    </i>
    <i r="2">
      <x v="997"/>
      <x v="1565"/>
    </i>
    <i r="2">
      <x v="998"/>
      <x v="1566"/>
    </i>
    <i r="2">
      <x v="999"/>
      <x v="1567"/>
    </i>
    <i r="2">
      <x v="1000"/>
      <x v="1568"/>
    </i>
    <i r="2">
      <x v="1001"/>
      <x v="1569"/>
    </i>
    <i r="2">
      <x v="1002"/>
      <x v="1570"/>
    </i>
    <i r="2">
      <x v="1003"/>
      <x v="1571"/>
    </i>
    <i r="2">
      <x v="1004"/>
      <x v="1572"/>
    </i>
    <i r="2">
      <x v="1005"/>
      <x v="1573"/>
    </i>
    <i r="2">
      <x v="1006"/>
      <x v="1574"/>
    </i>
    <i r="2">
      <x v="1007"/>
      <x v="1575"/>
    </i>
    <i r="2">
      <x v="1008"/>
      <x v="1576"/>
    </i>
    <i r="2">
      <x v="1009"/>
      <x v="1577"/>
    </i>
    <i r="2">
      <x v="1010"/>
      <x v="1578"/>
    </i>
    <i r="2">
      <x v="1011"/>
      <x v="1579"/>
    </i>
    <i r="2">
      <x v="1012"/>
      <x v="1580"/>
    </i>
    <i r="2">
      <x v="1013"/>
      <x v="1581"/>
    </i>
    <i r="2">
      <x v="1014"/>
      <x v="1582"/>
    </i>
    <i r="2">
      <x v="1015"/>
      <x v="1583"/>
    </i>
    <i r="2">
      <x v="1016"/>
      <x v="1584"/>
    </i>
    <i r="2">
      <x v="1017"/>
      <x v="1585"/>
    </i>
    <i r="2">
      <x v="1018"/>
      <x v="1586"/>
    </i>
    <i r="2">
      <x v="1019"/>
      <x v="1587"/>
    </i>
    <i r="2">
      <x v="1020"/>
      <x v="1588"/>
    </i>
    <i r="2">
      <x v="1021"/>
      <x v="1589"/>
    </i>
    <i r="2">
      <x v="1022"/>
      <x v="1590"/>
    </i>
    <i r="2">
      <x v="1023"/>
      <x v="1591"/>
    </i>
    <i r="2">
      <x v="1024"/>
      <x v="1592"/>
    </i>
    <i r="2">
      <x v="1025"/>
      <x v="1593"/>
    </i>
    <i r="2">
      <x v="1026"/>
      <x v="1594"/>
    </i>
    <i r="2">
      <x v="1027"/>
      <x v="1595"/>
    </i>
    <i r="2">
      <x v="1028"/>
      <x v="1596"/>
    </i>
    <i r="2">
      <x v="1029"/>
      <x v="1597"/>
    </i>
    <i r="2">
      <x v="1030"/>
      <x v="1598"/>
    </i>
    <i r="2">
      <x v="1031"/>
      <x v="1599"/>
    </i>
    <i r="2">
      <x v="1032"/>
      <x v="1600"/>
    </i>
    <i r="2">
      <x v="1033"/>
      <x v="1601"/>
    </i>
    <i r="2">
      <x v="1034"/>
      <x v="1602"/>
    </i>
    <i r="2">
      <x v="1035"/>
      <x v="1603"/>
    </i>
    <i r="2">
      <x v="1036"/>
      <x v="1604"/>
    </i>
    <i r="2">
      <x v="1037"/>
      <x v="1605"/>
    </i>
    <i r="2">
      <x v="1038"/>
      <x v="1606"/>
    </i>
    <i r="2">
      <x v="1039"/>
      <x v="1607"/>
    </i>
    <i r="2">
      <x v="1040"/>
      <x v="1608"/>
    </i>
    <i r="2">
      <x v="1041"/>
      <x v="1609"/>
    </i>
    <i r="2">
      <x v="1042"/>
      <x v="1610"/>
    </i>
    <i r="2">
      <x v="1043"/>
      <x v="1611"/>
    </i>
    <i r="2">
      <x v="1044"/>
      <x v="1612"/>
    </i>
    <i r="2">
      <x v="1045"/>
      <x v="1613"/>
    </i>
    <i r="2">
      <x v="1046"/>
      <x v="1614"/>
    </i>
    <i r="2">
      <x v="1047"/>
      <x v="1615"/>
    </i>
    <i r="2">
      <x v="1048"/>
      <x v="1616"/>
    </i>
    <i r="2">
      <x v="1049"/>
      <x v="1617"/>
    </i>
    <i r="2">
      <x v="1050"/>
      <x v="1618"/>
    </i>
    <i r="2">
      <x v="1051"/>
      <x v="1619"/>
    </i>
    <i r="2">
      <x v="1052"/>
      <x v="1620"/>
    </i>
    <i r="2">
      <x v="1053"/>
      <x v="1621"/>
    </i>
    <i r="2">
      <x v="1054"/>
      <x v="1622"/>
    </i>
    <i r="2">
      <x v="1055"/>
      <x v="1623"/>
    </i>
    <i r="2">
      <x v="1056"/>
      <x v="1624"/>
    </i>
    <i r="2">
      <x v="1057"/>
      <x v="1625"/>
    </i>
    <i r="2">
      <x v="1058"/>
      <x v="1626"/>
    </i>
    <i r="2">
      <x v="1059"/>
      <x v="1627"/>
    </i>
    <i r="2">
      <x v="1060"/>
      <x v="1628"/>
    </i>
    <i r="2">
      <x v="1061"/>
      <x v="1629"/>
    </i>
    <i r="2">
      <x v="1062"/>
      <x v="163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PivotTable2" cacheId="6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gridDropZones="1" multipleFieldFilters="0">
  <location ref="O10:T13" firstHeaderRow="1" firstDataRow="2" firstDataCol="1" rowPageCount="1" colPageCount="1"/>
  <pivotFields count="62"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multipleItemSelectionAllowed="1" showAll="0" defaultSubtotal="0">
      <items count="3">
        <item x="1"/>
        <item h="1" x="0"/>
        <item h="1" m="1"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9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5"/>
  </rowFields>
  <rowItems count="2">
    <i>
      <x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52" hier="-1"/>
  </pageFields>
  <dataFields count="5">
    <dataField name=" Sale Amt." fld="35" baseField="0" baseItem="0"/>
    <dataField name=" CGST" fld="40" baseField="0" baseItem="0"/>
    <dataField name=" SGST" fld="46" baseField="0" baseItem="0"/>
    <dataField name=" IGST" fld="42" baseField="0" baseItem="0"/>
    <dataField name=" Total Amt." fld="50" baseField="0" baseItem="0"/>
  </dataFields>
  <formats count="1">
    <format dxfId="107">
      <pivotArea outline="0" fieldPosition="0">
        <references count="1">
          <reference field="4294967294" count="1" selected="0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6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gridDropZones="1" multipleFieldFilters="0">
  <location ref="A4:L6" firstHeaderRow="1" firstDataRow="2" firstDataCol="7" rowPageCount="2" colPageCount="1"/>
  <pivotFields count="6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1"/>
        <item x="2"/>
        <item m="1" x="3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3">
        <item x="1"/>
        <item h="1"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31">
        <item m="1" x="1119"/>
        <item m="1" x="279"/>
        <item m="1" x="222"/>
        <item m="1" x="153"/>
        <item m="1" x="1600"/>
        <item m="1" x="1529"/>
        <item m="1" x="1466"/>
        <item m="1" x="1403"/>
        <item m="1" x="1341"/>
        <item m="1" x="1280"/>
        <item m="1" x="1220"/>
        <item m="1" x="394"/>
        <item m="1" x="338"/>
        <item m="1" x="268"/>
        <item m="1" x="208"/>
        <item m="1" x="1225"/>
        <item m="1" x="143"/>
        <item m="1" x="1590"/>
        <item m="1" x="1522"/>
        <item m="1" x="1459"/>
        <item m="1" x="1398"/>
        <item m="1" x="1336"/>
        <item m="1" x="1112"/>
        <item m="1" x="1068"/>
        <item m="1" x="1022"/>
        <item m="1" x="985"/>
        <item m="1" x="944"/>
        <item m="1" x="913"/>
        <item m="1" x="876"/>
        <item m="1" x="846"/>
        <item m="1" x="812"/>
        <item m="1" x="1458"/>
        <item m="1" x="783"/>
        <item m="1" x="1209"/>
        <item m="1" x="1159"/>
        <item m="1" x="1105"/>
        <item m="1" x="1061"/>
        <item m="1" x="1015"/>
        <item m="1" x="978"/>
        <item m="1" x="937"/>
        <item m="1" x="906"/>
        <item m="1" x="870"/>
        <item m="1" x="840"/>
        <item m="1" x="1320"/>
        <item m="1" x="1264"/>
        <item m="1" x="1152"/>
        <item m="1" x="1201"/>
        <item m="1" x="1097"/>
        <item m="1" x="1053"/>
        <item m="1" x="1008"/>
        <item m="1" x="970"/>
        <item m="1" x="931"/>
        <item m="1" x="900"/>
        <item m="1" x="1441"/>
        <item m="1" x="1381"/>
        <item m="1" x="1311"/>
        <item m="1" x="1255"/>
        <item m="1" x="1192"/>
        <item m="1" x="1142"/>
        <item m="1" x="1089"/>
        <item m="1" x="1045"/>
        <item m="1" x="1001"/>
        <item m="1" x="962"/>
        <item m="1" x="1561"/>
        <item m="1" x="1500"/>
        <item m="1" x="1432"/>
        <item m="1" x="1372"/>
        <item m="1" x="1302"/>
        <item m="1" x="1246"/>
        <item m="1" x="1183"/>
        <item m="1" x="1134"/>
        <item m="1" x="1083"/>
        <item m="1" x="1037"/>
        <item m="1" x="176"/>
        <item m="1" x="1624"/>
        <item m="1" x="1551"/>
        <item m="1" x="1490"/>
        <item m="1" x="1421"/>
        <item m="1" x="1361"/>
        <item m="1" x="1292"/>
        <item m="1" x="1234"/>
        <item m="1" x="1175"/>
        <item m="1" x="1125"/>
        <item m="1" x="290"/>
        <item m="1" x="234"/>
        <item m="1" x="165"/>
        <item m="1" x="1613"/>
        <item m="1" x="1539"/>
        <item m="1" x="1477"/>
        <item m="1" x="1411"/>
        <item m="1" x="1349"/>
        <item m="1" x="1284"/>
        <item m="1" x="1226"/>
        <item m="1" x="405"/>
        <item m="1" x="351"/>
        <item m="1" x="280"/>
        <item m="1" x="223"/>
        <item m="1" x="154"/>
        <item m="1" x="1601"/>
        <item m="1" x="1530"/>
        <item m="1" x="1467"/>
        <item m="1" x="1404"/>
        <item m="1" x="1342"/>
        <item m="1" x="509"/>
        <item m="1" x="461"/>
        <item m="1" x="395"/>
        <item m="1" x="339"/>
        <item m="1" x="269"/>
        <item m="1" x="209"/>
        <item m="1" x="144"/>
        <item m="1" x="1591"/>
        <item m="1" x="1523"/>
        <item m="1" x="1460"/>
        <item m="1" x="602"/>
        <item m="1" x="557"/>
        <item m="1" x="499"/>
        <item m="1" x="449"/>
        <item m="1" x="384"/>
        <item m="1" x="326"/>
        <item m="1" x="260"/>
        <item m="1" x="201"/>
        <item m="1" x="1584"/>
        <item m="1" x="138"/>
        <item m="1" x="1327"/>
        <item m="1" x="1271"/>
        <item m="1" x="1210"/>
        <item m="1" x="1160"/>
        <item m="1" x="1106"/>
        <item m="1" x="1062"/>
        <item m="1" x="1016"/>
        <item m="1" x="979"/>
        <item m="1" x="938"/>
        <item m="1" x="907"/>
        <item m="1" x="1388"/>
        <item m="1" x="1321"/>
        <item m="1" x="1265"/>
        <item m="1" x="1202"/>
        <item m="1" x="1153"/>
        <item m="1" x="1098"/>
        <item m="1" x="1054"/>
        <item m="1" x="1009"/>
        <item m="1" x="971"/>
        <item m="1" x="1568"/>
        <item m="1" x="1507"/>
        <item m="1" x="1382"/>
        <item m="1" x="1312"/>
        <item m="1" x="1256"/>
        <item m="1" x="1193"/>
        <item m="1" x="1143"/>
        <item m="1" x="1090"/>
        <item m="1" x="1046"/>
        <item m="1" x="182"/>
        <item m="1" x="123"/>
        <item m="1" x="1562"/>
        <item m="1" x="1501"/>
        <item m="1" x="1433"/>
        <item m="1" x="1373"/>
        <item m="1" x="1247"/>
        <item m="1" x="1184"/>
        <item m="1" x="1135"/>
        <item m="1" x="298"/>
        <item m="1" x="241"/>
        <item m="1" x="177"/>
        <item m="1" x="1625"/>
        <item m="1" x="1552"/>
        <item m="1" x="1491"/>
        <item m="1" x="1422"/>
        <item m="1" x="1362"/>
        <item m="1" x="1293"/>
        <item m="1" x="1235"/>
        <item m="1" x="414"/>
        <item m="1" x="360"/>
        <item m="1" x="291"/>
        <item m="1" x="166"/>
        <item m="1" x="1614"/>
        <item m="1" x="1540"/>
        <item m="1" x="1478"/>
        <item m="1" x="1412"/>
        <item m="1" x="1350"/>
        <item m="1" x="518"/>
        <item m="1" x="470"/>
        <item m="1" x="406"/>
        <item m="1" x="352"/>
        <item m="1" x="281"/>
        <item m="1" x="224"/>
        <item m="1" x="1602"/>
        <item m="1" x="155"/>
        <item m="1" x="1531"/>
        <item m="1" x="1468"/>
        <item m="1" x="610"/>
        <item m="1" x="566"/>
        <item m="1" x="510"/>
        <item m="1" x="462"/>
        <item m="1" x="396"/>
        <item m="1" x="340"/>
        <item m="1" x="270"/>
        <item m="1" x="210"/>
        <item m="1" x="1573"/>
        <item m="1" x="145"/>
        <item m="1" x="1592"/>
        <item m="1" x="689"/>
        <item m="1" x="651"/>
        <item m="1" x="603"/>
        <item m="1" x="558"/>
        <item m="1" x="500"/>
        <item m="1" x="450"/>
        <item m="1" x="385"/>
        <item m="1" x="327"/>
        <item m="1" x="261"/>
        <item m="1" x="202"/>
        <item m="1" x="757"/>
        <item m="1" x="723"/>
        <item m="1" x="682"/>
        <item m="1" x="643"/>
        <item m="1" x="594"/>
        <item m="1" x="549"/>
        <item m="1" x="492"/>
        <item m="1" x="441"/>
        <item m="1" x="379"/>
        <item m="1" x="319"/>
        <item m="1" x="1576"/>
        <item m="1" x="1513"/>
        <item m="1" x="1447"/>
        <item m="1" x="1389"/>
        <item m="1" x="1322"/>
        <item m="1" x="1266"/>
        <item m="1" x="1203"/>
        <item m="1" x="1154"/>
        <item m="1" x="1099"/>
        <item m="1" x="1055"/>
        <item m="1" x="190"/>
        <item m="1" x="129"/>
        <item m="1" x="1569"/>
        <item m="1" x="1508"/>
        <item m="1" x="1442"/>
        <item m="1" x="1383"/>
        <item m="1" x="1313"/>
        <item m="1" x="1257"/>
        <item m="1" x="1194"/>
        <item m="1" x="1144"/>
        <item m="1" x="307"/>
        <item m="1" x="247"/>
        <item m="1" x="183"/>
        <item m="1" x="124"/>
        <item m="1" x="1563"/>
        <item m="1" x="1502"/>
        <item m="1" x="1434"/>
        <item m="1" x="1374"/>
        <item m="1" x="1303"/>
        <item m="1" x="1248"/>
        <item m="1" x="422"/>
        <item m="1" x="366"/>
        <item m="1" x="299"/>
        <item m="1" x="242"/>
        <item m="1" x="178"/>
        <item m="1" x="1626"/>
        <item m="1" x="1553"/>
        <item m="1" x="1492"/>
        <item m="1" x="1423"/>
        <item m="1" x="1363"/>
        <item m="1" x="525"/>
        <item m="1" x="476"/>
        <item m="1" x="415"/>
        <item m="1" x="361"/>
        <item m="1" x="1133"/>
        <item m="1" x="292"/>
        <item m="1" x="235"/>
        <item m="1" x="167"/>
        <item m="1" x="1615"/>
        <item m="1" x="1541"/>
        <item m="1" x="187"/>
        <item m="1" x="1479"/>
        <item m="1" x="618"/>
        <item m="1" x="573"/>
        <item m="1" x="519"/>
        <item m="1" x="471"/>
        <item m="1" x="407"/>
        <item m="1" x="303"/>
        <item m="1" x="419"/>
        <item m="1" x="523"/>
        <item m="1" x="353"/>
        <item m="1" x="282"/>
        <item m="1" x="225"/>
        <item m="1" x="1603"/>
        <item m="1" x="156"/>
        <item m="1" x="697"/>
        <item m="1" x="658"/>
        <item m="1" x="611"/>
        <item m="1" x="567"/>
        <item m="1" x="511"/>
        <item m="1" x="463"/>
        <item m="1" x="397"/>
        <item m="1" x="341"/>
        <item m="1" x="271"/>
        <item m="1" x="211"/>
        <item m="1" x="764"/>
        <item m="1" x="730"/>
        <item m="1" x="690"/>
        <item m="1" x="652"/>
        <item m="1" x="604"/>
        <item m="1" x="559"/>
        <item m="1" x="501"/>
        <item m="1" x="451"/>
        <item m="1" x="328"/>
        <item m="1" x="386"/>
        <item m="1" x="795"/>
        <item m="1" x="823"/>
        <item m="1" x="758"/>
        <item m="1" x="683"/>
        <item m="1" x="724"/>
        <item m="1" x="644"/>
        <item m="1" x="595"/>
        <item m="1" x="550"/>
        <item m="1" x="493"/>
        <item m="1" x="442"/>
        <item m="1" x="882"/>
        <item m="1" x="852"/>
        <item m="1" x="818"/>
        <item m="1" x="790"/>
        <item m="1" x="751"/>
        <item m="1" x="717"/>
        <item m="1" x="676"/>
        <item m="1" x="636"/>
        <item m="1" x="588"/>
        <item m="1" x="541"/>
        <item m="1" x="1309"/>
        <item m="1" x="1253"/>
        <item m="1" x="1190"/>
        <item m="1" x="1139"/>
        <item m="1" x="1087"/>
        <item m="1" x="1042"/>
        <item m="1" x="999"/>
        <item m="1" x="961"/>
        <item m="1" x="926"/>
        <item m="1" x="892"/>
        <item m="1" x="1429"/>
        <item m="1" x="1369"/>
        <item m="1" x="1298"/>
        <item m="1" x="1240"/>
        <item m="1" x="1179"/>
        <item m="1" x="1129"/>
        <item m="1" x="1079"/>
        <item m="1" x="1033"/>
        <item m="1" x="994"/>
        <item m="1" x="955"/>
        <item m="1" x="1546"/>
        <item m="1" x="1484"/>
        <item m="1" x="1416"/>
        <item m="1" x="1287"/>
        <item m="1" x="1354"/>
        <item m="1" x="1229"/>
        <item m="1" x="1171"/>
        <item m="1" x="1121"/>
        <item m="1" x="1074"/>
        <item m="1" x="1028"/>
        <item m="1" x="160"/>
        <item m="1" x="1607"/>
        <item m="1" x="1534"/>
        <item m="1" x="1471"/>
        <item m="1" x="1406"/>
        <item m="1" x="1344"/>
        <item m="1" x="1281"/>
        <item m="1" x="1221"/>
        <item m="1" x="1168"/>
        <item m="1" x="274"/>
        <item m="1" x="147"/>
        <item m="1" x="214"/>
        <item m="1" x="1594"/>
        <item m="1" x="1524"/>
        <item m="1" x="1461"/>
        <item m="1" x="1399"/>
        <item m="1" x="1337"/>
        <item m="1" x="1277"/>
        <item m="1" x="1217"/>
        <item m="1" x="388"/>
        <item m="1" x="330"/>
        <item m="1" x="262"/>
        <item m="1" x="203"/>
        <item m="1" x="139"/>
        <item m="1" x="434"/>
        <item m="1" x="1585"/>
        <item m="1" x="1519"/>
        <item m="1" x="1396"/>
        <item m="1" x="1331"/>
        <item m="1" x="494"/>
        <item m="1" x="443"/>
        <item m="1" x="320"/>
        <item m="1" x="256"/>
        <item m="1" x="196"/>
        <item m="1" x="135"/>
        <item m="1" x="1580"/>
        <item m="1" x="1451"/>
        <item m="1" x="1516"/>
        <item m="1" x="589"/>
        <item m="1" x="542"/>
        <item m="1" x="435"/>
        <item m="1" x="375"/>
        <item m="1" x="315"/>
        <item m="1" x="253"/>
        <item m="1" x="193"/>
        <item m="1" x="132"/>
        <item m="1" x="1574"/>
        <item m="1" x="671"/>
        <item m="1" x="630"/>
        <item m="1" x="583"/>
        <item m="1" x="536"/>
        <item m="1" x="484"/>
        <item m="1" x="430"/>
        <item m="1" x="372"/>
        <item m="1" x="311"/>
        <item m="1" x="250"/>
        <item m="1" x="188"/>
        <item m="1" x="741"/>
        <item m="1" x="707"/>
        <item m="1" x="666"/>
        <item m="1" x="625"/>
        <item m="1" x="579"/>
        <item m="1" x="532"/>
        <item m="1" x="481"/>
        <item m="1" x="426"/>
        <item m="1" x="369"/>
        <item m="1" x="304"/>
        <item m="1" x="1559"/>
        <item m="1" x="1498"/>
        <item m="1" x="1430"/>
        <item m="1" x="1370"/>
        <item m="1" x="1299"/>
        <item m="1" x="1241"/>
        <item m="1" x="1233"/>
        <item m="1" x="1348"/>
        <item m="1" x="1465"/>
        <item m="1" x="1589"/>
        <item m="1" x="200"/>
        <item m="1" x="318"/>
        <item m="1" x="1141"/>
        <item m="1" x="1245"/>
        <item m="1" x="1360"/>
        <item m="1" x="1180"/>
        <item m="1" x="1130"/>
        <item m="1" x="1080"/>
        <item m="1" x="1034"/>
        <item m="1" x="173"/>
        <item m="1" x="1620"/>
        <item m="1" x="1547"/>
        <item m="1" x="1485"/>
        <item m="1" x="1417"/>
        <item m="1" x="1355"/>
        <item m="1" x="1288"/>
        <item m="1" x="1230"/>
        <item m="1" x="1172"/>
        <item m="1" x="1122"/>
        <item m="1" x="287"/>
        <item m="1" x="230"/>
        <item m="1" x="161"/>
        <item m="1" x="1608"/>
        <item m="1" x="1535"/>
        <item m="1" x="1472"/>
        <item m="1" x="1407"/>
        <item m="1" x="1345"/>
        <item m="1" x="1222"/>
        <item m="1" x="401"/>
        <item m="1" x="345"/>
        <item m="1" x="215"/>
        <item m="1" x="148"/>
        <item m="1" x="1595"/>
        <item m="1" x="1525"/>
        <item m="1" x="1462"/>
        <item m="1" x="504"/>
        <item m="1" x="1400"/>
        <item m="1" x="1338"/>
        <item m="1" x="454"/>
        <item m="1" x="389"/>
        <item m="1" x="331"/>
        <item m="1" x="263"/>
        <item m="1" x="140"/>
        <item m="1" x="1586"/>
        <item m="1" x="1520"/>
        <item m="1" x="1456"/>
        <item m="1" x="597"/>
        <item m="1" x="552"/>
        <item m="1" x="444"/>
        <item m="1" x="495"/>
        <item m="1" x="380"/>
        <item m="1" x="321"/>
        <item m="1" x="257"/>
        <item m="1" x="197"/>
        <item m="1" x="136"/>
        <item m="1" x="1581"/>
        <item m="1" x="677"/>
        <item m="1" x="637"/>
        <item m="1" x="590"/>
        <item m="1" x="543"/>
        <item m="1" x="488"/>
        <item m="1" x="436"/>
        <item m="1" x="376"/>
        <item m="1" x="316"/>
        <item m="1" x="254"/>
        <item m="1" x="194"/>
        <item m="1" x="746"/>
        <item m="1" x="712"/>
        <item m="1" x="672"/>
        <item m="1" x="631"/>
        <item m="1" x="584"/>
        <item m="1" x="537"/>
        <item m="1" x="485"/>
        <item m="1" x="431"/>
        <item m="1" x="373"/>
        <item m="1" x="312"/>
        <item m="1" x="807"/>
        <item m="1" x="777"/>
        <item m="1" x="742"/>
        <item m="1" x="708"/>
        <item m="1" x="667"/>
        <item m="1" x="626"/>
        <item m="1" x="580"/>
        <item m="1" x="533"/>
        <item m="1" x="482"/>
        <item m="1" x="207"/>
        <item m="1" x="427"/>
        <item m="1" x="865"/>
        <item m="1" x="835"/>
        <item m="1" x="803"/>
        <item m="1" x="772"/>
        <item m="1" x="703"/>
        <item m="1" x="737"/>
        <item m="1" x="663"/>
        <item m="1" x="622"/>
        <item m="1" x="577"/>
        <item m="1" x="529"/>
        <item m="1" x="297"/>
        <item m="1" x="240"/>
        <item m="1" x="174"/>
        <item m="1" x="1621"/>
        <item m="1" x="1548"/>
        <item m="1" x="325"/>
        <item m="1" x="1486"/>
        <item m="1" x="1418"/>
        <item m="1" x="1356"/>
        <item m="1" x="1231"/>
        <item m="1" x="1289"/>
        <item m="1" x="412"/>
        <item m="1" x="358"/>
        <item m="1" x="288"/>
        <item m="1" x="231"/>
        <item m="1" x="162"/>
        <item m="1" x="1609"/>
        <item m="1" x="1536"/>
        <item m="1" x="1473"/>
        <item m="1" x="1408"/>
        <item m="1" x="1346"/>
        <item m="1" x="515"/>
        <item m="1" x="467"/>
        <item m="1" x="440"/>
        <item m="1" x="402"/>
        <item m="1" x="346"/>
        <item m="1" x="275"/>
        <item m="1" x="216"/>
        <item m="1" x="149"/>
        <item m="1" x="1526"/>
        <item m="1" x="1596"/>
        <item m="1" x="1463"/>
        <item m="1" x="607"/>
        <item m="1" x="562"/>
        <item m="1" x="505"/>
        <item m="1" x="455"/>
        <item m="1" x="390"/>
        <item m="1" x="332"/>
        <item m="1" x="264"/>
        <item m="1" x="204"/>
        <item m="1" x="141"/>
        <item m="1" x="1587"/>
        <item m="1" x="685"/>
        <item m="1" x="646"/>
        <item m="1" x="598"/>
        <item m="1" x="553"/>
        <item m="1" x="496"/>
        <item m="1" x="445"/>
        <item m="1" x="381"/>
        <item m="1" x="322"/>
        <item m="1" x="258"/>
        <item m="1" x="198"/>
        <item m="1" x="752"/>
        <item m="1" x="718"/>
        <item m="1" x="678"/>
        <item m="1" x="638"/>
        <item m="1" x="591"/>
        <item m="1" x="544"/>
        <item m="1" x="489"/>
        <item m="1" x="437"/>
        <item m="1" x="377"/>
        <item m="1" x="317"/>
        <item m="1" x="813"/>
        <item m="1" x="784"/>
        <item m="1" x="747"/>
        <item m="1" x="713"/>
        <item m="1" x="673"/>
        <item m="1" x="632"/>
        <item m="1" x="585"/>
        <item m="1" x="538"/>
        <item m="1" x="486"/>
        <item m="1" x="432"/>
        <item m="1" x="871"/>
        <item m="1" x="841"/>
        <item m="1" x="1612"/>
        <item m="1" x="808"/>
        <item m="1" x="778"/>
        <item m="1" x="221"/>
        <item m="1" x="743"/>
        <item m="1" x="709"/>
        <item m="1" x="668"/>
        <item m="1" x="627"/>
        <item m="1" x="581"/>
        <item m="1" x="534"/>
        <item m="1" x="932"/>
        <item m="1" x="901"/>
        <item m="1" x="866"/>
        <item m="1" x="804"/>
        <item m="1" x="704"/>
        <item m="1" x="773"/>
        <item m="1" x="738"/>
        <item m="1" x="664"/>
        <item m="1" x="623"/>
        <item m="1" x="1002"/>
        <item m="1" x="963"/>
        <item m="1" x="927"/>
        <item m="1" x="894"/>
        <item m="1" x="862"/>
        <item m="1" x="831"/>
        <item m="1" x="801"/>
        <item m="1" x="770"/>
        <item m="1" x="736"/>
        <item m="1" x="702"/>
        <item m="1" x="475"/>
        <item m="1" x="524"/>
        <item m="1" x="413"/>
        <item m="1" x="359"/>
        <item m="1" x="289"/>
        <item m="1" x="232"/>
        <item m="1" x="163"/>
        <item m="1" x="1537"/>
        <item m="1" x="1474"/>
        <item m="1" x="616"/>
        <item m="1" x="571"/>
        <item m="1" x="516"/>
        <item m="1" x="468"/>
        <item m="1" x="403"/>
        <item m="1" x="347"/>
        <item m="1" x="276"/>
        <item m="1" x="217"/>
        <item m="1" x="150"/>
        <item m="1" x="1597"/>
        <item m="1" x="693"/>
        <item m="1" x="655"/>
        <item m="1" x="563"/>
        <item m="1" x="506"/>
        <item m="1" x="456"/>
        <item m="1" x="391"/>
        <item m="1" x="333"/>
        <item m="1" x="265"/>
        <item m="1" x="205"/>
        <item m="1" x="760"/>
        <item m="1" x="337"/>
        <item m="1" x="726"/>
        <item m="1" x="686"/>
        <item m="1" x="647"/>
        <item m="1" x="599"/>
        <item m="1" x="554"/>
        <item m="1" x="497"/>
        <item m="1" x="446"/>
        <item m="1" x="382"/>
        <item m="1" x="323"/>
        <item m="1" x="819"/>
        <item m="1" x="791"/>
        <item m="1" x="753"/>
        <item m="1" x="719"/>
        <item m="1" x="679"/>
        <item m="1" x="639"/>
        <item m="1" x="592"/>
        <item m="1" x="545"/>
        <item m="1" x="490"/>
        <item m="1" x="438"/>
        <item m="1" x="877"/>
        <item m="1" x="847"/>
        <item m="1" x="814"/>
        <item m="1" x="785"/>
        <item m="1" x="748"/>
        <item m="1" x="714"/>
        <item m="1" x="674"/>
        <item m="1" x="633"/>
        <item m="1" x="586"/>
        <item m="1" x="539"/>
        <item m="1" x="939"/>
        <item m="1" x="908"/>
        <item m="1" x="872"/>
        <item m="1" x="809"/>
        <item m="1" x="779"/>
        <item m="1" x="744"/>
        <item m="1" x="710"/>
        <item m="1" x="669"/>
        <item m="1" x="628"/>
        <item m="1" x="1010"/>
        <item m="1" x="972"/>
        <item m="1" x="933"/>
        <item m="1" x="902"/>
        <item m="1" x="867"/>
        <item m="1" x="836"/>
        <item m="1" x="805"/>
        <item m="1" x="774"/>
        <item m="1" x="739"/>
        <item m="1" x="705"/>
        <item m="1" x="1091"/>
        <item m="1" x="1047"/>
        <item m="1" x="1003"/>
        <item m="1" x="964"/>
        <item m="1" x="928"/>
        <item m="1" x="895"/>
        <item m="1" x="863"/>
        <item m="1" x="832"/>
        <item m="1" x="802"/>
        <item m="1" x="771"/>
        <item m="1" x="1185"/>
        <item m="1" x="1038"/>
        <item m="1" x="996"/>
        <item m="1" x="958"/>
        <item m="1" x="924"/>
        <item m="1" x="890"/>
        <item m="1" x="861"/>
        <item m="1" x="830"/>
        <item m="1" x="700"/>
        <item m="1" x="661"/>
        <item m="1" x="617"/>
        <item m="1" x="572"/>
        <item m="1" x="517"/>
        <item m="1" x="469"/>
        <item m="1" x="404"/>
        <item m="1" x="348"/>
        <item m="1" x="277"/>
        <item m="1" x="218"/>
        <item m="1" x="767"/>
        <item m="1" x="733"/>
        <item m="1" x="694"/>
        <item m="1" x="656"/>
        <item m="1" x="608"/>
        <item m="1" x="564"/>
        <item m="1" x="507"/>
        <item m="1" x="457"/>
        <item m="1" x="392"/>
        <item m="1" x="548"/>
        <item m="1" x="334"/>
        <item m="1" x="825"/>
        <item m="1" x="761"/>
        <item m="1" x="615"/>
        <item m="1" x="727"/>
        <item m="1" x="648"/>
        <item m="1" x="600"/>
        <item m="1" x="555"/>
        <item m="1" x="498"/>
        <item m="1" x="447"/>
        <item m="1" x="883"/>
        <item m="1" x="853"/>
        <item m="1" x="792"/>
        <item m="1" x="754"/>
        <item m="1" x="720"/>
        <item m="1" x="680"/>
        <item m="1" x="640"/>
        <item m="1" x="593"/>
        <item m="1" x="546"/>
        <item m="1" x="945"/>
        <item m="1" x="914"/>
        <item m="1" x="878"/>
        <item m="1" x="848"/>
        <item m="1" x="815"/>
        <item m="1" x="786"/>
        <item m="1" x="749"/>
        <item m="1" x="715"/>
        <item m="1" x="675"/>
        <item m="1" x="634"/>
        <item m="1" x="1017"/>
        <item m="1" x="980"/>
        <item m="1" x="940"/>
        <item m="1" x="909"/>
        <item m="1" x="350"/>
        <item m="1" x="873"/>
        <item m="1" x="842"/>
        <item m="1" x="810"/>
        <item m="1" x="780"/>
        <item m="1" x="745"/>
        <item m="1" x="1100"/>
        <item m="1" x="1056"/>
        <item m="1" x="1011"/>
        <item m="1" x="460"/>
        <item m="1" x="973"/>
        <item m="1" x="934"/>
        <item m="1" x="903"/>
        <item m="1" x="868"/>
        <item m="1" x="837"/>
        <item m="1" x="806"/>
        <item m="1" x="775"/>
        <item m="1" x="1195"/>
        <item m="1" x="1145"/>
        <item m="1" x="1092"/>
        <item m="1" x="1048"/>
        <item m="1" x="1004"/>
        <item m="1" x="965"/>
        <item m="1" x="929"/>
        <item m="1" x="896"/>
        <item m="1" x="864"/>
        <item m="1" x="833"/>
        <item m="1" x="1304"/>
        <item m="1" x="1249"/>
        <item m="1" x="1186"/>
        <item m="1" x="1136"/>
        <item m="1" x="1084"/>
        <item m="1" x="1039"/>
        <item m="1" x="997"/>
        <item m="1" x="959"/>
        <item m="1" x="925"/>
        <item m="1" x="891"/>
        <item m="1" x="1424"/>
        <item m="1" x="1364"/>
        <item m="1" x="1294"/>
        <item m="1" x="1236"/>
        <item m="1" x="1176"/>
        <item m="1" x="1077"/>
        <item m="1" x="1126"/>
        <item m="1" x="1031"/>
        <item m="1" x="993"/>
        <item m="1" x="954"/>
        <item m="1" x="829"/>
        <item m="1" x="800"/>
        <item m="1" x="768"/>
        <item m="1" x="734"/>
        <item m="1" x="695"/>
        <item m="1" x="657"/>
        <item m="1" x="609"/>
        <item m="1" x="565"/>
        <item m="1" x="508"/>
        <item m="1" x="458"/>
        <item m="1" x="888"/>
        <item m="1" x="859"/>
        <item m="1" x="826"/>
        <item m="1" x="797"/>
        <item m="1" x="762"/>
        <item m="1" x="728"/>
        <item m="1" x="687"/>
        <item m="1" x="649"/>
        <item m="1" x="601"/>
        <item m="1" x="556"/>
        <item m="1" x="950"/>
        <item m="1" x="919"/>
        <item m="1" x="884"/>
        <item m="1" x="854"/>
        <item m="1" x="820"/>
        <item m="1" x="793"/>
        <item m="1" x="755"/>
        <item m="1" x="721"/>
        <item m="1" x="681"/>
        <item m="1" x="641"/>
        <item m="1" x="1023"/>
        <item m="1" x="986"/>
        <item m="1" x="946"/>
        <item m="1" x="915"/>
        <item m="1" x="879"/>
        <item m="1" x="849"/>
        <item m="1" x="816"/>
        <item m="1" x="787"/>
        <item m="1" x="750"/>
        <item m="1" x="716"/>
        <item m="1" x="1107"/>
        <item m="1" x="642"/>
        <item m="1" x="1063"/>
        <item m="1" x="1018"/>
        <item m="1" x="981"/>
        <item m="1" x="941"/>
        <item m="1" x="910"/>
        <item m="1" x="874"/>
        <item m="1" x="843"/>
        <item m="1" x="811"/>
        <item m="1" x="781"/>
        <item m="1" x="1204"/>
        <item m="1" x="1155"/>
        <item m="1" x="1101"/>
        <item m="1" x="1057"/>
        <item m="1" x="974"/>
        <item m="1" x="1012"/>
        <item m="1" x="935"/>
        <item m="1" x="904"/>
        <item m="1" x="869"/>
        <item m="1" x="838"/>
        <item m="1" x="1314"/>
        <item m="1" x="1258"/>
        <item m="1" x="1196"/>
        <item m="1" x="1146"/>
        <item m="1" x="1005"/>
        <item m="1" x="966"/>
        <item m="1" x="930"/>
        <item m="1" x="897"/>
        <item m="1" x="1435"/>
        <item m="1" x="1375"/>
        <item m="1" x="1305"/>
        <item m="1" x="1187"/>
        <item m="1" x="1085"/>
        <item m="1" x="1040"/>
        <item m="1" x="998"/>
        <item m="1" x="960"/>
        <item m="1" x="1554"/>
        <item m="1" x="1493"/>
        <item m="1" x="1425"/>
        <item m="1" x="1365"/>
        <item m="1" x="1295"/>
        <item m="1" x="1237"/>
        <item m="1" x="1177"/>
        <item m="1" x="1127"/>
        <item m="1" x="1078"/>
        <item m="1" x="1032"/>
        <item m="1" x="1616"/>
        <item m="1" x="168"/>
        <item m="1" x="1542"/>
        <item m="1" x="1480"/>
        <item m="1" x="1413"/>
        <item m="1" x="1351"/>
        <item m="1" x="1285"/>
        <item m="1" x="1227"/>
        <item m="1" x="1170"/>
        <item m="1" x="1120"/>
        <item m="1" x="953"/>
        <item m="1" x="1335"/>
        <item m="1" x="839"/>
        <item m="1" x="899"/>
        <item m="1" x="922"/>
        <item m="1" x="889"/>
        <item m="1" x="860"/>
        <item m="1" x="827"/>
        <item m="1" x="798"/>
        <item m="1" x="763"/>
        <item m="1" x="729"/>
        <item m="1" x="688"/>
        <item m="1" x="650"/>
        <item m="1" x="1026"/>
        <item m="1" x="990"/>
        <item m="1" x="951"/>
        <item m="1" x="920"/>
        <item m="1" x="885"/>
        <item m="1" x="1093"/>
        <item m="1" x="855"/>
        <item m="1" x="821"/>
        <item m="1" x="756"/>
        <item m="1" x="722"/>
        <item m="1" x="1113"/>
        <item m="1" x="1069"/>
        <item m="1" x="987"/>
        <item m="1" x="947"/>
        <item m="1" x="916"/>
        <item m="1" x="880"/>
        <item m="1" x="850"/>
        <item m="1" x="817"/>
        <item m="1" x="788"/>
        <item m="1" x="1211"/>
        <item m="1" x="1161"/>
        <item m="1" x="1108"/>
        <item m="1" x="1064"/>
        <item m="1" x="1019"/>
        <item m="1" x="789"/>
        <item m="1" x="982"/>
        <item m="1" x="942"/>
        <item m="1" x="911"/>
        <item m="1" x="845"/>
        <item m="1" x="875"/>
        <item m="1" x="844"/>
        <item m="1" x="1323"/>
        <item m="1" x="1267"/>
        <item m="1" x="1205"/>
        <item m="1" x="1156"/>
        <item m="1" x="1102"/>
        <item m="1" x="1058"/>
        <item m="1" x="1013"/>
        <item m="1" x="975"/>
        <item m="1" x="936"/>
        <item m="1" x="905"/>
        <item m="1" x="1443"/>
        <item m="1" x="1259"/>
        <item m="1" x="1384"/>
        <item m="1" x="1315"/>
        <item m="1" x="1197"/>
        <item m="1" x="1147"/>
        <item m="1" x="1094"/>
        <item m="1" x="1049"/>
        <item m="1" x="1006"/>
        <item m="1" x="1455"/>
        <item m="1" x="1579"/>
        <item m="1" x="967"/>
        <item m="1" x="192"/>
        <item m="1" x="1564"/>
        <item m="1" x="1503"/>
        <item m="1" x="1436"/>
        <item m="1" x="1376"/>
        <item m="1" x="1306"/>
        <item m="1" x="1250"/>
        <item m="1" x="1188"/>
        <item m="1" x="1137"/>
        <item m="1" x="1086"/>
        <item m="1" x="1041"/>
        <item m="1" x="1627"/>
        <item m="1" x="1555"/>
        <item m="1" x="1494"/>
        <item m="1" x="1426"/>
        <item m="1" x="1366"/>
        <item m="1" x="1296"/>
        <item m="1" x="1238"/>
        <item m="1" x="1178"/>
        <item m="1" x="1128"/>
        <item m="1" x="293"/>
        <item m="1" x="236"/>
        <item m="1" x="169"/>
        <item m="1" x="1617"/>
        <item m="1" x="1543"/>
        <item m="1" x="1481"/>
        <item m="1" x="1414"/>
        <item m="1" x="1352"/>
        <item m="1" x="1286"/>
        <item m="1" x="1228"/>
        <item m="1" x="408"/>
        <item m="1" x="354"/>
        <item m="1" x="283"/>
        <item m="1" x="226"/>
        <item m="1" x="157"/>
        <item m="1" x="1604"/>
        <item m="1" x="1532"/>
        <item m="1" x="1469"/>
        <item m="1" x="1405"/>
        <item m="1" x="1343"/>
        <item m="1" x="969"/>
        <item m="1" x="1116"/>
        <item m="1" x="1044"/>
        <item m="1" x="1072"/>
        <item m="1" x="1027"/>
        <item m="1" x="991"/>
        <item m="1" x="952"/>
        <item m="1" x="921"/>
        <item m="1" x="886"/>
        <item m="1" x="856"/>
        <item m="1" x="822"/>
        <item m="1" x="794"/>
        <item m="1" x="1215"/>
        <item m="1" x="1165"/>
        <item m="1" x="1114"/>
        <item m="1" x="1070"/>
        <item m="1" x="1024"/>
        <item m="1" x="988"/>
        <item m="1" x="948"/>
        <item m="1" x="917"/>
        <item m="1" x="881"/>
        <item m="1" x="851"/>
        <item m="1" x="1328"/>
        <item m="1" x="1272"/>
        <item m="1" x="1212"/>
        <item m="1" x="1162"/>
        <item m="1" x="1109"/>
        <item m="1" x="1065"/>
        <item m="1" x="1020"/>
        <item m="1" x="983"/>
        <item m="1" x="943"/>
        <item m="1" x="912"/>
        <item m="1" x="1448"/>
        <item m="1" x="1390"/>
        <item m="1" x="1324"/>
        <item m="1" x="1268"/>
        <item m="1" x="1206"/>
        <item m="1" x="1157"/>
        <item m="1" x="1103"/>
        <item m="1" x="1059"/>
        <item m="1" x="1014"/>
        <item m="1" x="976"/>
        <item m="1" x="1570"/>
        <item m="1" x="1509"/>
        <item m="1" x="1444"/>
        <item m="1" x="1385"/>
        <item m="1" x="1316"/>
        <item m="1" x="1260"/>
        <item m="1" x="1198"/>
        <item m="1" x="977"/>
        <item m="1" x="1148"/>
        <item m="1" x="1095"/>
        <item m="1" x="1050"/>
        <item m="1" x="184"/>
        <item m="1" x="125"/>
        <item m="1" x="1565"/>
        <item m="1" x="1504"/>
        <item m="1" x="1437"/>
        <item m="1" x="1377"/>
        <item m="1" x="1307"/>
        <item m="1" x="310"/>
        <item m="1" x="1052"/>
        <item m="1" x="425"/>
        <item m="1" x="1189"/>
        <item m="1" x="1251"/>
        <item m="1" x="1138"/>
        <item m="1" x="300"/>
        <item m="1" x="243"/>
        <item m="1" x="179"/>
        <item m="1" x="1628"/>
        <item m="1" x="1556"/>
        <item m="1" x="1495"/>
        <item m="1" x="1427"/>
        <item m="1" x="1367"/>
        <item m="1" x="1239"/>
        <item m="1" x="1297"/>
        <item m="1" x="416"/>
        <item m="1" x="362"/>
        <item m="1" x="294"/>
        <item m="1" x="237"/>
        <item m="1" x="1618"/>
        <item m="1" x="170"/>
        <item m="1" x="1544"/>
        <item m="1" x="1482"/>
        <item m="1" x="1415"/>
        <item m="1" x="1353"/>
        <item m="1" x="1244"/>
        <item m="1" x="520"/>
        <item m="1" x="472"/>
        <item m="1" x="409"/>
        <item m="1" x="355"/>
        <item m="1" x="284"/>
        <item m="1" x="227"/>
        <item m="1" x="158"/>
        <item m="1" x="1605"/>
        <item m="1" x="1533"/>
        <item m="1" x="1470"/>
        <item m="1" x="612"/>
        <item m="1" x="568"/>
        <item m="1" x="512"/>
        <item m="1" x="464"/>
        <item m="1" x="398"/>
        <item m="1" x="342"/>
        <item m="1" x="272"/>
        <item m="1" x="212"/>
        <item m="1" x="146"/>
        <item m="1" x="1593"/>
        <item m="1" x="1334"/>
        <item m="1" x="1276"/>
        <item m="1" x="1216"/>
        <item m="1" x="1166"/>
        <item m="1" x="1115"/>
        <item m="1" x="1071"/>
        <item m="1" x="1025"/>
        <item m="1" x="989"/>
        <item m="1" x="949"/>
        <item m="1" x="918"/>
        <item m="1" x="1453"/>
        <item m="1" x="1394"/>
        <item m="1" x="1329"/>
        <item m="1" x="1273"/>
        <item m="1" x="1213"/>
        <item m="1" x="1163"/>
        <item m="1" x="1110"/>
        <item m="1" x="1066"/>
        <item m="1" x="1021"/>
        <item m="1" x="984"/>
        <item m="1" x="1577"/>
        <item m="1" x="1514"/>
        <item m="1" x="1449"/>
        <item m="1" x="1325"/>
        <item m="1" x="1391"/>
        <item m="1" x="1269"/>
        <item m="1" x="1207"/>
        <item m="1" x="1104"/>
        <item m="1" x="1060"/>
        <item m="1" x="191"/>
        <item m="1" x="130"/>
        <item m="1" x="1571"/>
        <item m="1" x="1510"/>
        <item m="1" x="1445"/>
        <item m="1" x="1386"/>
        <item m="1" x="1317"/>
        <item m="1" x="1261"/>
        <item m="1" x="1149"/>
        <item m="1" x="1199"/>
        <item m="1" x="308"/>
        <item m="1" x="248"/>
        <item m="1" x="185"/>
        <item m="1" x="126"/>
        <item m="1" x="1566"/>
        <item m="1" x="1505"/>
        <item m="1" x="1438"/>
        <item m="1" x="1378"/>
        <item m="1" x="1308"/>
        <item m="1" x="1252"/>
        <item m="1" x="423"/>
        <item m="1" x="367"/>
        <item m="1" x="301"/>
        <item m="1" x="244"/>
        <item m="1" x="180"/>
        <item m="1" x="1629"/>
        <item m="1" x="1557"/>
        <item m="1" x="1496"/>
        <item m="1" x="1428"/>
        <item m="1" x="1368"/>
        <item m="1" x="526"/>
        <item m="1" x="477"/>
        <item m="1" x="417"/>
        <item m="1" x="363"/>
        <item m="1" x="295"/>
        <item m="1" x="238"/>
        <item m="1" x="171"/>
        <item m="1" x="1545"/>
        <item m="1" x="1483"/>
        <item m="1" x="619"/>
        <item m="1" x="574"/>
        <item m="1" x="521"/>
        <item m="1" x="473"/>
        <item m="1" x="410"/>
        <item m="1" x="356"/>
        <item m="1" x="285"/>
        <item m="1" x="228"/>
        <item m="1" x="159"/>
        <item m="1" x="1606"/>
        <item m="1" x="698"/>
        <item m="1" x="659"/>
        <item m="1" x="613"/>
        <item m="1" x="569"/>
        <item m="1" x="513"/>
        <item m="1" x="465"/>
        <item m="1" x="399"/>
        <item m="1" x="343"/>
        <item m="1" x="273"/>
        <item m="1" x="213"/>
        <item m="1" x="765"/>
        <item m="1" x="731"/>
        <item m="1" x="691"/>
        <item m="1" x="653"/>
        <item m="1" x="857"/>
        <item m="1" x="605"/>
        <item m="1" x="560"/>
        <item m="1" x="502"/>
        <item m="1" x="452"/>
        <item m="1" x="387"/>
        <item m="1" x="329"/>
        <item m="1" x="1583"/>
        <item m="1" x="1518"/>
        <item m="1" x="1454"/>
        <item m="1" x="1395"/>
        <item m="1" x="1151"/>
        <item m="1" x="1330"/>
        <item m="1" x="1274"/>
        <item m="1" x="1214"/>
        <item m="1" x="1164"/>
        <item m="1" x="1111"/>
        <item m="1" x="1067"/>
        <item m="1" x="134"/>
        <item m="1" x="1578"/>
        <item m="1" x="1515"/>
        <item m="1" x="1450"/>
        <item m="1" x="1392"/>
        <item m="1" x="1326"/>
        <item m="1" x="1270"/>
        <item m="1" x="1208"/>
        <item m="1" x="1158"/>
        <item m="1" x="314"/>
        <item m="1" x="252"/>
        <item m="1" x="131"/>
        <item m="1" x="1572"/>
        <item m="1" x="1511"/>
        <item m="1" x="1446"/>
        <item m="1" x="1387"/>
        <item m="1" x="1318"/>
        <item m="1" x="1262"/>
        <item m="1" x="429"/>
        <item m="1" x="371"/>
        <item m="1" x="309"/>
        <item m="1" x="249"/>
        <item m="1" x="186"/>
        <item m="1" x="127"/>
        <item m="1" x="1567"/>
        <item m="1" x="1506"/>
        <item m="1" x="1439"/>
        <item m="1" x="1379"/>
        <item m="1" x="531"/>
        <item m="1" x="480"/>
        <item m="1" x="424"/>
        <item m="1" x="368"/>
        <item m="1" x="302"/>
        <item m="1" x="245"/>
        <item m="1" x="181"/>
        <item m="1" x="1630"/>
        <item m="1" x="1558"/>
        <item m="1" x="1497"/>
        <item m="1" x="621"/>
        <item m="1" x="576"/>
        <item m="1" x="527"/>
        <item m="1" x="478"/>
        <item m="1" x="418"/>
        <item m="1" x="364"/>
        <item m="1" x="296"/>
        <item m="1" x="239"/>
        <item m="1" x="172"/>
        <item m="1" x="1619"/>
        <item m="1" x="701"/>
        <item m="1" x="662"/>
        <item m="1" x="620"/>
        <item m="1" x="575"/>
        <item m="1" x="522"/>
        <item m="1" x="474"/>
        <item m="1" x="411"/>
        <item m="1" x="357"/>
        <item m="1" x="286"/>
        <item m="1" x="229"/>
        <item m="1" x="769"/>
        <item m="1" x="699"/>
        <item m="1" x="735"/>
        <item m="1" x="834"/>
        <item m="1" x="893"/>
        <item m="1" x="957"/>
        <item m="1" x="1030"/>
        <item m="1" x="660"/>
        <item m="1" x="614"/>
        <item m="1" x="570"/>
        <item m="1" x="514"/>
        <item m="1" x="466"/>
        <item m="1" x="400"/>
        <item m="1" x="344"/>
        <item m="1" x="828"/>
        <item m="1" x="799"/>
        <item m="1" x="766"/>
        <item m="1" x="732"/>
        <item m="1" x="692"/>
        <item m="1" x="654"/>
        <item m="1" x="1118"/>
        <item m="1" x="528"/>
        <item m="1" x="606"/>
        <item m="1" x="561"/>
        <item m="1" x="503"/>
        <item m="1" x="453"/>
        <item m="1" x="887"/>
        <item m="1" x="1219"/>
        <item m="1" x="858"/>
        <item m="1" x="824"/>
        <item m="1" x="796"/>
        <item m="1" x="759"/>
        <item m="1" x="725"/>
        <item m="1" x="684"/>
        <item m="1" x="645"/>
        <item m="1" x="596"/>
        <item m="1" x="551"/>
        <item m="1" x="1319"/>
        <item m="1" x="1263"/>
        <item m="1" x="1200"/>
        <item m="1" x="1150"/>
        <item m="1" x="1096"/>
        <item m="1" x="1051"/>
        <item m="1" x="1007"/>
        <item m="1" x="968"/>
        <item m="1" x="898"/>
        <item m="1" x="1440"/>
        <item m="1" x="1380"/>
        <item m="1" x="1310"/>
        <item m="1" x="1254"/>
        <item m="1" x="1191"/>
        <item m="1" x="1140"/>
        <item m="1" x="1088"/>
        <item m="1" x="1043"/>
        <item m="1" x="1000"/>
        <item m="1" x="1560"/>
        <item m="1" x="1499"/>
        <item m="1" x="1431"/>
        <item m="1" x="1371"/>
        <item m="1" x="1300"/>
        <item m="1" x="1242"/>
        <item m="1" x="1181"/>
        <item m="1" x="782"/>
        <item m="1" x="1131"/>
        <item m="1" x="1081"/>
        <item m="1" x="1035"/>
        <item m="1" x="175"/>
        <item m="1" x="1622"/>
        <item m="1" x="1549"/>
        <item m="1" x="1487"/>
        <item m="1" x="1357"/>
        <item m="1" x="1397"/>
        <item m="1" x="1301"/>
        <item m="1" x="1243"/>
        <item m="1" x="1182"/>
        <item m="1" x="1132"/>
        <item m="1" x="1082"/>
        <item m="1" x="1036"/>
        <item m="1" x="995"/>
        <item m="1" x="956"/>
        <item m="1" x="923"/>
        <item m="1" x="1488"/>
        <item m="1" x="1419"/>
        <item m="1" x="1358"/>
        <item m="1" x="1290"/>
        <item m="1" x="1173"/>
        <item m="1" x="1123"/>
        <item m="1" x="1075"/>
        <item m="1" x="1029"/>
        <item m="1" x="992"/>
        <item m="1" x="1610"/>
        <item m="1" x="1538"/>
        <item m="1" x="1475"/>
        <item m="1" x="1409"/>
        <item m="1" x="1347"/>
        <item m="1" x="1282"/>
        <item m="1" x="1223"/>
        <item m="1" x="1117"/>
        <item m="1" x="1073"/>
        <item m="1" x="219"/>
        <item m="1" x="151"/>
        <item m="1" x="1598"/>
        <item m="1" x="1527"/>
        <item m="1" x="1464"/>
        <item m="1" x="1278"/>
        <item m="1" x="1401"/>
        <item m="1" x="1339"/>
        <item m="1" x="1218"/>
        <item m="1" x="1167"/>
        <item m="1" x="335"/>
        <item m="1" x="266"/>
        <item m="1" x="206"/>
        <item m="1" x="142"/>
        <item m="1" x="1588"/>
        <item m="1" x="1521"/>
        <item m="1" x="1457"/>
        <item m="1" x="1332"/>
        <item m="1" x="1275"/>
        <item m="1" x="448"/>
        <item m="1" x="383"/>
        <item m="1" x="324"/>
        <item m="1" x="259"/>
        <item m="1" x="199"/>
        <item m="1" x="137"/>
        <item m="1" x="1582"/>
        <item m="1" x="1517"/>
        <item m="1" x="1333"/>
        <item m="1" x="696"/>
        <item m="1" x="1452"/>
        <item m="1" x="1393"/>
        <item m="1" x="547"/>
        <item m="1" x="491"/>
        <item m="1" x="439"/>
        <item m="1" x="378"/>
        <item m="1" x="255"/>
        <item m="1" x="195"/>
        <item m="1" x="133"/>
        <item m="1" x="1575"/>
        <item m="1" x="1512"/>
        <item m="1" x="635"/>
        <item m="1" x="587"/>
        <item m="1" x="540"/>
        <item m="1" x="487"/>
        <item m="1" x="433"/>
        <item m="1" x="374"/>
        <item m="1" x="313"/>
        <item m="1" x="251"/>
        <item m="1" x="189"/>
        <item m="1" x="128"/>
        <item m="1" x="711"/>
        <item m="1" x="670"/>
        <item m="1" x="629"/>
        <item m="1" x="582"/>
        <item m="1" x="535"/>
        <item m="1" x="483"/>
        <item m="1" x="428"/>
        <item m="1" x="370"/>
        <item m="1" x="305"/>
        <item m="1" x="246"/>
        <item m="1" x="776"/>
        <item m="1" x="740"/>
        <item m="1" x="706"/>
        <item m="1" x="665"/>
        <item m="1" x="624"/>
        <item m="1" x="578"/>
        <item m="1" x="530"/>
        <item m="1" x="479"/>
        <item m="1" x="420"/>
        <item m="1" x="365"/>
        <item m="1" x="1623"/>
        <item m="1" x="1550"/>
        <item m="1" x="1489"/>
        <item m="1" x="1420"/>
        <item m="1" x="1359"/>
        <item m="1" x="1291"/>
        <item m="1" x="1232"/>
        <item m="1" x="1174"/>
        <item m="1" x="1124"/>
        <item m="1" x="1076"/>
        <item m="1" x="233"/>
        <item m="1" x="164"/>
        <item m="1" x="1611"/>
        <item m="1" x="306"/>
        <item m="1" x="1476"/>
        <item m="1" x="1410"/>
        <item m="1" x="421"/>
        <item m="1" x="1283"/>
        <item m="1" x="1224"/>
        <item m="1" x="1169"/>
        <item m="1" x="349"/>
        <item m="1" x="278"/>
        <item m="1" x="220"/>
        <item m="1" x="152"/>
        <item m="1" x="1599"/>
        <item m="1" x="1528"/>
        <item m="1" x="1402"/>
        <item m="1" x="1340"/>
        <item m="1" x="1279"/>
        <item m="1" x="459"/>
        <item m="1" x="393"/>
        <item m="1" x="336"/>
        <item m="1" x="26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6">
        <item m="1" x="1"/>
        <item m="1" x="84"/>
        <item m="1" x="171"/>
        <item m="1" x="56"/>
        <item m="1" x="141"/>
        <item m="1" x="25"/>
        <item m="1" x="110"/>
        <item m="1" x="196"/>
        <item m="1" x="75"/>
        <item m="1" x="162"/>
        <item m="1" x="47"/>
        <item m="1" x="17"/>
        <item m="1" x="100"/>
        <item m="1" x="187"/>
        <item m="1" x="67"/>
        <item m="1" x="153"/>
        <item m="1" x="41"/>
        <item m="1" x="7"/>
        <item m="1" x="90"/>
        <item m="1" x="177"/>
        <item m="1" x="61"/>
        <item m="1" x="145"/>
        <item m="1" x="32"/>
        <item m="1" x="202"/>
        <item m="1" x="80"/>
        <item m="1" x="167"/>
        <item m="1" x="52"/>
        <item m="1" x="185"/>
        <item m="1" x="39"/>
        <item m="1" x="123"/>
        <item m="1" x="5"/>
        <item m="1" x="88"/>
        <item m="1" x="175"/>
        <item m="1" x="59"/>
        <item m="1" x="29"/>
        <item m="1" x="113"/>
        <item m="1" x="199"/>
        <item m="1" x="78"/>
        <item m="1" x="49"/>
        <item m="1" x="20"/>
        <item m="1" x="103"/>
        <item m="1" x="189"/>
        <item m="1" x="70"/>
        <item m="1" x="157"/>
        <item m="1" x="43"/>
        <item m="1" x="127"/>
        <item m="1" x="11"/>
        <item m="1" x="94"/>
        <item m="1" x="181"/>
        <item m="1" x="63"/>
        <item m="1" x="148"/>
        <item m="1" x="35"/>
        <item m="1" x="119"/>
        <item m="1" x="163"/>
        <item m="1" x="48"/>
        <item m="1" x="134"/>
        <item m="1" x="154"/>
        <item m="1" x="42"/>
        <item m="1" x="125"/>
        <item m="1" x="8"/>
        <item m="1" x="91"/>
        <item m="1" x="178"/>
        <item m="1" x="146"/>
        <item m="1" x="33"/>
        <item m="1" x="116"/>
        <item m="1" x="203"/>
        <item m="1" x="81"/>
        <item m="1" x="168"/>
        <item m="1" x="53"/>
        <item m="1" x="139"/>
        <item m="1" x="23"/>
        <item m="1" x="107"/>
        <item m="1" x="193"/>
        <item m="1" x="73"/>
        <item m="1" x="160"/>
        <item m="1" x="131"/>
        <item m="1" x="15"/>
        <item m="1" x="144"/>
        <item m="1" x="30"/>
        <item m="1" x="114"/>
        <item m="1" x="200"/>
        <item m="1" x="166"/>
        <item m="1" x="50"/>
        <item m="1" x="137"/>
        <item m="1" x="21"/>
        <item m="1" x="104"/>
        <item m="1" x="190"/>
        <item m="1" x="158"/>
        <item m="1" x="44"/>
        <item m="1" x="128"/>
        <item m="1" x="12"/>
        <item m="1" x="95"/>
        <item m="1" x="182"/>
        <item m="1" x="64"/>
        <item m="1" x="149"/>
        <item m="1" x="36"/>
        <item m="1" x="120"/>
        <item m="1" x="2"/>
        <item m="1" x="85"/>
        <item m="1" x="172"/>
        <item m="1" x="142"/>
        <item m="1" x="26"/>
        <item m="1" x="111"/>
        <item m="1" x="197"/>
        <item m="1" x="76"/>
        <item m="1" x="164"/>
        <item m="1" x="135"/>
        <item m="1" x="18"/>
        <item m="1" x="101"/>
        <item m="1" x="188"/>
        <item m="1" x="68"/>
        <item m="1" x="155"/>
        <item m="1" x="126"/>
        <item m="1" x="9"/>
        <item m="1" x="92"/>
        <item m="1" x="179"/>
        <item m="1" x="147"/>
        <item m="1" x="117"/>
        <item m="1" x="204"/>
        <item m="1" x="82"/>
        <item m="1" x="169"/>
        <item m="1" x="54"/>
        <item m="1" x="140"/>
        <item m="1" x="108"/>
        <item m="1" x="194"/>
        <item m="1" x="161"/>
        <item m="1" x="46"/>
        <item m="1" x="132"/>
        <item m="1" x="98"/>
        <item x="0"/>
        <item m="1" x="31"/>
        <item m="1" x="115"/>
        <item m="1" x="201"/>
        <item m="1" x="79"/>
        <item m="1" x="51"/>
        <item m="1" x="138"/>
        <item m="1" x="22"/>
        <item m="1" x="105"/>
        <item m="1" x="191"/>
        <item m="1" x="71"/>
        <item m="1" x="129"/>
        <item m="1" x="13"/>
        <item m="1" x="96"/>
        <item m="1" x="183"/>
        <item m="1" x="65"/>
        <item m="1" x="150"/>
        <item m="1" x="37"/>
        <item m="1" x="121"/>
        <item m="1" x="3"/>
        <item m="1" x="86"/>
        <item m="1" x="173"/>
        <item m="1" x="57"/>
        <item m="1" x="27"/>
        <item m="1" x="10"/>
        <item m="1" x="93"/>
        <item m="1" x="180"/>
        <item m="1" x="62"/>
        <item m="1" x="34"/>
        <item m="1" x="118"/>
        <item m="1" x="205"/>
        <item m="1" x="83"/>
        <item m="1" x="170"/>
        <item m="1" x="55"/>
        <item m="1" x="24"/>
        <item m="1" x="109"/>
        <item m="1" x="195"/>
        <item m="1" x="74"/>
        <item m="1" x="133"/>
        <item m="1" x="16"/>
        <item m="1" x="99"/>
        <item m="1" x="186"/>
        <item m="1" x="66"/>
        <item m="1" x="152"/>
        <item m="1" x="40"/>
        <item m="1" x="124"/>
        <item m="1" x="6"/>
        <item m="1" x="89"/>
        <item m="1" x="176"/>
        <item m="1" x="60"/>
        <item m="1" x="38"/>
        <item m="1" x="192"/>
        <item m="1" x="106"/>
        <item m="1" x="72"/>
        <item m="1" x="159"/>
        <item m="1" x="45"/>
        <item m="1" x="130"/>
        <item m="1" x="14"/>
        <item m="1" x="97"/>
        <item m="1" x="184"/>
        <item m="1" x="151"/>
        <item m="1" x="122"/>
        <item m="1" x="4"/>
        <item m="1" x="87"/>
        <item m="1" x="174"/>
        <item m="1" x="58"/>
        <item m="1" x="143"/>
        <item m="1" x="28"/>
        <item m="1" x="112"/>
        <item m="1" x="198"/>
        <item m="1" x="77"/>
        <item m="1" x="165"/>
        <item m="1" x="136"/>
        <item m="1" x="19"/>
        <item m="1" x="102"/>
        <item m="1" x="69"/>
        <item m="1" x="1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1">
        <item m="1" x="9"/>
        <item m="1" x="78"/>
        <item m="1" x="37"/>
        <item m="1" x="26"/>
        <item m="1" x="18"/>
        <item m="1" x="52"/>
        <item m="1" x="86"/>
        <item m="1" x="82"/>
        <item m="1" x="46"/>
        <item m="1" x="77"/>
        <item m="1" x="11"/>
        <item m="1" x="90"/>
        <item m="1" x="10"/>
        <item m="1" x="1"/>
        <item m="1" x="42"/>
        <item m="1" x="76"/>
        <item m="1" x="20"/>
        <item m="1" x="60"/>
        <item m="1" x="74"/>
        <item m="1" x="65"/>
        <item m="1" x="67"/>
        <item m="1" x="80"/>
        <item m="1" x="57"/>
        <item m="1" x="13"/>
        <item m="1" x="56"/>
        <item m="1" x="36"/>
        <item m="1" x="64"/>
        <item m="1" x="58"/>
        <item m="1" x="12"/>
        <item m="1" x="69"/>
        <item m="1" x="85"/>
        <item m="1" x="16"/>
        <item m="1" x="6"/>
        <item m="1" x="70"/>
        <item m="1" x="33"/>
        <item m="1" x="14"/>
        <item m="1" x="4"/>
        <item m="1" x="24"/>
        <item m="1" x="19"/>
        <item m="1" x="27"/>
        <item m="1" x="71"/>
        <item m="1" x="23"/>
        <item m="1" x="3"/>
        <item m="1" x="15"/>
        <item m="1" x="72"/>
        <item m="1" x="73"/>
        <item m="1" x="44"/>
        <item m="1" x="22"/>
        <item m="1" x="40"/>
        <item m="1" x="87"/>
        <item m="1" x="54"/>
        <item m="1" x="83"/>
        <item m="1" x="35"/>
        <item m="1" x="49"/>
        <item m="1" x="55"/>
        <item m="1" x="75"/>
        <item m="1" x="45"/>
        <item m="1" x="51"/>
        <item m="1" x="63"/>
        <item m="1" x="28"/>
        <item m="1" x="84"/>
        <item m="1" x="43"/>
        <item m="1" x="29"/>
        <item m="1" x="61"/>
        <item m="1" x="7"/>
        <item m="1" x="53"/>
        <item m="1" x="32"/>
        <item m="1" x="68"/>
        <item m="1" x="38"/>
        <item m="1" x="25"/>
        <item m="1" x="59"/>
        <item m="1" x="66"/>
        <item m="1" x="79"/>
        <item m="1" x="31"/>
        <item m="1" x="48"/>
        <item m="1" x="88"/>
        <item m="1" x="89"/>
        <item m="1" x="39"/>
        <item m="1" x="34"/>
        <item m="1" x="8"/>
        <item m="1" x="17"/>
        <item m="1" x="30"/>
        <item m="1" x="5"/>
        <item m="1" x="50"/>
        <item m="1" x="81"/>
        <item m="1" x="62"/>
        <item m="1" x="41"/>
        <item m="1" x="47"/>
        <item m="1" x="2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9" outline="0" showAll="0" defaultSubtotal="0">
      <items count="37">
        <item m="1" x="31"/>
        <item m="1" x="36"/>
        <item m="1" x="32"/>
        <item h="1" x="15"/>
        <item m="1" x="34"/>
        <item m="1" x="33"/>
        <item m="1" x="30"/>
        <item m="1" x="35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x="2"/>
        <item x="5"/>
        <item x="10"/>
        <item x="3"/>
        <item x="0"/>
        <item x="6"/>
        <item m="1" x="17"/>
        <item m="1" x="18"/>
        <item x="7"/>
        <item x="1"/>
        <item x="4"/>
        <item x="9"/>
        <item x="8"/>
        <item m="1" x="13"/>
        <item x="11"/>
        <item m="1" x="14"/>
        <item m="1" x="19"/>
        <item m="1" x="16"/>
        <item m="1" x="15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0">
        <item m="1" x="38"/>
        <item m="1" x="52"/>
        <item m="1" x="53"/>
        <item m="1" x="90"/>
        <item m="1" x="96"/>
        <item m="1" x="33"/>
        <item m="1" x="74"/>
        <item m="1" x="30"/>
        <item m="1" x="78"/>
        <item m="1" x="86"/>
        <item m="1" x="59"/>
        <item m="1" x="37"/>
        <item m="1" x="58"/>
        <item m="1" x="63"/>
        <item m="1" x="69"/>
        <item m="1" x="72"/>
        <item m="1" x="32"/>
        <item m="1" x="44"/>
        <item m="1" x="82"/>
        <item m="1" x="41"/>
        <item m="1" x="55"/>
        <item m="1" x="60"/>
        <item m="1" x="71"/>
        <item m="1" x="98"/>
        <item m="1" x="49"/>
        <item m="1" x="64"/>
        <item m="1" x="36"/>
        <item m="1" x="62"/>
        <item m="1" x="26"/>
        <item m="1" x="40"/>
        <item m="1" x="54"/>
        <item m="1" x="46"/>
        <item m="1" x="89"/>
        <item m="1" x="56"/>
        <item m="1" x="95"/>
        <item m="1" x="31"/>
        <item m="1" x="75"/>
        <item m="1" x="97"/>
        <item m="1" x="61"/>
        <item m="1" x="27"/>
        <item m="1" x="80"/>
        <item m="1" x="67"/>
        <item m="1" x="81"/>
        <item m="1" x="73"/>
        <item m="1" x="29"/>
        <item m="1" x="83"/>
        <item m="1" x="99"/>
        <item m="1" x="42"/>
        <item m="1" x="93"/>
        <item m="1" x="76"/>
        <item m="1" x="79"/>
        <item m="1" x="87"/>
        <item m="1" x="77"/>
        <item m="1" x="94"/>
        <item m="1" x="85"/>
        <item m="1" x="34"/>
        <item m="1" x="28"/>
        <item m="1" x="51"/>
        <item m="1" x="66"/>
        <item m="1" x="68"/>
        <item m="1" x="70"/>
        <item m="1" x="91"/>
        <item m="1" x="48"/>
        <item m="1" x="45"/>
        <item m="1" x="84"/>
        <item m="1" x="35"/>
        <item m="1" x="43"/>
        <item m="1" x="47"/>
        <item m="1" x="39"/>
        <item m="1" x="65"/>
        <item m="1" x="92"/>
        <item m="1" x="88"/>
        <item m="1" x="50"/>
        <item m="1" x="5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57"/>
    <field x="15"/>
    <field x="7"/>
    <field x="12"/>
    <field x="1"/>
    <field x="56"/>
    <field x="48"/>
  </rowFields>
  <rowItems count="1"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5" hier="-1"/>
    <pageField fld="52" hier="-1"/>
  </pageFields>
  <dataFields count="5">
    <dataField name=" Sale Amt." fld="35" baseField="0" baseItem="0"/>
    <dataField name=" SGST" fld="46" baseField="0" baseItem="0"/>
    <dataField name=" IGST" fld="42" baseField="0" baseItem="0"/>
    <dataField name=" CGST" fld="40" baseField="0" baseItem="0"/>
    <dataField name=" Total Amt." fld="50" baseField="0" baseItem="0"/>
  </dataFields>
  <formats count="3">
    <format dxfId="110">
      <pivotArea field="7" grandRow="1" outline="0" collapsedLevelsAreSubtotals="1" axis="axisRow" fieldPosition="2">
        <references count="1">
          <reference field="4294967294" count="1" selected="0">
            <x v="4"/>
          </reference>
        </references>
      </pivotArea>
    </format>
    <format dxfId="109">
      <pivotArea dataOnly="0" labelOnly="1" outline="0" fieldPosition="0">
        <references count="6">
          <reference field="1" count="1" selected="0">
            <x v="0"/>
          </reference>
          <reference field="7" count="1" selected="0">
            <x v="31"/>
          </reference>
          <reference field="15" count="1" selected="0">
            <x v="11"/>
          </reference>
          <reference field="48" count="1">
            <x v="2"/>
          </reference>
          <reference field="56" count="1" selected="0">
            <x v="8"/>
          </reference>
          <reference field="57" count="1" selected="0">
            <x v="14"/>
          </reference>
        </references>
      </pivotArea>
    </format>
    <format dxfId="108">
      <pivotArea dataOnly="0" labelOnly="1" outline="0" fieldPosition="0">
        <references count="6">
          <reference field="1" count="1" selected="0">
            <x v="0"/>
          </reference>
          <reference field="7" count="1" selected="0">
            <x v="15"/>
          </reference>
          <reference field="15" count="1" selected="0">
            <x v="17"/>
          </reference>
          <reference field="48" count="1">
            <x v="2"/>
          </reference>
          <reference field="56" count="1" selected="0">
            <x v="12"/>
          </reference>
          <reference field="57" count="1" selected="0">
            <x v="1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PivotTable3" cacheId="6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gridDropZones="1" multipleFieldFilters="0">
  <location ref="O18:T20" firstHeaderRow="1" firstDataRow="2" firstDataCol="1" rowPageCount="1" colPageCount="1"/>
  <pivotFields count="62"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multipleItemSelectionAllowed="1" showAll="0" defaultSubtotal="0">
      <items count="3">
        <item h="1" x="1"/>
        <item h="1" x="0"/>
        <item m="1"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9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5"/>
  </rowFields>
  <rowItems count="1"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52" hier="-1"/>
  </pageFields>
  <dataFields count="5">
    <dataField name=" Sale Amt." fld="35" baseField="0" baseItem="0"/>
    <dataField name=" CGST" fld="40" baseField="0" baseItem="0"/>
    <dataField name=" SGST" fld="46" baseField="0" baseItem="0"/>
    <dataField name=" IGST" fld="42" baseField="0" baseItem="0"/>
    <dataField name=" Total Amt." fld="50" baseField="0" baseItem="0"/>
  </dataFields>
  <formats count="1">
    <format dxfId="111">
      <pivotArea outline="0" fieldPosition="0">
        <references count="1">
          <reference field="4294967294" count="1" selected="0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1" cacheId="60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compact="0" compactData="0" gridDropZones="1" multipleFieldFilters="0">
  <location ref="A3:I39" firstHeaderRow="1" firstDataRow="2" firstDataCol="3"/>
  <pivotFields count="6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2"/>
        <item x="7"/>
        <item x="1"/>
        <item m="1" x="9"/>
        <item m="1" x="11"/>
        <item m="1" x="10"/>
        <item m="1" x="8"/>
        <item x="6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7"/>
        <item m="1" x="3"/>
        <item m="1" x="6"/>
        <item x="0"/>
        <item x="1"/>
        <item x="2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9" outline="0" showAll="0" defaultSubtotal="0">
      <items count="37">
        <item m="1" x="32"/>
        <item m="1" x="36"/>
        <item m="1" x="31"/>
        <item x="15"/>
        <item m="1" x="34"/>
        <item m="1" x="33"/>
        <item m="1" x="30"/>
        <item m="1" x="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3"/>
    <field x="24"/>
    <field x="48"/>
  </rowFields>
  <rowItems count="35">
    <i>
      <x/>
      <x v="3"/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7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1">
      <x v="5"/>
      <x v="15"/>
    </i>
    <i>
      <x v="1"/>
      <x v="4"/>
      <x v="18"/>
    </i>
    <i>
      <x v="2"/>
      <x v="3"/>
      <x v="32"/>
    </i>
    <i>
      <x v="3"/>
      <x v="4"/>
      <x v="15"/>
    </i>
    <i r="1">
      <x v="5"/>
      <x v="32"/>
    </i>
    <i>
      <x v="8"/>
      <x v="3"/>
      <x v="28"/>
    </i>
    <i>
      <x v="9"/>
      <x v="4"/>
      <x v="3"/>
    </i>
    <i>
      <x v="10"/>
      <x v="5"/>
      <x v="23"/>
    </i>
    <i r="2">
      <x v="24"/>
    </i>
    <i r="2">
      <x v="25"/>
    </i>
    <i>
      <x v="11"/>
      <x v="5"/>
      <x v="2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 Invoice Qty." fld="31" baseField="0" baseItem="0"/>
    <dataField name=" Sale Amt." fld="35" baseField="0" baseItem="0"/>
    <dataField name=" CGST" fld="40" baseField="0" baseItem="0"/>
    <dataField name=" IGST" fld="42" baseField="0" baseItem="0"/>
    <dataField name=" SGST" fld="46" baseField="0" baseItem="0"/>
    <dataField name=" Total Amt." fld="50" baseField="0" baseItem="0"/>
  </dataFields>
  <formats count="12">
    <format dxfId="106">
      <pivotArea type="all" dataOnly="0" outline="0" fieldPosition="0"/>
    </format>
    <format dxfId="105">
      <pivotArea outline="0" collapsedLevelsAreSubtotals="1" fieldPosition="0"/>
    </format>
    <format dxfId="104">
      <pivotArea field="23" type="button" dataOnly="0" labelOnly="1" outline="0" axis="axisRow" fieldPosition="0"/>
    </format>
    <format dxfId="103">
      <pivotArea dataOnly="0" labelOnly="1" fieldPosition="0">
        <references count="1">
          <reference field="23" count="0"/>
        </references>
      </pivotArea>
    </format>
    <format dxfId="102">
      <pivotArea dataOnly="0" labelOnly="1" grandRow="1" outline="0" fieldPosition="0"/>
    </format>
    <format dxfId="101">
      <pivotArea dataOnly="0" labelOnly="1" outline="0" fieldPosition="0">
        <references count="1">
          <reference field="4294967294" count="3">
            <x v="0"/>
            <x v="2"/>
            <x v="5"/>
          </reference>
        </references>
      </pivotArea>
    </format>
    <format dxfId="100">
      <pivotArea dataOnly="0" labelOnly="1" outline="0" fieldPosition="0">
        <references count="3">
          <reference field="23" count="1" selected="0">
            <x v="0"/>
          </reference>
          <reference field="24" count="1" selected="0">
            <x v="0"/>
          </reference>
          <reference field="48" count="1">
            <x v="0"/>
          </reference>
        </references>
      </pivotArea>
    </format>
    <format dxfId="99">
      <pivotArea dataOnly="0" labelOnly="1" outline="0" fieldPosition="0">
        <references count="3">
          <reference field="23" count="1" selected="0">
            <x v="0"/>
          </reference>
          <reference field="24" count="1" selected="0">
            <x v="1"/>
          </reference>
          <reference field="48" count="1">
            <x v="0"/>
          </reference>
        </references>
      </pivotArea>
    </format>
    <format dxfId="98">
      <pivotArea dataOnly="0" labelOnly="1" outline="0" fieldPosition="0">
        <references count="3">
          <reference field="23" count="1" selected="0">
            <x v="0"/>
          </reference>
          <reference field="24" count="1" selected="0">
            <x v="2"/>
          </reference>
          <reference field="48" count="1">
            <x v="0"/>
          </reference>
        </references>
      </pivotArea>
    </format>
    <format dxfId="97">
      <pivotArea dataOnly="0" labelOnly="1" outline="0" fieldPosition="0">
        <references count="3">
          <reference field="23" count="1" selected="0">
            <x v="1"/>
          </reference>
          <reference field="24" count="1" selected="0">
            <x v="1"/>
          </reference>
          <reference field="48" count="1">
            <x v="0"/>
          </reference>
        </references>
      </pivotArea>
    </format>
    <format dxfId="96">
      <pivotArea dataOnly="0" labelOnly="1" outline="0" fieldPosition="0">
        <references count="3">
          <reference field="23" count="1" selected="0">
            <x v="1"/>
          </reference>
          <reference field="24" count="1" selected="0">
            <x v="2"/>
          </reference>
          <reference field="48" count="1">
            <x v="0"/>
          </reference>
        </references>
      </pivotArea>
    </format>
    <format dxfId="95">
      <pivotArea dataOnly="0" labelOnly="1" outline="0" fieldPosition="0">
        <references count="3">
          <reference field="23" count="1" selected="0">
            <x v="2"/>
          </reference>
          <reference field="24" count="1" selected="0">
            <x v="0"/>
          </reference>
          <reference field="48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2" cacheId="60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compact="0" compactData="0" gridDropZones="1" multipleFieldFilters="0">
  <location ref="Q4:R128" firstHeaderRow="2" firstDataRow="2" firstDataCol="1" rowPageCount="2" colPageCount="1"/>
  <pivotFields count="6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GSTIN/UIN of Recipient" axis="axisPage" compact="0" outline="0" multipleItemSelectionAllowed="1" showAll="0" defaultSubtotal="0">
      <items count="3">
        <item h="1" x="1"/>
        <item x="0"/>
        <item h="1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31">
        <item m="1" x="1119"/>
        <item m="1" x="279"/>
        <item m="1" x="222"/>
        <item m="1" x="153"/>
        <item m="1" x="1600"/>
        <item m="1" x="1529"/>
        <item m="1" x="1466"/>
        <item m="1" x="1403"/>
        <item m="1" x="1341"/>
        <item m="1" x="1280"/>
        <item m="1" x="1220"/>
        <item m="1" x="394"/>
        <item m="1" x="338"/>
        <item m="1" x="268"/>
        <item m="1" x="208"/>
        <item m="1" x="1225"/>
        <item m="1" x="143"/>
        <item m="1" x="1590"/>
        <item m="1" x="1522"/>
        <item m="1" x="1459"/>
        <item m="1" x="1398"/>
        <item m="1" x="1336"/>
        <item m="1" x="1112"/>
        <item m="1" x="1068"/>
        <item m="1" x="1022"/>
        <item m="1" x="985"/>
        <item m="1" x="944"/>
        <item m="1" x="913"/>
        <item m="1" x="876"/>
        <item m="1" x="846"/>
        <item m="1" x="812"/>
        <item m="1" x="1458"/>
        <item m="1" x="783"/>
        <item m="1" x="1209"/>
        <item m="1" x="1159"/>
        <item m="1" x="1105"/>
        <item m="1" x="1061"/>
        <item m="1" x="1015"/>
        <item m="1" x="978"/>
        <item m="1" x="937"/>
        <item m="1" x="906"/>
        <item m="1" x="870"/>
        <item m="1" x="840"/>
        <item m="1" x="1320"/>
        <item m="1" x="1264"/>
        <item m="1" x="1152"/>
        <item m="1" x="1201"/>
        <item m="1" x="1097"/>
        <item m="1" x="1053"/>
        <item m="1" x="1008"/>
        <item m="1" x="970"/>
        <item m="1" x="931"/>
        <item m="1" x="900"/>
        <item m="1" x="1441"/>
        <item m="1" x="1381"/>
        <item m="1" x="1311"/>
        <item m="1" x="1255"/>
        <item m="1" x="1192"/>
        <item m="1" x="1142"/>
        <item m="1" x="1089"/>
        <item m="1" x="1045"/>
        <item m="1" x="1001"/>
        <item m="1" x="962"/>
        <item m="1" x="1561"/>
        <item m="1" x="1500"/>
        <item m="1" x="1432"/>
        <item m="1" x="1372"/>
        <item m="1" x="1302"/>
        <item m="1" x="1246"/>
        <item m="1" x="1183"/>
        <item m="1" x="1134"/>
        <item m="1" x="1083"/>
        <item m="1" x="1037"/>
        <item m="1" x="176"/>
        <item m="1" x="1624"/>
        <item m="1" x="1551"/>
        <item m="1" x="1490"/>
        <item m="1" x="1421"/>
        <item m="1" x="1361"/>
        <item m="1" x="1292"/>
        <item m="1" x="1234"/>
        <item m="1" x="1175"/>
        <item m="1" x="1125"/>
        <item m="1" x="290"/>
        <item m="1" x="234"/>
        <item m="1" x="165"/>
        <item m="1" x="1613"/>
        <item m="1" x="1539"/>
        <item m="1" x="1477"/>
        <item m="1" x="1411"/>
        <item m="1" x="1349"/>
        <item m="1" x="1284"/>
        <item m="1" x="1226"/>
        <item m="1" x="405"/>
        <item m="1" x="351"/>
        <item m="1" x="280"/>
        <item m="1" x="223"/>
        <item m="1" x="154"/>
        <item m="1" x="1601"/>
        <item m="1" x="1530"/>
        <item m="1" x="1467"/>
        <item m="1" x="1404"/>
        <item m="1" x="1342"/>
        <item m="1" x="509"/>
        <item m="1" x="461"/>
        <item m="1" x="395"/>
        <item m="1" x="339"/>
        <item m="1" x="269"/>
        <item m="1" x="209"/>
        <item m="1" x="144"/>
        <item m="1" x="1591"/>
        <item m="1" x="1523"/>
        <item m="1" x="1460"/>
        <item m="1" x="602"/>
        <item m="1" x="557"/>
        <item m="1" x="499"/>
        <item m="1" x="449"/>
        <item m="1" x="384"/>
        <item m="1" x="326"/>
        <item m="1" x="260"/>
        <item m="1" x="201"/>
        <item m="1" x="1584"/>
        <item m="1" x="138"/>
        <item m="1" x="1327"/>
        <item m="1" x="1271"/>
        <item m="1" x="1210"/>
        <item m="1" x="1160"/>
        <item m="1" x="1106"/>
        <item m="1" x="1062"/>
        <item m="1" x="1016"/>
        <item m="1" x="979"/>
        <item m="1" x="938"/>
        <item m="1" x="907"/>
        <item m="1" x="1388"/>
        <item m="1" x="1321"/>
        <item m="1" x="1265"/>
        <item m="1" x="1202"/>
        <item m="1" x="1153"/>
        <item m="1" x="1098"/>
        <item m="1" x="1054"/>
        <item m="1" x="1009"/>
        <item m="1" x="971"/>
        <item m="1" x="1568"/>
        <item m="1" x="1507"/>
        <item m="1" x="1382"/>
        <item m="1" x="1312"/>
        <item m="1" x="1256"/>
        <item m="1" x="1193"/>
        <item m="1" x="1143"/>
        <item m="1" x="1090"/>
        <item m="1" x="1046"/>
        <item m="1" x="182"/>
        <item m="1" x="123"/>
        <item m="1" x="1562"/>
        <item m="1" x="1501"/>
        <item m="1" x="1433"/>
        <item m="1" x="1373"/>
        <item m="1" x="1247"/>
        <item m="1" x="1184"/>
        <item m="1" x="1135"/>
        <item m="1" x="298"/>
        <item m="1" x="241"/>
        <item m="1" x="177"/>
        <item m="1" x="1625"/>
        <item m="1" x="1552"/>
        <item m="1" x="1491"/>
        <item m="1" x="1422"/>
        <item m="1" x="1362"/>
        <item m="1" x="1293"/>
        <item m="1" x="1235"/>
        <item m="1" x="414"/>
        <item m="1" x="360"/>
        <item m="1" x="291"/>
        <item m="1" x="166"/>
        <item m="1" x="1614"/>
        <item m="1" x="1540"/>
        <item m="1" x="1478"/>
        <item m="1" x="1412"/>
        <item m="1" x="1350"/>
        <item m="1" x="518"/>
        <item m="1" x="470"/>
        <item m="1" x="406"/>
        <item m="1" x="352"/>
        <item m="1" x="281"/>
        <item m="1" x="224"/>
        <item m="1" x="1602"/>
        <item m="1" x="155"/>
        <item m="1" x="1531"/>
        <item m="1" x="1468"/>
        <item m="1" x="610"/>
        <item m="1" x="566"/>
        <item m="1" x="510"/>
        <item m="1" x="462"/>
        <item m="1" x="396"/>
        <item m="1" x="340"/>
        <item m="1" x="270"/>
        <item m="1" x="210"/>
        <item m="1" x="1573"/>
        <item m="1" x="145"/>
        <item m="1" x="1592"/>
        <item m="1" x="689"/>
        <item m="1" x="651"/>
        <item m="1" x="603"/>
        <item m="1" x="558"/>
        <item m="1" x="500"/>
        <item m="1" x="450"/>
        <item m="1" x="385"/>
        <item m="1" x="327"/>
        <item m="1" x="261"/>
        <item m="1" x="202"/>
        <item m="1" x="757"/>
        <item m="1" x="723"/>
        <item m="1" x="682"/>
        <item m="1" x="643"/>
        <item m="1" x="594"/>
        <item m="1" x="549"/>
        <item m="1" x="492"/>
        <item m="1" x="441"/>
        <item m="1" x="379"/>
        <item m="1" x="319"/>
        <item m="1" x="1576"/>
        <item m="1" x="1513"/>
        <item m="1" x="1447"/>
        <item m="1" x="1389"/>
        <item m="1" x="1322"/>
        <item m="1" x="1266"/>
        <item m="1" x="1203"/>
        <item m="1" x="1154"/>
        <item m="1" x="1099"/>
        <item m="1" x="1055"/>
        <item m="1" x="190"/>
        <item m="1" x="129"/>
        <item m="1" x="1569"/>
        <item m="1" x="1508"/>
        <item m="1" x="1442"/>
        <item m="1" x="1383"/>
        <item m="1" x="1313"/>
        <item m="1" x="1257"/>
        <item m="1" x="1194"/>
        <item m="1" x="1144"/>
        <item m="1" x="307"/>
        <item m="1" x="247"/>
        <item m="1" x="183"/>
        <item m="1" x="124"/>
        <item m="1" x="1563"/>
        <item m="1" x="1502"/>
        <item m="1" x="1434"/>
        <item m="1" x="1374"/>
        <item m="1" x="1303"/>
        <item m="1" x="1248"/>
        <item m="1" x="422"/>
        <item m="1" x="366"/>
        <item m="1" x="299"/>
        <item m="1" x="242"/>
        <item m="1" x="178"/>
        <item m="1" x="1626"/>
        <item m="1" x="1553"/>
        <item m="1" x="1492"/>
        <item m="1" x="1423"/>
        <item m="1" x="1363"/>
        <item m="1" x="525"/>
        <item m="1" x="476"/>
        <item m="1" x="415"/>
        <item m="1" x="361"/>
        <item m="1" x="1133"/>
        <item m="1" x="292"/>
        <item m="1" x="235"/>
        <item m="1" x="167"/>
        <item m="1" x="1615"/>
        <item m="1" x="1541"/>
        <item m="1" x="187"/>
        <item m="1" x="1479"/>
        <item m="1" x="618"/>
        <item m="1" x="573"/>
        <item m="1" x="519"/>
        <item m="1" x="471"/>
        <item m="1" x="407"/>
        <item m="1" x="303"/>
        <item m="1" x="419"/>
        <item m="1" x="523"/>
        <item m="1" x="353"/>
        <item m="1" x="282"/>
        <item m="1" x="225"/>
        <item m="1" x="1603"/>
        <item m="1" x="156"/>
        <item m="1" x="697"/>
        <item m="1" x="658"/>
        <item m="1" x="611"/>
        <item m="1" x="567"/>
        <item m="1" x="511"/>
        <item m="1" x="463"/>
        <item m="1" x="397"/>
        <item m="1" x="341"/>
        <item m="1" x="271"/>
        <item m="1" x="211"/>
        <item m="1" x="764"/>
        <item m="1" x="730"/>
        <item m="1" x="690"/>
        <item m="1" x="652"/>
        <item m="1" x="604"/>
        <item m="1" x="559"/>
        <item m="1" x="501"/>
        <item m="1" x="451"/>
        <item m="1" x="328"/>
        <item m="1" x="386"/>
        <item m="1" x="795"/>
        <item m="1" x="823"/>
        <item m="1" x="758"/>
        <item m="1" x="683"/>
        <item m="1" x="724"/>
        <item m="1" x="644"/>
        <item m="1" x="595"/>
        <item m="1" x="550"/>
        <item m="1" x="493"/>
        <item m="1" x="442"/>
        <item m="1" x="882"/>
        <item m="1" x="852"/>
        <item m="1" x="818"/>
        <item m="1" x="790"/>
        <item m="1" x="751"/>
        <item m="1" x="717"/>
        <item m="1" x="676"/>
        <item m="1" x="636"/>
        <item m="1" x="588"/>
        <item m="1" x="541"/>
        <item m="1" x="1309"/>
        <item m="1" x="1253"/>
        <item m="1" x="1190"/>
        <item m="1" x="1139"/>
        <item m="1" x="1087"/>
        <item m="1" x="1042"/>
        <item m="1" x="999"/>
        <item m="1" x="961"/>
        <item m="1" x="926"/>
        <item m="1" x="892"/>
        <item m="1" x="1429"/>
        <item m="1" x="1369"/>
        <item m="1" x="1298"/>
        <item m="1" x="1240"/>
        <item m="1" x="1179"/>
        <item m="1" x="1129"/>
        <item m="1" x="1079"/>
        <item m="1" x="1033"/>
        <item m="1" x="994"/>
        <item m="1" x="955"/>
        <item m="1" x="1546"/>
        <item m="1" x="1484"/>
        <item m="1" x="1416"/>
        <item m="1" x="1287"/>
        <item m="1" x="1354"/>
        <item m="1" x="1229"/>
        <item m="1" x="1171"/>
        <item m="1" x="1121"/>
        <item m="1" x="1074"/>
        <item m="1" x="1028"/>
        <item m="1" x="160"/>
        <item m="1" x="1607"/>
        <item m="1" x="1534"/>
        <item m="1" x="1471"/>
        <item m="1" x="1406"/>
        <item m="1" x="1344"/>
        <item m="1" x="1281"/>
        <item m="1" x="1221"/>
        <item m="1" x="1168"/>
        <item m="1" x="274"/>
        <item m="1" x="147"/>
        <item m="1" x="214"/>
        <item m="1" x="1594"/>
        <item m="1" x="1524"/>
        <item m="1" x="1461"/>
        <item m="1" x="1399"/>
        <item m="1" x="1337"/>
        <item m="1" x="1277"/>
        <item m="1" x="1217"/>
        <item m="1" x="388"/>
        <item m="1" x="330"/>
        <item m="1" x="262"/>
        <item m="1" x="203"/>
        <item m="1" x="139"/>
        <item m="1" x="434"/>
        <item m="1" x="1585"/>
        <item m="1" x="1519"/>
        <item m="1" x="1396"/>
        <item m="1" x="1331"/>
        <item m="1" x="494"/>
        <item m="1" x="443"/>
        <item m="1" x="320"/>
        <item m="1" x="256"/>
        <item m="1" x="196"/>
        <item m="1" x="135"/>
        <item m="1" x="1580"/>
        <item m="1" x="1451"/>
        <item m="1" x="1516"/>
        <item m="1" x="589"/>
        <item m="1" x="542"/>
        <item m="1" x="435"/>
        <item m="1" x="375"/>
        <item m="1" x="315"/>
        <item m="1" x="253"/>
        <item m="1" x="193"/>
        <item m="1" x="132"/>
        <item m="1" x="1574"/>
        <item m="1" x="671"/>
        <item m="1" x="630"/>
        <item m="1" x="583"/>
        <item m="1" x="536"/>
        <item m="1" x="484"/>
        <item m="1" x="430"/>
        <item m="1" x="372"/>
        <item m="1" x="311"/>
        <item m="1" x="250"/>
        <item m="1" x="188"/>
        <item m="1" x="741"/>
        <item m="1" x="707"/>
        <item m="1" x="666"/>
        <item m="1" x="625"/>
        <item m="1" x="579"/>
        <item m="1" x="532"/>
        <item m="1" x="481"/>
        <item m="1" x="426"/>
        <item m="1" x="369"/>
        <item m="1" x="304"/>
        <item m="1" x="1559"/>
        <item m="1" x="1498"/>
        <item m="1" x="1430"/>
        <item m="1" x="1370"/>
        <item m="1" x="1299"/>
        <item m="1" x="1241"/>
        <item m="1" x="1233"/>
        <item m="1" x="1348"/>
        <item m="1" x="1465"/>
        <item m="1" x="1589"/>
        <item m="1" x="200"/>
        <item m="1" x="318"/>
        <item m="1" x="1141"/>
        <item m="1" x="1245"/>
        <item m="1" x="1360"/>
        <item m="1" x="1180"/>
        <item m="1" x="1130"/>
        <item m="1" x="1080"/>
        <item m="1" x="1034"/>
        <item m="1" x="173"/>
        <item m="1" x="1620"/>
        <item m="1" x="1547"/>
        <item m="1" x="1485"/>
        <item m="1" x="1417"/>
        <item m="1" x="1355"/>
        <item m="1" x="1288"/>
        <item m="1" x="1230"/>
        <item m="1" x="1172"/>
        <item m="1" x="1122"/>
        <item m="1" x="287"/>
        <item m="1" x="230"/>
        <item m="1" x="161"/>
        <item m="1" x="1608"/>
        <item m="1" x="1535"/>
        <item m="1" x="1472"/>
        <item m="1" x="1407"/>
        <item m="1" x="1345"/>
        <item m="1" x="1222"/>
        <item m="1" x="401"/>
        <item m="1" x="345"/>
        <item m="1" x="215"/>
        <item m="1" x="148"/>
        <item m="1" x="1595"/>
        <item m="1" x="1525"/>
        <item m="1" x="1462"/>
        <item m="1" x="504"/>
        <item m="1" x="1400"/>
        <item m="1" x="1338"/>
        <item m="1" x="454"/>
        <item m="1" x="389"/>
        <item m="1" x="331"/>
        <item m="1" x="263"/>
        <item m="1" x="140"/>
        <item m="1" x="1586"/>
        <item m="1" x="1520"/>
        <item m="1" x="1456"/>
        <item m="1" x="597"/>
        <item m="1" x="552"/>
        <item m="1" x="444"/>
        <item m="1" x="495"/>
        <item m="1" x="380"/>
        <item m="1" x="321"/>
        <item m="1" x="257"/>
        <item m="1" x="197"/>
        <item m="1" x="136"/>
        <item m="1" x="1581"/>
        <item m="1" x="677"/>
        <item m="1" x="637"/>
        <item m="1" x="590"/>
        <item m="1" x="543"/>
        <item m="1" x="488"/>
        <item m="1" x="436"/>
        <item m="1" x="376"/>
        <item m="1" x="316"/>
        <item m="1" x="254"/>
        <item m="1" x="194"/>
        <item m="1" x="746"/>
        <item m="1" x="712"/>
        <item m="1" x="672"/>
        <item m="1" x="631"/>
        <item m="1" x="584"/>
        <item m="1" x="537"/>
        <item m="1" x="485"/>
        <item m="1" x="431"/>
        <item m="1" x="373"/>
        <item m="1" x="312"/>
        <item m="1" x="807"/>
        <item m="1" x="777"/>
        <item m="1" x="742"/>
        <item m="1" x="708"/>
        <item m="1" x="667"/>
        <item m="1" x="626"/>
        <item m="1" x="580"/>
        <item m="1" x="533"/>
        <item m="1" x="482"/>
        <item m="1" x="207"/>
        <item m="1" x="427"/>
        <item m="1" x="865"/>
        <item m="1" x="835"/>
        <item m="1" x="803"/>
        <item m="1" x="772"/>
        <item m="1" x="703"/>
        <item m="1" x="737"/>
        <item m="1" x="663"/>
        <item m="1" x="622"/>
        <item m="1" x="577"/>
        <item m="1" x="529"/>
        <item m="1" x="297"/>
        <item m="1" x="240"/>
        <item m="1" x="174"/>
        <item m="1" x="1621"/>
        <item m="1" x="1548"/>
        <item m="1" x="325"/>
        <item m="1" x="1486"/>
        <item m="1" x="1418"/>
        <item m="1" x="1356"/>
        <item m="1" x="1231"/>
        <item m="1" x="1289"/>
        <item m="1" x="412"/>
        <item m="1" x="358"/>
        <item m="1" x="288"/>
        <item m="1" x="231"/>
        <item m="1" x="162"/>
        <item m="1" x="1609"/>
        <item m="1" x="1536"/>
        <item m="1" x="1473"/>
        <item m="1" x="1408"/>
        <item m="1" x="1346"/>
        <item m="1" x="515"/>
        <item m="1" x="467"/>
        <item m="1" x="440"/>
        <item m="1" x="402"/>
        <item m="1" x="346"/>
        <item m="1" x="275"/>
        <item m="1" x="216"/>
        <item m="1" x="149"/>
        <item m="1" x="1526"/>
        <item m="1" x="1596"/>
        <item m="1" x="1463"/>
        <item m="1" x="607"/>
        <item m="1" x="562"/>
        <item m="1" x="505"/>
        <item m="1" x="455"/>
        <item m="1" x="390"/>
        <item m="1" x="332"/>
        <item m="1" x="264"/>
        <item m="1" x="204"/>
        <item m="1" x="141"/>
        <item m="1" x="1587"/>
        <item m="1" x="685"/>
        <item m="1" x="646"/>
        <item m="1" x="598"/>
        <item m="1" x="553"/>
        <item m="1" x="496"/>
        <item m="1" x="445"/>
        <item m="1" x="381"/>
        <item m="1" x="322"/>
        <item m="1" x="258"/>
        <item m="1" x="198"/>
        <item m="1" x="752"/>
        <item m="1" x="718"/>
        <item m="1" x="678"/>
        <item m="1" x="638"/>
        <item m="1" x="591"/>
        <item m="1" x="544"/>
        <item m="1" x="489"/>
        <item m="1" x="437"/>
        <item m="1" x="377"/>
        <item m="1" x="317"/>
        <item m="1" x="813"/>
        <item m="1" x="784"/>
        <item m="1" x="747"/>
        <item m="1" x="713"/>
        <item m="1" x="673"/>
        <item m="1" x="632"/>
        <item m="1" x="585"/>
        <item m="1" x="538"/>
        <item m="1" x="486"/>
        <item m="1" x="432"/>
        <item m="1" x="871"/>
        <item m="1" x="841"/>
        <item m="1" x="1612"/>
        <item m="1" x="808"/>
        <item m="1" x="778"/>
        <item m="1" x="221"/>
        <item m="1" x="743"/>
        <item m="1" x="709"/>
        <item m="1" x="668"/>
        <item m="1" x="627"/>
        <item m="1" x="581"/>
        <item m="1" x="534"/>
        <item m="1" x="932"/>
        <item m="1" x="901"/>
        <item m="1" x="866"/>
        <item m="1" x="804"/>
        <item m="1" x="704"/>
        <item m="1" x="773"/>
        <item m="1" x="738"/>
        <item m="1" x="664"/>
        <item m="1" x="623"/>
        <item m="1" x="1002"/>
        <item m="1" x="963"/>
        <item m="1" x="927"/>
        <item m="1" x="894"/>
        <item m="1" x="862"/>
        <item m="1" x="831"/>
        <item m="1" x="801"/>
        <item m="1" x="770"/>
        <item m="1" x="736"/>
        <item m="1" x="702"/>
        <item m="1" x="475"/>
        <item m="1" x="524"/>
        <item m="1" x="413"/>
        <item m="1" x="359"/>
        <item m="1" x="289"/>
        <item m="1" x="232"/>
        <item m="1" x="163"/>
        <item m="1" x="1537"/>
        <item m="1" x="1474"/>
        <item m="1" x="616"/>
        <item m="1" x="571"/>
        <item m="1" x="516"/>
        <item m="1" x="468"/>
        <item m="1" x="403"/>
        <item m="1" x="347"/>
        <item m="1" x="276"/>
        <item m="1" x="217"/>
        <item m="1" x="150"/>
        <item m="1" x="1597"/>
        <item m="1" x="693"/>
        <item m="1" x="655"/>
        <item m="1" x="563"/>
        <item m="1" x="506"/>
        <item m="1" x="456"/>
        <item m="1" x="391"/>
        <item m="1" x="333"/>
        <item m="1" x="265"/>
        <item m="1" x="205"/>
        <item m="1" x="760"/>
        <item m="1" x="337"/>
        <item m="1" x="726"/>
        <item m="1" x="686"/>
        <item m="1" x="647"/>
        <item m="1" x="599"/>
        <item m="1" x="554"/>
        <item m="1" x="497"/>
        <item m="1" x="446"/>
        <item m="1" x="382"/>
        <item m="1" x="323"/>
        <item m="1" x="819"/>
        <item m="1" x="791"/>
        <item m="1" x="753"/>
        <item m="1" x="719"/>
        <item m="1" x="679"/>
        <item m="1" x="639"/>
        <item m="1" x="592"/>
        <item m="1" x="545"/>
        <item m="1" x="490"/>
        <item m="1" x="438"/>
        <item m="1" x="877"/>
        <item m="1" x="847"/>
        <item m="1" x="814"/>
        <item m="1" x="785"/>
        <item m="1" x="748"/>
        <item m="1" x="714"/>
        <item m="1" x="674"/>
        <item m="1" x="633"/>
        <item m="1" x="586"/>
        <item m="1" x="539"/>
        <item m="1" x="939"/>
        <item m="1" x="908"/>
        <item m="1" x="872"/>
        <item m="1" x="809"/>
        <item m="1" x="779"/>
        <item m="1" x="744"/>
        <item m="1" x="710"/>
        <item m="1" x="669"/>
        <item m="1" x="628"/>
        <item m="1" x="1010"/>
        <item m="1" x="972"/>
        <item m="1" x="933"/>
        <item m="1" x="902"/>
        <item m="1" x="867"/>
        <item m="1" x="836"/>
        <item m="1" x="805"/>
        <item m="1" x="774"/>
        <item m="1" x="739"/>
        <item m="1" x="705"/>
        <item m="1" x="1091"/>
        <item m="1" x="1047"/>
        <item m="1" x="1003"/>
        <item m="1" x="964"/>
        <item m="1" x="928"/>
        <item m="1" x="895"/>
        <item m="1" x="863"/>
        <item m="1" x="832"/>
        <item m="1" x="802"/>
        <item m="1" x="771"/>
        <item m="1" x="1185"/>
        <item m="1" x="1038"/>
        <item m="1" x="996"/>
        <item m="1" x="958"/>
        <item m="1" x="924"/>
        <item m="1" x="890"/>
        <item m="1" x="861"/>
        <item m="1" x="830"/>
        <item m="1" x="700"/>
        <item m="1" x="661"/>
        <item m="1" x="617"/>
        <item m="1" x="572"/>
        <item m="1" x="517"/>
        <item m="1" x="469"/>
        <item m="1" x="404"/>
        <item m="1" x="348"/>
        <item m="1" x="277"/>
        <item m="1" x="218"/>
        <item m="1" x="767"/>
        <item m="1" x="733"/>
        <item m="1" x="694"/>
        <item m="1" x="656"/>
        <item m="1" x="608"/>
        <item m="1" x="564"/>
        <item m="1" x="507"/>
        <item m="1" x="457"/>
        <item m="1" x="392"/>
        <item m="1" x="548"/>
        <item m="1" x="334"/>
        <item m="1" x="825"/>
        <item m="1" x="761"/>
        <item m="1" x="615"/>
        <item m="1" x="727"/>
        <item m="1" x="648"/>
        <item m="1" x="600"/>
        <item m="1" x="555"/>
        <item m="1" x="498"/>
        <item m="1" x="447"/>
        <item m="1" x="883"/>
        <item m="1" x="853"/>
        <item m="1" x="792"/>
        <item m="1" x="754"/>
        <item m="1" x="720"/>
        <item m="1" x="680"/>
        <item m="1" x="640"/>
        <item m="1" x="593"/>
        <item m="1" x="546"/>
        <item m="1" x="945"/>
        <item m="1" x="914"/>
        <item m="1" x="878"/>
        <item m="1" x="848"/>
        <item m="1" x="815"/>
        <item m="1" x="786"/>
        <item m="1" x="749"/>
        <item m="1" x="715"/>
        <item m="1" x="675"/>
        <item m="1" x="634"/>
        <item m="1" x="1017"/>
        <item m="1" x="980"/>
        <item m="1" x="940"/>
        <item m="1" x="909"/>
        <item m="1" x="350"/>
        <item m="1" x="873"/>
        <item m="1" x="842"/>
        <item m="1" x="810"/>
        <item m="1" x="780"/>
        <item m="1" x="745"/>
        <item m="1" x="1100"/>
        <item m="1" x="1056"/>
        <item m="1" x="1011"/>
        <item m="1" x="460"/>
        <item m="1" x="973"/>
        <item m="1" x="934"/>
        <item m="1" x="903"/>
        <item m="1" x="868"/>
        <item m="1" x="837"/>
        <item m="1" x="806"/>
        <item m="1" x="775"/>
        <item m="1" x="1195"/>
        <item m="1" x="1145"/>
        <item m="1" x="1092"/>
        <item m="1" x="1048"/>
        <item m="1" x="1004"/>
        <item m="1" x="965"/>
        <item m="1" x="929"/>
        <item m="1" x="896"/>
        <item m="1" x="864"/>
        <item m="1" x="833"/>
        <item m="1" x="1304"/>
        <item m="1" x="1249"/>
        <item m="1" x="1186"/>
        <item m="1" x="1136"/>
        <item m="1" x="1084"/>
        <item m="1" x="1039"/>
        <item m="1" x="997"/>
        <item m="1" x="959"/>
        <item m="1" x="925"/>
        <item m="1" x="891"/>
        <item m="1" x="1424"/>
        <item m="1" x="1364"/>
        <item m="1" x="1294"/>
        <item m="1" x="1236"/>
        <item m="1" x="1176"/>
        <item m="1" x="1077"/>
        <item m="1" x="1126"/>
        <item m="1" x="1031"/>
        <item m="1" x="993"/>
        <item m="1" x="954"/>
        <item m="1" x="829"/>
        <item m="1" x="800"/>
        <item m="1" x="768"/>
        <item m="1" x="734"/>
        <item m="1" x="695"/>
        <item m="1" x="657"/>
        <item m="1" x="609"/>
        <item m="1" x="565"/>
        <item m="1" x="508"/>
        <item m="1" x="458"/>
        <item m="1" x="888"/>
        <item m="1" x="859"/>
        <item m="1" x="826"/>
        <item m="1" x="797"/>
        <item m="1" x="762"/>
        <item m="1" x="728"/>
        <item m="1" x="687"/>
        <item m="1" x="649"/>
        <item m="1" x="601"/>
        <item m="1" x="556"/>
        <item m="1" x="950"/>
        <item m="1" x="919"/>
        <item m="1" x="884"/>
        <item m="1" x="854"/>
        <item m="1" x="820"/>
        <item m="1" x="793"/>
        <item m="1" x="755"/>
        <item m="1" x="721"/>
        <item m="1" x="681"/>
        <item m="1" x="641"/>
        <item m="1" x="1023"/>
        <item m="1" x="986"/>
        <item m="1" x="946"/>
        <item m="1" x="915"/>
        <item m="1" x="879"/>
        <item m="1" x="849"/>
        <item m="1" x="816"/>
        <item m="1" x="787"/>
        <item m="1" x="750"/>
        <item m="1" x="716"/>
        <item m="1" x="1107"/>
        <item m="1" x="642"/>
        <item m="1" x="1063"/>
        <item m="1" x="1018"/>
        <item m="1" x="981"/>
        <item m="1" x="941"/>
        <item m="1" x="910"/>
        <item m="1" x="874"/>
        <item m="1" x="843"/>
        <item m="1" x="811"/>
        <item m="1" x="781"/>
        <item m="1" x="1204"/>
        <item m="1" x="1155"/>
        <item m="1" x="1101"/>
        <item m="1" x="1057"/>
        <item m="1" x="974"/>
        <item m="1" x="1012"/>
        <item m="1" x="935"/>
        <item m="1" x="904"/>
        <item m="1" x="869"/>
        <item m="1" x="838"/>
        <item m="1" x="1314"/>
        <item m="1" x="1258"/>
        <item m="1" x="1196"/>
        <item m="1" x="1146"/>
        <item m="1" x="1005"/>
        <item m="1" x="966"/>
        <item m="1" x="930"/>
        <item m="1" x="897"/>
        <item m="1" x="1435"/>
        <item m="1" x="1375"/>
        <item m="1" x="1305"/>
        <item m="1" x="1187"/>
        <item m="1" x="1085"/>
        <item m="1" x="1040"/>
        <item m="1" x="998"/>
        <item m="1" x="960"/>
        <item m="1" x="1554"/>
        <item m="1" x="1493"/>
        <item m="1" x="1425"/>
        <item m="1" x="1365"/>
        <item m="1" x="1295"/>
        <item m="1" x="1237"/>
        <item m="1" x="1177"/>
        <item m="1" x="1127"/>
        <item m="1" x="1078"/>
        <item m="1" x="1032"/>
        <item m="1" x="1616"/>
        <item m="1" x="168"/>
        <item m="1" x="1542"/>
        <item m="1" x="1480"/>
        <item m="1" x="1413"/>
        <item m="1" x="1351"/>
        <item m="1" x="1285"/>
        <item m="1" x="1227"/>
        <item m="1" x="1170"/>
        <item m="1" x="1120"/>
        <item m="1" x="953"/>
        <item m="1" x="1335"/>
        <item m="1" x="839"/>
        <item m="1" x="899"/>
        <item m="1" x="922"/>
        <item m="1" x="889"/>
        <item m="1" x="860"/>
        <item m="1" x="827"/>
        <item m="1" x="798"/>
        <item m="1" x="763"/>
        <item m="1" x="729"/>
        <item m="1" x="688"/>
        <item m="1" x="650"/>
        <item m="1" x="1026"/>
        <item m="1" x="990"/>
        <item m="1" x="951"/>
        <item m="1" x="920"/>
        <item m="1" x="885"/>
        <item m="1" x="1093"/>
        <item m="1" x="855"/>
        <item m="1" x="821"/>
        <item m="1" x="756"/>
        <item m="1" x="722"/>
        <item m="1" x="1113"/>
        <item m="1" x="1069"/>
        <item m="1" x="987"/>
        <item m="1" x="947"/>
        <item m="1" x="916"/>
        <item m="1" x="880"/>
        <item m="1" x="850"/>
        <item m="1" x="817"/>
        <item m="1" x="788"/>
        <item m="1" x="1211"/>
        <item m="1" x="1161"/>
        <item m="1" x="1108"/>
        <item m="1" x="1064"/>
        <item m="1" x="1019"/>
        <item m="1" x="789"/>
        <item m="1" x="982"/>
        <item m="1" x="942"/>
        <item m="1" x="911"/>
        <item m="1" x="845"/>
        <item m="1" x="875"/>
        <item m="1" x="844"/>
        <item m="1" x="1323"/>
        <item m="1" x="1267"/>
        <item m="1" x="1205"/>
        <item m="1" x="1156"/>
        <item m="1" x="1102"/>
        <item m="1" x="1058"/>
        <item m="1" x="1013"/>
        <item m="1" x="975"/>
        <item m="1" x="936"/>
        <item m="1" x="905"/>
        <item m="1" x="1443"/>
        <item m="1" x="1259"/>
        <item m="1" x="1384"/>
        <item m="1" x="1315"/>
        <item m="1" x="1197"/>
        <item m="1" x="1147"/>
        <item m="1" x="1094"/>
        <item m="1" x="1049"/>
        <item m="1" x="1006"/>
        <item m="1" x="1455"/>
        <item m="1" x="1579"/>
        <item m="1" x="967"/>
        <item m="1" x="192"/>
        <item m="1" x="1564"/>
        <item m="1" x="1503"/>
        <item m="1" x="1436"/>
        <item m="1" x="1376"/>
        <item m="1" x="1306"/>
        <item m="1" x="1250"/>
        <item m="1" x="1188"/>
        <item m="1" x="1137"/>
        <item m="1" x="1086"/>
        <item m="1" x="1041"/>
        <item m="1" x="1627"/>
        <item m="1" x="1555"/>
        <item m="1" x="1494"/>
        <item m="1" x="1426"/>
        <item m="1" x="1366"/>
        <item m="1" x="1296"/>
        <item m="1" x="1238"/>
        <item m="1" x="1178"/>
        <item m="1" x="1128"/>
        <item m="1" x="293"/>
        <item m="1" x="236"/>
        <item m="1" x="169"/>
        <item m="1" x="1617"/>
        <item m="1" x="1543"/>
        <item m="1" x="1481"/>
        <item m="1" x="1414"/>
        <item m="1" x="1352"/>
        <item m="1" x="1286"/>
        <item m="1" x="1228"/>
        <item m="1" x="408"/>
        <item m="1" x="354"/>
        <item m="1" x="283"/>
        <item m="1" x="226"/>
        <item m="1" x="157"/>
        <item m="1" x="1604"/>
        <item m="1" x="1532"/>
        <item m="1" x="1469"/>
        <item m="1" x="1405"/>
        <item m="1" x="1343"/>
        <item m="1" x="969"/>
        <item m="1" x="1116"/>
        <item m="1" x="1044"/>
        <item m="1" x="1072"/>
        <item m="1" x="1027"/>
        <item m="1" x="991"/>
        <item m="1" x="952"/>
        <item m="1" x="921"/>
        <item m="1" x="886"/>
        <item m="1" x="856"/>
        <item m="1" x="822"/>
        <item m="1" x="794"/>
        <item m="1" x="1215"/>
        <item m="1" x="1165"/>
        <item m="1" x="1114"/>
        <item m="1" x="1070"/>
        <item m="1" x="1024"/>
        <item m="1" x="988"/>
        <item m="1" x="948"/>
        <item m="1" x="917"/>
        <item m="1" x="881"/>
        <item m="1" x="851"/>
        <item m="1" x="1328"/>
        <item m="1" x="1272"/>
        <item m="1" x="1212"/>
        <item m="1" x="1162"/>
        <item m="1" x="1109"/>
        <item m="1" x="1065"/>
        <item m="1" x="1020"/>
        <item m="1" x="983"/>
        <item m="1" x="943"/>
        <item m="1" x="912"/>
        <item m="1" x="1448"/>
        <item m="1" x="1390"/>
        <item m="1" x="1324"/>
        <item m="1" x="1268"/>
        <item m="1" x="1206"/>
        <item m="1" x="1157"/>
        <item m="1" x="1103"/>
        <item m="1" x="1059"/>
        <item m="1" x="1014"/>
        <item m="1" x="976"/>
        <item m="1" x="1570"/>
        <item m="1" x="1509"/>
        <item m="1" x="1444"/>
        <item m="1" x="1385"/>
        <item m="1" x="1316"/>
        <item m="1" x="1260"/>
        <item m="1" x="1198"/>
        <item m="1" x="977"/>
        <item m="1" x="1148"/>
        <item m="1" x="1095"/>
        <item m="1" x="1050"/>
        <item m="1" x="184"/>
        <item m="1" x="125"/>
        <item m="1" x="1565"/>
        <item m="1" x="1504"/>
        <item m="1" x="1437"/>
        <item m="1" x="1377"/>
        <item m="1" x="1307"/>
        <item m="1" x="310"/>
        <item m="1" x="1052"/>
        <item m="1" x="425"/>
        <item m="1" x="1189"/>
        <item m="1" x="1251"/>
        <item m="1" x="1138"/>
        <item m="1" x="300"/>
        <item m="1" x="243"/>
        <item m="1" x="179"/>
        <item m="1" x="1628"/>
        <item m="1" x="1556"/>
        <item m="1" x="1495"/>
        <item m="1" x="1427"/>
        <item m="1" x="1367"/>
        <item m="1" x="1239"/>
        <item m="1" x="1297"/>
        <item m="1" x="416"/>
        <item m="1" x="362"/>
        <item m="1" x="294"/>
        <item m="1" x="237"/>
        <item m="1" x="1618"/>
        <item m="1" x="170"/>
        <item m="1" x="1544"/>
        <item m="1" x="1482"/>
        <item m="1" x="1415"/>
        <item m="1" x="1353"/>
        <item m="1" x="1244"/>
        <item m="1" x="520"/>
        <item m="1" x="472"/>
        <item m="1" x="409"/>
        <item m="1" x="355"/>
        <item m="1" x="284"/>
        <item m="1" x="227"/>
        <item m="1" x="158"/>
        <item m="1" x="1605"/>
        <item m="1" x="1533"/>
        <item m="1" x="1470"/>
        <item m="1" x="612"/>
        <item m="1" x="568"/>
        <item m="1" x="512"/>
        <item m="1" x="464"/>
        <item m="1" x="398"/>
        <item m="1" x="342"/>
        <item m="1" x="272"/>
        <item m="1" x="212"/>
        <item m="1" x="146"/>
        <item m="1" x="1593"/>
        <item m="1" x="1334"/>
        <item m="1" x="1276"/>
        <item m="1" x="1216"/>
        <item m="1" x="1166"/>
        <item m="1" x="1115"/>
        <item m="1" x="1071"/>
        <item m="1" x="1025"/>
        <item m="1" x="989"/>
        <item m="1" x="949"/>
        <item m="1" x="918"/>
        <item m="1" x="1453"/>
        <item m="1" x="1394"/>
        <item m="1" x="1329"/>
        <item m="1" x="1273"/>
        <item m="1" x="1213"/>
        <item m="1" x="1163"/>
        <item m="1" x="1110"/>
        <item m="1" x="1066"/>
        <item m="1" x="1021"/>
        <item m="1" x="984"/>
        <item m="1" x="1577"/>
        <item m="1" x="1514"/>
        <item m="1" x="1449"/>
        <item m="1" x="1325"/>
        <item m="1" x="1391"/>
        <item m="1" x="1269"/>
        <item m="1" x="1207"/>
        <item m="1" x="1104"/>
        <item m="1" x="1060"/>
        <item m="1" x="191"/>
        <item m="1" x="130"/>
        <item m="1" x="1571"/>
        <item m="1" x="1510"/>
        <item m="1" x="1445"/>
        <item m="1" x="1386"/>
        <item m="1" x="1317"/>
        <item m="1" x="1261"/>
        <item m="1" x="1149"/>
        <item m="1" x="1199"/>
        <item m="1" x="308"/>
        <item m="1" x="248"/>
        <item m="1" x="185"/>
        <item m="1" x="126"/>
        <item m="1" x="1566"/>
        <item m="1" x="1505"/>
        <item m="1" x="1438"/>
        <item m="1" x="1378"/>
        <item m="1" x="1308"/>
        <item m="1" x="1252"/>
        <item m="1" x="423"/>
        <item m="1" x="367"/>
        <item m="1" x="301"/>
        <item m="1" x="244"/>
        <item m="1" x="180"/>
        <item m="1" x="1629"/>
        <item m="1" x="1557"/>
        <item m="1" x="1496"/>
        <item m="1" x="1428"/>
        <item m="1" x="1368"/>
        <item m="1" x="526"/>
        <item m="1" x="477"/>
        <item m="1" x="417"/>
        <item m="1" x="363"/>
        <item m="1" x="295"/>
        <item m="1" x="238"/>
        <item m="1" x="171"/>
        <item m="1" x="1545"/>
        <item m="1" x="1483"/>
        <item m="1" x="619"/>
        <item m="1" x="574"/>
        <item m="1" x="521"/>
        <item m="1" x="473"/>
        <item m="1" x="410"/>
        <item m="1" x="356"/>
        <item m="1" x="285"/>
        <item m="1" x="228"/>
        <item m="1" x="159"/>
        <item m="1" x="1606"/>
        <item m="1" x="698"/>
        <item m="1" x="659"/>
        <item m="1" x="613"/>
        <item m="1" x="569"/>
        <item m="1" x="513"/>
        <item m="1" x="465"/>
        <item m="1" x="399"/>
        <item m="1" x="343"/>
        <item m="1" x="273"/>
        <item m="1" x="213"/>
        <item m="1" x="765"/>
        <item m="1" x="731"/>
        <item m="1" x="691"/>
        <item m="1" x="653"/>
        <item m="1" x="857"/>
        <item m="1" x="605"/>
        <item m="1" x="560"/>
        <item m="1" x="502"/>
        <item m="1" x="452"/>
        <item m="1" x="387"/>
        <item m="1" x="329"/>
        <item m="1" x="1583"/>
        <item m="1" x="1518"/>
        <item m="1" x="1454"/>
        <item m="1" x="1395"/>
        <item m="1" x="1151"/>
        <item m="1" x="1330"/>
        <item m="1" x="1274"/>
        <item m="1" x="1214"/>
        <item m="1" x="1164"/>
        <item m="1" x="1111"/>
        <item m="1" x="1067"/>
        <item m="1" x="134"/>
        <item m="1" x="1578"/>
        <item m="1" x="1515"/>
        <item m="1" x="1450"/>
        <item m="1" x="1392"/>
        <item m="1" x="1326"/>
        <item m="1" x="1270"/>
        <item m="1" x="1208"/>
        <item m="1" x="1158"/>
        <item m="1" x="314"/>
        <item m="1" x="252"/>
        <item m="1" x="131"/>
        <item m="1" x="1572"/>
        <item m="1" x="1511"/>
        <item m="1" x="1446"/>
        <item m="1" x="1387"/>
        <item m="1" x="1318"/>
        <item m="1" x="1262"/>
        <item m="1" x="429"/>
        <item m="1" x="371"/>
        <item m="1" x="309"/>
        <item m="1" x="249"/>
        <item m="1" x="186"/>
        <item m="1" x="127"/>
        <item m="1" x="1567"/>
        <item m="1" x="1506"/>
        <item m="1" x="1439"/>
        <item m="1" x="1379"/>
        <item m="1" x="531"/>
        <item m="1" x="480"/>
        <item m="1" x="424"/>
        <item m="1" x="368"/>
        <item m="1" x="302"/>
        <item m="1" x="245"/>
        <item m="1" x="181"/>
        <item m="1" x="1630"/>
        <item m="1" x="1558"/>
        <item m="1" x="1497"/>
        <item m="1" x="621"/>
        <item m="1" x="576"/>
        <item m="1" x="527"/>
        <item m="1" x="478"/>
        <item m="1" x="418"/>
        <item m="1" x="364"/>
        <item m="1" x="296"/>
        <item m="1" x="239"/>
        <item m="1" x="172"/>
        <item m="1" x="1619"/>
        <item m="1" x="701"/>
        <item m="1" x="662"/>
        <item m="1" x="620"/>
        <item m="1" x="575"/>
        <item m="1" x="522"/>
        <item m="1" x="474"/>
        <item m="1" x="411"/>
        <item m="1" x="357"/>
        <item m="1" x="286"/>
        <item m="1" x="229"/>
        <item m="1" x="769"/>
        <item m="1" x="699"/>
        <item m="1" x="735"/>
        <item m="1" x="834"/>
        <item m="1" x="893"/>
        <item m="1" x="957"/>
        <item m="1" x="1030"/>
        <item m="1" x="660"/>
        <item m="1" x="614"/>
        <item m="1" x="570"/>
        <item m="1" x="514"/>
        <item m="1" x="466"/>
        <item m="1" x="400"/>
        <item m="1" x="344"/>
        <item m="1" x="828"/>
        <item m="1" x="799"/>
        <item m="1" x="766"/>
        <item m="1" x="732"/>
        <item m="1" x="692"/>
        <item m="1" x="654"/>
        <item m="1" x="1118"/>
        <item m="1" x="528"/>
        <item m="1" x="606"/>
        <item m="1" x="561"/>
        <item m="1" x="503"/>
        <item m="1" x="453"/>
        <item m="1" x="887"/>
        <item m="1" x="1219"/>
        <item m="1" x="858"/>
        <item m="1" x="824"/>
        <item m="1" x="796"/>
        <item m="1" x="759"/>
        <item m="1" x="725"/>
        <item m="1" x="684"/>
        <item m="1" x="645"/>
        <item m="1" x="596"/>
        <item m="1" x="551"/>
        <item m="1" x="1319"/>
        <item m="1" x="1263"/>
        <item m="1" x="1200"/>
        <item m="1" x="1150"/>
        <item m="1" x="1096"/>
        <item m="1" x="1051"/>
        <item m="1" x="1007"/>
        <item m="1" x="968"/>
        <item m="1" x="898"/>
        <item m="1" x="1440"/>
        <item m="1" x="1380"/>
        <item m="1" x="1310"/>
        <item m="1" x="1254"/>
        <item m="1" x="1191"/>
        <item m="1" x="1140"/>
        <item m="1" x="1088"/>
        <item m="1" x="1043"/>
        <item m="1" x="1000"/>
        <item m="1" x="1560"/>
        <item m="1" x="1499"/>
        <item m="1" x="1431"/>
        <item m="1" x="1371"/>
        <item m="1" x="1300"/>
        <item m="1" x="1242"/>
        <item m="1" x="1181"/>
        <item m="1" x="782"/>
        <item m="1" x="1131"/>
        <item m="1" x="1081"/>
        <item m="1" x="1035"/>
        <item m="1" x="175"/>
        <item m="1" x="1622"/>
        <item m="1" x="1549"/>
        <item m="1" x="1487"/>
        <item m="1" x="1357"/>
        <item m="1" x="1397"/>
        <item m="1" x="1301"/>
        <item m="1" x="1243"/>
        <item m="1" x="1182"/>
        <item m="1" x="1132"/>
        <item m="1" x="1082"/>
        <item m="1" x="1036"/>
        <item m="1" x="995"/>
        <item m="1" x="956"/>
        <item m="1" x="923"/>
        <item m="1" x="1488"/>
        <item m="1" x="1419"/>
        <item m="1" x="1358"/>
        <item m="1" x="1290"/>
        <item m="1" x="1173"/>
        <item m="1" x="1123"/>
        <item m="1" x="1075"/>
        <item m="1" x="1029"/>
        <item m="1" x="992"/>
        <item m="1" x="1610"/>
        <item m="1" x="1538"/>
        <item m="1" x="1475"/>
        <item m="1" x="1409"/>
        <item m="1" x="1347"/>
        <item m="1" x="1282"/>
        <item m="1" x="1223"/>
        <item m="1" x="1117"/>
        <item m="1" x="1073"/>
        <item m="1" x="219"/>
        <item m="1" x="151"/>
        <item m="1" x="1598"/>
        <item m="1" x="1527"/>
        <item m="1" x="1464"/>
        <item m="1" x="1278"/>
        <item m="1" x="1401"/>
        <item m="1" x="1339"/>
        <item m="1" x="1218"/>
        <item m="1" x="1167"/>
        <item m="1" x="335"/>
        <item m="1" x="266"/>
        <item m="1" x="206"/>
        <item m="1" x="142"/>
        <item m="1" x="1588"/>
        <item m="1" x="1521"/>
        <item m="1" x="1457"/>
        <item m="1" x="1332"/>
        <item m="1" x="1275"/>
        <item m="1" x="448"/>
        <item m="1" x="383"/>
        <item m="1" x="324"/>
        <item m="1" x="259"/>
        <item m="1" x="199"/>
        <item m="1" x="137"/>
        <item m="1" x="1582"/>
        <item m="1" x="1517"/>
        <item m="1" x="1333"/>
        <item m="1" x="696"/>
        <item m="1" x="1452"/>
        <item m="1" x="1393"/>
        <item m="1" x="547"/>
        <item m="1" x="491"/>
        <item m="1" x="439"/>
        <item m="1" x="378"/>
        <item m="1" x="255"/>
        <item m="1" x="195"/>
        <item m="1" x="133"/>
        <item m="1" x="1575"/>
        <item m="1" x="1512"/>
        <item m="1" x="635"/>
        <item m="1" x="587"/>
        <item m="1" x="540"/>
        <item m="1" x="487"/>
        <item m="1" x="433"/>
        <item m="1" x="374"/>
        <item m="1" x="313"/>
        <item m="1" x="251"/>
        <item m="1" x="189"/>
        <item m="1" x="128"/>
        <item m="1" x="711"/>
        <item m="1" x="670"/>
        <item m="1" x="629"/>
        <item m="1" x="582"/>
        <item m="1" x="535"/>
        <item m="1" x="483"/>
        <item m="1" x="428"/>
        <item m="1" x="370"/>
        <item m="1" x="305"/>
        <item m="1" x="246"/>
        <item m="1" x="776"/>
        <item m="1" x="740"/>
        <item m="1" x="706"/>
        <item m="1" x="665"/>
        <item m="1" x="624"/>
        <item m="1" x="578"/>
        <item m="1" x="530"/>
        <item m="1" x="479"/>
        <item m="1" x="420"/>
        <item m="1" x="365"/>
        <item m="1" x="1623"/>
        <item m="1" x="1550"/>
        <item m="1" x="1489"/>
        <item m="1" x="1420"/>
        <item m="1" x="1359"/>
        <item m="1" x="1291"/>
        <item m="1" x="1232"/>
        <item m="1" x="1174"/>
        <item m="1" x="1124"/>
        <item m="1" x="1076"/>
        <item m="1" x="233"/>
        <item m="1" x="164"/>
        <item m="1" x="1611"/>
        <item m="1" x="306"/>
        <item m="1" x="1476"/>
        <item m="1" x="1410"/>
        <item m="1" x="421"/>
        <item m="1" x="1283"/>
        <item m="1" x="1224"/>
        <item m="1" x="1169"/>
        <item m="1" x="349"/>
        <item m="1" x="278"/>
        <item m="1" x="220"/>
        <item m="1" x="152"/>
        <item m="1" x="1599"/>
        <item m="1" x="1528"/>
        <item m="1" x="1402"/>
        <item m="1" x="1340"/>
        <item m="1" x="1279"/>
        <item m="1" x="459"/>
        <item m="1" x="393"/>
        <item m="1" x="336"/>
        <item m="1" x="26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9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">
        <item x="0"/>
        <item h="1"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7"/>
  </rowFields>
  <rowItems count="123"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 t="grand">
      <x/>
    </i>
  </rowItems>
  <colItems count="1">
    <i/>
  </colItems>
  <pageFields count="2">
    <pageField fld="5" hier="-1"/>
    <pageField fld="52" hier="-1"/>
  </pageFields>
  <dataFields count="1">
    <dataField name="Sum of Total Amt." fld="50" baseField="0" baseItem="0"/>
  </dataFields>
  <formats count="4"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 axis="axisRow" fieldPosition="0"/>
    </format>
    <format dxfId="3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name="PivotTable1" cacheId="60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compact="0" compactData="0" gridDropZones="1" multipleFieldFilters="0">
  <location ref="A4:J256" firstHeaderRow="1" firstDataRow="2" firstDataCol="6" rowPageCount="2" colPageCount="1"/>
  <pivotFields count="6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GSTIN/UIN of Recipient" axis="axisPage" compact="0" outline="0" multipleItemSelectionAllowed="1" showAll="0" defaultSubtotal="0">
      <items count="3">
        <item h="1" x="1"/>
        <item x="0"/>
        <item h="1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31">
        <item m="1" x="1119"/>
        <item m="1" x="279"/>
        <item m="1" x="222"/>
        <item m="1" x="153"/>
        <item m="1" x="1600"/>
        <item m="1" x="1529"/>
        <item m="1" x="1466"/>
        <item m="1" x="1403"/>
        <item m="1" x="1341"/>
        <item m="1" x="1280"/>
        <item m="1" x="1220"/>
        <item m="1" x="394"/>
        <item m="1" x="338"/>
        <item m="1" x="268"/>
        <item m="1" x="208"/>
        <item m="1" x="1225"/>
        <item m="1" x="143"/>
        <item m="1" x="1590"/>
        <item m="1" x="1522"/>
        <item m="1" x="1459"/>
        <item m="1" x="1398"/>
        <item m="1" x="1336"/>
        <item m="1" x="1112"/>
        <item m="1" x="1068"/>
        <item m="1" x="1022"/>
        <item m="1" x="985"/>
        <item m="1" x="944"/>
        <item m="1" x="913"/>
        <item m="1" x="876"/>
        <item m="1" x="846"/>
        <item m="1" x="812"/>
        <item m="1" x="1458"/>
        <item m="1" x="783"/>
        <item m="1" x="1209"/>
        <item m="1" x="1159"/>
        <item m="1" x="1105"/>
        <item m="1" x="1061"/>
        <item m="1" x="1015"/>
        <item m="1" x="978"/>
        <item m="1" x="937"/>
        <item m="1" x="906"/>
        <item m="1" x="870"/>
        <item m="1" x="840"/>
        <item m="1" x="1320"/>
        <item m="1" x="1264"/>
        <item m="1" x="1152"/>
        <item m="1" x="1201"/>
        <item m="1" x="1097"/>
        <item m="1" x="1053"/>
        <item m="1" x="1008"/>
        <item m="1" x="970"/>
        <item m="1" x="931"/>
        <item m="1" x="900"/>
        <item m="1" x="1441"/>
        <item m="1" x="1381"/>
        <item m="1" x="1311"/>
        <item m="1" x="1255"/>
        <item m="1" x="1192"/>
        <item m="1" x="1142"/>
        <item m="1" x="1089"/>
        <item m="1" x="1045"/>
        <item m="1" x="1001"/>
        <item m="1" x="962"/>
        <item m="1" x="1561"/>
        <item m="1" x="1500"/>
        <item m="1" x="1432"/>
        <item m="1" x="1372"/>
        <item m="1" x="1302"/>
        <item m="1" x="1246"/>
        <item m="1" x="1183"/>
        <item m="1" x="1134"/>
        <item m="1" x="1083"/>
        <item m="1" x="1037"/>
        <item m="1" x="176"/>
        <item m="1" x="1624"/>
        <item m="1" x="1551"/>
        <item m="1" x="1490"/>
        <item m="1" x="1421"/>
        <item m="1" x="1361"/>
        <item m="1" x="1292"/>
        <item m="1" x="1234"/>
        <item m="1" x="1175"/>
        <item m="1" x="1125"/>
        <item m="1" x="290"/>
        <item m="1" x="234"/>
        <item m="1" x="165"/>
        <item m="1" x="1613"/>
        <item m="1" x="1539"/>
        <item m="1" x="1477"/>
        <item m="1" x="1411"/>
        <item m="1" x="1349"/>
        <item m="1" x="1284"/>
        <item m="1" x="1226"/>
        <item m="1" x="405"/>
        <item m="1" x="351"/>
        <item m="1" x="280"/>
        <item m="1" x="223"/>
        <item m="1" x="154"/>
        <item m="1" x="1601"/>
        <item m="1" x="1530"/>
        <item m="1" x="1467"/>
        <item m="1" x="1404"/>
        <item m="1" x="1342"/>
        <item m="1" x="509"/>
        <item m="1" x="461"/>
        <item m="1" x="395"/>
        <item m="1" x="339"/>
        <item m="1" x="269"/>
        <item m="1" x="209"/>
        <item m="1" x="144"/>
        <item m="1" x="1591"/>
        <item m="1" x="1523"/>
        <item m="1" x="1460"/>
        <item m="1" x="602"/>
        <item m="1" x="557"/>
        <item m="1" x="499"/>
        <item m="1" x="449"/>
        <item m="1" x="384"/>
        <item m="1" x="326"/>
        <item m="1" x="260"/>
        <item m="1" x="201"/>
        <item m="1" x="1584"/>
        <item m="1" x="138"/>
        <item m="1" x="1327"/>
        <item m="1" x="1271"/>
        <item m="1" x="1210"/>
        <item m="1" x="1160"/>
        <item m="1" x="1106"/>
        <item m="1" x="1062"/>
        <item m="1" x="1016"/>
        <item m="1" x="979"/>
        <item m="1" x="938"/>
        <item m="1" x="907"/>
        <item m="1" x="1388"/>
        <item m="1" x="1321"/>
        <item m="1" x="1265"/>
        <item m="1" x="1202"/>
        <item m="1" x="1153"/>
        <item m="1" x="1098"/>
        <item m="1" x="1054"/>
        <item m="1" x="1009"/>
        <item m="1" x="971"/>
        <item m="1" x="1568"/>
        <item m="1" x="1507"/>
        <item m="1" x="1382"/>
        <item m="1" x="1312"/>
        <item m="1" x="1256"/>
        <item m="1" x="1193"/>
        <item m="1" x="1143"/>
        <item m="1" x="1090"/>
        <item m="1" x="1046"/>
        <item m="1" x="182"/>
        <item m="1" x="123"/>
        <item m="1" x="1562"/>
        <item m="1" x="1501"/>
        <item m="1" x="1433"/>
        <item m="1" x="1373"/>
        <item m="1" x="1247"/>
        <item m="1" x="1184"/>
        <item m="1" x="1135"/>
        <item m="1" x="298"/>
        <item m="1" x="241"/>
        <item m="1" x="177"/>
        <item m="1" x="1625"/>
        <item m="1" x="1552"/>
        <item m="1" x="1491"/>
        <item m="1" x="1422"/>
        <item m="1" x="1362"/>
        <item m="1" x="1293"/>
        <item m="1" x="1235"/>
        <item m="1" x="414"/>
        <item m="1" x="360"/>
        <item m="1" x="291"/>
        <item m="1" x="166"/>
        <item m="1" x="1614"/>
        <item m="1" x="1540"/>
        <item m="1" x="1478"/>
        <item m="1" x="1412"/>
        <item m="1" x="1350"/>
        <item m="1" x="518"/>
        <item m="1" x="470"/>
        <item m="1" x="406"/>
        <item m="1" x="352"/>
        <item m="1" x="281"/>
        <item m="1" x="224"/>
        <item m="1" x="1602"/>
        <item m="1" x="155"/>
        <item m="1" x="1531"/>
        <item m="1" x="1468"/>
        <item m="1" x="610"/>
        <item m="1" x="566"/>
        <item m="1" x="510"/>
        <item m="1" x="462"/>
        <item m="1" x="396"/>
        <item m="1" x="340"/>
        <item m="1" x="270"/>
        <item m="1" x="210"/>
        <item m="1" x="1573"/>
        <item m="1" x="145"/>
        <item m="1" x="1592"/>
        <item m="1" x="689"/>
        <item m="1" x="651"/>
        <item m="1" x="603"/>
        <item m="1" x="558"/>
        <item m="1" x="500"/>
        <item m="1" x="450"/>
        <item m="1" x="385"/>
        <item m="1" x="327"/>
        <item m="1" x="261"/>
        <item m="1" x="202"/>
        <item m="1" x="757"/>
        <item m="1" x="723"/>
        <item m="1" x="682"/>
        <item m="1" x="643"/>
        <item m="1" x="594"/>
        <item m="1" x="549"/>
        <item m="1" x="492"/>
        <item m="1" x="441"/>
        <item m="1" x="379"/>
        <item m="1" x="319"/>
        <item m="1" x="1576"/>
        <item m="1" x="1513"/>
        <item m="1" x="1447"/>
        <item m="1" x="1389"/>
        <item m="1" x="1322"/>
        <item m="1" x="1266"/>
        <item m="1" x="1203"/>
        <item m="1" x="1154"/>
        <item m="1" x="1099"/>
        <item m="1" x="1055"/>
        <item m="1" x="190"/>
        <item m="1" x="129"/>
        <item m="1" x="1569"/>
        <item m="1" x="1508"/>
        <item m="1" x="1442"/>
        <item m="1" x="1383"/>
        <item m="1" x="1313"/>
        <item m="1" x="1257"/>
        <item m="1" x="1194"/>
        <item m="1" x="1144"/>
        <item m="1" x="307"/>
        <item m="1" x="247"/>
        <item m="1" x="183"/>
        <item m="1" x="124"/>
        <item m="1" x="1563"/>
        <item m="1" x="1502"/>
        <item m="1" x="1434"/>
        <item m="1" x="1374"/>
        <item m="1" x="1303"/>
        <item m="1" x="1248"/>
        <item m="1" x="422"/>
        <item m="1" x="366"/>
        <item m="1" x="299"/>
        <item m="1" x="242"/>
        <item m="1" x="178"/>
        <item m="1" x="1626"/>
        <item m="1" x="1553"/>
        <item m="1" x="1492"/>
        <item m="1" x="1423"/>
        <item m="1" x="1363"/>
        <item m="1" x="525"/>
        <item m="1" x="476"/>
        <item m="1" x="415"/>
        <item m="1" x="361"/>
        <item m="1" x="1133"/>
        <item m="1" x="292"/>
        <item m="1" x="235"/>
        <item m="1" x="167"/>
        <item m="1" x="1615"/>
        <item m="1" x="1541"/>
        <item m="1" x="187"/>
        <item m="1" x="1479"/>
        <item m="1" x="618"/>
        <item m="1" x="573"/>
        <item m="1" x="519"/>
        <item m="1" x="471"/>
        <item m="1" x="407"/>
        <item m="1" x="303"/>
        <item m="1" x="419"/>
        <item m="1" x="523"/>
        <item m="1" x="353"/>
        <item m="1" x="282"/>
        <item m="1" x="225"/>
        <item m="1" x="1603"/>
        <item m="1" x="156"/>
        <item m="1" x="697"/>
        <item m="1" x="658"/>
        <item m="1" x="611"/>
        <item m="1" x="567"/>
        <item m="1" x="511"/>
        <item m="1" x="463"/>
        <item m="1" x="397"/>
        <item m="1" x="341"/>
        <item m="1" x="271"/>
        <item m="1" x="211"/>
        <item m="1" x="764"/>
        <item m="1" x="730"/>
        <item m="1" x="690"/>
        <item m="1" x="652"/>
        <item m="1" x="604"/>
        <item m="1" x="559"/>
        <item m="1" x="501"/>
        <item m="1" x="451"/>
        <item m="1" x="328"/>
        <item m="1" x="386"/>
        <item m="1" x="795"/>
        <item m="1" x="823"/>
        <item m="1" x="758"/>
        <item m="1" x="683"/>
        <item m="1" x="724"/>
        <item m="1" x="644"/>
        <item m="1" x="595"/>
        <item m="1" x="550"/>
        <item m="1" x="493"/>
        <item m="1" x="442"/>
        <item m="1" x="882"/>
        <item m="1" x="852"/>
        <item m="1" x="818"/>
        <item m="1" x="790"/>
        <item m="1" x="751"/>
        <item m="1" x="717"/>
        <item m="1" x="676"/>
        <item m="1" x="636"/>
        <item m="1" x="588"/>
        <item m="1" x="541"/>
        <item m="1" x="1309"/>
        <item m="1" x="1253"/>
        <item m="1" x="1190"/>
        <item m="1" x="1139"/>
        <item m="1" x="1087"/>
        <item m="1" x="1042"/>
        <item m="1" x="999"/>
        <item m="1" x="961"/>
        <item m="1" x="926"/>
        <item m="1" x="892"/>
        <item m="1" x="1429"/>
        <item m="1" x="1369"/>
        <item m="1" x="1298"/>
        <item m="1" x="1240"/>
        <item m="1" x="1179"/>
        <item m="1" x="1129"/>
        <item m="1" x="1079"/>
        <item m="1" x="1033"/>
        <item m="1" x="994"/>
        <item m="1" x="955"/>
        <item m="1" x="1546"/>
        <item m="1" x="1484"/>
        <item m="1" x="1416"/>
        <item m="1" x="1287"/>
        <item m="1" x="1354"/>
        <item m="1" x="1229"/>
        <item m="1" x="1171"/>
        <item m="1" x="1121"/>
        <item m="1" x="1074"/>
        <item m="1" x="1028"/>
        <item m="1" x="160"/>
        <item m="1" x="1607"/>
        <item m="1" x="1534"/>
        <item m="1" x="1471"/>
        <item m="1" x="1406"/>
        <item m="1" x="1344"/>
        <item m="1" x="1281"/>
        <item m="1" x="1221"/>
        <item m="1" x="1168"/>
        <item m="1" x="274"/>
        <item m="1" x="147"/>
        <item m="1" x="214"/>
        <item m="1" x="1594"/>
        <item m="1" x="1524"/>
        <item m="1" x="1461"/>
        <item m="1" x="1399"/>
        <item m="1" x="1337"/>
        <item m="1" x="1277"/>
        <item m="1" x="1217"/>
        <item m="1" x="388"/>
        <item m="1" x="330"/>
        <item m="1" x="262"/>
        <item m="1" x="203"/>
        <item m="1" x="139"/>
        <item m="1" x="434"/>
        <item m="1" x="1585"/>
        <item m="1" x="1519"/>
        <item m="1" x="1396"/>
        <item m="1" x="1331"/>
        <item m="1" x="494"/>
        <item m="1" x="443"/>
        <item m="1" x="320"/>
        <item m="1" x="256"/>
        <item m="1" x="196"/>
        <item m="1" x="135"/>
        <item m="1" x="1580"/>
        <item m="1" x="1451"/>
        <item m="1" x="1516"/>
        <item m="1" x="589"/>
        <item m="1" x="542"/>
        <item m="1" x="435"/>
        <item m="1" x="375"/>
        <item m="1" x="315"/>
        <item m="1" x="253"/>
        <item m="1" x="193"/>
        <item m="1" x="132"/>
        <item m="1" x="1574"/>
        <item m="1" x="671"/>
        <item m="1" x="630"/>
        <item m="1" x="583"/>
        <item m="1" x="536"/>
        <item m="1" x="484"/>
        <item m="1" x="430"/>
        <item m="1" x="372"/>
        <item m="1" x="311"/>
        <item m="1" x="250"/>
        <item m="1" x="188"/>
        <item m="1" x="741"/>
        <item m="1" x="707"/>
        <item m="1" x="666"/>
        <item m="1" x="625"/>
        <item m="1" x="579"/>
        <item m="1" x="532"/>
        <item m="1" x="481"/>
        <item m="1" x="426"/>
        <item m="1" x="369"/>
        <item m="1" x="304"/>
        <item m="1" x="1559"/>
        <item m="1" x="1498"/>
        <item m="1" x="1430"/>
        <item m="1" x="1370"/>
        <item m="1" x="1299"/>
        <item m="1" x="1241"/>
        <item m="1" x="1233"/>
        <item m="1" x="1348"/>
        <item m="1" x="1465"/>
        <item m="1" x="1589"/>
        <item m="1" x="200"/>
        <item m="1" x="318"/>
        <item m="1" x="1141"/>
        <item m="1" x="1245"/>
        <item m="1" x="1360"/>
        <item m="1" x="1180"/>
        <item m="1" x="1130"/>
        <item m="1" x="1080"/>
        <item m="1" x="1034"/>
        <item m="1" x="173"/>
        <item m="1" x="1620"/>
        <item m="1" x="1547"/>
        <item m="1" x="1485"/>
        <item m="1" x="1417"/>
        <item m="1" x="1355"/>
        <item m="1" x="1288"/>
        <item m="1" x="1230"/>
        <item m="1" x="1172"/>
        <item m="1" x="1122"/>
        <item m="1" x="287"/>
        <item m="1" x="230"/>
        <item m="1" x="161"/>
        <item m="1" x="1608"/>
        <item m="1" x="1535"/>
        <item m="1" x="1472"/>
        <item m="1" x="1407"/>
        <item m="1" x="1345"/>
        <item m="1" x="1222"/>
        <item m="1" x="401"/>
        <item m="1" x="345"/>
        <item m="1" x="215"/>
        <item m="1" x="148"/>
        <item m="1" x="1595"/>
        <item m="1" x="1525"/>
        <item m="1" x="1462"/>
        <item m="1" x="504"/>
        <item m="1" x="1400"/>
        <item m="1" x="1338"/>
        <item m="1" x="454"/>
        <item m="1" x="389"/>
        <item m="1" x="331"/>
        <item m="1" x="263"/>
        <item m="1" x="140"/>
        <item m="1" x="1586"/>
        <item m="1" x="1520"/>
        <item m="1" x="1456"/>
        <item m="1" x="597"/>
        <item m="1" x="552"/>
        <item m="1" x="444"/>
        <item m="1" x="495"/>
        <item m="1" x="380"/>
        <item m="1" x="321"/>
        <item m="1" x="257"/>
        <item m="1" x="197"/>
        <item m="1" x="136"/>
        <item m="1" x="1581"/>
        <item m="1" x="677"/>
        <item m="1" x="637"/>
        <item m="1" x="590"/>
        <item m="1" x="543"/>
        <item m="1" x="488"/>
        <item m="1" x="436"/>
        <item m="1" x="376"/>
        <item m="1" x="316"/>
        <item m="1" x="254"/>
        <item m="1" x="194"/>
        <item m="1" x="746"/>
        <item m="1" x="712"/>
        <item m="1" x="672"/>
        <item m="1" x="631"/>
        <item m="1" x="584"/>
        <item m="1" x="537"/>
        <item m="1" x="485"/>
        <item m="1" x="431"/>
        <item m="1" x="373"/>
        <item m="1" x="312"/>
        <item m="1" x="807"/>
        <item m="1" x="777"/>
        <item m="1" x="742"/>
        <item m="1" x="708"/>
        <item m="1" x="667"/>
        <item m="1" x="626"/>
        <item m="1" x="580"/>
        <item m="1" x="533"/>
        <item m="1" x="482"/>
        <item m="1" x="207"/>
        <item m="1" x="427"/>
        <item m="1" x="865"/>
        <item m="1" x="835"/>
        <item m="1" x="803"/>
        <item m="1" x="772"/>
        <item m="1" x="703"/>
        <item m="1" x="737"/>
        <item m="1" x="663"/>
        <item m="1" x="622"/>
        <item m="1" x="577"/>
        <item m="1" x="529"/>
        <item m="1" x="297"/>
        <item m="1" x="240"/>
        <item m="1" x="174"/>
        <item m="1" x="1621"/>
        <item m="1" x="1548"/>
        <item m="1" x="325"/>
        <item m="1" x="1486"/>
        <item m="1" x="1418"/>
        <item m="1" x="1356"/>
        <item m="1" x="1231"/>
        <item m="1" x="1289"/>
        <item m="1" x="412"/>
        <item m="1" x="358"/>
        <item m="1" x="288"/>
        <item m="1" x="231"/>
        <item m="1" x="162"/>
        <item m="1" x="1609"/>
        <item m="1" x="1536"/>
        <item m="1" x="1473"/>
        <item m="1" x="1408"/>
        <item m="1" x="1346"/>
        <item m="1" x="515"/>
        <item m="1" x="467"/>
        <item m="1" x="440"/>
        <item m="1" x="402"/>
        <item m="1" x="346"/>
        <item m="1" x="275"/>
        <item m="1" x="216"/>
        <item m="1" x="149"/>
        <item m="1" x="1526"/>
        <item m="1" x="1596"/>
        <item m="1" x="1463"/>
        <item m="1" x="607"/>
        <item m="1" x="562"/>
        <item m="1" x="505"/>
        <item m="1" x="455"/>
        <item m="1" x="390"/>
        <item m="1" x="332"/>
        <item m="1" x="264"/>
        <item m="1" x="204"/>
        <item m="1" x="141"/>
        <item m="1" x="1587"/>
        <item m="1" x="685"/>
        <item m="1" x="646"/>
        <item m="1" x="598"/>
        <item m="1" x="553"/>
        <item m="1" x="496"/>
        <item m="1" x="445"/>
        <item m="1" x="381"/>
        <item m="1" x="322"/>
        <item m="1" x="258"/>
        <item m="1" x="198"/>
        <item m="1" x="752"/>
        <item m="1" x="718"/>
        <item m="1" x="678"/>
        <item m="1" x="638"/>
        <item m="1" x="591"/>
        <item m="1" x="544"/>
        <item m="1" x="489"/>
        <item m="1" x="437"/>
        <item m="1" x="377"/>
        <item m="1" x="317"/>
        <item m="1" x="813"/>
        <item m="1" x="784"/>
        <item m="1" x="747"/>
        <item m="1" x="713"/>
        <item m="1" x="673"/>
        <item m="1" x="632"/>
        <item m="1" x="585"/>
        <item m="1" x="538"/>
        <item m="1" x="486"/>
        <item m="1" x="432"/>
        <item m="1" x="871"/>
        <item m="1" x="841"/>
        <item m="1" x="1612"/>
        <item m="1" x="808"/>
        <item m="1" x="778"/>
        <item m="1" x="221"/>
        <item m="1" x="743"/>
        <item m="1" x="709"/>
        <item m="1" x="668"/>
        <item m="1" x="627"/>
        <item m="1" x="581"/>
        <item m="1" x="534"/>
        <item m="1" x="932"/>
        <item m="1" x="901"/>
        <item m="1" x="866"/>
        <item m="1" x="804"/>
        <item m="1" x="704"/>
        <item m="1" x="773"/>
        <item m="1" x="738"/>
        <item m="1" x="664"/>
        <item m="1" x="623"/>
        <item m="1" x="1002"/>
        <item m="1" x="963"/>
        <item m="1" x="927"/>
        <item m="1" x="894"/>
        <item m="1" x="862"/>
        <item m="1" x="831"/>
        <item m="1" x="801"/>
        <item m="1" x="770"/>
        <item m="1" x="736"/>
        <item m="1" x="702"/>
        <item m="1" x="475"/>
        <item m="1" x="524"/>
        <item m="1" x="413"/>
        <item m="1" x="359"/>
        <item m="1" x="289"/>
        <item m="1" x="232"/>
        <item m="1" x="163"/>
        <item m="1" x="1537"/>
        <item m="1" x="1474"/>
        <item m="1" x="616"/>
        <item m="1" x="571"/>
        <item m="1" x="516"/>
        <item m="1" x="468"/>
        <item m="1" x="403"/>
        <item m="1" x="347"/>
        <item m="1" x="276"/>
        <item m="1" x="217"/>
        <item m="1" x="150"/>
        <item m="1" x="1597"/>
        <item m="1" x="693"/>
        <item m="1" x="655"/>
        <item m="1" x="563"/>
        <item m="1" x="506"/>
        <item m="1" x="456"/>
        <item m="1" x="391"/>
        <item m="1" x="333"/>
        <item m="1" x="265"/>
        <item m="1" x="205"/>
        <item m="1" x="760"/>
        <item m="1" x="337"/>
        <item m="1" x="726"/>
        <item m="1" x="686"/>
        <item m="1" x="647"/>
        <item m="1" x="599"/>
        <item m="1" x="554"/>
        <item m="1" x="497"/>
        <item m="1" x="446"/>
        <item m="1" x="382"/>
        <item m="1" x="323"/>
        <item m="1" x="819"/>
        <item m="1" x="791"/>
        <item m="1" x="753"/>
        <item m="1" x="719"/>
        <item m="1" x="679"/>
        <item m="1" x="639"/>
        <item m="1" x="592"/>
        <item m="1" x="545"/>
        <item m="1" x="490"/>
        <item m="1" x="438"/>
        <item m="1" x="877"/>
        <item m="1" x="847"/>
        <item m="1" x="814"/>
        <item m="1" x="785"/>
        <item m="1" x="748"/>
        <item m="1" x="714"/>
        <item m="1" x="674"/>
        <item m="1" x="633"/>
        <item m="1" x="586"/>
        <item m="1" x="539"/>
        <item m="1" x="939"/>
        <item m="1" x="908"/>
        <item m="1" x="872"/>
        <item m="1" x="809"/>
        <item m="1" x="779"/>
        <item m="1" x="744"/>
        <item m="1" x="710"/>
        <item m="1" x="669"/>
        <item m="1" x="628"/>
        <item m="1" x="1010"/>
        <item m="1" x="972"/>
        <item m="1" x="933"/>
        <item m="1" x="902"/>
        <item m="1" x="867"/>
        <item m="1" x="836"/>
        <item m="1" x="805"/>
        <item m="1" x="774"/>
        <item m="1" x="739"/>
        <item m="1" x="705"/>
        <item m="1" x="1091"/>
        <item m="1" x="1047"/>
        <item m="1" x="1003"/>
        <item m="1" x="964"/>
        <item m="1" x="928"/>
        <item m="1" x="895"/>
        <item m="1" x="863"/>
        <item m="1" x="832"/>
        <item m="1" x="802"/>
        <item m="1" x="771"/>
        <item m="1" x="1185"/>
        <item m="1" x="1038"/>
        <item m="1" x="996"/>
        <item m="1" x="958"/>
        <item m="1" x="924"/>
        <item m="1" x="890"/>
        <item m="1" x="861"/>
        <item m="1" x="830"/>
        <item m="1" x="700"/>
        <item m="1" x="661"/>
        <item m="1" x="617"/>
        <item m="1" x="572"/>
        <item m="1" x="517"/>
        <item m="1" x="469"/>
        <item m="1" x="404"/>
        <item m="1" x="348"/>
        <item m="1" x="277"/>
        <item m="1" x="218"/>
        <item m="1" x="767"/>
        <item m="1" x="733"/>
        <item m="1" x="694"/>
        <item m="1" x="656"/>
        <item m="1" x="608"/>
        <item m="1" x="564"/>
        <item m="1" x="507"/>
        <item m="1" x="457"/>
        <item m="1" x="392"/>
        <item m="1" x="548"/>
        <item m="1" x="334"/>
        <item m="1" x="825"/>
        <item m="1" x="761"/>
        <item m="1" x="615"/>
        <item m="1" x="727"/>
        <item m="1" x="648"/>
        <item m="1" x="600"/>
        <item m="1" x="555"/>
        <item m="1" x="498"/>
        <item m="1" x="447"/>
        <item m="1" x="883"/>
        <item m="1" x="853"/>
        <item m="1" x="792"/>
        <item m="1" x="754"/>
        <item m="1" x="720"/>
        <item m="1" x="680"/>
        <item m="1" x="640"/>
        <item m="1" x="593"/>
        <item m="1" x="546"/>
        <item m="1" x="945"/>
        <item m="1" x="914"/>
        <item m="1" x="878"/>
        <item m="1" x="848"/>
        <item m="1" x="815"/>
        <item m="1" x="786"/>
        <item m="1" x="749"/>
        <item m="1" x="715"/>
        <item m="1" x="675"/>
        <item m="1" x="634"/>
        <item m="1" x="1017"/>
        <item m="1" x="980"/>
        <item m="1" x="940"/>
        <item m="1" x="909"/>
        <item m="1" x="350"/>
        <item m="1" x="873"/>
        <item m="1" x="842"/>
        <item m="1" x="810"/>
        <item m="1" x="780"/>
        <item m="1" x="745"/>
        <item m="1" x="1100"/>
        <item m="1" x="1056"/>
        <item m="1" x="1011"/>
        <item m="1" x="460"/>
        <item m="1" x="973"/>
        <item m="1" x="934"/>
        <item m="1" x="903"/>
        <item m="1" x="868"/>
        <item m="1" x="837"/>
        <item m="1" x="806"/>
        <item m="1" x="775"/>
        <item m="1" x="1195"/>
        <item m="1" x="1145"/>
        <item m="1" x="1092"/>
        <item m="1" x="1048"/>
        <item m="1" x="1004"/>
        <item m="1" x="965"/>
        <item m="1" x="929"/>
        <item m="1" x="896"/>
        <item m="1" x="864"/>
        <item m="1" x="833"/>
        <item m="1" x="1304"/>
        <item m="1" x="1249"/>
        <item m="1" x="1186"/>
        <item m="1" x="1136"/>
        <item m="1" x="1084"/>
        <item m="1" x="1039"/>
        <item m="1" x="997"/>
        <item m="1" x="959"/>
        <item m="1" x="925"/>
        <item m="1" x="891"/>
        <item m="1" x="1424"/>
        <item m="1" x="1364"/>
        <item m="1" x="1294"/>
        <item m="1" x="1236"/>
        <item m="1" x="1176"/>
        <item m="1" x="1077"/>
        <item m="1" x="1126"/>
        <item m="1" x="1031"/>
        <item m="1" x="993"/>
        <item m="1" x="954"/>
        <item m="1" x="829"/>
        <item m="1" x="800"/>
        <item m="1" x="768"/>
        <item m="1" x="734"/>
        <item m="1" x="695"/>
        <item m="1" x="657"/>
        <item m="1" x="609"/>
        <item m="1" x="565"/>
        <item m="1" x="508"/>
        <item m="1" x="458"/>
        <item m="1" x="888"/>
        <item m="1" x="859"/>
        <item m="1" x="826"/>
        <item m="1" x="797"/>
        <item m="1" x="762"/>
        <item m="1" x="728"/>
        <item m="1" x="687"/>
        <item m="1" x="649"/>
        <item m="1" x="601"/>
        <item m="1" x="556"/>
        <item m="1" x="950"/>
        <item m="1" x="919"/>
        <item m="1" x="884"/>
        <item m="1" x="854"/>
        <item m="1" x="820"/>
        <item m="1" x="793"/>
        <item m="1" x="755"/>
        <item m="1" x="721"/>
        <item m="1" x="681"/>
        <item m="1" x="641"/>
        <item m="1" x="1023"/>
        <item m="1" x="986"/>
        <item m="1" x="946"/>
        <item m="1" x="915"/>
        <item m="1" x="879"/>
        <item m="1" x="849"/>
        <item m="1" x="816"/>
        <item m="1" x="787"/>
        <item m="1" x="750"/>
        <item m="1" x="716"/>
        <item m="1" x="1107"/>
        <item m="1" x="642"/>
        <item m="1" x="1063"/>
        <item m="1" x="1018"/>
        <item m="1" x="981"/>
        <item m="1" x="941"/>
        <item m="1" x="910"/>
        <item m="1" x="874"/>
        <item m="1" x="843"/>
        <item m="1" x="811"/>
        <item m="1" x="781"/>
        <item m="1" x="1204"/>
        <item m="1" x="1155"/>
        <item m="1" x="1101"/>
        <item m="1" x="1057"/>
        <item m="1" x="974"/>
        <item m="1" x="1012"/>
        <item m="1" x="935"/>
        <item m="1" x="904"/>
        <item m="1" x="869"/>
        <item m="1" x="838"/>
        <item m="1" x="1314"/>
        <item m="1" x="1258"/>
        <item m="1" x="1196"/>
        <item m="1" x="1146"/>
        <item m="1" x="1005"/>
        <item m="1" x="966"/>
        <item m="1" x="930"/>
        <item m="1" x="897"/>
        <item m="1" x="1435"/>
        <item m="1" x="1375"/>
        <item m="1" x="1305"/>
        <item m="1" x="1187"/>
        <item m="1" x="1085"/>
        <item m="1" x="1040"/>
        <item m="1" x="998"/>
        <item m="1" x="960"/>
        <item m="1" x="1554"/>
        <item m="1" x="1493"/>
        <item m="1" x="1425"/>
        <item m="1" x="1365"/>
        <item m="1" x="1295"/>
        <item m="1" x="1237"/>
        <item m="1" x="1177"/>
        <item m="1" x="1127"/>
        <item m="1" x="1078"/>
        <item m="1" x="1032"/>
        <item m="1" x="1616"/>
        <item m="1" x="168"/>
        <item m="1" x="1542"/>
        <item m="1" x="1480"/>
        <item m="1" x="1413"/>
        <item m="1" x="1351"/>
        <item m="1" x="1285"/>
        <item m="1" x="1227"/>
        <item m="1" x="1170"/>
        <item m="1" x="1120"/>
        <item m="1" x="953"/>
        <item m="1" x="1335"/>
        <item m="1" x="839"/>
        <item m="1" x="899"/>
        <item m="1" x="922"/>
        <item m="1" x="889"/>
        <item m="1" x="860"/>
        <item m="1" x="827"/>
        <item m="1" x="798"/>
        <item m="1" x="763"/>
        <item m="1" x="729"/>
        <item m="1" x="688"/>
        <item m="1" x="650"/>
        <item m="1" x="1026"/>
        <item m="1" x="990"/>
        <item m="1" x="951"/>
        <item m="1" x="920"/>
        <item m="1" x="885"/>
        <item m="1" x="1093"/>
        <item m="1" x="855"/>
        <item m="1" x="821"/>
        <item m="1" x="756"/>
        <item m="1" x="722"/>
        <item m="1" x="1113"/>
        <item m="1" x="1069"/>
        <item m="1" x="987"/>
        <item m="1" x="947"/>
        <item m="1" x="916"/>
        <item m="1" x="880"/>
        <item m="1" x="850"/>
        <item m="1" x="817"/>
        <item m="1" x="788"/>
        <item m="1" x="1211"/>
        <item m="1" x="1161"/>
        <item m="1" x="1108"/>
        <item m="1" x="1064"/>
        <item m="1" x="1019"/>
        <item m="1" x="789"/>
        <item m="1" x="982"/>
        <item m="1" x="942"/>
        <item m="1" x="911"/>
        <item m="1" x="845"/>
        <item m="1" x="875"/>
        <item m="1" x="844"/>
        <item m="1" x="1323"/>
        <item m="1" x="1267"/>
        <item m="1" x="1205"/>
        <item m="1" x="1156"/>
        <item m="1" x="1102"/>
        <item m="1" x="1058"/>
        <item m="1" x="1013"/>
        <item m="1" x="975"/>
        <item m="1" x="936"/>
        <item m="1" x="905"/>
        <item m="1" x="1443"/>
        <item m="1" x="1259"/>
        <item m="1" x="1384"/>
        <item m="1" x="1315"/>
        <item m="1" x="1197"/>
        <item m="1" x="1147"/>
        <item m="1" x="1094"/>
        <item m="1" x="1049"/>
        <item m="1" x="1006"/>
        <item m="1" x="1455"/>
        <item m="1" x="1579"/>
        <item m="1" x="967"/>
        <item m="1" x="192"/>
        <item m="1" x="1564"/>
        <item m="1" x="1503"/>
        <item m="1" x="1436"/>
        <item m="1" x="1376"/>
        <item m="1" x="1306"/>
        <item m="1" x="1250"/>
        <item m="1" x="1188"/>
        <item m="1" x="1137"/>
        <item m="1" x="1086"/>
        <item m="1" x="1041"/>
        <item m="1" x="1627"/>
        <item m="1" x="1555"/>
        <item m="1" x="1494"/>
        <item m="1" x="1426"/>
        <item m="1" x="1366"/>
        <item m="1" x="1296"/>
        <item m="1" x="1238"/>
        <item m="1" x="1178"/>
        <item m="1" x="1128"/>
        <item m="1" x="293"/>
        <item m="1" x="236"/>
        <item m="1" x="169"/>
        <item m="1" x="1617"/>
        <item m="1" x="1543"/>
        <item m="1" x="1481"/>
        <item m="1" x="1414"/>
        <item m="1" x="1352"/>
        <item m="1" x="1286"/>
        <item m="1" x="1228"/>
        <item m="1" x="408"/>
        <item m="1" x="354"/>
        <item m="1" x="283"/>
        <item m="1" x="226"/>
        <item m="1" x="157"/>
        <item m="1" x="1604"/>
        <item m="1" x="1532"/>
        <item m="1" x="1469"/>
        <item m="1" x="1405"/>
        <item m="1" x="1343"/>
        <item m="1" x="969"/>
        <item m="1" x="1116"/>
        <item m="1" x="1044"/>
        <item m="1" x="1072"/>
        <item m="1" x="1027"/>
        <item m="1" x="991"/>
        <item m="1" x="952"/>
        <item m="1" x="921"/>
        <item m="1" x="886"/>
        <item m="1" x="856"/>
        <item m="1" x="822"/>
        <item m="1" x="794"/>
        <item m="1" x="1215"/>
        <item m="1" x="1165"/>
        <item m="1" x="1114"/>
        <item m="1" x="1070"/>
        <item m="1" x="1024"/>
        <item m="1" x="988"/>
        <item m="1" x="948"/>
        <item m="1" x="917"/>
        <item m="1" x="881"/>
        <item m="1" x="851"/>
        <item m="1" x="1328"/>
        <item m="1" x="1272"/>
        <item m="1" x="1212"/>
        <item m="1" x="1162"/>
        <item m="1" x="1109"/>
        <item m="1" x="1065"/>
        <item m="1" x="1020"/>
        <item m="1" x="983"/>
        <item m="1" x="943"/>
        <item m="1" x="912"/>
        <item m="1" x="1448"/>
        <item m="1" x="1390"/>
        <item m="1" x="1324"/>
        <item m="1" x="1268"/>
        <item m="1" x="1206"/>
        <item m="1" x="1157"/>
        <item m="1" x="1103"/>
        <item m="1" x="1059"/>
        <item m="1" x="1014"/>
        <item m="1" x="976"/>
        <item m="1" x="1570"/>
        <item m="1" x="1509"/>
        <item m="1" x="1444"/>
        <item m="1" x="1385"/>
        <item m="1" x="1316"/>
        <item m="1" x="1260"/>
        <item m="1" x="1198"/>
        <item m="1" x="977"/>
        <item m="1" x="1148"/>
        <item m="1" x="1095"/>
        <item m="1" x="1050"/>
        <item m="1" x="184"/>
        <item m="1" x="125"/>
        <item m="1" x="1565"/>
        <item m="1" x="1504"/>
        <item m="1" x="1437"/>
        <item m="1" x="1377"/>
        <item m="1" x="1307"/>
        <item m="1" x="310"/>
        <item m="1" x="1052"/>
        <item m="1" x="425"/>
        <item m="1" x="1189"/>
        <item m="1" x="1251"/>
        <item m="1" x="1138"/>
        <item m="1" x="300"/>
        <item m="1" x="243"/>
        <item m="1" x="179"/>
        <item m="1" x="1628"/>
        <item m="1" x="1556"/>
        <item m="1" x="1495"/>
        <item m="1" x="1427"/>
        <item m="1" x="1367"/>
        <item m="1" x="1239"/>
        <item m="1" x="1297"/>
        <item m="1" x="416"/>
        <item m="1" x="362"/>
        <item m="1" x="294"/>
        <item m="1" x="237"/>
        <item m="1" x="1618"/>
        <item m="1" x="170"/>
        <item m="1" x="1544"/>
        <item m="1" x="1482"/>
        <item m="1" x="1415"/>
        <item m="1" x="1353"/>
        <item m="1" x="1244"/>
        <item m="1" x="520"/>
        <item m="1" x="472"/>
        <item m="1" x="409"/>
        <item m="1" x="355"/>
        <item m="1" x="284"/>
        <item m="1" x="227"/>
        <item m="1" x="158"/>
        <item m="1" x="1605"/>
        <item m="1" x="1533"/>
        <item m="1" x="1470"/>
        <item m="1" x="612"/>
        <item m="1" x="568"/>
        <item m="1" x="512"/>
        <item m="1" x="464"/>
        <item m="1" x="398"/>
        <item m="1" x="342"/>
        <item m="1" x="272"/>
        <item m="1" x="212"/>
        <item m="1" x="146"/>
        <item m="1" x="1593"/>
        <item m="1" x="1334"/>
        <item m="1" x="1276"/>
        <item m="1" x="1216"/>
        <item m="1" x="1166"/>
        <item m="1" x="1115"/>
        <item m="1" x="1071"/>
        <item m="1" x="1025"/>
        <item m="1" x="989"/>
        <item m="1" x="949"/>
        <item m="1" x="918"/>
        <item m="1" x="1453"/>
        <item m="1" x="1394"/>
        <item m="1" x="1329"/>
        <item m="1" x="1273"/>
        <item m="1" x="1213"/>
        <item m="1" x="1163"/>
        <item m="1" x="1110"/>
        <item m="1" x="1066"/>
        <item m="1" x="1021"/>
        <item m="1" x="984"/>
        <item m="1" x="1577"/>
        <item m="1" x="1514"/>
        <item m="1" x="1449"/>
        <item m="1" x="1325"/>
        <item m="1" x="1391"/>
        <item m="1" x="1269"/>
        <item m="1" x="1207"/>
        <item m="1" x="1104"/>
        <item m="1" x="1060"/>
        <item m="1" x="191"/>
        <item m="1" x="130"/>
        <item m="1" x="1571"/>
        <item m="1" x="1510"/>
        <item m="1" x="1445"/>
        <item m="1" x="1386"/>
        <item m="1" x="1317"/>
        <item m="1" x="1261"/>
        <item m="1" x="1149"/>
        <item m="1" x="1199"/>
        <item m="1" x="308"/>
        <item m="1" x="248"/>
        <item m="1" x="185"/>
        <item m="1" x="126"/>
        <item m="1" x="1566"/>
        <item m="1" x="1505"/>
        <item m="1" x="1438"/>
        <item m="1" x="1378"/>
        <item m="1" x="1308"/>
        <item m="1" x="1252"/>
        <item m="1" x="423"/>
        <item m="1" x="367"/>
        <item m="1" x="301"/>
        <item m="1" x="244"/>
        <item m="1" x="180"/>
        <item m="1" x="1629"/>
        <item m="1" x="1557"/>
        <item m="1" x="1496"/>
        <item m="1" x="1428"/>
        <item m="1" x="1368"/>
        <item m="1" x="526"/>
        <item m="1" x="477"/>
        <item m="1" x="417"/>
        <item m="1" x="363"/>
        <item m="1" x="295"/>
        <item m="1" x="238"/>
        <item m="1" x="171"/>
        <item m="1" x="1545"/>
        <item m="1" x="1483"/>
        <item m="1" x="619"/>
        <item m="1" x="574"/>
        <item m="1" x="521"/>
        <item m="1" x="473"/>
        <item m="1" x="410"/>
        <item m="1" x="356"/>
        <item m="1" x="285"/>
        <item m="1" x="228"/>
        <item m="1" x="159"/>
        <item m="1" x="1606"/>
        <item m="1" x="698"/>
        <item m="1" x="659"/>
        <item m="1" x="613"/>
        <item m="1" x="569"/>
        <item m="1" x="513"/>
        <item m="1" x="465"/>
        <item m="1" x="399"/>
        <item m="1" x="343"/>
        <item m="1" x="273"/>
        <item m="1" x="213"/>
        <item m="1" x="765"/>
        <item m="1" x="731"/>
        <item m="1" x="691"/>
        <item m="1" x="653"/>
        <item m="1" x="857"/>
        <item m="1" x="605"/>
        <item m="1" x="560"/>
        <item m="1" x="502"/>
        <item m="1" x="452"/>
        <item m="1" x="387"/>
        <item m="1" x="329"/>
        <item m="1" x="1583"/>
        <item m="1" x="1518"/>
        <item m="1" x="1454"/>
        <item m="1" x="1395"/>
        <item m="1" x="1151"/>
        <item m="1" x="1330"/>
        <item m="1" x="1274"/>
        <item m="1" x="1214"/>
        <item m="1" x="1164"/>
        <item m="1" x="1111"/>
        <item m="1" x="1067"/>
        <item m="1" x="134"/>
        <item m="1" x="1578"/>
        <item m="1" x="1515"/>
        <item m="1" x="1450"/>
        <item m="1" x="1392"/>
        <item m="1" x="1326"/>
        <item m="1" x="1270"/>
        <item m="1" x="1208"/>
        <item m="1" x="1158"/>
        <item m="1" x="314"/>
        <item m="1" x="252"/>
        <item m="1" x="131"/>
        <item m="1" x="1572"/>
        <item m="1" x="1511"/>
        <item m="1" x="1446"/>
        <item m="1" x="1387"/>
        <item m="1" x="1318"/>
        <item m="1" x="1262"/>
        <item m="1" x="429"/>
        <item m="1" x="371"/>
        <item m="1" x="309"/>
        <item m="1" x="249"/>
        <item m="1" x="186"/>
        <item m="1" x="127"/>
        <item m="1" x="1567"/>
        <item m="1" x="1506"/>
        <item m="1" x="1439"/>
        <item m="1" x="1379"/>
        <item m="1" x="531"/>
        <item m="1" x="480"/>
        <item m="1" x="424"/>
        <item m="1" x="368"/>
        <item m="1" x="302"/>
        <item m="1" x="245"/>
        <item m="1" x="181"/>
        <item m="1" x="1630"/>
        <item m="1" x="1558"/>
        <item m="1" x="1497"/>
        <item m="1" x="621"/>
        <item m="1" x="576"/>
        <item m="1" x="527"/>
        <item m="1" x="478"/>
        <item m="1" x="418"/>
        <item m="1" x="364"/>
        <item m="1" x="296"/>
        <item m="1" x="239"/>
        <item m="1" x="172"/>
        <item m="1" x="1619"/>
        <item m="1" x="701"/>
        <item m="1" x="662"/>
        <item m="1" x="620"/>
        <item m="1" x="575"/>
        <item m="1" x="522"/>
        <item m="1" x="474"/>
        <item m="1" x="411"/>
        <item m="1" x="357"/>
        <item m="1" x="286"/>
        <item m="1" x="229"/>
        <item m="1" x="769"/>
        <item m="1" x="699"/>
        <item m="1" x="735"/>
        <item m="1" x="834"/>
        <item m="1" x="893"/>
        <item m="1" x="957"/>
        <item m="1" x="1030"/>
        <item m="1" x="660"/>
        <item m="1" x="614"/>
        <item m="1" x="570"/>
        <item m="1" x="514"/>
        <item m="1" x="466"/>
        <item m="1" x="400"/>
        <item m="1" x="344"/>
        <item m="1" x="828"/>
        <item m="1" x="799"/>
        <item m="1" x="766"/>
        <item m="1" x="732"/>
        <item m="1" x="692"/>
        <item m="1" x="654"/>
        <item m="1" x="1118"/>
        <item m="1" x="528"/>
        <item m="1" x="606"/>
        <item m="1" x="561"/>
        <item m="1" x="503"/>
        <item m="1" x="453"/>
        <item m="1" x="887"/>
        <item m="1" x="1219"/>
        <item m="1" x="858"/>
        <item m="1" x="824"/>
        <item m="1" x="796"/>
        <item m="1" x="759"/>
        <item m="1" x="725"/>
        <item m="1" x="684"/>
        <item m="1" x="645"/>
        <item m="1" x="596"/>
        <item m="1" x="551"/>
        <item m="1" x="1319"/>
        <item m="1" x="1263"/>
        <item m="1" x="1200"/>
        <item m="1" x="1150"/>
        <item m="1" x="1096"/>
        <item m="1" x="1051"/>
        <item m="1" x="1007"/>
        <item m="1" x="968"/>
        <item m="1" x="898"/>
        <item m="1" x="1440"/>
        <item m="1" x="1380"/>
        <item m="1" x="1310"/>
        <item m="1" x="1254"/>
        <item m="1" x="1191"/>
        <item m="1" x="1140"/>
        <item m="1" x="1088"/>
        <item m="1" x="1043"/>
        <item m="1" x="1000"/>
        <item m="1" x="1560"/>
        <item m="1" x="1499"/>
        <item m="1" x="1431"/>
        <item m="1" x="1371"/>
        <item m="1" x="1300"/>
        <item m="1" x="1242"/>
        <item m="1" x="1181"/>
        <item m="1" x="782"/>
        <item m="1" x="1131"/>
        <item m="1" x="1081"/>
        <item m="1" x="1035"/>
        <item m="1" x="175"/>
        <item m="1" x="1622"/>
        <item m="1" x="1549"/>
        <item m="1" x="1487"/>
        <item m="1" x="1357"/>
        <item m="1" x="1397"/>
        <item m="1" x="1301"/>
        <item m="1" x="1243"/>
        <item m="1" x="1182"/>
        <item m="1" x="1132"/>
        <item m="1" x="1082"/>
        <item m="1" x="1036"/>
        <item m="1" x="995"/>
        <item m="1" x="956"/>
        <item m="1" x="923"/>
        <item m="1" x="1488"/>
        <item m="1" x="1419"/>
        <item m="1" x="1358"/>
        <item m="1" x="1290"/>
        <item m="1" x="1173"/>
        <item m="1" x="1123"/>
        <item m="1" x="1075"/>
        <item m="1" x="1029"/>
        <item m="1" x="992"/>
        <item m="1" x="1610"/>
        <item m="1" x="1538"/>
        <item m="1" x="1475"/>
        <item m="1" x="1409"/>
        <item m="1" x="1347"/>
        <item m="1" x="1282"/>
        <item m="1" x="1223"/>
        <item m="1" x="1117"/>
        <item m="1" x="1073"/>
        <item m="1" x="219"/>
        <item m="1" x="151"/>
        <item m="1" x="1598"/>
        <item m="1" x="1527"/>
        <item m="1" x="1464"/>
        <item m="1" x="1278"/>
        <item m="1" x="1401"/>
        <item m="1" x="1339"/>
        <item m="1" x="1218"/>
        <item m="1" x="1167"/>
        <item m="1" x="335"/>
        <item m="1" x="266"/>
        <item m="1" x="206"/>
        <item m="1" x="142"/>
        <item m="1" x="1588"/>
        <item m="1" x="1521"/>
        <item m="1" x="1457"/>
        <item m="1" x="1332"/>
        <item m="1" x="1275"/>
        <item m="1" x="448"/>
        <item m="1" x="383"/>
        <item m="1" x="324"/>
        <item m="1" x="259"/>
        <item m="1" x="199"/>
        <item m="1" x="137"/>
        <item m="1" x="1582"/>
        <item m="1" x="1517"/>
        <item m="1" x="1333"/>
        <item m="1" x="696"/>
        <item m="1" x="1452"/>
        <item m="1" x="1393"/>
        <item m="1" x="547"/>
        <item m="1" x="491"/>
        <item m="1" x="439"/>
        <item m="1" x="378"/>
        <item m="1" x="255"/>
        <item m="1" x="195"/>
        <item m="1" x="133"/>
        <item m="1" x="1575"/>
        <item m="1" x="1512"/>
        <item m="1" x="635"/>
        <item m="1" x="587"/>
        <item m="1" x="540"/>
        <item m="1" x="487"/>
        <item m="1" x="433"/>
        <item m="1" x="374"/>
        <item m="1" x="313"/>
        <item m="1" x="251"/>
        <item m="1" x="189"/>
        <item m="1" x="128"/>
        <item m="1" x="711"/>
        <item m="1" x="670"/>
        <item m="1" x="629"/>
        <item m="1" x="582"/>
        <item m="1" x="535"/>
        <item m="1" x="483"/>
        <item m="1" x="428"/>
        <item m="1" x="370"/>
        <item m="1" x="305"/>
        <item m="1" x="246"/>
        <item m="1" x="776"/>
        <item m="1" x="740"/>
        <item m="1" x="706"/>
        <item m="1" x="665"/>
        <item m="1" x="624"/>
        <item m="1" x="578"/>
        <item m="1" x="530"/>
        <item m="1" x="479"/>
        <item m="1" x="420"/>
        <item m="1" x="365"/>
        <item m="1" x="1623"/>
        <item m="1" x="1550"/>
        <item m="1" x="1489"/>
        <item m="1" x="1420"/>
        <item m="1" x="1359"/>
        <item m="1" x="1291"/>
        <item m="1" x="1232"/>
        <item m="1" x="1174"/>
        <item m="1" x="1124"/>
        <item m="1" x="1076"/>
        <item m="1" x="233"/>
        <item m="1" x="164"/>
        <item m="1" x="1611"/>
        <item m="1" x="306"/>
        <item m="1" x="1476"/>
        <item m="1" x="1410"/>
        <item m="1" x="421"/>
        <item m="1" x="1283"/>
        <item m="1" x="1224"/>
        <item m="1" x="1169"/>
        <item m="1" x="349"/>
        <item m="1" x="278"/>
        <item m="1" x="220"/>
        <item m="1" x="152"/>
        <item m="1" x="1599"/>
        <item m="1" x="1528"/>
        <item m="1" x="1402"/>
        <item m="1" x="1340"/>
        <item m="1" x="1279"/>
        <item m="1" x="459"/>
        <item m="1" x="393"/>
        <item m="1" x="336"/>
        <item m="1" x="26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06">
        <item m="1" x="1"/>
        <item m="1" x="84"/>
        <item m="1" x="171"/>
        <item m="1" x="56"/>
        <item m="1" x="141"/>
        <item m="1" x="25"/>
        <item m="1" x="110"/>
        <item m="1" x="196"/>
        <item m="1" x="75"/>
        <item m="1" x="162"/>
        <item m="1" x="47"/>
        <item m="1" x="17"/>
        <item m="1" x="100"/>
        <item m="1" x="187"/>
        <item m="1" x="67"/>
        <item m="1" x="153"/>
        <item m="1" x="41"/>
        <item m="1" x="7"/>
        <item m="1" x="90"/>
        <item m="1" x="177"/>
        <item m="1" x="61"/>
        <item m="1" x="145"/>
        <item m="1" x="32"/>
        <item m="1" x="202"/>
        <item m="1" x="80"/>
        <item m="1" x="167"/>
        <item m="1" x="52"/>
        <item m="1" x="185"/>
        <item m="1" x="39"/>
        <item m="1" x="123"/>
        <item m="1" x="5"/>
        <item m="1" x="88"/>
        <item m="1" x="175"/>
        <item m="1" x="59"/>
        <item m="1" x="29"/>
        <item m="1" x="113"/>
        <item m="1" x="199"/>
        <item m="1" x="78"/>
        <item m="1" x="49"/>
        <item m="1" x="20"/>
        <item m="1" x="103"/>
        <item m="1" x="189"/>
        <item m="1" x="70"/>
        <item m="1" x="157"/>
        <item m="1" x="43"/>
        <item m="1" x="127"/>
        <item m="1" x="11"/>
        <item m="1" x="94"/>
        <item m="1" x="181"/>
        <item m="1" x="63"/>
        <item m="1" x="148"/>
        <item m="1" x="35"/>
        <item m="1" x="119"/>
        <item m="1" x="163"/>
        <item m="1" x="48"/>
        <item m="1" x="134"/>
        <item m="1" x="154"/>
        <item m="1" x="42"/>
        <item m="1" x="125"/>
        <item m="1" x="8"/>
        <item m="1" x="91"/>
        <item m="1" x="178"/>
        <item m="1" x="146"/>
        <item m="1" x="33"/>
        <item m="1" x="116"/>
        <item m="1" x="203"/>
        <item m="1" x="81"/>
        <item m="1" x="168"/>
        <item m="1" x="53"/>
        <item m="1" x="139"/>
        <item m="1" x="23"/>
        <item m="1" x="107"/>
        <item m="1" x="193"/>
        <item m="1" x="73"/>
        <item m="1" x="160"/>
        <item m="1" x="131"/>
        <item m="1" x="15"/>
        <item m="1" x="144"/>
        <item m="1" x="30"/>
        <item m="1" x="114"/>
        <item m="1" x="200"/>
        <item m="1" x="166"/>
        <item m="1" x="50"/>
        <item m="1" x="137"/>
        <item m="1" x="21"/>
        <item m="1" x="104"/>
        <item m="1" x="190"/>
        <item m="1" x="158"/>
        <item m="1" x="44"/>
        <item m="1" x="128"/>
        <item m="1" x="12"/>
        <item m="1" x="95"/>
        <item m="1" x="182"/>
        <item m="1" x="64"/>
        <item m="1" x="149"/>
        <item m="1" x="36"/>
        <item m="1" x="120"/>
        <item m="1" x="2"/>
        <item m="1" x="85"/>
        <item m="1" x="172"/>
        <item m="1" x="142"/>
        <item m="1" x="26"/>
        <item m="1" x="111"/>
        <item m="1" x="197"/>
        <item m="1" x="76"/>
        <item m="1" x="164"/>
        <item m="1" x="135"/>
        <item m="1" x="18"/>
        <item m="1" x="101"/>
        <item m="1" x="188"/>
        <item m="1" x="68"/>
        <item m="1" x="155"/>
        <item m="1" x="126"/>
        <item m="1" x="9"/>
        <item m="1" x="92"/>
        <item m="1" x="179"/>
        <item m="1" x="147"/>
        <item m="1" x="117"/>
        <item m="1" x="204"/>
        <item m="1" x="82"/>
        <item m="1" x="169"/>
        <item m="1" x="54"/>
        <item m="1" x="140"/>
        <item m="1" x="108"/>
        <item m="1" x="194"/>
        <item m="1" x="161"/>
        <item m="1" x="46"/>
        <item m="1" x="132"/>
        <item m="1" x="98"/>
        <item x="0"/>
        <item m="1" x="31"/>
        <item m="1" x="115"/>
        <item m="1" x="201"/>
        <item m="1" x="79"/>
        <item m="1" x="51"/>
        <item m="1" x="138"/>
        <item m="1" x="22"/>
        <item m="1" x="105"/>
        <item m="1" x="191"/>
        <item m="1" x="71"/>
        <item m="1" x="129"/>
        <item m="1" x="13"/>
        <item m="1" x="96"/>
        <item m="1" x="183"/>
        <item m="1" x="65"/>
        <item m="1" x="150"/>
        <item m="1" x="37"/>
        <item m="1" x="121"/>
        <item m="1" x="3"/>
        <item m="1" x="86"/>
        <item m="1" x="173"/>
        <item m="1" x="57"/>
        <item m="1" x="27"/>
        <item m="1" x="10"/>
        <item m="1" x="93"/>
        <item m="1" x="180"/>
        <item m="1" x="62"/>
        <item m="1" x="34"/>
        <item m="1" x="118"/>
        <item m="1" x="205"/>
        <item m="1" x="83"/>
        <item m="1" x="170"/>
        <item m="1" x="55"/>
        <item m="1" x="24"/>
        <item m="1" x="109"/>
        <item m="1" x="195"/>
        <item m="1" x="74"/>
        <item m="1" x="133"/>
        <item m="1" x="16"/>
        <item m="1" x="99"/>
        <item m="1" x="186"/>
        <item m="1" x="66"/>
        <item m="1" x="152"/>
        <item m="1" x="40"/>
        <item m="1" x="124"/>
        <item m="1" x="6"/>
        <item m="1" x="89"/>
        <item m="1" x="176"/>
        <item m="1" x="60"/>
        <item m="1" x="38"/>
        <item m="1" x="192"/>
        <item m="1" x="106"/>
        <item m="1" x="72"/>
        <item m="1" x="159"/>
        <item m="1" x="45"/>
        <item m="1" x="130"/>
        <item m="1" x="14"/>
        <item m="1" x="97"/>
        <item m="1" x="184"/>
        <item m="1" x="151"/>
        <item m="1" x="122"/>
        <item m="1" x="4"/>
        <item m="1" x="87"/>
        <item m="1" x="174"/>
        <item m="1" x="58"/>
        <item m="1" x="143"/>
        <item m="1" x="28"/>
        <item m="1" x="112"/>
        <item m="1" x="198"/>
        <item m="1" x="77"/>
        <item m="1" x="165"/>
        <item m="1" x="136"/>
        <item m="1" x="19"/>
        <item m="1" x="102"/>
        <item m="1" x="69"/>
        <item m="1" x="1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1">
        <item m="1" x="9"/>
        <item m="1" x="78"/>
        <item m="1" x="37"/>
        <item m="1" x="18"/>
        <item m="1" x="52"/>
        <item m="1" x="46"/>
        <item m="1" x="77"/>
        <item m="1" x="11"/>
        <item m="1" x="90"/>
        <item m="1" x="10"/>
        <item m="1" x="1"/>
        <item m="1" x="76"/>
        <item m="1" x="20"/>
        <item m="1" x="65"/>
        <item m="1" x="80"/>
        <item m="1" x="13"/>
        <item m="1" x="56"/>
        <item m="1" x="36"/>
        <item m="1" x="67"/>
        <item m="1" x="64"/>
        <item m="1" x="60"/>
        <item m="1" x="82"/>
        <item m="1" x="42"/>
        <item m="1" x="74"/>
        <item m="1" x="26"/>
        <item m="1" x="57"/>
        <item m="1" x="86"/>
        <item m="1" x="58"/>
        <item m="1" x="12"/>
        <item m="1" x="69"/>
        <item m="1" x="85"/>
        <item m="1" x="16"/>
        <item m="1" x="6"/>
        <item m="1" x="70"/>
        <item m="1" x="33"/>
        <item m="1" x="14"/>
        <item m="1" x="4"/>
        <item m="1" x="24"/>
        <item m="1" x="19"/>
        <item m="1" x="27"/>
        <item m="1" x="71"/>
        <item m="1" x="23"/>
        <item m="1" x="3"/>
        <item m="1" x="15"/>
        <item m="1" x="72"/>
        <item m="1" x="73"/>
        <item m="1" x="44"/>
        <item m="1" x="22"/>
        <item m="1" x="40"/>
        <item m="1" x="87"/>
        <item m="1" x="54"/>
        <item m="1" x="83"/>
        <item m="1" x="35"/>
        <item m="1" x="49"/>
        <item m="1" x="55"/>
        <item m="1" x="75"/>
        <item m="1" x="45"/>
        <item m="1" x="51"/>
        <item m="1" x="63"/>
        <item m="1" x="28"/>
        <item m="1" x="84"/>
        <item m="1" x="43"/>
        <item m="1" x="29"/>
        <item m="1" x="61"/>
        <item m="1" x="7"/>
        <item m="1" x="53"/>
        <item m="1" x="32"/>
        <item m="1" x="68"/>
        <item m="1" x="38"/>
        <item m="1" x="25"/>
        <item m="1" x="59"/>
        <item m="1" x="66"/>
        <item m="1" x="79"/>
        <item m="1" x="31"/>
        <item m="1" x="48"/>
        <item m="1" x="88"/>
        <item m="1" x="89"/>
        <item m="1" x="39"/>
        <item m="1" x="34"/>
        <item m="1" x="8"/>
        <item m="1" x="17"/>
        <item m="1" x="30"/>
        <item m="1" x="5"/>
        <item m="1" x="50"/>
        <item m="1" x="81"/>
        <item m="1" x="62"/>
        <item m="1" x="41"/>
        <item m="1" x="47"/>
        <item m="1" x="2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9" outline="0" showAll="0" defaultSubtotal="0">
      <items count="37">
        <item m="1" x="31"/>
        <item m="1" x="36"/>
        <item m="1" x="32"/>
        <item x="15"/>
        <item m="1" x="34"/>
        <item m="1" x="33"/>
        <item m="1" x="30"/>
        <item m="1" x="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">
        <item x="0"/>
        <item h="1"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x="2"/>
        <item x="5"/>
        <item x="10"/>
        <item x="3"/>
        <item x="0"/>
        <item m="1" x="17"/>
        <item m="1" x="18"/>
        <item x="7"/>
        <item x="1"/>
        <item x="4"/>
        <item x="8"/>
        <item x="9"/>
        <item x="6"/>
        <item m="1" x="13"/>
        <item x="11"/>
        <item m="1" x="14"/>
        <item m="1" x="19"/>
        <item m="1" x="16"/>
        <item m="1" x="15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0">
        <item m="1" x="38"/>
        <item m="1" x="52"/>
        <item m="1" x="53"/>
        <item m="1" x="90"/>
        <item m="1" x="96"/>
        <item m="1" x="74"/>
        <item m="1" x="30"/>
        <item m="1" x="78"/>
        <item m="1" x="86"/>
        <item m="1" x="59"/>
        <item m="1" x="37"/>
        <item m="1" x="58"/>
        <item m="1" x="63"/>
        <item m="1" x="69"/>
        <item m="1" x="72"/>
        <item m="1" x="32"/>
        <item m="1" x="44"/>
        <item m="1" x="82"/>
        <item m="1" x="41"/>
        <item m="1" x="55"/>
        <item m="1" x="33"/>
        <item m="1" x="60"/>
        <item m="1" x="71"/>
        <item m="1" x="98"/>
        <item m="1" x="49"/>
        <item m="1" x="64"/>
        <item m="1" x="36"/>
        <item m="1" x="62"/>
        <item m="1" x="26"/>
        <item m="1" x="40"/>
        <item m="1" x="54"/>
        <item m="1" x="46"/>
        <item m="1" x="89"/>
        <item m="1" x="56"/>
        <item m="1" x="95"/>
        <item m="1" x="31"/>
        <item m="1" x="75"/>
        <item m="1" x="97"/>
        <item m="1" x="61"/>
        <item m="1" x="27"/>
        <item m="1" x="80"/>
        <item m="1" x="67"/>
        <item m="1" x="81"/>
        <item m="1" x="73"/>
        <item m="1" x="29"/>
        <item m="1" x="83"/>
        <item m="1" x="99"/>
        <item m="1" x="42"/>
        <item m="1" x="93"/>
        <item m="1" x="76"/>
        <item m="1" x="79"/>
        <item m="1" x="87"/>
        <item m="1" x="77"/>
        <item m="1" x="94"/>
        <item m="1" x="85"/>
        <item m="1" x="34"/>
        <item m="1" x="28"/>
        <item m="1" x="51"/>
        <item m="1" x="66"/>
        <item m="1" x="68"/>
        <item m="1" x="70"/>
        <item m="1" x="91"/>
        <item m="1" x="48"/>
        <item m="1" x="45"/>
        <item m="1" x="84"/>
        <item m="1" x="35"/>
        <item m="1" x="43"/>
        <item m="1" x="47"/>
        <item m="1" x="39"/>
        <item m="1" x="65"/>
        <item m="1" x="92"/>
        <item m="1" x="88"/>
        <item m="1" x="50"/>
        <item m="1" x="5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57"/>
    <field x="15"/>
    <field x="7"/>
    <field x="12"/>
    <field x="56"/>
    <field x="48"/>
  </rowFields>
  <rowItems count="251">
    <i>
      <x v="74"/>
      <x v="90"/>
      <x v="1508"/>
      <x v="129"/>
      <x v="4"/>
      <x v="8"/>
    </i>
    <i r="2">
      <x v="1535"/>
      <x v="129"/>
      <x v="10"/>
      <x v="16"/>
    </i>
    <i r="5">
      <x v="21"/>
    </i>
    <i r="2">
      <x v="1536"/>
      <x v="129"/>
      <x v="8"/>
      <x v="9"/>
    </i>
    <i r="5">
      <x v="13"/>
    </i>
    <i r="2">
      <x v="1545"/>
      <x v="129"/>
      <x v="9"/>
      <x v="22"/>
    </i>
    <i r="2">
      <x v="1549"/>
      <x v="129"/>
      <x v="9"/>
      <x v="14"/>
    </i>
    <i r="2">
      <x v="1555"/>
      <x v="129"/>
      <x v="9"/>
      <x v="22"/>
    </i>
    <i r="2">
      <x v="1556"/>
      <x v="129"/>
      <x v="4"/>
      <x v="14"/>
    </i>
    <i r="2">
      <x v="1558"/>
      <x v="129"/>
      <x v="7"/>
      <x v="22"/>
    </i>
    <i r="2">
      <x v="1559"/>
      <x v="129"/>
      <x v="9"/>
      <x v="14"/>
    </i>
    <i r="2">
      <x v="1566"/>
      <x v="129"/>
      <x v="3"/>
      <x v="22"/>
    </i>
    <i r="2">
      <x v="1570"/>
      <x v="129"/>
      <x v="4"/>
      <x v="14"/>
    </i>
    <i r="2">
      <x v="1574"/>
      <x v="129"/>
      <x v="4"/>
      <x v="16"/>
    </i>
    <i r="5">
      <x v="22"/>
    </i>
    <i r="2">
      <x v="1577"/>
      <x v="129"/>
      <x v="11"/>
      <x v="11"/>
    </i>
    <i r="5">
      <x v="21"/>
    </i>
    <i r="2">
      <x v="1583"/>
      <x v="129"/>
      <x v="9"/>
      <x v="12"/>
    </i>
    <i r="2">
      <x v="1584"/>
      <x v="129"/>
      <x v="4"/>
      <x v="14"/>
    </i>
    <i r="2">
      <x v="1591"/>
      <x v="129"/>
      <x v="1"/>
      <x v="15"/>
    </i>
    <i r="2">
      <x v="1621"/>
      <x v="129"/>
      <x v="4"/>
      <x v="10"/>
    </i>
    <i r="5">
      <x v="12"/>
    </i>
    <i r="2">
      <x v="1622"/>
      <x v="129"/>
      <x v="8"/>
      <x v="13"/>
    </i>
    <i>
      <x v="75"/>
      <x v="90"/>
      <x v="1509"/>
      <x v="129"/>
      <x v="8"/>
      <x v="9"/>
    </i>
    <i r="5">
      <x v="10"/>
    </i>
    <i r="2">
      <x v="1510"/>
      <x v="129"/>
      <x/>
      <x v="9"/>
    </i>
    <i r="5">
      <x v="10"/>
    </i>
    <i r="2">
      <x v="1525"/>
      <x v="129"/>
      <x v="7"/>
      <x v="13"/>
    </i>
    <i r="5">
      <x v="17"/>
    </i>
    <i r="2">
      <x v="1526"/>
      <x v="129"/>
      <x/>
      <x v="9"/>
    </i>
    <i r="5">
      <x v="17"/>
    </i>
    <i r="2">
      <x v="1562"/>
      <x v="129"/>
      <x v="7"/>
      <x v="22"/>
    </i>
    <i r="2">
      <x v="1599"/>
      <x v="129"/>
      <x v="3"/>
      <x v="13"/>
    </i>
    <i r="5">
      <x v="22"/>
    </i>
    <i r="2">
      <x v="1600"/>
      <x v="129"/>
      <x/>
      <x v="16"/>
    </i>
    <i r="5">
      <x v="22"/>
    </i>
    <i r="2">
      <x v="1615"/>
      <x v="129"/>
      <x v="1"/>
      <x v="32"/>
    </i>
    <i r="2">
      <x v="1616"/>
      <x v="129"/>
      <x/>
      <x v="10"/>
    </i>
    <i r="5">
      <x v="22"/>
    </i>
    <i>
      <x v="76"/>
      <x v="90"/>
      <x v="1510"/>
      <x v="129"/>
      <x/>
      <x v="11"/>
    </i>
    <i r="5">
      <x v="12"/>
    </i>
    <i r="2">
      <x v="1515"/>
      <x v="129"/>
      <x v="4"/>
      <x v="8"/>
    </i>
    <i r="2">
      <x v="1516"/>
      <x v="129"/>
      <x v="4"/>
      <x v="14"/>
    </i>
    <i r="2">
      <x v="1521"/>
      <x v="129"/>
      <x v="4"/>
      <x v="9"/>
    </i>
    <i r="5">
      <x v="17"/>
    </i>
    <i r="2">
      <x v="1530"/>
      <x v="129"/>
      <x v="9"/>
      <x v="10"/>
    </i>
    <i r="5">
      <x v="19"/>
    </i>
    <i r="2">
      <x v="1537"/>
      <x v="129"/>
      <x v="9"/>
      <x v="14"/>
    </i>
    <i r="2">
      <x v="1538"/>
      <x v="129"/>
      <x v="4"/>
      <x v="14"/>
    </i>
    <i r="2">
      <x v="1540"/>
      <x v="129"/>
      <x v="9"/>
      <x v="14"/>
    </i>
    <i r="5">
      <x v="17"/>
    </i>
    <i r="2">
      <x v="1544"/>
      <x v="129"/>
      <x v="7"/>
      <x v="13"/>
    </i>
    <i r="2">
      <x v="1549"/>
      <x v="129"/>
      <x v="9"/>
      <x v="22"/>
    </i>
    <i r="2">
      <x v="1550"/>
      <x v="129"/>
      <x v="8"/>
      <x v="22"/>
    </i>
    <i r="2">
      <x v="1551"/>
      <x v="129"/>
      <x v="3"/>
      <x v="22"/>
    </i>
    <i r="2">
      <x v="1552"/>
      <x v="129"/>
      <x v="10"/>
      <x v="3"/>
    </i>
    <i r="2">
      <x v="1565"/>
      <x v="129"/>
      <x v="10"/>
      <x v="11"/>
    </i>
    <i r="5">
      <x v="21"/>
    </i>
    <i r="2">
      <x v="1566"/>
      <x v="129"/>
      <x v="3"/>
      <x v="13"/>
    </i>
    <i r="2">
      <x v="1571"/>
      <x v="129"/>
      <x v="10"/>
      <x v="3"/>
    </i>
    <i r="2">
      <x v="1575"/>
      <x v="129"/>
      <x v="8"/>
      <x v="11"/>
    </i>
    <i r="5">
      <x v="22"/>
    </i>
    <i r="2">
      <x v="1578"/>
      <x v="129"/>
      <x v="8"/>
      <x v="22"/>
    </i>
    <i r="2">
      <x v="1587"/>
      <x v="129"/>
      <x v="4"/>
      <x v="11"/>
    </i>
    <i r="5">
      <x v="22"/>
    </i>
    <i r="2">
      <x v="1591"/>
      <x v="129"/>
      <x v="1"/>
      <x v="15"/>
    </i>
    <i r="2">
      <x v="1594"/>
      <x v="129"/>
      <x v="4"/>
      <x v="14"/>
    </i>
    <i r="5">
      <x v="22"/>
    </i>
    <i r="2">
      <x v="1595"/>
      <x v="129"/>
      <x v="3"/>
      <x v="13"/>
    </i>
    <i r="2">
      <x v="1597"/>
      <x v="129"/>
      <x v="4"/>
      <x v="8"/>
    </i>
    <i r="2">
      <x v="1598"/>
      <x v="129"/>
      <x v="4"/>
      <x v="8"/>
    </i>
    <i r="2">
      <x v="1611"/>
      <x v="129"/>
      <x v="9"/>
      <x v="22"/>
    </i>
    <i r="2">
      <x v="1617"/>
      <x v="129"/>
      <x v="12"/>
      <x v="10"/>
    </i>
    <i r="5">
      <x v="17"/>
    </i>
    <i r="2">
      <x v="1627"/>
      <x v="129"/>
      <x v="1"/>
      <x v="11"/>
    </i>
    <i>
      <x v="77"/>
      <x v="90"/>
      <x v="1511"/>
      <x v="129"/>
      <x v="3"/>
      <x v="9"/>
    </i>
    <i r="5">
      <x v="13"/>
    </i>
    <i r="2">
      <x v="1518"/>
      <x v="129"/>
      <x v="4"/>
      <x v="14"/>
    </i>
    <i r="2">
      <x v="1523"/>
      <x v="129"/>
      <x v="4"/>
      <x v="14"/>
    </i>
    <i r="2">
      <x v="1526"/>
      <x v="129"/>
      <x/>
      <x v="11"/>
    </i>
    <i r="2">
      <x v="1529"/>
      <x v="129"/>
      <x v="4"/>
      <x v="8"/>
    </i>
    <i r="2">
      <x v="1530"/>
      <x v="129"/>
      <x v="9"/>
      <x v="9"/>
    </i>
    <i r="5">
      <x v="14"/>
    </i>
    <i r="2">
      <x v="1531"/>
      <x v="129"/>
      <x v="3"/>
      <x v="13"/>
    </i>
    <i r="2">
      <x v="1539"/>
      <x v="129"/>
      <x v="3"/>
      <x v="13"/>
    </i>
    <i r="5">
      <x v="14"/>
    </i>
    <i r="2">
      <x v="1542"/>
      <x v="129"/>
      <x v="4"/>
      <x v="9"/>
    </i>
    <i r="2">
      <x v="1543"/>
      <x v="129"/>
      <x v="9"/>
      <x v="14"/>
    </i>
    <i r="2">
      <x v="1547"/>
      <x v="129"/>
      <x v="8"/>
      <x v="22"/>
    </i>
    <i r="2">
      <x v="1548"/>
      <x v="129"/>
      <x v="4"/>
      <x v="22"/>
    </i>
    <i r="2">
      <x v="1554"/>
      <x v="129"/>
      <x v="4"/>
      <x v="14"/>
    </i>
    <i r="5">
      <x v="22"/>
    </i>
    <i r="2">
      <x v="1558"/>
      <x v="129"/>
      <x v="7"/>
      <x v="14"/>
    </i>
    <i r="2">
      <x v="1582"/>
      <x v="129"/>
      <x v="12"/>
      <x v="11"/>
    </i>
    <i r="5">
      <x v="12"/>
    </i>
    <i r="2">
      <x v="1583"/>
      <x v="129"/>
      <x v="9"/>
      <x v="16"/>
    </i>
    <i r="5">
      <x v="22"/>
    </i>
    <i r="2">
      <x v="1589"/>
      <x v="129"/>
      <x v="14"/>
      <x v="11"/>
    </i>
    <i r="5">
      <x v="12"/>
    </i>
    <i r="2">
      <x v="1608"/>
      <x v="129"/>
      <x v="4"/>
      <x v="12"/>
    </i>
    <i r="5">
      <x v="13"/>
    </i>
    <i r="2">
      <x v="1609"/>
      <x v="129"/>
      <x v="9"/>
      <x v="14"/>
    </i>
    <i r="2">
      <x v="1610"/>
      <x v="129"/>
      <x v="10"/>
      <x v="16"/>
    </i>
    <i r="2">
      <x v="1611"/>
      <x v="129"/>
      <x v="9"/>
      <x v="9"/>
    </i>
    <i r="5">
      <x v="13"/>
    </i>
    <i r="2">
      <x v="1619"/>
      <x v="129"/>
      <x v="19"/>
      <x v="8"/>
    </i>
    <i r="5">
      <x v="33"/>
    </i>
    <i r="2">
      <x v="1623"/>
      <x v="129"/>
      <x v="7"/>
      <x v="13"/>
    </i>
    <i>
      <x v="78"/>
      <x v="90"/>
      <x v="1512"/>
      <x v="129"/>
      <x v="9"/>
      <x v="9"/>
    </i>
    <i r="5">
      <x v="14"/>
    </i>
    <i>
      <x v="79"/>
      <x v="90"/>
      <x v="1513"/>
      <x v="129"/>
      <x v="1"/>
      <x v="15"/>
    </i>
    <i r="2">
      <x v="1514"/>
      <x v="129"/>
      <x v="4"/>
      <x v="16"/>
    </i>
    <i r="2">
      <x v="1520"/>
      <x v="129"/>
      <x v="12"/>
      <x v="10"/>
    </i>
    <i r="5">
      <x v="17"/>
    </i>
    <i r="2">
      <x v="1521"/>
      <x v="129"/>
      <x v="4"/>
      <x v="14"/>
    </i>
    <i r="2">
      <x v="1541"/>
      <x v="129"/>
      <x v="3"/>
      <x v="13"/>
    </i>
    <i r="5">
      <x v="14"/>
    </i>
    <i r="2">
      <x v="1546"/>
      <x v="129"/>
      <x v="3"/>
      <x v="13"/>
    </i>
    <i r="2">
      <x v="1553"/>
      <x v="129"/>
      <x v="3"/>
      <x v="17"/>
    </i>
    <i r="5">
      <x v="22"/>
    </i>
    <i r="2">
      <x v="1555"/>
      <x v="129"/>
      <x v="9"/>
      <x v="14"/>
    </i>
    <i r="2">
      <x v="1560"/>
      <x v="129"/>
      <x v="8"/>
      <x v="14"/>
    </i>
    <i r="5">
      <x v="22"/>
    </i>
    <i r="2">
      <x v="1562"/>
      <x v="129"/>
      <x v="7"/>
      <x v="14"/>
    </i>
    <i r="2">
      <x v="1568"/>
      <x v="129"/>
      <x v="10"/>
      <x v="26"/>
    </i>
    <i r="2">
      <x v="1572"/>
      <x v="129"/>
      <x v="8"/>
      <x v="22"/>
    </i>
    <i r="2">
      <x v="1573"/>
      <x v="129"/>
      <x v="3"/>
      <x v="13"/>
    </i>
    <i r="2">
      <x v="1574"/>
      <x v="129"/>
      <x v="4"/>
      <x v="14"/>
    </i>
    <i r="2">
      <x v="1578"/>
      <x v="129"/>
      <x v="8"/>
      <x v="10"/>
    </i>
    <i r="2">
      <x v="1579"/>
      <x v="129"/>
      <x v="3"/>
      <x v="13"/>
    </i>
    <i r="2">
      <x v="1583"/>
      <x v="129"/>
      <x v="9"/>
      <x v="11"/>
    </i>
    <i r="2">
      <x v="1586"/>
      <x v="129"/>
      <x v="2"/>
      <x v="28"/>
    </i>
    <i r="2">
      <x v="1587"/>
      <x v="129"/>
      <x v="4"/>
      <x v="14"/>
    </i>
    <i r="2">
      <x v="1592"/>
      <x v="129"/>
      <x v="8"/>
      <x v="22"/>
    </i>
    <i r="2">
      <x v="1593"/>
      <x v="129"/>
      <x v="3"/>
      <x v="13"/>
    </i>
    <i r="2">
      <x v="1600"/>
      <x v="129"/>
      <x/>
      <x v="11"/>
    </i>
    <i r="5">
      <x v="12"/>
    </i>
    <i r="2">
      <x v="1607"/>
      <x v="129"/>
      <x v="7"/>
      <x v="11"/>
    </i>
    <i r="5">
      <x v="13"/>
    </i>
    <i r="2">
      <x v="1611"/>
      <x v="129"/>
      <x v="9"/>
      <x v="17"/>
    </i>
    <i r="2">
      <x v="1612"/>
      <x v="129"/>
      <x v="3"/>
      <x v="22"/>
    </i>
    <i r="2">
      <x v="1620"/>
      <x v="129"/>
      <x v="9"/>
      <x v="10"/>
    </i>
    <i r="5">
      <x v="22"/>
    </i>
    <i r="2">
      <x v="1621"/>
      <x v="129"/>
      <x v="4"/>
      <x v="14"/>
    </i>
    <i r="2">
      <x v="1627"/>
      <x v="129"/>
      <x v="1"/>
      <x v="12"/>
    </i>
    <i r="2">
      <x v="1628"/>
      <x v="129"/>
      <x v="3"/>
      <x v="13"/>
    </i>
    <i r="2">
      <x v="1629"/>
      <x v="129"/>
      <x v="4"/>
      <x v="36"/>
    </i>
    <i>
      <x v="80"/>
      <x v="90"/>
      <x v="1514"/>
      <x v="129"/>
      <x v="4"/>
      <x v="14"/>
    </i>
    <i r="2">
      <x v="1527"/>
      <x v="129"/>
      <x v="9"/>
      <x v="14"/>
    </i>
    <i r="2">
      <x v="1533"/>
      <x v="129"/>
      <x v="7"/>
      <x v="19"/>
    </i>
    <i r="2">
      <x v="1602"/>
      <x v="129"/>
      <x v="1"/>
      <x v="16"/>
    </i>
    <i r="5">
      <x v="19"/>
    </i>
    <i r="2">
      <x v="1629"/>
      <x v="129"/>
      <x v="4"/>
      <x v="14"/>
    </i>
    <i r="2">
      <x v="1630"/>
      <x v="129"/>
      <x v="4"/>
      <x v="8"/>
    </i>
    <i>
      <x v="81"/>
      <x v="90"/>
      <x v="1517"/>
      <x v="129"/>
      <x v="3"/>
      <x v="9"/>
    </i>
    <i r="5">
      <x v="13"/>
    </i>
    <i>
      <x v="82"/>
      <x v="90"/>
      <x v="1519"/>
      <x v="129"/>
      <x v="9"/>
      <x v="14"/>
    </i>
    <i r="5">
      <x v="17"/>
    </i>
    <i r="2">
      <x v="1520"/>
      <x v="129"/>
      <x v="12"/>
      <x v="13"/>
    </i>
    <i r="5">
      <x v="14"/>
    </i>
    <i r="2">
      <x v="1581"/>
      <x v="129"/>
      <x v="7"/>
      <x v="11"/>
    </i>
    <i r="5">
      <x v="12"/>
    </i>
    <i r="2">
      <x v="1582"/>
      <x v="129"/>
      <x v="12"/>
      <x v="16"/>
    </i>
    <i r="5">
      <x v="17"/>
    </i>
    <i r="5">
      <x v="20"/>
    </i>
    <i r="5">
      <x v="22"/>
    </i>
    <i r="2">
      <x v="1616"/>
      <x v="129"/>
      <x/>
      <x v="11"/>
    </i>
    <i r="5">
      <x v="12"/>
    </i>
    <i r="2">
      <x v="1617"/>
      <x v="129"/>
      <x v="12"/>
      <x v="22"/>
    </i>
    <i>
      <x v="83"/>
      <x v="90"/>
      <x v="1522"/>
      <x v="129"/>
      <x v="3"/>
      <x v="13"/>
    </i>
    <i r="5">
      <x v="17"/>
    </i>
    <i r="2">
      <x v="1526"/>
      <x v="129"/>
      <x/>
      <x v="12"/>
    </i>
    <i r="2">
      <x v="1536"/>
      <x v="129"/>
      <x v="8"/>
      <x v="10"/>
    </i>
    <i r="5">
      <x v="19"/>
    </i>
    <i r="2">
      <x v="1585"/>
      <x v="129"/>
      <x v="8"/>
      <x v="13"/>
    </i>
    <i r="5">
      <x v="22"/>
    </i>
    <i r="2">
      <x v="1596"/>
      <x v="129"/>
      <x v="3"/>
      <x v="13"/>
    </i>
    <i r="5">
      <x v="22"/>
    </i>
    <i r="2">
      <x v="1615"/>
      <x v="129"/>
      <x v="1"/>
      <x v="32"/>
    </i>
    <i>
      <x v="84"/>
      <x v="90"/>
      <x v="1523"/>
      <x v="129"/>
      <x v="4"/>
      <x v="9"/>
    </i>
    <i r="2">
      <x v="1524"/>
      <x v="129"/>
      <x v="9"/>
      <x v="14"/>
    </i>
    <i r="2">
      <x v="1531"/>
      <x v="129"/>
      <x v="3"/>
      <x v="19"/>
    </i>
    <i r="2">
      <x v="1532"/>
      <x v="129"/>
      <x v="9"/>
      <x v="14"/>
    </i>
    <i r="2">
      <x v="1533"/>
      <x v="129"/>
      <x v="7"/>
      <x v="13"/>
    </i>
    <i r="2">
      <x v="1557"/>
      <x v="129"/>
      <x v="8"/>
      <x v="17"/>
    </i>
    <i r="5">
      <x v="22"/>
    </i>
    <i r="2">
      <x v="1561"/>
      <x v="129"/>
      <x v="4"/>
      <x v="14"/>
    </i>
    <i r="5">
      <x v="16"/>
    </i>
    <i r="2">
      <x v="1580"/>
      <x v="129"/>
      <x v="4"/>
      <x v="12"/>
    </i>
    <i r="5">
      <x v="14"/>
    </i>
    <i r="2">
      <x v="1581"/>
      <x v="129"/>
      <x v="7"/>
      <x v="14"/>
    </i>
    <i r="2">
      <x v="1606"/>
      <x v="129"/>
      <x v="11"/>
      <x v="30"/>
    </i>
    <i r="5">
      <x v="31"/>
    </i>
    <i r="2">
      <x v="1622"/>
      <x v="129"/>
      <x v="8"/>
      <x v="10"/>
    </i>
    <i r="5">
      <x v="19"/>
    </i>
    <i>
      <x v="85"/>
      <x v="90"/>
      <x v="1533"/>
      <x v="129"/>
      <x v="7"/>
      <x v="20"/>
    </i>
    <i r="2">
      <x v="1534"/>
      <x v="129"/>
      <x v="4"/>
      <x v="8"/>
    </i>
    <i r="2">
      <x v="1535"/>
      <x v="129"/>
      <x v="10"/>
      <x v="17"/>
    </i>
    <i r="5">
      <x v="19"/>
    </i>
    <i r="2">
      <x v="1563"/>
      <x v="129"/>
      <x v="4"/>
      <x v="14"/>
    </i>
    <i r="2">
      <x v="1564"/>
      <x v="129"/>
      <x/>
      <x v="22"/>
    </i>
    <i r="2">
      <x v="1565"/>
      <x v="129"/>
      <x v="10"/>
      <x v="16"/>
    </i>
    <i r="5">
      <x v="17"/>
    </i>
    <i r="5">
      <x v="19"/>
    </i>
    <i r="2">
      <x v="1609"/>
      <x v="129"/>
      <x v="9"/>
      <x v="19"/>
    </i>
    <i r="5">
      <x v="22"/>
    </i>
    <i r="2">
      <x v="1623"/>
      <x v="129"/>
      <x v="7"/>
      <x v="10"/>
    </i>
    <i r="2">
      <x v="1624"/>
      <x v="129"/>
      <x v="9"/>
      <x v="22"/>
    </i>
    <i>
      <x v="86"/>
      <x v="90"/>
      <x v="1542"/>
      <x v="129"/>
      <x v="4"/>
      <x v="14"/>
    </i>
    <i>
      <x v="87"/>
      <x v="90"/>
      <x v="1551"/>
      <x v="129"/>
      <x v="3"/>
      <x v="13"/>
    </i>
    <i r="2">
      <x v="1569"/>
      <x v="129"/>
      <x v="1"/>
      <x v="3"/>
    </i>
    <i>
      <x v="88"/>
      <x v="90"/>
      <x v="1566"/>
      <x v="129"/>
      <x v="3"/>
      <x v="19"/>
    </i>
    <i r="2">
      <x v="1567"/>
      <x v="129"/>
      <x v="8"/>
      <x v="22"/>
    </i>
    <i r="2">
      <x v="1568"/>
      <x v="129"/>
      <x v="10"/>
      <x v="23"/>
    </i>
    <i r="5">
      <x v="24"/>
    </i>
    <i>
      <x v="89"/>
      <x v="90"/>
      <x v="1568"/>
      <x v="129"/>
      <x v="10"/>
      <x v="25"/>
    </i>
    <i>
      <x v="90"/>
      <x v="90"/>
      <x v="1576"/>
      <x v="129"/>
      <x v="3"/>
      <x v="12"/>
    </i>
    <i r="5">
      <x v="13"/>
    </i>
    <i r="2">
      <x v="1577"/>
      <x v="129"/>
      <x v="11"/>
      <x v="16"/>
    </i>
    <i r="5">
      <x v="17"/>
    </i>
    <i r="5">
      <x v="27"/>
    </i>
    <i>
      <x v="91"/>
      <x v="90"/>
      <x v="1588"/>
      <x v="129"/>
      <x v="3"/>
      <x v="11"/>
    </i>
    <i r="5">
      <x v="13"/>
    </i>
    <i r="2">
      <x v="1589"/>
      <x v="129"/>
      <x v="14"/>
      <x v="16"/>
    </i>
    <i r="5">
      <x v="27"/>
    </i>
    <i>
      <x v="92"/>
      <x v="90"/>
      <x v="1590"/>
      <x v="129"/>
      <x v="9"/>
      <x v="14"/>
    </i>
    <i r="5">
      <x v="22"/>
    </i>
    <i>
      <x v="93"/>
      <x v="90"/>
      <x v="1601"/>
      <x v="129"/>
      <x v="4"/>
      <x v="13"/>
    </i>
    <i r="5">
      <x v="14"/>
    </i>
    <i r="2">
      <x v="1625"/>
      <x v="129"/>
      <x v="10"/>
      <x v="10"/>
    </i>
    <i r="5">
      <x v="19"/>
    </i>
    <i r="2">
      <x v="1626"/>
      <x v="129"/>
      <x v="1"/>
      <x v="34"/>
    </i>
    <i r="2">
      <x v="1627"/>
      <x v="129"/>
      <x v="1"/>
      <x v="27"/>
    </i>
    <i r="5">
      <x v="34"/>
    </i>
    <i r="5">
      <x v="35"/>
    </i>
    <i>
      <x v="94"/>
      <x v="90"/>
      <x v="1603"/>
      <x v="129"/>
      <x v="4"/>
      <x v="8"/>
    </i>
    <i r="2">
      <x v="1604"/>
      <x v="129"/>
      <x v="4"/>
      <x v="8"/>
    </i>
    <i r="2">
      <x v="1605"/>
      <x v="129"/>
      <x v="2"/>
      <x v="29"/>
    </i>
    <i>
      <x v="95"/>
      <x v="90"/>
      <x v="1605"/>
      <x v="129"/>
      <x v="2"/>
      <x v="30"/>
    </i>
    <i r="5">
      <x v="31"/>
    </i>
    <i r="2">
      <x v="1606"/>
      <x v="129"/>
      <x v="11"/>
      <x v="29"/>
    </i>
    <i>
      <x v="96"/>
      <x v="90"/>
      <x v="1610"/>
      <x v="129"/>
      <x v="10"/>
      <x v="17"/>
    </i>
    <i>
      <x v="97"/>
      <x v="90"/>
      <x v="1613"/>
      <x v="129"/>
      <x v="4"/>
      <x v="13"/>
    </i>
    <i r="5">
      <x v="22"/>
    </i>
    <i r="2">
      <x v="1614"/>
      <x v="129"/>
      <x v="9"/>
      <x v="29"/>
    </i>
    <i>
      <x v="98"/>
      <x v="90"/>
      <x v="1614"/>
      <x v="129"/>
      <x v="9"/>
      <x v="30"/>
    </i>
    <i r="5">
      <x v="31"/>
    </i>
    <i r="2">
      <x v="1615"/>
      <x v="129"/>
      <x v="1"/>
      <x v="32"/>
    </i>
    <i>
      <x v="99"/>
      <x v="90"/>
      <x v="1618"/>
      <x v="129"/>
      <x v="3"/>
      <x v="10"/>
    </i>
    <i r="5"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5" hier="-1"/>
    <pageField fld="52" hier="-1"/>
  </pageFields>
  <dataFields count="4">
    <dataField name="Sum of Sale Amt." fld="36" baseField="0" baseItem="0"/>
    <dataField name=" CGST" fld="40" baseField="0" baseItem="0"/>
    <dataField name=" IGST" fld="42" baseField="0" baseItem="0"/>
    <dataField name=" SGST" fld="46" baseField="0" baseItem="0"/>
  </dataFields>
  <formats count="88">
    <format dxfId="94">
      <pivotArea type="all" dataOnly="0" outline="0" fieldPosition="0"/>
    </format>
    <format dxfId="93">
      <pivotArea outline="0" collapsedLevelsAreSubtotals="1" fieldPosition="0"/>
    </format>
    <format dxfId="92">
      <pivotArea field="7" type="button" dataOnly="0" labelOnly="1" outline="0" axis="axisRow" fieldPosition="2"/>
    </format>
    <format dxfId="91">
      <pivotArea dataOnly="0" labelOnly="1" grandRow="1" outline="0" fieldPosition="0"/>
    </format>
    <format dxfId="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9">
      <pivotArea field="7" grandRow="1" outline="0" collapsedLevelsAreSubtotals="1" axis="axisRow" fieldPosition="2">
        <references count="1">
          <reference field="4294967294" count="1" selected="0">
            <x v="0"/>
          </reference>
        </references>
      </pivotArea>
    </format>
    <format dxfId="88">
      <pivotArea dataOnly="0" labelOnly="1" outline="0" fieldPosition="0">
        <references count="5">
          <reference field="7" count="1" selected="0">
            <x v="8"/>
          </reference>
          <reference field="15" count="1" selected="0">
            <x v="12"/>
          </reference>
          <reference field="48" count="1">
            <x v="2"/>
          </reference>
          <reference field="56" count="1" selected="0">
            <x v="0"/>
          </reference>
          <reference field="57" count="1" selected="0">
            <x v="0"/>
          </reference>
        </references>
      </pivotArea>
    </format>
    <format dxfId="87">
      <pivotArea dataOnly="0" labelOnly="1" outline="0" fieldPosition="0">
        <references count="5">
          <reference field="7" count="1" selected="0">
            <x v="39"/>
          </reference>
          <reference field="15" count="1" selected="0">
            <x v="12"/>
          </reference>
          <reference field="48" count="1">
            <x v="2"/>
          </reference>
          <reference field="56" count="1" selected="0">
            <x v="0"/>
          </reference>
          <reference field="57" count="1" selected="0">
            <x v="0"/>
          </reference>
        </references>
      </pivotArea>
    </format>
    <format dxfId="86">
      <pivotArea dataOnly="0" labelOnly="1" outline="0" fieldPosition="0">
        <references count="5">
          <reference field="7" count="1" selected="0">
            <x v="68"/>
          </reference>
          <reference field="15" count="1" selected="0">
            <x v="12"/>
          </reference>
          <reference field="48" count="1">
            <x v="2"/>
          </reference>
          <reference field="56" count="1" selected="0">
            <x v="0"/>
          </reference>
          <reference field="57" count="1" selected="0">
            <x v="0"/>
          </reference>
        </references>
      </pivotArea>
    </format>
    <format dxfId="85">
      <pivotArea dataOnly="0" labelOnly="1" outline="0" fieldPosition="0">
        <references count="5">
          <reference field="7" count="1" selected="0">
            <x v="45"/>
          </reference>
          <reference field="15" count="1" selected="0">
            <x v="23"/>
          </reference>
          <reference field="48" count="1">
            <x v="2"/>
          </reference>
          <reference field="56" count="1" selected="0">
            <x v="1"/>
          </reference>
          <reference field="57" count="1" selected="0">
            <x v="1"/>
          </reference>
        </references>
      </pivotArea>
    </format>
    <format dxfId="84">
      <pivotArea dataOnly="0" labelOnly="1" outline="0" fieldPosition="0">
        <references count="5">
          <reference field="7" count="1" selected="0">
            <x v="65"/>
          </reference>
          <reference field="15" count="1" selected="0">
            <x v="23"/>
          </reference>
          <reference field="48" count="1">
            <x v="2"/>
          </reference>
          <reference field="56" count="1" selected="0">
            <x v="1"/>
          </reference>
          <reference field="57" count="1" selected="0">
            <x v="1"/>
          </reference>
        </references>
      </pivotArea>
    </format>
    <format dxfId="83">
      <pivotArea dataOnly="0" labelOnly="1" outline="0" fieldPosition="0">
        <references count="5">
          <reference field="7" count="1" selected="0">
            <x v="76"/>
          </reference>
          <reference field="15" count="1" selected="0">
            <x v="25"/>
          </reference>
          <reference field="48" count="1">
            <x v="1"/>
          </reference>
          <reference field="56" count="1" selected="0">
            <x v="1"/>
          </reference>
          <reference field="57" count="1" selected="0">
            <x v="2"/>
          </reference>
        </references>
      </pivotArea>
    </format>
    <format dxfId="82">
      <pivotArea dataOnly="0" labelOnly="1" outline="0" fieldPosition="0">
        <references count="5">
          <reference field="7" count="1" selected="0">
            <x v="35"/>
          </reference>
          <reference field="15" count="1" selected="0">
            <x v="15"/>
          </reference>
          <reference field="48" count="1">
            <x v="1"/>
          </reference>
          <reference field="56" count="1" selected="0">
            <x v="1"/>
          </reference>
          <reference field="57" count="1" selected="0">
            <x v="3"/>
          </reference>
        </references>
      </pivotArea>
    </format>
    <format dxfId="81">
      <pivotArea dataOnly="0" labelOnly="1" outline="0" fieldPosition="0">
        <references count="5">
          <reference field="7" count="1" selected="0">
            <x v="24"/>
          </reference>
          <reference field="15" count="1" selected="0">
            <x v="17"/>
          </reference>
          <reference field="48" count="2">
            <x v="0"/>
            <x v="2"/>
          </reference>
          <reference field="56" count="1" selected="0">
            <x v="1"/>
          </reference>
          <reference field="57" count="1" selected="0">
            <x v="4"/>
          </reference>
        </references>
      </pivotArea>
    </format>
    <format dxfId="80">
      <pivotArea dataOnly="0" labelOnly="1" outline="0" fieldPosition="0">
        <references count="5">
          <reference field="7" count="1" selected="0">
            <x v="33"/>
          </reference>
          <reference field="15" count="1" selected="0">
            <x v="17"/>
          </reference>
          <reference field="48" count="2">
            <x v="0"/>
            <x v="2"/>
          </reference>
          <reference field="56" count="1" selected="0">
            <x v="1"/>
          </reference>
          <reference field="57" count="1" selected="0">
            <x v="4"/>
          </reference>
        </references>
      </pivotArea>
    </format>
    <format dxfId="79">
      <pivotArea dataOnly="0" labelOnly="1" outline="0" fieldPosition="0">
        <references count="5">
          <reference field="7" count="1" selected="0">
            <x v="55"/>
          </reference>
          <reference field="15" count="1" selected="0">
            <x v="17"/>
          </reference>
          <reference field="48" count="1">
            <x v="0"/>
          </reference>
          <reference field="56" count="1" selected="0">
            <x v="1"/>
          </reference>
          <reference field="57" count="1" selected="0">
            <x v="4"/>
          </reference>
        </references>
      </pivotArea>
    </format>
    <format dxfId="78">
      <pivotArea dataOnly="0" labelOnly="1" outline="0" fieldPosition="0">
        <references count="5">
          <reference field="7" count="1" selected="0">
            <x v="57"/>
          </reference>
          <reference field="15" count="1" selected="0">
            <x v="17"/>
          </reference>
          <reference field="48" count="1">
            <x v="0"/>
          </reference>
          <reference field="56" count="1" selected="0">
            <x v="1"/>
          </reference>
          <reference field="57" count="1" selected="0">
            <x v="4"/>
          </reference>
        </references>
      </pivotArea>
    </format>
    <format dxfId="77">
      <pivotArea dataOnly="0" labelOnly="1" outline="0" fieldPosition="0">
        <references count="5">
          <reference field="7" count="1" selected="0">
            <x v="36"/>
          </reference>
          <reference field="15" count="1" selected="0">
            <x v="16"/>
          </reference>
          <reference field="48" count="1">
            <x v="2"/>
          </reference>
          <reference field="56" count="1" selected="0">
            <x v="1"/>
          </reference>
          <reference field="57" count="1" selected="0">
            <x v="5"/>
          </reference>
        </references>
      </pivotArea>
    </format>
    <format dxfId="76">
      <pivotArea dataOnly="0" labelOnly="1" outline="0" fieldPosition="0">
        <references count="5">
          <reference field="7" count="1" selected="0">
            <x v="58"/>
          </reference>
          <reference field="15" count="1" selected="0">
            <x v="16"/>
          </reference>
          <reference field="48" count="1">
            <x v="2"/>
          </reference>
          <reference field="56" count="1" selected="0">
            <x v="1"/>
          </reference>
          <reference field="57" count="1" selected="0">
            <x v="5"/>
          </reference>
        </references>
      </pivotArea>
    </format>
    <format dxfId="75">
      <pivotArea dataOnly="0" labelOnly="1" outline="0" fieldPosition="0">
        <references count="5">
          <reference field="7" count="1" selected="0">
            <x v="10"/>
          </reference>
          <reference field="15" count="1" selected="0">
            <x v="0"/>
          </reference>
          <reference field="48" count="1">
            <x v="2"/>
          </reference>
          <reference field="56" count="1" selected="0">
            <x v="2"/>
          </reference>
          <reference field="57" count="1" selected="0">
            <x v="6"/>
          </reference>
        </references>
      </pivotArea>
    </format>
    <format dxfId="74">
      <pivotArea dataOnly="0" labelOnly="1" outline="0" fieldPosition="0">
        <references count="5">
          <reference field="7" count="1" selected="0">
            <x v="1"/>
          </reference>
          <reference field="15" count="1" selected="0">
            <x v="3"/>
          </reference>
          <reference field="48" count="1">
            <x v="2"/>
          </reference>
          <reference field="56" count="1" selected="0">
            <x v="3"/>
          </reference>
          <reference field="57" count="1" selected="0">
            <x v="7"/>
          </reference>
        </references>
      </pivotArea>
    </format>
    <format dxfId="73">
      <pivotArea dataOnly="0" labelOnly="1" outline="0" fieldPosition="0">
        <references count="5">
          <reference field="7" count="1" selected="0">
            <x v="9"/>
          </reference>
          <reference field="15" count="1" selected="0">
            <x v="3"/>
          </reference>
          <reference field="48" count="1">
            <x v="2"/>
          </reference>
          <reference field="56" count="1" selected="0">
            <x v="3"/>
          </reference>
          <reference field="57" count="1" selected="0">
            <x v="7"/>
          </reference>
        </references>
      </pivotArea>
    </format>
    <format dxfId="72">
      <pivotArea dataOnly="0" labelOnly="1" outline="0" fieldPosition="0">
        <references count="5">
          <reference field="7" count="1" selected="0">
            <x v="26"/>
          </reference>
          <reference field="15" count="1" selected="0">
            <x v="3"/>
          </reference>
          <reference field="48" count="1">
            <x v="2"/>
          </reference>
          <reference field="56" count="1" selected="0">
            <x v="3"/>
          </reference>
          <reference field="57" count="1" selected="0">
            <x v="7"/>
          </reference>
        </references>
      </pivotArea>
    </format>
    <format dxfId="71">
      <pivotArea dataOnly="0" labelOnly="1" outline="0" fieldPosition="0">
        <references count="5">
          <reference field="7" count="1" selected="0">
            <x v="40"/>
          </reference>
          <reference field="15" count="1" selected="0">
            <x v="3"/>
          </reference>
          <reference field="48" count="1">
            <x v="2"/>
          </reference>
          <reference field="56" count="1" selected="0">
            <x v="3"/>
          </reference>
          <reference field="57" count="1" selected="0">
            <x v="7"/>
          </reference>
        </references>
      </pivotArea>
    </format>
    <format dxfId="70">
      <pivotArea dataOnly="0" labelOnly="1" outline="0" fieldPosition="0">
        <references count="5">
          <reference field="7" count="1" selected="0">
            <x v="41"/>
          </reference>
          <reference field="15" count="1" selected="0">
            <x v="3"/>
          </reference>
          <reference field="48" count="1">
            <x v="2"/>
          </reference>
          <reference field="56" count="1" selected="0">
            <x v="3"/>
          </reference>
          <reference field="57" count="1" selected="0">
            <x v="7"/>
          </reference>
        </references>
      </pivotArea>
    </format>
    <format dxfId="69">
      <pivotArea dataOnly="0" labelOnly="1" outline="0" fieldPosition="0">
        <references count="5">
          <reference field="7" count="1" selected="0">
            <x v="44"/>
          </reference>
          <reference field="15" count="1" selected="0">
            <x v="3"/>
          </reference>
          <reference field="48" count="1">
            <x v="2"/>
          </reference>
          <reference field="56" count="1" selected="0">
            <x v="3"/>
          </reference>
          <reference field="57" count="1" selected="0">
            <x v="7"/>
          </reference>
        </references>
      </pivotArea>
    </format>
    <format dxfId="68">
      <pivotArea dataOnly="0" labelOnly="1" outline="0" fieldPosition="0">
        <references count="5">
          <reference field="7" count="1" selected="0">
            <x v="46"/>
          </reference>
          <reference field="15" count="1" selected="0">
            <x v="3"/>
          </reference>
          <reference field="48" count="1">
            <x v="2"/>
          </reference>
          <reference field="56" count="1" selected="0">
            <x v="3"/>
          </reference>
          <reference field="57" count="1" selected="0">
            <x v="7"/>
          </reference>
        </references>
      </pivotArea>
    </format>
    <format dxfId="67">
      <pivotArea dataOnly="0" labelOnly="1" outline="0" fieldPosition="0">
        <references count="5">
          <reference field="7" count="1" selected="0">
            <x v="50"/>
          </reference>
          <reference field="15" count="1" selected="0">
            <x v="3"/>
          </reference>
          <reference field="48" count="1">
            <x v="2"/>
          </reference>
          <reference field="56" count="1" selected="0">
            <x v="3"/>
          </reference>
          <reference field="57" count="1" selected="0">
            <x v="7"/>
          </reference>
        </references>
      </pivotArea>
    </format>
    <format dxfId="66">
      <pivotArea dataOnly="0" labelOnly="1" outline="0" fieldPosition="0">
        <references count="5">
          <reference field="7" count="1" selected="0">
            <x v="56"/>
          </reference>
          <reference field="15" count="1" selected="0">
            <x v="3"/>
          </reference>
          <reference field="48" count="1">
            <x v="2"/>
          </reference>
          <reference field="56" count="1" selected="0">
            <x v="3"/>
          </reference>
          <reference field="57" count="1" selected="0">
            <x v="7"/>
          </reference>
        </references>
      </pivotArea>
    </format>
    <format dxfId="65">
      <pivotArea dataOnly="0" labelOnly="1" outline="0" fieldPosition="0">
        <references count="5">
          <reference field="7" count="1" selected="0">
            <x v="59"/>
          </reference>
          <reference field="15" count="1" selected="0">
            <x v="3"/>
          </reference>
          <reference field="48" count="1">
            <x v="2"/>
          </reference>
          <reference field="56" count="1" selected="0">
            <x v="3"/>
          </reference>
          <reference field="57" count="1" selected="0">
            <x v="7"/>
          </reference>
        </references>
      </pivotArea>
    </format>
    <format dxfId="64">
      <pivotArea dataOnly="0" labelOnly="1" outline="0" fieldPosition="0">
        <references count="5">
          <reference field="7" count="1" selected="0">
            <x v="66"/>
          </reference>
          <reference field="15" count="1" selected="0">
            <x v="3"/>
          </reference>
          <reference field="48" count="1">
            <x v="2"/>
          </reference>
          <reference field="56" count="1" selected="0">
            <x v="3"/>
          </reference>
          <reference field="57" count="1" selected="0">
            <x v="7"/>
          </reference>
        </references>
      </pivotArea>
    </format>
    <format dxfId="63">
      <pivotArea dataOnly="0" labelOnly="1" outline="0" fieldPosition="0">
        <references count="5">
          <reference field="7" count="1" selected="0">
            <x v="67"/>
          </reference>
          <reference field="15" count="1" selected="0">
            <x v="3"/>
          </reference>
          <reference field="48" count="1">
            <x v="2"/>
          </reference>
          <reference field="56" count="1" selected="0">
            <x v="3"/>
          </reference>
          <reference field="57" count="1" selected="0">
            <x v="7"/>
          </reference>
        </references>
      </pivotArea>
    </format>
    <format dxfId="62">
      <pivotArea dataOnly="0" labelOnly="1" outline="0" fieldPosition="0">
        <references count="5">
          <reference field="7" count="1" selected="0">
            <x v="83"/>
          </reference>
          <reference field="15" count="1" selected="0">
            <x v="3"/>
          </reference>
          <reference field="48" count="1">
            <x v="2"/>
          </reference>
          <reference field="56" count="1" selected="0">
            <x v="3"/>
          </reference>
          <reference field="57" count="1" selected="0">
            <x v="7"/>
          </reference>
        </references>
      </pivotArea>
    </format>
    <format dxfId="61">
      <pivotArea dataOnly="0" labelOnly="1" outline="0" fieldPosition="0">
        <references count="5">
          <reference field="7" count="1" selected="0">
            <x v="5"/>
          </reference>
          <reference field="15" count="1" selected="0">
            <x v="2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60">
      <pivotArea dataOnly="0" labelOnly="1" outline="0" fieldPosition="0">
        <references count="5">
          <reference field="7" count="1" selected="0">
            <x v="11"/>
          </reference>
          <reference field="15" count="1" selected="0">
            <x v="2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59">
      <pivotArea dataOnly="0" labelOnly="1" outline="0" fieldPosition="0">
        <references count="5">
          <reference field="7" count="1" selected="0">
            <x v="12"/>
          </reference>
          <reference field="15" count="1" selected="0">
            <x v="2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58">
      <pivotArea dataOnly="0" labelOnly="1" outline="0" fieldPosition="0">
        <references count="5">
          <reference field="7" count="1" selected="0">
            <x v="19"/>
          </reference>
          <reference field="15" count="1" selected="0">
            <x v="2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57">
      <pivotArea dataOnly="0" labelOnly="1" outline="0" fieldPosition="0">
        <references count="5">
          <reference field="7" count="1" selected="0">
            <x v="22"/>
          </reference>
          <reference field="15" count="1" selected="0">
            <x v="2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56">
      <pivotArea dataOnly="0" labelOnly="1" outline="0" fieldPosition="0">
        <references count="5">
          <reference field="7" count="1" selected="0">
            <x v="34"/>
          </reference>
          <reference field="15" count="1" selected="0">
            <x v="2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55">
      <pivotArea dataOnly="0" labelOnly="1" outline="0" fieldPosition="0">
        <references count="5">
          <reference field="7" count="1" selected="0">
            <x v="51"/>
          </reference>
          <reference field="15" count="1" selected="0">
            <x v="2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54">
      <pivotArea dataOnly="0" labelOnly="1" outline="0" fieldPosition="0">
        <references count="5">
          <reference field="7" count="1" selected="0">
            <x v="54"/>
          </reference>
          <reference field="15" count="1" selected="0">
            <x v="2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53">
      <pivotArea dataOnly="0" labelOnly="1" outline="0" fieldPosition="0">
        <references count="5">
          <reference field="7" count="1" selected="0">
            <x v="62"/>
          </reference>
          <reference field="15" count="1" selected="0">
            <x v="2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52">
      <pivotArea dataOnly="0" labelOnly="1" outline="0" fieldPosition="0">
        <references count="5">
          <reference field="7" count="1" selected="0">
            <x v="64"/>
          </reference>
          <reference field="15" count="1" selected="0">
            <x v="2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51">
      <pivotArea dataOnly="0" labelOnly="1" outline="0" fieldPosition="0">
        <references count="5">
          <reference field="7" count="1" selected="0">
            <x v="69"/>
          </reference>
          <reference field="15" count="1" selected="0">
            <x v="2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50">
      <pivotArea dataOnly="0" labelOnly="1" outline="0" fieldPosition="0">
        <references count="5">
          <reference field="7" count="1" selected="0">
            <x v="72"/>
          </reference>
          <reference field="15" count="1" selected="0">
            <x v="2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49">
      <pivotArea dataOnly="0" labelOnly="1" outline="0" fieldPosition="0">
        <references count="5">
          <reference field="7" count="1" selected="0">
            <x v="75"/>
          </reference>
          <reference field="15" count="1" selected="0">
            <x v="2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48">
      <pivotArea dataOnly="0" labelOnly="1" outline="0" fieldPosition="0">
        <references count="5">
          <reference field="7" count="1" selected="0">
            <x v="37"/>
          </reference>
          <reference field="15" count="1" selected="0">
            <x v="4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47">
      <pivotArea dataOnly="0" labelOnly="1" outline="0" fieldPosition="0">
        <references count="5">
          <reference field="7" count="1" selected="0">
            <x v="60"/>
          </reference>
          <reference field="15" count="1" selected="0">
            <x v="4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46">
      <pivotArea dataOnly="0" labelOnly="1" outline="0" fieldPosition="0">
        <references count="5">
          <reference field="7" count="1" selected="0">
            <x v="63"/>
          </reference>
          <reference field="15" count="1" selected="0">
            <x v="4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45">
      <pivotArea dataOnly="0" labelOnly="1" outline="0" fieldPosition="0">
        <references count="5">
          <reference field="7" count="1" selected="0">
            <x v="74"/>
          </reference>
          <reference field="15" count="1" selected="0">
            <x v="4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8"/>
          </reference>
        </references>
      </pivotArea>
    </format>
    <format dxfId="44">
      <pivotArea dataOnly="0" labelOnly="1" outline="0" fieldPosition="0">
        <references count="5">
          <reference field="7" count="1" selected="0">
            <x v="2"/>
          </reference>
          <reference field="15" count="1" selected="0">
            <x v="13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9"/>
          </reference>
        </references>
      </pivotArea>
    </format>
    <format dxfId="43">
      <pivotArea dataOnly="0" labelOnly="1" outline="0" fieldPosition="0">
        <references count="5">
          <reference field="7" count="1" selected="0">
            <x v="14"/>
          </reference>
          <reference field="15" count="1" selected="0">
            <x v="13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9"/>
          </reference>
        </references>
      </pivotArea>
    </format>
    <format dxfId="42">
      <pivotArea dataOnly="0" labelOnly="1" outline="0" fieldPosition="0">
        <references count="5">
          <reference field="7" count="1" selected="0">
            <x v="43"/>
          </reference>
          <reference field="15" count="1" selected="0">
            <x v="13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9"/>
          </reference>
        </references>
      </pivotArea>
    </format>
    <format dxfId="41">
      <pivotArea dataOnly="0" labelOnly="1" outline="0" fieldPosition="0">
        <references count="5">
          <reference field="7" count="1" selected="0">
            <x v="61"/>
          </reference>
          <reference field="15" count="1" selected="0">
            <x v="13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9"/>
          </reference>
        </references>
      </pivotArea>
    </format>
    <format dxfId="40">
      <pivotArea dataOnly="0" labelOnly="1" outline="0" fieldPosition="0">
        <references count="5">
          <reference field="7" count="1" selected="0">
            <x v="81"/>
          </reference>
          <reference field="15" count="1" selected="0">
            <x v="14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9"/>
          </reference>
        </references>
      </pivotArea>
    </format>
    <format dxfId="39">
      <pivotArea dataOnly="0" labelOnly="1" outline="0" fieldPosition="0">
        <references count="5">
          <reference field="7" count="1" selected="0">
            <x v="82"/>
          </reference>
          <reference field="15" count="1" selected="0">
            <x v="14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9"/>
          </reference>
        </references>
      </pivotArea>
    </format>
    <format dxfId="38">
      <pivotArea dataOnly="0" labelOnly="1" outline="0" fieldPosition="0">
        <references count="5">
          <reference field="7" count="1" selected="0">
            <x v="0"/>
          </reference>
          <reference field="15" count="1" selected="0">
            <x v="18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9"/>
          </reference>
        </references>
      </pivotArea>
    </format>
    <format dxfId="37">
      <pivotArea dataOnly="0" labelOnly="1" outline="0" fieldPosition="0">
        <references count="5">
          <reference field="7" count="1" selected="0">
            <x v="25"/>
          </reference>
          <reference field="15" count="1" selected="0">
            <x v="18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9"/>
          </reference>
        </references>
      </pivotArea>
    </format>
    <format dxfId="36">
      <pivotArea dataOnly="0" labelOnly="1" outline="0" fieldPosition="0">
        <references count="5">
          <reference field="7" count="1" selected="0">
            <x v="79"/>
          </reference>
          <reference field="15" count="1" selected="0">
            <x v="18"/>
          </reference>
          <reference field="48" count="1">
            <x v="2"/>
          </reference>
          <reference field="56" count="1" selected="0">
            <x v="4"/>
          </reference>
          <reference field="57" count="1" selected="0">
            <x v="9"/>
          </reference>
        </references>
      </pivotArea>
    </format>
    <format dxfId="35">
      <pivotArea dataOnly="0" labelOnly="1" outline="0" fieldPosition="0">
        <references count="5">
          <reference field="7" count="1" selected="0">
            <x v="29"/>
          </reference>
          <reference field="15" count="1" selected="0">
            <x v="22"/>
          </reference>
          <reference field="48" count="1">
            <x v="2"/>
          </reference>
          <reference field="56" count="1" selected="0">
            <x v="12"/>
          </reference>
          <reference field="57" count="1" selected="0">
            <x v="10"/>
          </reference>
        </references>
      </pivotArea>
    </format>
    <format dxfId="34">
      <pivotArea dataOnly="0" labelOnly="1" outline="0" fieldPosition="0">
        <references count="5">
          <reference field="7" count="1" selected="0">
            <x v="7"/>
          </reference>
          <reference field="15" count="1" selected="0">
            <x v="7"/>
          </reference>
          <reference field="48" count="1">
            <x v="2"/>
          </reference>
          <reference field="56" count="1" selected="0">
            <x v="5"/>
          </reference>
          <reference field="57" count="1" selected="0">
            <x v="11"/>
          </reference>
        </references>
      </pivotArea>
    </format>
    <format dxfId="33">
      <pivotArea dataOnly="0" labelOnly="1" outline="0" fieldPosition="0">
        <references count="5">
          <reference field="7" count="1" selected="0">
            <x v="18"/>
          </reference>
          <reference field="15" count="1" selected="0">
            <x v="11"/>
          </reference>
          <reference field="48" count="1">
            <x v="2"/>
          </reference>
          <reference field="56" count="1" selected="0">
            <x v="6"/>
          </reference>
          <reference field="57" count="1" selected="0">
            <x v="12"/>
          </reference>
        </references>
      </pivotArea>
    </format>
    <format dxfId="32">
      <pivotArea dataOnly="0" labelOnly="1" outline="0" fieldPosition="0">
        <references count="5">
          <reference field="7" count="1" selected="0">
            <x v="4"/>
          </reference>
          <reference field="15" count="1" selected="0">
            <x v="8"/>
          </reference>
          <reference field="48" count="1">
            <x v="2"/>
          </reference>
          <reference field="56" count="1" selected="0">
            <x v="7"/>
          </reference>
          <reference field="57" count="1" selected="0">
            <x v="13"/>
          </reference>
        </references>
      </pivotArea>
    </format>
    <format dxfId="31">
      <pivotArea dataOnly="0" labelOnly="1" outline="0" fieldPosition="0">
        <references count="5">
          <reference field="7" count="1" selected="0">
            <x v="20"/>
          </reference>
          <reference field="15" count="1" selected="0">
            <x v="8"/>
          </reference>
          <reference field="48" count="1">
            <x v="2"/>
          </reference>
          <reference field="56" count="1" selected="0">
            <x v="7"/>
          </reference>
          <reference field="57" count="1" selected="0">
            <x v="13"/>
          </reference>
        </references>
      </pivotArea>
    </format>
    <format dxfId="30">
      <pivotArea dataOnly="0" labelOnly="1" outline="0" fieldPosition="0">
        <references count="5">
          <reference field="7" count="1" selected="0">
            <x v="27"/>
          </reference>
          <reference field="15" count="1" selected="0">
            <x v="8"/>
          </reference>
          <reference field="48" count="1">
            <x v="2"/>
          </reference>
          <reference field="56" count="1" selected="0">
            <x v="7"/>
          </reference>
          <reference field="57" count="1" selected="0">
            <x v="13"/>
          </reference>
        </references>
      </pivotArea>
    </format>
    <format dxfId="29">
      <pivotArea dataOnly="0" labelOnly="1" outline="0" fieldPosition="0">
        <references count="5">
          <reference field="7" count="1" selected="0">
            <x v="38"/>
          </reference>
          <reference field="15" count="1" selected="0">
            <x v="8"/>
          </reference>
          <reference field="48" count="1">
            <x v="2"/>
          </reference>
          <reference field="56" count="1" selected="0">
            <x v="7"/>
          </reference>
          <reference field="57" count="1" selected="0">
            <x v="13"/>
          </reference>
        </references>
      </pivotArea>
    </format>
    <format dxfId="28">
      <pivotArea dataOnly="0" labelOnly="1" outline="0" fieldPosition="0">
        <references count="5">
          <reference field="7" count="1" selected="0">
            <x v="42"/>
          </reference>
          <reference field="15" count="1" selected="0">
            <x v="8"/>
          </reference>
          <reference field="48" count="1">
            <x v="2"/>
          </reference>
          <reference field="56" count="1" selected="0">
            <x v="7"/>
          </reference>
          <reference field="57" count="1" selected="0">
            <x v="13"/>
          </reference>
        </references>
      </pivotArea>
    </format>
    <format dxfId="27">
      <pivotArea dataOnly="0" labelOnly="1" outline="0" fieldPosition="0">
        <references count="5">
          <reference field="7" count="1" selected="0">
            <x v="53"/>
          </reference>
          <reference field="15" count="1" selected="0">
            <x v="8"/>
          </reference>
          <reference field="48" count="1">
            <x v="2"/>
          </reference>
          <reference field="56" count="1" selected="0">
            <x v="7"/>
          </reference>
          <reference field="57" count="1" selected="0">
            <x v="13"/>
          </reference>
        </references>
      </pivotArea>
    </format>
    <format dxfId="26">
      <pivotArea dataOnly="0" labelOnly="1" outline="0" fieldPosition="0">
        <references count="5">
          <reference field="7" count="1" selected="0">
            <x v="73"/>
          </reference>
          <reference field="15" count="1" selected="0">
            <x v="8"/>
          </reference>
          <reference field="48" count="1">
            <x v="2"/>
          </reference>
          <reference field="56" count="1" selected="0">
            <x v="7"/>
          </reference>
          <reference field="57" count="1" selected="0">
            <x v="13"/>
          </reference>
        </references>
      </pivotArea>
    </format>
    <format dxfId="25">
      <pivotArea dataOnly="0" labelOnly="1" outline="0" fieldPosition="0">
        <references count="5">
          <reference field="7" count="1" selected="0">
            <x v="6"/>
          </reference>
          <reference field="15" count="1" selected="0">
            <x v="6"/>
          </reference>
          <reference field="48" count="1">
            <x v="2"/>
          </reference>
          <reference field="56" count="1" selected="0">
            <x v="8"/>
          </reference>
          <reference field="57" count="1" selected="0">
            <x v="14"/>
          </reference>
        </references>
      </pivotArea>
    </format>
    <format dxfId="24">
      <pivotArea dataOnly="0" labelOnly="1" outline="0" fieldPosition="0">
        <references count="5">
          <reference field="7" count="1" selected="0">
            <x v="17"/>
          </reference>
          <reference field="15" count="1" selected="0">
            <x v="6"/>
          </reference>
          <reference field="48" count="1">
            <x v="2"/>
          </reference>
          <reference field="56" count="1" selected="0">
            <x v="8"/>
          </reference>
          <reference field="57" count="1" selected="0">
            <x v="14"/>
          </reference>
        </references>
      </pivotArea>
    </format>
    <format dxfId="23">
      <pivotArea dataOnly="0" labelOnly="1" outline="0" fieldPosition="0">
        <references count="5">
          <reference field="7" count="1" selected="0">
            <x v="28"/>
          </reference>
          <reference field="15" count="1" selected="0">
            <x v="6"/>
          </reference>
          <reference field="48" count="1">
            <x v="2"/>
          </reference>
          <reference field="56" count="1" selected="0">
            <x v="8"/>
          </reference>
          <reference field="57" count="1" selected="0">
            <x v="14"/>
          </reference>
        </references>
      </pivotArea>
    </format>
    <format dxfId="22">
      <pivotArea dataOnly="0" labelOnly="1" outline="0" fieldPosition="0">
        <references count="5">
          <reference field="7" count="1" selected="0">
            <x v="47"/>
          </reference>
          <reference field="15" count="1" selected="0">
            <x v="6"/>
          </reference>
          <reference field="48" count="1">
            <x v="2"/>
          </reference>
          <reference field="56" count="1" selected="0">
            <x v="8"/>
          </reference>
          <reference field="57" count="1" selected="0">
            <x v="14"/>
          </reference>
        </references>
      </pivotArea>
    </format>
    <format dxfId="21">
      <pivotArea dataOnly="0" labelOnly="1" outline="0" fieldPosition="0">
        <references count="5">
          <reference field="7" count="1" selected="0">
            <x v="70"/>
          </reference>
          <reference field="15" count="1" selected="0">
            <x v="6"/>
          </reference>
          <reference field="48" count="1">
            <x v="2"/>
          </reference>
          <reference field="56" count="1" selected="0">
            <x v="8"/>
          </reference>
          <reference field="57" count="1" selected="0">
            <x v="14"/>
          </reference>
        </references>
      </pivotArea>
    </format>
    <format dxfId="20">
      <pivotArea dataOnly="0" labelOnly="1" outline="0" fieldPosition="0">
        <references count="5">
          <reference field="7" count="1" selected="0">
            <x v="78"/>
          </reference>
          <reference field="15" count="1" selected="0">
            <x v="6"/>
          </reference>
          <reference field="48" count="1">
            <x v="2"/>
          </reference>
          <reference field="56" count="1" selected="0">
            <x v="8"/>
          </reference>
          <reference field="57" count="1" selected="0">
            <x v="14"/>
          </reference>
        </references>
      </pivotArea>
    </format>
    <format dxfId="19">
      <pivotArea dataOnly="0" labelOnly="1" outline="0" fieldPosition="0">
        <references count="5">
          <reference field="7" count="1" selected="0">
            <x v="3"/>
          </reference>
          <reference field="15" count="1" selected="0">
            <x v="9"/>
          </reference>
          <reference field="48" count="1">
            <x v="2"/>
          </reference>
          <reference field="56" count="1" selected="0">
            <x v="9"/>
          </reference>
          <reference field="57" count="1" selected="0">
            <x v="15"/>
          </reference>
        </references>
      </pivotArea>
    </format>
    <format dxfId="18">
      <pivotArea dataOnly="0" labelOnly="1" outline="0" fieldPosition="0">
        <references count="5">
          <reference field="7" count="1" selected="0">
            <x v="21"/>
          </reference>
          <reference field="15" count="1" selected="0">
            <x v="9"/>
          </reference>
          <reference field="48" count="1">
            <x v="2"/>
          </reference>
          <reference field="56" count="1" selected="0">
            <x v="9"/>
          </reference>
          <reference field="57" count="1" selected="0">
            <x v="15"/>
          </reference>
        </references>
      </pivotArea>
    </format>
    <format dxfId="17">
      <pivotArea dataOnly="0" labelOnly="1" outline="0" fieldPosition="0">
        <references count="5">
          <reference field="7" count="1" selected="0">
            <x v="48"/>
          </reference>
          <reference field="15" count="1" selected="0">
            <x v="9"/>
          </reference>
          <reference field="48" count="1">
            <x v="2"/>
          </reference>
          <reference field="56" count="1" selected="0">
            <x v="9"/>
          </reference>
          <reference field="57" count="1" selected="0">
            <x v="15"/>
          </reference>
        </references>
      </pivotArea>
    </format>
    <format dxfId="16">
      <pivotArea dataOnly="0" labelOnly="1" outline="0" fieldPosition="0">
        <references count="5">
          <reference field="7" count="1" selected="0">
            <x v="71"/>
          </reference>
          <reference field="15" count="1" selected="0">
            <x v="9"/>
          </reference>
          <reference field="48" count="1">
            <x v="2"/>
          </reference>
          <reference field="56" count="1" selected="0">
            <x v="9"/>
          </reference>
          <reference field="57" count="1" selected="0">
            <x v="15"/>
          </reference>
        </references>
      </pivotArea>
    </format>
    <format dxfId="15">
      <pivotArea dataOnly="0" labelOnly="1" outline="0" fieldPosition="0">
        <references count="5">
          <reference field="7" count="1" selected="0">
            <x v="16"/>
          </reference>
          <reference field="15" count="1" selected="0">
            <x v="10"/>
          </reference>
          <reference field="48" count="1">
            <x v="2"/>
          </reference>
          <reference field="56" count="1" selected="0">
            <x v="9"/>
          </reference>
          <reference field="57" count="1" selected="0">
            <x v="15"/>
          </reference>
        </references>
      </pivotArea>
    </format>
    <format dxfId="14">
      <pivotArea dataOnly="0" labelOnly="1" outline="0" fieldPosition="0">
        <references count="5">
          <reference field="7" count="1" selected="0">
            <x v="32"/>
          </reference>
          <reference field="15" count="1" selected="0">
            <x v="10"/>
          </reference>
          <reference field="48" count="1">
            <x v="2"/>
          </reference>
          <reference field="56" count="1" selected="0">
            <x v="9"/>
          </reference>
          <reference field="57" count="1" selected="0">
            <x v="15"/>
          </reference>
        </references>
      </pivotArea>
    </format>
    <format dxfId="13">
      <pivotArea dataOnly="0" labelOnly="1" outline="0" fieldPosition="0">
        <references count="5">
          <reference field="7" count="1" selected="0">
            <x v="77"/>
          </reference>
          <reference field="15" count="1" selected="0">
            <x v="10"/>
          </reference>
          <reference field="48" count="1">
            <x v="2"/>
          </reference>
          <reference field="56" count="1" selected="0">
            <x v="9"/>
          </reference>
          <reference field="57" count="1" selected="0">
            <x v="15"/>
          </reference>
        </references>
      </pivotArea>
    </format>
    <format dxfId="12">
      <pivotArea dataOnly="0" labelOnly="1" outline="0" fieldPosition="0">
        <references count="5">
          <reference field="7" count="1" selected="0">
            <x v="23"/>
          </reference>
          <reference field="15" count="1" selected="0">
            <x v="21"/>
          </reference>
          <reference field="48" count="1">
            <x v="2"/>
          </reference>
          <reference field="56" count="1" selected="0">
            <x v="11"/>
          </reference>
          <reference field="57" count="1" selected="0">
            <x v="16"/>
          </reference>
        </references>
      </pivotArea>
    </format>
    <format dxfId="11">
      <pivotArea dataOnly="0" labelOnly="1" outline="0" fieldPosition="0">
        <references count="5">
          <reference field="7" count="1" selected="0">
            <x v="30"/>
          </reference>
          <reference field="15" count="1" selected="0">
            <x v="1"/>
          </reference>
          <reference field="48" count="1">
            <x v="2"/>
          </reference>
          <reference field="56" count="1" selected="0">
            <x v="10"/>
          </reference>
          <reference field="57" count="1" selected="0">
            <x v="17"/>
          </reference>
        </references>
      </pivotArea>
    </format>
    <format dxfId="10">
      <pivotArea dataOnly="0" labelOnly="1" outline="0" fieldPosition="0">
        <references count="5">
          <reference field="7" count="1" selected="0">
            <x v="52"/>
          </reference>
          <reference field="15" count="1" selected="0">
            <x v="5"/>
          </reference>
          <reference field="48" count="1">
            <x v="2"/>
          </reference>
          <reference field="56" count="1" selected="0">
            <x v="10"/>
          </reference>
          <reference field="57" count="1" selected="0">
            <x v="17"/>
          </reference>
        </references>
      </pivotArea>
    </format>
    <format dxfId="9">
      <pivotArea dataOnly="0" labelOnly="1" outline="0" fieldPosition="0">
        <references count="5">
          <reference field="7" count="1" selected="0">
            <x v="49"/>
          </reference>
          <reference field="15" count="1" selected="0">
            <x v="24"/>
          </reference>
          <reference field="48" count="1">
            <x v="2"/>
          </reference>
          <reference field="56" count="1" selected="0">
            <x v="13"/>
          </reference>
          <reference field="57" count="1" selected="0">
            <x v="18"/>
          </reference>
        </references>
      </pivotArea>
    </format>
    <format dxfId="8">
      <pivotArea dataOnly="0" labelOnly="1" outline="0" fieldPosition="0">
        <references count="5">
          <reference field="7" count="1" selected="0">
            <x v="80"/>
          </reference>
          <reference field="15" count="1" selected="0">
            <x v="26"/>
          </reference>
          <reference field="48" count="1">
            <x v="2"/>
          </reference>
          <reference field="56" count="1" selected="0">
            <x v="14"/>
          </reference>
          <reference field="57" count="1" selected="0">
            <x v="19"/>
          </reference>
        </references>
      </pivotArea>
    </format>
    <format dxfId="7">
      <pivotArea dataOnly="0" labelOnly="1" outline="0" fieldPosition="0">
        <references count="5">
          <reference field="7" count="1" selected="0">
            <x v="13"/>
          </reference>
          <reference field="15" count="1" selected="0">
            <x v="19"/>
          </reference>
          <reference field="48" count="1">
            <x v="2"/>
          </reference>
          <reference field="56" count="1" selected="0">
            <x v="1"/>
          </reference>
          <reference field="57" count="1" selected="0">
            <x v="2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name="PivotTable1" cacheId="60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compact="0" compactData="0" gridDropZones="1" multipleFieldFilters="0">
  <location ref="A5:H7" firstHeaderRow="1" firstDataRow="2" firstDataCol="2" rowPageCount="2" colPageCount="1"/>
  <pivotFields count="6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0" axis="axisPage" compact="0" outline="0" multipleItemSelectionAllowed="1" showAll="0" defaultSubtotal="0">
      <items count="3">
        <item h="1" x="1"/>
        <item x="0"/>
        <item h="1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9" outline="0" showAll="0" defaultSubtotal="0">
      <items count="37">
        <item x="15"/>
        <item m="1" x="31"/>
        <item m="1" x="33"/>
        <item m="1" x="34"/>
        <item m="1" x="36"/>
        <item m="1" x="32"/>
        <item m="1" x="30"/>
        <item m="1" x="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">
        <item h="1"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x="2"/>
        <item x="5"/>
        <item x="10"/>
        <item x="3"/>
        <item x="0"/>
        <item x="6"/>
        <item m="1" x="17"/>
        <item m="1" x="18"/>
        <item x="7"/>
        <item x="1"/>
        <item x="4"/>
        <item x="9"/>
        <item x="8"/>
        <item m="1" x="13"/>
        <item x="11"/>
        <item m="1" x="14"/>
        <item m="1" x="19"/>
        <item m="1" x="16"/>
        <item m="1" x="15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6"/>
    <field x="48"/>
  </rowFields>
  <rowItems count="1"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5" hier="-1"/>
    <pageField fld="52" hier="-1"/>
  </pageFields>
  <dataFields count="6">
    <dataField name=" Sale Amt." fld="36" baseField="0" baseItem="0"/>
    <dataField name=" CGST" fld="40" baseField="0" baseItem="0"/>
    <dataField name=" SGST" fld="46" baseField="0" baseItem="0"/>
    <dataField name=" IGST" fld="42" baseField="0" baseItem="0"/>
    <dataField name=" GST" fld="47" baseField="0" baseItem="0"/>
    <dataField name=" Total Amt." fld="50" baseField="0" baseItem="0"/>
  </dataFields>
  <formats count="2">
    <format dxfId="2">
      <pivotArea field="7" grandRow="1" outline="0" collapsedLevelsAreSubtotals="1">
        <references count="1">
          <reference field="4294967294" count="1" selected="0">
            <x v="0"/>
          </reference>
        </references>
      </pivotArea>
    </format>
    <format dxfId="1">
      <pivotArea dataOnly="0" labelOnly="1" outline="0" fieldPosition="0">
        <references count="1">
          <reference field="48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4" name="Table1" displayName="Table1" ref="A1:BJ253" totalsRowShown="0">
  <autoFilter ref="A1:BJ253"/>
  <tableColumns count="62">
    <tableColumn id="1" name="Unit"/>
    <tableColumn id="2" name="Type"/>
    <tableColumn id="3" name="Doc. No."/>
    <tableColumn id="62" name="Invoice No. Actual"/>
    <tableColumn id="61" name="Document type">
      <calculatedColumnFormula>IF(Table1[[#This Row],[Inv. Pfx.]]="SI-2","Invoices for outward supply",IF(Table1[[#This Row],[Inv. Pfx.]]="DN2","Debit Note",IF(Table1[[#This Row],[Inv. Pfx.]]="CN2","Credit Note","Please update")))</calculatedColumnFormula>
    </tableColumn>
    <tableColumn id="4" name="Inv. Pfx."/>
    <tableColumn id="5" name="Inv. No."/>
    <tableColumn id="6" name="Inv. Pfx./Inv. No.">
      <calculatedColumnFormula>F2 &amp; "/"&amp; G2</calculatedColumnFormula>
    </tableColumn>
    <tableColumn id="7" name="SO/Prj. Reference"/>
    <tableColumn id="8" name="Sales Order Pfx."/>
    <tableColumn id="9" name="Sales Order No."/>
    <tableColumn id="10" name="sale order_date"/>
    <tableColumn id="11" name="Inv. Date" dataDxfId="0"/>
    <tableColumn id="12" name="Benf. Type"/>
    <tableColumn id="13" name="Benf."/>
    <tableColumn id="14" name="Benf. Name"/>
    <tableColumn id="15" name="DC No."/>
    <tableColumn id="16" name="DC Date"/>
    <tableColumn id="17" name="Bill No."/>
    <tableColumn id="18" name="Bill Date"/>
    <tableColumn id="19" name="Item"/>
    <tableColumn id="20" name="Item Rev."/>
    <tableColumn id="21" name="Item Desc."/>
    <tableColumn id="22" name="HSN/SAC Code"/>
    <tableColumn id="23" name="Item UOM"/>
    <tableColumn id="24" name="Category"/>
    <tableColumn id="25" name="Grade"/>
    <tableColumn id="26" name="Size"/>
    <tableColumn id="27" name="Pack Size"/>
    <tableColumn id="28" name="Customer Item"/>
    <tableColumn id="29" name="Description"/>
    <tableColumn id="30" name="Invoice Qty."/>
    <tableColumn id="31" name="Price"/>
    <tableColumn id="32" name="Curcy."/>
    <tableColumn id="33" name="Ex. Rate"/>
    <tableColumn id="34" name="Sale Amt.(FC)"/>
    <tableColumn id="35" name="Sale Amt."/>
    <tableColumn id="36" name="CGST@2.5%"/>
    <tableColumn id="37" name="CGST@9%"/>
    <tableColumn id="38" name="CGSTR@2.5%"/>
    <tableColumn id="39" name="CGST"/>
    <tableColumn id="40" name="IGST@18%"/>
    <tableColumn id="41" name="IGST"/>
    <tableColumn id="42" name="SGST@2.5%"/>
    <tableColumn id="43" name="SGST@9%"/>
    <tableColumn id="44" name="SGSTR@2.5%"/>
    <tableColumn id="45" name="SGST"/>
    <tableColumn id="60" name="GST">
      <calculatedColumnFormula>Table1[[#This Row],[CGST]]+Table1[[#This Row],[IGST]]+Table1[[#This Row],[SGST]]</calculatedColumnFormula>
    </tableColumn>
    <tableColumn id="59" name="GST%">
      <calculatedColumnFormula>ROUND((AV2/AJ2)*100,0.5)</calculatedColumnFormula>
    </tableColumn>
    <tableColumn id="46" name="0.075 Tcs Amt"/>
    <tableColumn id="47" name="Total Amt."/>
    <tableColumn id="48" name="GST Classification"/>
    <tableColumn id="49" name="GST Cust. Type"/>
    <tableColumn id="50" name="GST With/Without Pay"/>
    <tableColumn id="51" name="GST Reverse Mechanism"/>
    <tableColumn id="52" name="GST E/OE Type"/>
    <tableColumn id="53" name="Place of Supply"/>
    <tableColumn id="54" name="GST No."/>
    <tableColumn id="55" name="Vehicle_No"/>
    <tableColumn id="56" name="Weight(Kgs)"/>
    <tableColumn id="57" name="PO No."/>
    <tableColumn id="58" name="LR No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ocs">
    <tabColor rgb="FFFFFF00"/>
  </sheetPr>
  <dimension ref="A1:AL130"/>
  <sheetViews>
    <sheetView topLeftCell="B1" workbookViewId="0">
      <selection activeCell="K8" sqref="K8"/>
    </sheetView>
  </sheetViews>
  <sheetFormatPr defaultRowHeight="15" x14ac:dyDescent="0.25"/>
  <cols>
    <col min="1" max="2" width="26" bestFit="1" customWidth="1"/>
    <col min="3" max="4" width="18.28515625" bestFit="1" customWidth="1"/>
    <col min="5" max="8" width="10.5703125" hidden="1" customWidth="1"/>
    <col min="9" max="10" width="0" hidden="1" customWidth="1"/>
    <col min="11" max="11" width="4.7109375" bestFit="1" customWidth="1"/>
    <col min="12" max="12" width="26" bestFit="1" customWidth="1"/>
    <col min="13" max="14" width="14.42578125" bestFit="1" customWidth="1"/>
    <col min="15" max="15" width="13.28515625" bestFit="1" customWidth="1"/>
    <col min="16" max="16" width="9.7109375" bestFit="1" customWidth="1"/>
    <col min="17" max="18" width="5" bestFit="1" customWidth="1"/>
    <col min="19" max="19" width="9.28515625" bestFit="1" customWidth="1"/>
    <col min="23" max="23" width="11.28515625" bestFit="1" customWidth="1"/>
    <col min="24" max="24" width="4.7109375" bestFit="1" customWidth="1"/>
    <col min="25" max="31" width="0" hidden="1" customWidth="1"/>
    <col min="32" max="33" width="14.42578125" bestFit="1" customWidth="1"/>
  </cols>
  <sheetData>
    <row r="1" spans="1:38" x14ac:dyDescent="0.25">
      <c r="L1" t="s">
        <v>67</v>
      </c>
      <c r="M1" t="s">
        <v>72</v>
      </c>
      <c r="N1" t="s">
        <v>73</v>
      </c>
      <c r="O1" t="s">
        <v>74</v>
      </c>
      <c r="P1" t="s">
        <v>75</v>
      </c>
      <c r="Q1" t="s">
        <v>68</v>
      </c>
      <c r="R1" t="s">
        <v>69</v>
      </c>
      <c r="S1" t="s">
        <v>76</v>
      </c>
    </row>
    <row r="2" spans="1:38" x14ac:dyDescent="0.25">
      <c r="K2" t="s">
        <v>31</v>
      </c>
      <c r="L2" t="s">
        <v>64</v>
      </c>
      <c r="M2" t="s">
        <v>165</v>
      </c>
      <c r="N2" t="s">
        <v>166</v>
      </c>
      <c r="O2">
        <v>1</v>
      </c>
      <c r="P2">
        <v>-2</v>
      </c>
      <c r="Q2">
        <v>0</v>
      </c>
      <c r="R2">
        <v>0</v>
      </c>
    </row>
    <row r="3" spans="1:38" x14ac:dyDescent="0.25">
      <c r="K3" t="s">
        <v>8</v>
      </c>
      <c r="L3" t="s">
        <v>65</v>
      </c>
      <c r="M3" t="s">
        <v>167</v>
      </c>
      <c r="N3" t="s">
        <v>168</v>
      </c>
      <c r="O3">
        <v>1</v>
      </c>
      <c r="P3">
        <v>-126</v>
      </c>
      <c r="Q3">
        <v>0</v>
      </c>
      <c r="R3">
        <v>0</v>
      </c>
    </row>
    <row r="4" spans="1:38" x14ac:dyDescent="0.25">
      <c r="K4" t="s">
        <v>131</v>
      </c>
      <c r="L4" t="s">
        <v>136</v>
      </c>
      <c r="M4" t="s">
        <v>169</v>
      </c>
      <c r="N4" t="s">
        <v>169</v>
      </c>
      <c r="O4">
        <v>1</v>
      </c>
      <c r="P4">
        <v>0</v>
      </c>
      <c r="Q4">
        <v>0</v>
      </c>
      <c r="R4">
        <v>0</v>
      </c>
    </row>
    <row r="6" spans="1:38" x14ac:dyDescent="0.25">
      <c r="A6" s="1" t="s">
        <v>63</v>
      </c>
      <c r="B6" s="1" t="s">
        <v>43</v>
      </c>
      <c r="C6" s="1" t="s">
        <v>66</v>
      </c>
      <c r="D6" s="1" t="s">
        <v>26</v>
      </c>
      <c r="W6" s="1" t="s">
        <v>43</v>
      </c>
      <c r="AF6" s="23" t="s">
        <v>72</v>
      </c>
      <c r="AG6" s="23" t="s">
        <v>73</v>
      </c>
      <c r="AH6" s="23" t="s">
        <v>27</v>
      </c>
      <c r="AI6" s="23" t="s">
        <v>71</v>
      </c>
      <c r="AJ6" t="s">
        <v>68</v>
      </c>
      <c r="AK6" t="s">
        <v>69</v>
      </c>
      <c r="AL6" t="s">
        <v>70</v>
      </c>
    </row>
    <row r="7" spans="1:38" x14ac:dyDescent="0.25">
      <c r="A7" t="s">
        <v>64</v>
      </c>
      <c r="B7" t="s">
        <v>31</v>
      </c>
      <c r="C7" t="s">
        <v>231</v>
      </c>
      <c r="D7" t="s">
        <v>353</v>
      </c>
      <c r="W7" t="s">
        <v>31</v>
      </c>
      <c r="AF7" t="e">
        <f ca="1">VLOOKUP(AJ7,C:D,2,0)</f>
        <v>#NAME?</v>
      </c>
      <c r="AG7" t="e">
        <f ca="1">VLOOKUP(AK7,C:D,2,0)</f>
        <v>#NAME?</v>
      </c>
      <c r="AH7" t="e">
        <f ca="1">+AK7-AJ7</f>
        <v>#NAME?</v>
      </c>
      <c r="AI7" t="e">
        <f ca="1">+AH7-AL7</f>
        <v>#NAME?</v>
      </c>
      <c r="AJ7" t="e">
        <f ca="1">_xlfn.MINIFS(C:C,B:B,X7)</f>
        <v>#NAME?</v>
      </c>
      <c r="AK7" t="e">
        <f ca="1">_xlfn.MAXIFS(C:C,B:B,X7)</f>
        <v>#NAME?</v>
      </c>
      <c r="AL7">
        <f>COUNTIF(B:B,X7)</f>
        <v>1</v>
      </c>
    </row>
    <row r="8" spans="1:38" x14ac:dyDescent="0.25">
      <c r="A8" t="s">
        <v>65</v>
      </c>
      <c r="B8" t="s">
        <v>8</v>
      </c>
      <c r="C8" t="s">
        <v>197</v>
      </c>
      <c r="D8" t="s">
        <v>354</v>
      </c>
      <c r="W8" t="s">
        <v>8</v>
      </c>
      <c r="AF8" t="e">
        <f ca="1">VLOOKUP(AJ8,C:D,2,0)</f>
        <v>#NAME?</v>
      </c>
      <c r="AG8" t="e">
        <f ca="1">VLOOKUP(AK8,C:D,2,0)</f>
        <v>#NAME?</v>
      </c>
      <c r="AH8" t="e">
        <f ca="1">+AK8-AJ8+1</f>
        <v>#NAME?</v>
      </c>
      <c r="AI8" t="e">
        <f ca="1">+AH8-AL8</f>
        <v>#NAME?</v>
      </c>
      <c r="AJ8" t="e">
        <f ca="1">_xlfn.MINIFS(C:C,B:B,X8)</f>
        <v>#NAME?</v>
      </c>
      <c r="AK8" t="e">
        <f ca="1">_xlfn.MAXIFS(C:C,B:B,X8)</f>
        <v>#NAME?</v>
      </c>
      <c r="AL8">
        <f>COUNTIF(B:B,X8)</f>
        <v>1</v>
      </c>
    </row>
    <row r="9" spans="1:38" x14ac:dyDescent="0.25">
      <c r="A9" t="s">
        <v>65</v>
      </c>
      <c r="B9" t="s">
        <v>8</v>
      </c>
      <c r="C9" t="s">
        <v>202</v>
      </c>
      <c r="D9" t="s">
        <v>355</v>
      </c>
      <c r="W9" t="s">
        <v>22</v>
      </c>
    </row>
    <row r="10" spans="1:38" x14ac:dyDescent="0.25">
      <c r="A10" t="s">
        <v>65</v>
      </c>
      <c r="B10" t="s">
        <v>8</v>
      </c>
      <c r="C10" t="s">
        <v>204</v>
      </c>
      <c r="D10" t="s">
        <v>356</v>
      </c>
    </row>
    <row r="11" spans="1:38" x14ac:dyDescent="0.25">
      <c r="A11" t="s">
        <v>65</v>
      </c>
      <c r="B11" t="s">
        <v>8</v>
      </c>
      <c r="C11" t="s">
        <v>206</v>
      </c>
      <c r="D11" t="s">
        <v>357</v>
      </c>
    </row>
    <row r="12" spans="1:38" x14ac:dyDescent="0.25">
      <c r="A12" t="s">
        <v>65</v>
      </c>
      <c r="B12" t="s">
        <v>8</v>
      </c>
      <c r="C12" t="s">
        <v>208</v>
      </c>
      <c r="D12" t="s">
        <v>358</v>
      </c>
    </row>
    <row r="13" spans="1:38" x14ac:dyDescent="0.25">
      <c r="A13" t="s">
        <v>65</v>
      </c>
      <c r="B13" t="s">
        <v>8</v>
      </c>
      <c r="C13" t="s">
        <v>210</v>
      </c>
      <c r="D13" t="s">
        <v>359</v>
      </c>
    </row>
    <row r="14" spans="1:38" x14ac:dyDescent="0.25">
      <c r="A14" t="s">
        <v>65</v>
      </c>
      <c r="B14" t="s">
        <v>8</v>
      </c>
      <c r="C14" t="s">
        <v>212</v>
      </c>
      <c r="D14" t="s">
        <v>360</v>
      </c>
    </row>
    <row r="15" spans="1:38" x14ac:dyDescent="0.25">
      <c r="A15" t="s">
        <v>65</v>
      </c>
      <c r="B15" t="s">
        <v>8</v>
      </c>
      <c r="C15" t="s">
        <v>214</v>
      </c>
      <c r="D15" t="s">
        <v>361</v>
      </c>
    </row>
    <row r="16" spans="1:38" x14ac:dyDescent="0.25">
      <c r="A16" t="s">
        <v>65</v>
      </c>
      <c r="B16" t="s">
        <v>8</v>
      </c>
      <c r="C16" t="s">
        <v>215</v>
      </c>
      <c r="D16" t="s">
        <v>362</v>
      </c>
    </row>
    <row r="17" spans="1:4" x14ac:dyDescent="0.25">
      <c r="A17" t="s">
        <v>65</v>
      </c>
      <c r="B17" t="s">
        <v>8</v>
      </c>
      <c r="C17" t="s">
        <v>216</v>
      </c>
      <c r="D17" t="s">
        <v>363</v>
      </c>
    </row>
    <row r="18" spans="1:4" x14ac:dyDescent="0.25">
      <c r="A18" t="s">
        <v>65</v>
      </c>
      <c r="B18" t="s">
        <v>8</v>
      </c>
      <c r="C18" t="s">
        <v>219</v>
      </c>
      <c r="D18" t="s">
        <v>364</v>
      </c>
    </row>
    <row r="19" spans="1:4" x14ac:dyDescent="0.25">
      <c r="A19" t="s">
        <v>65</v>
      </c>
      <c r="B19" t="s">
        <v>8</v>
      </c>
      <c r="C19" t="s">
        <v>220</v>
      </c>
      <c r="D19" t="s">
        <v>365</v>
      </c>
    </row>
    <row r="20" spans="1:4" x14ac:dyDescent="0.25">
      <c r="A20" t="s">
        <v>65</v>
      </c>
      <c r="B20" t="s">
        <v>8</v>
      </c>
      <c r="C20" t="s">
        <v>222</v>
      </c>
      <c r="D20" t="s">
        <v>366</v>
      </c>
    </row>
    <row r="21" spans="1:4" x14ac:dyDescent="0.25">
      <c r="A21" t="s">
        <v>65</v>
      </c>
      <c r="B21" t="s">
        <v>8</v>
      </c>
      <c r="C21" t="s">
        <v>223</v>
      </c>
      <c r="D21" t="s">
        <v>367</v>
      </c>
    </row>
    <row r="22" spans="1:4" x14ac:dyDescent="0.25">
      <c r="A22" t="s">
        <v>65</v>
      </c>
      <c r="B22" t="s">
        <v>8</v>
      </c>
      <c r="C22" t="s">
        <v>224</v>
      </c>
      <c r="D22" t="s">
        <v>368</v>
      </c>
    </row>
    <row r="23" spans="1:4" x14ac:dyDescent="0.25">
      <c r="A23" t="s">
        <v>65</v>
      </c>
      <c r="B23" t="s">
        <v>8</v>
      </c>
      <c r="C23" t="s">
        <v>225</v>
      </c>
      <c r="D23" t="s">
        <v>369</v>
      </c>
    </row>
    <row r="24" spans="1:4" x14ac:dyDescent="0.25">
      <c r="A24" t="s">
        <v>65</v>
      </c>
      <c r="B24" t="s">
        <v>8</v>
      </c>
      <c r="C24" t="s">
        <v>227</v>
      </c>
      <c r="D24" t="s">
        <v>370</v>
      </c>
    </row>
    <row r="25" spans="1:4" x14ac:dyDescent="0.25">
      <c r="A25" t="s">
        <v>65</v>
      </c>
      <c r="B25" t="s">
        <v>8</v>
      </c>
      <c r="C25" t="s">
        <v>228</v>
      </c>
      <c r="D25" t="s">
        <v>371</v>
      </c>
    </row>
    <row r="26" spans="1:4" x14ac:dyDescent="0.25">
      <c r="A26" t="s">
        <v>65</v>
      </c>
      <c r="B26" t="s">
        <v>8</v>
      </c>
      <c r="C26" t="s">
        <v>229</v>
      </c>
      <c r="D26" t="s">
        <v>372</v>
      </c>
    </row>
    <row r="27" spans="1:4" x14ac:dyDescent="0.25">
      <c r="A27" t="s">
        <v>65</v>
      </c>
      <c r="B27" t="s">
        <v>8</v>
      </c>
      <c r="C27" t="s">
        <v>230</v>
      </c>
      <c r="D27" t="s">
        <v>373</v>
      </c>
    </row>
    <row r="28" spans="1:4" x14ac:dyDescent="0.25">
      <c r="A28" t="s">
        <v>65</v>
      </c>
      <c r="B28" t="s">
        <v>8</v>
      </c>
      <c r="C28" t="s">
        <v>232</v>
      </c>
      <c r="D28" t="s">
        <v>374</v>
      </c>
    </row>
    <row r="29" spans="1:4" x14ac:dyDescent="0.25">
      <c r="A29" t="s">
        <v>65</v>
      </c>
      <c r="B29" t="s">
        <v>8</v>
      </c>
      <c r="C29" t="s">
        <v>233</v>
      </c>
      <c r="D29" t="s">
        <v>375</v>
      </c>
    </row>
    <row r="30" spans="1:4" x14ac:dyDescent="0.25">
      <c r="A30" t="s">
        <v>65</v>
      </c>
      <c r="B30" t="s">
        <v>8</v>
      </c>
      <c r="C30" t="s">
        <v>234</v>
      </c>
      <c r="D30" t="s">
        <v>376</v>
      </c>
    </row>
    <row r="31" spans="1:4" x14ac:dyDescent="0.25">
      <c r="A31" t="s">
        <v>65</v>
      </c>
      <c r="B31" t="s">
        <v>8</v>
      </c>
      <c r="C31" t="s">
        <v>235</v>
      </c>
      <c r="D31" t="s">
        <v>377</v>
      </c>
    </row>
    <row r="32" spans="1:4" x14ac:dyDescent="0.25">
      <c r="A32" t="s">
        <v>65</v>
      </c>
      <c r="B32" t="s">
        <v>8</v>
      </c>
      <c r="C32" t="s">
        <v>236</v>
      </c>
      <c r="D32" t="s">
        <v>378</v>
      </c>
    </row>
    <row r="33" spans="1:4" x14ac:dyDescent="0.25">
      <c r="A33" t="s">
        <v>65</v>
      </c>
      <c r="B33" t="s">
        <v>8</v>
      </c>
      <c r="C33" t="s">
        <v>238</v>
      </c>
      <c r="D33" t="s">
        <v>379</v>
      </c>
    </row>
    <row r="34" spans="1:4" x14ac:dyDescent="0.25">
      <c r="A34" t="s">
        <v>65</v>
      </c>
      <c r="B34" t="s">
        <v>8</v>
      </c>
      <c r="C34" t="s">
        <v>239</v>
      </c>
      <c r="D34" t="s">
        <v>380</v>
      </c>
    </row>
    <row r="35" spans="1:4" x14ac:dyDescent="0.25">
      <c r="A35" t="s">
        <v>65</v>
      </c>
      <c r="B35" t="s">
        <v>8</v>
      </c>
      <c r="C35" t="s">
        <v>240</v>
      </c>
      <c r="D35" t="s">
        <v>381</v>
      </c>
    </row>
    <row r="36" spans="1:4" x14ac:dyDescent="0.25">
      <c r="A36" t="s">
        <v>65</v>
      </c>
      <c r="B36" t="s">
        <v>8</v>
      </c>
      <c r="C36" t="s">
        <v>241</v>
      </c>
      <c r="D36" t="s">
        <v>382</v>
      </c>
    </row>
    <row r="37" spans="1:4" x14ac:dyDescent="0.25">
      <c r="A37" t="s">
        <v>65</v>
      </c>
      <c r="B37" t="s">
        <v>8</v>
      </c>
      <c r="C37" t="s">
        <v>242</v>
      </c>
      <c r="D37" t="s">
        <v>383</v>
      </c>
    </row>
    <row r="38" spans="1:4" x14ac:dyDescent="0.25">
      <c r="A38" t="s">
        <v>65</v>
      </c>
      <c r="B38" t="s">
        <v>8</v>
      </c>
      <c r="C38" t="s">
        <v>243</v>
      </c>
      <c r="D38" t="s">
        <v>384</v>
      </c>
    </row>
    <row r="39" spans="1:4" x14ac:dyDescent="0.25">
      <c r="A39" t="s">
        <v>65</v>
      </c>
      <c r="B39" t="s">
        <v>8</v>
      </c>
      <c r="C39" t="s">
        <v>244</v>
      </c>
      <c r="D39" t="s">
        <v>385</v>
      </c>
    </row>
    <row r="40" spans="1:4" x14ac:dyDescent="0.25">
      <c r="A40" t="s">
        <v>65</v>
      </c>
      <c r="B40" t="s">
        <v>8</v>
      </c>
      <c r="C40" t="s">
        <v>245</v>
      </c>
      <c r="D40" t="s">
        <v>386</v>
      </c>
    </row>
    <row r="41" spans="1:4" x14ac:dyDescent="0.25">
      <c r="A41" t="s">
        <v>65</v>
      </c>
      <c r="B41" t="s">
        <v>8</v>
      </c>
      <c r="C41" t="s">
        <v>246</v>
      </c>
      <c r="D41" t="s">
        <v>387</v>
      </c>
    </row>
    <row r="42" spans="1:4" x14ac:dyDescent="0.25">
      <c r="A42" t="s">
        <v>65</v>
      </c>
      <c r="B42" t="s">
        <v>8</v>
      </c>
      <c r="C42" t="s">
        <v>248</v>
      </c>
      <c r="D42" t="s">
        <v>388</v>
      </c>
    </row>
    <row r="43" spans="1:4" x14ac:dyDescent="0.25">
      <c r="A43" t="s">
        <v>65</v>
      </c>
      <c r="B43" t="s">
        <v>8</v>
      </c>
      <c r="C43" t="s">
        <v>249</v>
      </c>
      <c r="D43" t="s">
        <v>389</v>
      </c>
    </row>
    <row r="44" spans="1:4" x14ac:dyDescent="0.25">
      <c r="A44" t="s">
        <v>65</v>
      </c>
      <c r="B44" t="s">
        <v>8</v>
      </c>
      <c r="C44" t="s">
        <v>250</v>
      </c>
      <c r="D44" t="s">
        <v>390</v>
      </c>
    </row>
    <row r="45" spans="1:4" x14ac:dyDescent="0.25">
      <c r="A45" t="s">
        <v>65</v>
      </c>
      <c r="B45" t="s">
        <v>8</v>
      </c>
      <c r="C45" t="s">
        <v>251</v>
      </c>
      <c r="D45" t="s">
        <v>391</v>
      </c>
    </row>
    <row r="46" spans="1:4" x14ac:dyDescent="0.25">
      <c r="A46" t="s">
        <v>65</v>
      </c>
      <c r="B46" t="s">
        <v>8</v>
      </c>
      <c r="C46" t="s">
        <v>252</v>
      </c>
      <c r="D46" t="s">
        <v>392</v>
      </c>
    </row>
    <row r="47" spans="1:4" x14ac:dyDescent="0.25">
      <c r="A47" t="s">
        <v>65</v>
      </c>
      <c r="B47" t="s">
        <v>8</v>
      </c>
      <c r="C47" t="s">
        <v>253</v>
      </c>
      <c r="D47" t="s">
        <v>393</v>
      </c>
    </row>
    <row r="48" spans="1:4" x14ac:dyDescent="0.25">
      <c r="A48" t="s">
        <v>65</v>
      </c>
      <c r="B48" t="s">
        <v>8</v>
      </c>
      <c r="C48" t="s">
        <v>254</v>
      </c>
      <c r="D48" t="s">
        <v>394</v>
      </c>
    </row>
    <row r="49" spans="1:4" x14ac:dyDescent="0.25">
      <c r="A49" t="s">
        <v>65</v>
      </c>
      <c r="B49" t="s">
        <v>8</v>
      </c>
      <c r="C49" t="s">
        <v>255</v>
      </c>
      <c r="D49" t="s">
        <v>395</v>
      </c>
    </row>
    <row r="50" spans="1:4" x14ac:dyDescent="0.25">
      <c r="A50" t="s">
        <v>65</v>
      </c>
      <c r="B50" t="s">
        <v>8</v>
      </c>
      <c r="C50" t="s">
        <v>256</v>
      </c>
      <c r="D50" t="s">
        <v>396</v>
      </c>
    </row>
    <row r="51" spans="1:4" x14ac:dyDescent="0.25">
      <c r="A51" t="s">
        <v>65</v>
      </c>
      <c r="B51" t="s">
        <v>8</v>
      </c>
      <c r="C51" t="s">
        <v>258</v>
      </c>
      <c r="D51" t="s">
        <v>397</v>
      </c>
    </row>
    <row r="52" spans="1:4" x14ac:dyDescent="0.25">
      <c r="A52" t="s">
        <v>65</v>
      </c>
      <c r="B52" t="s">
        <v>8</v>
      </c>
      <c r="C52" t="s">
        <v>260</v>
      </c>
      <c r="D52" t="s">
        <v>398</v>
      </c>
    </row>
    <row r="53" spans="1:4" x14ac:dyDescent="0.25">
      <c r="A53" t="s">
        <v>65</v>
      </c>
      <c r="B53" t="s">
        <v>8</v>
      </c>
      <c r="C53" t="s">
        <v>261</v>
      </c>
      <c r="D53" t="s">
        <v>399</v>
      </c>
    </row>
    <row r="54" spans="1:4" x14ac:dyDescent="0.25">
      <c r="A54" t="s">
        <v>65</v>
      </c>
      <c r="B54" t="s">
        <v>8</v>
      </c>
      <c r="C54" t="s">
        <v>262</v>
      </c>
      <c r="D54" t="s">
        <v>400</v>
      </c>
    </row>
    <row r="55" spans="1:4" x14ac:dyDescent="0.25">
      <c r="A55" t="s">
        <v>65</v>
      </c>
      <c r="B55" t="s">
        <v>8</v>
      </c>
      <c r="C55" t="s">
        <v>263</v>
      </c>
      <c r="D55" t="s">
        <v>401</v>
      </c>
    </row>
    <row r="56" spans="1:4" x14ac:dyDescent="0.25">
      <c r="A56" t="s">
        <v>65</v>
      </c>
      <c r="B56" t="s">
        <v>8</v>
      </c>
      <c r="C56" t="s">
        <v>264</v>
      </c>
      <c r="D56" t="s">
        <v>402</v>
      </c>
    </row>
    <row r="57" spans="1:4" x14ac:dyDescent="0.25">
      <c r="A57" t="s">
        <v>65</v>
      </c>
      <c r="B57" t="s">
        <v>8</v>
      </c>
      <c r="C57" t="s">
        <v>265</v>
      </c>
      <c r="D57" t="s">
        <v>403</v>
      </c>
    </row>
    <row r="58" spans="1:4" x14ac:dyDescent="0.25">
      <c r="A58" t="s">
        <v>65</v>
      </c>
      <c r="B58" t="s">
        <v>8</v>
      </c>
      <c r="C58" t="s">
        <v>266</v>
      </c>
      <c r="D58" t="s">
        <v>404</v>
      </c>
    </row>
    <row r="59" spans="1:4" x14ac:dyDescent="0.25">
      <c r="A59" t="s">
        <v>65</v>
      </c>
      <c r="B59" t="s">
        <v>8</v>
      </c>
      <c r="C59" t="s">
        <v>267</v>
      </c>
      <c r="D59" t="s">
        <v>405</v>
      </c>
    </row>
    <row r="60" spans="1:4" x14ac:dyDescent="0.25">
      <c r="A60" t="s">
        <v>65</v>
      </c>
      <c r="B60" t="s">
        <v>8</v>
      </c>
      <c r="C60" t="s">
        <v>268</v>
      </c>
      <c r="D60" t="s">
        <v>406</v>
      </c>
    </row>
    <row r="61" spans="1:4" x14ac:dyDescent="0.25">
      <c r="A61" t="s">
        <v>65</v>
      </c>
      <c r="B61" t="s">
        <v>8</v>
      </c>
      <c r="C61" t="s">
        <v>269</v>
      </c>
      <c r="D61" t="s">
        <v>407</v>
      </c>
    </row>
    <row r="62" spans="1:4" x14ac:dyDescent="0.25">
      <c r="A62" t="s">
        <v>65</v>
      </c>
      <c r="B62" t="s">
        <v>8</v>
      </c>
      <c r="C62" t="s">
        <v>270</v>
      </c>
      <c r="D62" t="s">
        <v>408</v>
      </c>
    </row>
    <row r="63" spans="1:4" x14ac:dyDescent="0.25">
      <c r="A63" t="s">
        <v>65</v>
      </c>
      <c r="B63" t="s">
        <v>8</v>
      </c>
      <c r="C63" t="s">
        <v>271</v>
      </c>
      <c r="D63" t="s">
        <v>409</v>
      </c>
    </row>
    <row r="64" spans="1:4" x14ac:dyDescent="0.25">
      <c r="A64" t="s">
        <v>65</v>
      </c>
      <c r="B64" t="s">
        <v>8</v>
      </c>
      <c r="C64" t="s">
        <v>272</v>
      </c>
      <c r="D64" t="s">
        <v>410</v>
      </c>
    </row>
    <row r="65" spans="1:4" x14ac:dyDescent="0.25">
      <c r="A65" t="s">
        <v>65</v>
      </c>
      <c r="B65" t="s">
        <v>8</v>
      </c>
      <c r="C65" t="s">
        <v>273</v>
      </c>
      <c r="D65" t="s">
        <v>411</v>
      </c>
    </row>
    <row r="66" spans="1:4" x14ac:dyDescent="0.25">
      <c r="A66" t="s">
        <v>65</v>
      </c>
      <c r="B66" t="s">
        <v>8</v>
      </c>
      <c r="C66" t="s">
        <v>275</v>
      </c>
      <c r="D66" t="s">
        <v>412</v>
      </c>
    </row>
    <row r="67" spans="1:4" x14ac:dyDescent="0.25">
      <c r="A67" t="s">
        <v>65</v>
      </c>
      <c r="B67" t="s">
        <v>8</v>
      </c>
      <c r="C67" t="s">
        <v>276</v>
      </c>
      <c r="D67" t="s">
        <v>413</v>
      </c>
    </row>
    <row r="68" spans="1:4" x14ac:dyDescent="0.25">
      <c r="A68" t="s">
        <v>65</v>
      </c>
      <c r="B68" t="s">
        <v>8</v>
      </c>
      <c r="C68" t="s">
        <v>280</v>
      </c>
      <c r="D68" t="s">
        <v>414</v>
      </c>
    </row>
    <row r="69" spans="1:4" x14ac:dyDescent="0.25">
      <c r="A69" t="s">
        <v>65</v>
      </c>
      <c r="B69" t="s">
        <v>8</v>
      </c>
      <c r="C69" t="s">
        <v>281</v>
      </c>
      <c r="D69" t="s">
        <v>415</v>
      </c>
    </row>
    <row r="70" spans="1:4" x14ac:dyDescent="0.25">
      <c r="A70" t="s">
        <v>65</v>
      </c>
      <c r="B70" t="s">
        <v>8</v>
      </c>
      <c r="C70" t="s">
        <v>282</v>
      </c>
      <c r="D70" t="s">
        <v>416</v>
      </c>
    </row>
    <row r="71" spans="1:4" x14ac:dyDescent="0.25">
      <c r="A71" t="s">
        <v>65</v>
      </c>
      <c r="B71" t="s">
        <v>8</v>
      </c>
      <c r="C71" t="s">
        <v>283</v>
      </c>
      <c r="D71" t="s">
        <v>417</v>
      </c>
    </row>
    <row r="72" spans="1:4" x14ac:dyDescent="0.25">
      <c r="A72" t="s">
        <v>65</v>
      </c>
      <c r="B72" t="s">
        <v>8</v>
      </c>
      <c r="C72" t="s">
        <v>284</v>
      </c>
      <c r="D72" t="s">
        <v>418</v>
      </c>
    </row>
    <row r="73" spans="1:4" x14ac:dyDescent="0.25">
      <c r="A73" t="s">
        <v>65</v>
      </c>
      <c r="B73" t="s">
        <v>8</v>
      </c>
      <c r="C73" t="s">
        <v>285</v>
      </c>
      <c r="D73" t="s">
        <v>419</v>
      </c>
    </row>
    <row r="74" spans="1:4" x14ac:dyDescent="0.25">
      <c r="A74" t="s">
        <v>65</v>
      </c>
      <c r="B74" t="s">
        <v>8</v>
      </c>
      <c r="C74" t="s">
        <v>286</v>
      </c>
      <c r="D74" t="s">
        <v>420</v>
      </c>
    </row>
    <row r="75" spans="1:4" x14ac:dyDescent="0.25">
      <c r="A75" t="s">
        <v>65</v>
      </c>
      <c r="B75" t="s">
        <v>8</v>
      </c>
      <c r="C75" t="s">
        <v>287</v>
      </c>
      <c r="D75" t="s">
        <v>421</v>
      </c>
    </row>
    <row r="76" spans="1:4" x14ac:dyDescent="0.25">
      <c r="A76" t="s">
        <v>65</v>
      </c>
      <c r="B76" t="s">
        <v>8</v>
      </c>
      <c r="C76" t="s">
        <v>289</v>
      </c>
      <c r="D76" t="s">
        <v>422</v>
      </c>
    </row>
    <row r="77" spans="1:4" x14ac:dyDescent="0.25">
      <c r="A77" t="s">
        <v>65</v>
      </c>
      <c r="B77" t="s">
        <v>8</v>
      </c>
      <c r="C77" t="s">
        <v>290</v>
      </c>
      <c r="D77" t="s">
        <v>423</v>
      </c>
    </row>
    <row r="78" spans="1:4" x14ac:dyDescent="0.25">
      <c r="A78" t="s">
        <v>65</v>
      </c>
      <c r="B78" t="s">
        <v>8</v>
      </c>
      <c r="C78" t="s">
        <v>291</v>
      </c>
      <c r="D78" t="s">
        <v>424</v>
      </c>
    </row>
    <row r="79" spans="1:4" x14ac:dyDescent="0.25">
      <c r="A79" t="s">
        <v>65</v>
      </c>
      <c r="B79" t="s">
        <v>8</v>
      </c>
      <c r="C79" t="s">
        <v>292</v>
      </c>
      <c r="D79" t="s">
        <v>425</v>
      </c>
    </row>
    <row r="80" spans="1:4" x14ac:dyDescent="0.25">
      <c r="A80" t="s">
        <v>65</v>
      </c>
      <c r="B80" t="s">
        <v>8</v>
      </c>
      <c r="C80" t="s">
        <v>293</v>
      </c>
      <c r="D80" t="s">
        <v>426</v>
      </c>
    </row>
    <row r="81" spans="1:4" x14ac:dyDescent="0.25">
      <c r="A81" t="s">
        <v>65</v>
      </c>
      <c r="B81" t="s">
        <v>8</v>
      </c>
      <c r="C81" t="s">
        <v>294</v>
      </c>
      <c r="D81" t="s">
        <v>427</v>
      </c>
    </row>
    <row r="82" spans="1:4" x14ac:dyDescent="0.25">
      <c r="A82" t="s">
        <v>65</v>
      </c>
      <c r="B82" t="s">
        <v>8</v>
      </c>
      <c r="C82" t="s">
        <v>295</v>
      </c>
      <c r="D82" t="s">
        <v>428</v>
      </c>
    </row>
    <row r="83" spans="1:4" x14ac:dyDescent="0.25">
      <c r="A83" t="s">
        <v>65</v>
      </c>
      <c r="B83" t="s">
        <v>8</v>
      </c>
      <c r="C83" t="s">
        <v>296</v>
      </c>
      <c r="D83" t="s">
        <v>429</v>
      </c>
    </row>
    <row r="84" spans="1:4" x14ac:dyDescent="0.25">
      <c r="A84" t="s">
        <v>65</v>
      </c>
      <c r="B84" t="s">
        <v>8</v>
      </c>
      <c r="C84" t="s">
        <v>297</v>
      </c>
      <c r="D84" t="s">
        <v>430</v>
      </c>
    </row>
    <row r="85" spans="1:4" x14ac:dyDescent="0.25">
      <c r="A85" t="s">
        <v>65</v>
      </c>
      <c r="B85" t="s">
        <v>8</v>
      </c>
      <c r="C85" t="s">
        <v>298</v>
      </c>
      <c r="D85" t="s">
        <v>431</v>
      </c>
    </row>
    <row r="86" spans="1:4" x14ac:dyDescent="0.25">
      <c r="A86" t="s">
        <v>65</v>
      </c>
      <c r="B86" t="s">
        <v>8</v>
      </c>
      <c r="C86" t="s">
        <v>299</v>
      </c>
      <c r="D86" t="s">
        <v>432</v>
      </c>
    </row>
    <row r="87" spans="1:4" x14ac:dyDescent="0.25">
      <c r="A87" t="s">
        <v>65</v>
      </c>
      <c r="B87" t="s">
        <v>8</v>
      </c>
      <c r="C87" t="s">
        <v>300</v>
      </c>
      <c r="D87" t="s">
        <v>433</v>
      </c>
    </row>
    <row r="88" spans="1:4" x14ac:dyDescent="0.25">
      <c r="A88" t="s">
        <v>65</v>
      </c>
      <c r="B88" t="s">
        <v>8</v>
      </c>
      <c r="C88" t="s">
        <v>302</v>
      </c>
      <c r="D88" t="s">
        <v>434</v>
      </c>
    </row>
    <row r="89" spans="1:4" x14ac:dyDescent="0.25">
      <c r="A89" t="s">
        <v>65</v>
      </c>
      <c r="B89" t="s">
        <v>8</v>
      </c>
      <c r="C89" t="s">
        <v>303</v>
      </c>
      <c r="D89" t="s">
        <v>435</v>
      </c>
    </row>
    <row r="90" spans="1:4" x14ac:dyDescent="0.25">
      <c r="A90" t="s">
        <v>65</v>
      </c>
      <c r="B90" t="s">
        <v>8</v>
      </c>
      <c r="C90" t="s">
        <v>305</v>
      </c>
      <c r="D90" t="s">
        <v>436</v>
      </c>
    </row>
    <row r="91" spans="1:4" x14ac:dyDescent="0.25">
      <c r="A91" t="s">
        <v>65</v>
      </c>
      <c r="B91" t="s">
        <v>8</v>
      </c>
      <c r="C91" t="s">
        <v>306</v>
      </c>
      <c r="D91" t="s">
        <v>437</v>
      </c>
    </row>
    <row r="92" spans="1:4" x14ac:dyDescent="0.25">
      <c r="A92" t="s">
        <v>65</v>
      </c>
      <c r="B92" t="s">
        <v>8</v>
      </c>
      <c r="C92" t="s">
        <v>307</v>
      </c>
      <c r="D92" t="s">
        <v>438</v>
      </c>
    </row>
    <row r="93" spans="1:4" x14ac:dyDescent="0.25">
      <c r="A93" t="s">
        <v>65</v>
      </c>
      <c r="B93" t="s">
        <v>8</v>
      </c>
      <c r="C93" t="s">
        <v>308</v>
      </c>
      <c r="D93" t="s">
        <v>439</v>
      </c>
    </row>
    <row r="94" spans="1:4" x14ac:dyDescent="0.25">
      <c r="A94" t="s">
        <v>65</v>
      </c>
      <c r="B94" t="s">
        <v>8</v>
      </c>
      <c r="C94" t="s">
        <v>309</v>
      </c>
      <c r="D94" t="s">
        <v>440</v>
      </c>
    </row>
    <row r="95" spans="1:4" x14ac:dyDescent="0.25">
      <c r="A95" t="s">
        <v>65</v>
      </c>
      <c r="B95" t="s">
        <v>8</v>
      </c>
      <c r="C95" t="s">
        <v>310</v>
      </c>
      <c r="D95" t="s">
        <v>441</v>
      </c>
    </row>
    <row r="96" spans="1:4" x14ac:dyDescent="0.25">
      <c r="A96" t="s">
        <v>65</v>
      </c>
      <c r="B96" t="s">
        <v>8</v>
      </c>
      <c r="C96" t="s">
        <v>311</v>
      </c>
      <c r="D96" t="s">
        <v>442</v>
      </c>
    </row>
    <row r="97" spans="1:4" x14ac:dyDescent="0.25">
      <c r="A97" t="s">
        <v>65</v>
      </c>
      <c r="B97" t="s">
        <v>8</v>
      </c>
      <c r="C97" t="s">
        <v>312</v>
      </c>
      <c r="D97" t="s">
        <v>443</v>
      </c>
    </row>
    <row r="98" spans="1:4" x14ac:dyDescent="0.25">
      <c r="A98" t="s">
        <v>65</v>
      </c>
      <c r="B98" t="s">
        <v>8</v>
      </c>
      <c r="C98" t="s">
        <v>313</v>
      </c>
      <c r="D98" t="s">
        <v>444</v>
      </c>
    </row>
    <row r="99" spans="1:4" x14ac:dyDescent="0.25">
      <c r="A99" t="s">
        <v>65</v>
      </c>
      <c r="B99" t="s">
        <v>8</v>
      </c>
      <c r="C99" t="s">
        <v>314</v>
      </c>
      <c r="D99" t="s">
        <v>445</v>
      </c>
    </row>
    <row r="100" spans="1:4" x14ac:dyDescent="0.25">
      <c r="A100" t="s">
        <v>65</v>
      </c>
      <c r="B100" t="s">
        <v>8</v>
      </c>
      <c r="C100" t="s">
        <v>315</v>
      </c>
      <c r="D100" t="s">
        <v>446</v>
      </c>
    </row>
    <row r="101" spans="1:4" x14ac:dyDescent="0.25">
      <c r="A101" t="s">
        <v>65</v>
      </c>
      <c r="B101" t="s">
        <v>8</v>
      </c>
      <c r="C101" t="s">
        <v>317</v>
      </c>
      <c r="D101" t="s">
        <v>447</v>
      </c>
    </row>
    <row r="102" spans="1:4" x14ac:dyDescent="0.25">
      <c r="A102" t="s">
        <v>65</v>
      </c>
      <c r="B102" t="s">
        <v>8</v>
      </c>
      <c r="C102" t="s">
        <v>318</v>
      </c>
      <c r="D102" t="s">
        <v>448</v>
      </c>
    </row>
    <row r="103" spans="1:4" x14ac:dyDescent="0.25">
      <c r="A103" t="s">
        <v>65</v>
      </c>
      <c r="B103" t="s">
        <v>8</v>
      </c>
      <c r="C103" t="s">
        <v>320</v>
      </c>
      <c r="D103" t="s">
        <v>449</v>
      </c>
    </row>
    <row r="104" spans="1:4" x14ac:dyDescent="0.25">
      <c r="A104" t="s">
        <v>65</v>
      </c>
      <c r="B104" t="s">
        <v>8</v>
      </c>
      <c r="C104" t="s">
        <v>321</v>
      </c>
      <c r="D104" t="s">
        <v>450</v>
      </c>
    </row>
    <row r="105" spans="1:4" x14ac:dyDescent="0.25">
      <c r="A105" t="s">
        <v>65</v>
      </c>
      <c r="B105" t="s">
        <v>8</v>
      </c>
      <c r="C105" t="s">
        <v>323</v>
      </c>
      <c r="D105" t="s">
        <v>451</v>
      </c>
    </row>
    <row r="106" spans="1:4" x14ac:dyDescent="0.25">
      <c r="A106" t="s">
        <v>65</v>
      </c>
      <c r="B106" t="s">
        <v>8</v>
      </c>
      <c r="C106" t="s">
        <v>324</v>
      </c>
      <c r="D106" t="s">
        <v>452</v>
      </c>
    </row>
    <row r="107" spans="1:4" x14ac:dyDescent="0.25">
      <c r="A107" t="s">
        <v>65</v>
      </c>
      <c r="B107" t="s">
        <v>8</v>
      </c>
      <c r="C107" t="s">
        <v>325</v>
      </c>
      <c r="D107" t="s">
        <v>453</v>
      </c>
    </row>
    <row r="108" spans="1:4" x14ac:dyDescent="0.25">
      <c r="A108" t="s">
        <v>65</v>
      </c>
      <c r="B108" t="s">
        <v>8</v>
      </c>
      <c r="C108" t="s">
        <v>326</v>
      </c>
      <c r="D108" t="s">
        <v>454</v>
      </c>
    </row>
    <row r="109" spans="1:4" x14ac:dyDescent="0.25">
      <c r="A109" t="s">
        <v>65</v>
      </c>
      <c r="B109" t="s">
        <v>8</v>
      </c>
      <c r="C109" t="s">
        <v>327</v>
      </c>
      <c r="D109" t="s">
        <v>455</v>
      </c>
    </row>
    <row r="110" spans="1:4" x14ac:dyDescent="0.25">
      <c r="A110" t="s">
        <v>65</v>
      </c>
      <c r="B110" t="s">
        <v>8</v>
      </c>
      <c r="C110" t="s">
        <v>329</v>
      </c>
      <c r="D110" t="s">
        <v>456</v>
      </c>
    </row>
    <row r="111" spans="1:4" x14ac:dyDescent="0.25">
      <c r="A111" t="s">
        <v>65</v>
      </c>
      <c r="B111" t="s">
        <v>8</v>
      </c>
      <c r="C111" t="s">
        <v>330</v>
      </c>
      <c r="D111" t="s">
        <v>457</v>
      </c>
    </row>
    <row r="112" spans="1:4" x14ac:dyDescent="0.25">
      <c r="A112" t="s">
        <v>65</v>
      </c>
      <c r="B112" t="s">
        <v>8</v>
      </c>
      <c r="C112" t="s">
        <v>331</v>
      </c>
      <c r="D112" t="s">
        <v>458</v>
      </c>
    </row>
    <row r="113" spans="1:4" x14ac:dyDescent="0.25">
      <c r="A113" t="s">
        <v>65</v>
      </c>
      <c r="B113" t="s">
        <v>8</v>
      </c>
      <c r="C113" t="s">
        <v>333</v>
      </c>
      <c r="D113" t="s">
        <v>459</v>
      </c>
    </row>
    <row r="114" spans="1:4" x14ac:dyDescent="0.25">
      <c r="A114" t="s">
        <v>65</v>
      </c>
      <c r="B114" t="s">
        <v>8</v>
      </c>
      <c r="C114" t="s">
        <v>335</v>
      </c>
      <c r="D114" t="s">
        <v>460</v>
      </c>
    </row>
    <row r="115" spans="1:4" x14ac:dyDescent="0.25">
      <c r="A115" t="s">
        <v>65</v>
      </c>
      <c r="B115" t="s">
        <v>8</v>
      </c>
      <c r="C115" t="s">
        <v>336</v>
      </c>
      <c r="D115" t="s">
        <v>461</v>
      </c>
    </row>
    <row r="116" spans="1:4" x14ac:dyDescent="0.25">
      <c r="A116" t="s">
        <v>65</v>
      </c>
      <c r="B116" t="s">
        <v>8</v>
      </c>
      <c r="C116" t="s">
        <v>337</v>
      </c>
      <c r="D116" t="s">
        <v>462</v>
      </c>
    </row>
    <row r="117" spans="1:4" x14ac:dyDescent="0.25">
      <c r="A117" t="s">
        <v>65</v>
      </c>
      <c r="B117" t="s">
        <v>8</v>
      </c>
      <c r="C117" t="s">
        <v>338</v>
      </c>
      <c r="D117" t="s">
        <v>463</v>
      </c>
    </row>
    <row r="118" spans="1:4" x14ac:dyDescent="0.25">
      <c r="A118" t="s">
        <v>65</v>
      </c>
      <c r="B118" t="s">
        <v>8</v>
      </c>
      <c r="C118" t="s">
        <v>340</v>
      </c>
      <c r="D118" t="s">
        <v>464</v>
      </c>
    </row>
    <row r="119" spans="1:4" x14ac:dyDescent="0.25">
      <c r="A119" t="s">
        <v>65</v>
      </c>
      <c r="B119" t="s">
        <v>8</v>
      </c>
      <c r="C119" t="s">
        <v>342</v>
      </c>
      <c r="D119" t="s">
        <v>465</v>
      </c>
    </row>
    <row r="120" spans="1:4" x14ac:dyDescent="0.25">
      <c r="A120" t="s">
        <v>65</v>
      </c>
      <c r="B120" t="s">
        <v>8</v>
      </c>
      <c r="C120" t="s">
        <v>343</v>
      </c>
      <c r="D120" t="s">
        <v>466</v>
      </c>
    </row>
    <row r="121" spans="1:4" x14ac:dyDescent="0.25">
      <c r="A121" t="s">
        <v>65</v>
      </c>
      <c r="B121" t="s">
        <v>8</v>
      </c>
      <c r="C121" t="s">
        <v>344</v>
      </c>
      <c r="D121" t="s">
        <v>467</v>
      </c>
    </row>
    <row r="122" spans="1:4" x14ac:dyDescent="0.25">
      <c r="A122" t="s">
        <v>65</v>
      </c>
      <c r="B122" t="s">
        <v>8</v>
      </c>
      <c r="C122" t="s">
        <v>345</v>
      </c>
      <c r="D122" t="s">
        <v>468</v>
      </c>
    </row>
    <row r="123" spans="1:4" x14ac:dyDescent="0.25">
      <c r="A123" t="s">
        <v>65</v>
      </c>
      <c r="B123" t="s">
        <v>8</v>
      </c>
      <c r="C123" t="s">
        <v>346</v>
      </c>
      <c r="D123" t="s">
        <v>469</v>
      </c>
    </row>
    <row r="124" spans="1:4" x14ac:dyDescent="0.25">
      <c r="A124" t="s">
        <v>65</v>
      </c>
      <c r="B124" t="s">
        <v>8</v>
      </c>
      <c r="C124" t="s">
        <v>347</v>
      </c>
      <c r="D124" t="s">
        <v>470</v>
      </c>
    </row>
    <row r="125" spans="1:4" x14ac:dyDescent="0.25">
      <c r="A125" t="s">
        <v>65</v>
      </c>
      <c r="B125" t="s">
        <v>8</v>
      </c>
      <c r="C125" t="s">
        <v>348</v>
      </c>
      <c r="D125" t="s">
        <v>471</v>
      </c>
    </row>
    <row r="126" spans="1:4" x14ac:dyDescent="0.25">
      <c r="A126" t="s">
        <v>65</v>
      </c>
      <c r="B126" t="s">
        <v>8</v>
      </c>
      <c r="C126" t="s">
        <v>349</v>
      </c>
      <c r="D126" t="s">
        <v>472</v>
      </c>
    </row>
    <row r="127" spans="1:4" x14ac:dyDescent="0.25">
      <c r="A127" t="s">
        <v>65</v>
      </c>
      <c r="B127" t="s">
        <v>8</v>
      </c>
      <c r="C127" t="s">
        <v>350</v>
      </c>
      <c r="D127" t="s">
        <v>473</v>
      </c>
    </row>
    <row r="128" spans="1:4" x14ac:dyDescent="0.25">
      <c r="A128" t="s">
        <v>65</v>
      </c>
      <c r="B128" t="s">
        <v>8</v>
      </c>
      <c r="C128" t="s">
        <v>351</v>
      </c>
      <c r="D128" t="s">
        <v>474</v>
      </c>
    </row>
    <row r="129" spans="1:4" x14ac:dyDescent="0.25">
      <c r="A129" t="s">
        <v>65</v>
      </c>
      <c r="B129" t="s">
        <v>8</v>
      </c>
      <c r="C129" t="s">
        <v>352</v>
      </c>
      <c r="D129" t="s">
        <v>475</v>
      </c>
    </row>
    <row r="130" spans="1:4" x14ac:dyDescent="0.25">
      <c r="A130" t="s">
        <v>22</v>
      </c>
    </row>
  </sheetData>
  <pageMargins left="0.7" right="0.7" top="0.75" bottom="0.75" header="0.3" footer="0.3"/>
  <pageSetup paperSize="9"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shboard"/>
  <dimension ref="D1:R50"/>
  <sheetViews>
    <sheetView tabSelected="1" zoomScale="85" zoomScaleNormal="85" workbookViewId="0">
      <selection activeCell="F16" sqref="F16"/>
    </sheetView>
  </sheetViews>
  <sheetFormatPr defaultRowHeight="15" x14ac:dyDescent="0.25"/>
  <cols>
    <col min="1" max="1" width="6" style="13" bestFit="1" customWidth="1"/>
    <col min="2" max="2" width="12" style="13" bestFit="1" customWidth="1"/>
    <col min="3" max="3" width="12.140625" style="13" customWidth="1"/>
    <col min="4" max="4" width="6" style="13" bestFit="1" customWidth="1"/>
    <col min="5" max="5" width="12.140625" style="13" customWidth="1"/>
    <col min="6" max="6" width="20.28515625" style="13" customWidth="1"/>
    <col min="7" max="7" width="18" style="13" bestFit="1" customWidth="1"/>
    <col min="8" max="8" width="14.140625" style="13" bestFit="1" customWidth="1"/>
    <col min="9" max="9" width="12.7109375" style="13" bestFit="1" customWidth="1"/>
    <col min="10" max="10" width="1.85546875" style="13" customWidth="1"/>
    <col min="11" max="11" width="20.42578125" style="25" bestFit="1" customWidth="1"/>
    <col min="12" max="12" width="17.140625" style="25" bestFit="1" customWidth="1"/>
    <col min="13" max="13" width="18" style="25" bestFit="1" customWidth="1"/>
    <col min="14" max="14" width="14.140625" style="25" bestFit="1" customWidth="1"/>
    <col min="15" max="15" width="13.7109375" style="25" bestFit="1" customWidth="1"/>
    <col min="16" max="16" width="9.140625" style="25"/>
    <col min="17" max="17" width="9.140625" style="13"/>
    <col min="18" max="18" width="31" style="13" bestFit="1" customWidth="1"/>
    <col min="19" max="16384" width="9.140625" style="13"/>
  </cols>
  <sheetData>
    <row r="1" spans="4:18" ht="29.25" thickBot="1" x14ac:dyDescent="0.5">
      <c r="D1" s="28" t="s">
        <v>57</v>
      </c>
      <c r="E1" s="28"/>
      <c r="F1" s="28"/>
      <c r="G1" s="28"/>
      <c r="H1" s="28"/>
      <c r="I1" s="28"/>
      <c r="K1" s="14" t="s">
        <v>58</v>
      </c>
      <c r="L1" s="24"/>
      <c r="M1" s="24"/>
      <c r="N1" s="24"/>
      <c r="O1" s="24"/>
      <c r="P1" s="24"/>
      <c r="R1" s="25"/>
    </row>
    <row r="2" spans="4:18" ht="18.75" x14ac:dyDescent="0.3">
      <c r="D2" s="29" t="s">
        <v>50</v>
      </c>
      <c r="E2" s="29"/>
      <c r="F2" s="15" t="s">
        <v>44</v>
      </c>
      <c r="G2" s="15" t="s">
        <v>45</v>
      </c>
      <c r="H2" s="16" t="s">
        <v>46</v>
      </c>
      <c r="I2" s="15" t="s">
        <v>47</v>
      </c>
      <c r="K2" s="25" t="s">
        <v>476</v>
      </c>
      <c r="R2" s="25"/>
    </row>
    <row r="3" spans="4:18" x14ac:dyDescent="0.25">
      <c r="D3" s="31" t="s">
        <v>48</v>
      </c>
      <c r="E3" s="31"/>
      <c r="F3" s="17">
        <f>GETPIVOTDATA("Sum of Sale Amt.",B2B!$A$4)</f>
        <v>20839000</v>
      </c>
      <c r="G3" s="17">
        <f>GETPIVOTDATA(" IGST",B2B!$A$4)</f>
        <v>13206677.489999998</v>
      </c>
      <c r="H3" s="17">
        <f>GETPIVOTDATA(" CGST",B2B!$A$4)</f>
        <v>229238.51</v>
      </c>
      <c r="I3" s="17">
        <f>GETPIVOTDATA(" SGST",B2B!$A$4)</f>
        <v>229238.51</v>
      </c>
      <c r="K3" s="25" t="s">
        <v>139</v>
      </c>
    </row>
    <row r="4" spans="4:18" x14ac:dyDescent="0.25">
      <c r="D4" s="31" t="s">
        <v>49</v>
      </c>
      <c r="E4" s="31"/>
      <c r="F4" s="17">
        <f>GETPIVOTDATA(" Sale Amt.",B2C!$A$5)</f>
        <v>0</v>
      </c>
      <c r="G4" s="17">
        <f>GETPIVOTDATA(" IGST",B2C!$A$5)</f>
        <v>0</v>
      </c>
      <c r="H4" s="17">
        <f>GETPIVOTDATA(" CGST",B2C!$A$5)</f>
        <v>0</v>
      </c>
      <c r="I4" s="17">
        <f>GETPIVOTDATA(" SGST",B2C!$A$5)</f>
        <v>0</v>
      </c>
      <c r="K4" s="25" t="s">
        <v>140</v>
      </c>
      <c r="R4" s="25"/>
    </row>
    <row r="5" spans="4:18" x14ac:dyDescent="0.25">
      <c r="D5" s="30" t="s">
        <v>51</v>
      </c>
      <c r="E5" s="18" t="s">
        <v>52</v>
      </c>
      <c r="F5" s="17">
        <f>SUMIF(CDNR!O:O,"Cn2",CDNR!P:P)</f>
        <v>0</v>
      </c>
      <c r="G5" s="17">
        <f>SUMIF(CDNR!O:O,"Cn2",CDNR!S:S)</f>
        <v>0</v>
      </c>
      <c r="H5" s="17">
        <f>SUMIF(CDNR!O:O,"Cn2",CDNR!Q:Q)</f>
        <v>0</v>
      </c>
      <c r="I5" s="17">
        <f>SUMIF(CDNR!O:O,"Cn2",CDNR!R:R)</f>
        <v>0</v>
      </c>
      <c r="K5" s="25" t="s">
        <v>141</v>
      </c>
      <c r="R5" s="25"/>
    </row>
    <row r="6" spans="4:18" x14ac:dyDescent="0.25">
      <c r="D6" s="30"/>
      <c r="E6" s="18" t="s">
        <v>53</v>
      </c>
      <c r="F6" s="17">
        <f>SUMIF(CDNR!O:O,"Dn2",CDNR!P:P)</f>
        <v>100</v>
      </c>
      <c r="G6" s="17">
        <f>SUMIF(CDNR!O:O,"Dn2",CDNR!S:S)</f>
        <v>0</v>
      </c>
      <c r="H6" s="17">
        <f>SUMIF(CDNR!O:O,"Dn2",CDNR!Q:Q)</f>
        <v>450</v>
      </c>
      <c r="I6" s="17">
        <f>SUMIF(CDNR!O:O,"Dn2",CDNR!R:R)</f>
        <v>450</v>
      </c>
      <c r="K6" s="25" t="s">
        <v>142</v>
      </c>
      <c r="R6" s="25"/>
    </row>
    <row r="7" spans="4:18" ht="18.75" x14ac:dyDescent="0.3">
      <c r="D7" s="29" t="s">
        <v>56</v>
      </c>
      <c r="E7" s="29"/>
      <c r="F7" s="19">
        <f>SUM(F3:F6)</f>
        <v>20839100</v>
      </c>
      <c r="G7" s="27">
        <f t="shared" ref="G7:I7" si="0">SUM(G3:G6)</f>
        <v>13206677.489999998</v>
      </c>
      <c r="H7" s="27">
        <f t="shared" si="0"/>
        <v>229688.51</v>
      </c>
      <c r="I7" s="27">
        <f t="shared" si="0"/>
        <v>229688.51</v>
      </c>
      <c r="K7" s="25" t="s">
        <v>143</v>
      </c>
      <c r="R7" s="25"/>
    </row>
    <row r="8" spans="4:18" x14ac:dyDescent="0.25">
      <c r="K8" s="25" t="s">
        <v>144</v>
      </c>
      <c r="R8" s="25"/>
    </row>
    <row r="9" spans="4:18" x14ac:dyDescent="0.25">
      <c r="D9" s="32" t="s">
        <v>54</v>
      </c>
      <c r="E9" s="32"/>
      <c r="F9" s="17">
        <f>GETPIVOTDATA(" Sale Amt.",HSN!$A$3)</f>
        <v>20839100</v>
      </c>
      <c r="G9" s="17">
        <f>GETPIVOTDATA(" IGST",HSN!$A$3)</f>
        <v>13206677.490000004</v>
      </c>
      <c r="H9" s="17">
        <f>GETPIVOTDATA(" CGST",HSN!$A$3)</f>
        <v>229688.51000000004</v>
      </c>
      <c r="I9" s="17">
        <f>GETPIVOTDATA(" SGST",HSN!$A$3)</f>
        <v>229688.51000000004</v>
      </c>
      <c r="K9" s="25" t="s">
        <v>145</v>
      </c>
      <c r="R9" s="25"/>
    </row>
    <row r="10" spans="4:18" ht="18.75" x14ac:dyDescent="0.3">
      <c r="D10" s="29" t="s">
        <v>55</v>
      </c>
      <c r="E10" s="29"/>
      <c r="F10" s="20">
        <f>+F9-F7</f>
        <v>0</v>
      </c>
      <c r="G10" s="20">
        <f>+G9-G7</f>
        <v>0</v>
      </c>
      <c r="H10" s="20">
        <f>+H9-H7</f>
        <v>0</v>
      </c>
      <c r="I10" s="20">
        <f>+I9-I7</f>
        <v>0</v>
      </c>
      <c r="K10" s="25" t="s">
        <v>146</v>
      </c>
      <c r="R10" s="25"/>
    </row>
    <row r="11" spans="4:18" x14ac:dyDescent="0.25">
      <c r="K11" s="25" t="s">
        <v>147</v>
      </c>
      <c r="R11" s="25"/>
    </row>
    <row r="12" spans="4:18" x14ac:dyDescent="0.25">
      <c r="K12" s="25" t="s">
        <v>148</v>
      </c>
      <c r="R12" s="25"/>
    </row>
    <row r="13" spans="4:18" x14ac:dyDescent="0.25">
      <c r="K13" s="25" t="s">
        <v>149</v>
      </c>
      <c r="R13" s="25"/>
    </row>
    <row r="14" spans="4:18" x14ac:dyDescent="0.25">
      <c r="K14" s="13" t="s">
        <v>150</v>
      </c>
      <c r="L14" s="13"/>
      <c r="M14" s="13"/>
      <c r="N14" s="13"/>
      <c r="O14" s="13"/>
      <c r="P14" s="13"/>
      <c r="R14" s="25"/>
    </row>
    <row r="15" spans="4:18" x14ac:dyDescent="0.25">
      <c r="K15" s="13" t="s">
        <v>151</v>
      </c>
      <c r="L15" s="13"/>
      <c r="M15" s="13"/>
      <c r="N15" s="13"/>
      <c r="O15" s="13"/>
      <c r="P15" s="13"/>
      <c r="R15" s="25"/>
    </row>
    <row r="16" spans="4:18" x14ac:dyDescent="0.25">
      <c r="K16" s="13" t="s">
        <v>152</v>
      </c>
      <c r="L16" s="13"/>
      <c r="M16" s="13"/>
      <c r="N16" s="13"/>
      <c r="O16" s="13"/>
      <c r="P16" s="13"/>
      <c r="R16" s="25"/>
    </row>
    <row r="17" spans="7:18" x14ac:dyDescent="0.25">
      <c r="K17" s="13" t="s">
        <v>153</v>
      </c>
      <c r="L17" s="13"/>
      <c r="M17" s="13"/>
      <c r="N17" s="13"/>
      <c r="O17" s="13"/>
      <c r="P17" s="13"/>
      <c r="R17" s="25"/>
    </row>
    <row r="18" spans="7:18" x14ac:dyDescent="0.25">
      <c r="G18" s="26"/>
      <c r="K18" s="13" t="s">
        <v>154</v>
      </c>
      <c r="L18" s="13"/>
      <c r="M18" s="13"/>
      <c r="N18" s="13"/>
      <c r="O18" s="13"/>
      <c r="P18" s="13"/>
      <c r="R18" s="25"/>
    </row>
    <row r="19" spans="7:18" x14ac:dyDescent="0.25">
      <c r="G19" s="26"/>
      <c r="K19" s="13" t="s">
        <v>155</v>
      </c>
      <c r="L19" s="13"/>
      <c r="M19" s="13"/>
      <c r="N19" s="13"/>
      <c r="O19" s="13"/>
      <c r="P19" s="13"/>
      <c r="R19" s="25"/>
    </row>
    <row r="20" spans="7:18" x14ac:dyDescent="0.25">
      <c r="K20" s="13" t="s">
        <v>156</v>
      </c>
      <c r="L20" s="13"/>
      <c r="M20" s="13"/>
      <c r="N20" s="13"/>
      <c r="O20" s="13"/>
      <c r="P20" s="13"/>
      <c r="R20" s="25"/>
    </row>
    <row r="21" spans="7:18" x14ac:dyDescent="0.25">
      <c r="K21" s="13" t="s">
        <v>157</v>
      </c>
      <c r="L21" s="13"/>
      <c r="M21" s="13"/>
      <c r="N21" s="13"/>
      <c r="O21" s="13"/>
      <c r="P21" s="13"/>
      <c r="R21" s="25"/>
    </row>
    <row r="22" spans="7:18" x14ac:dyDescent="0.25">
      <c r="K22" s="13" t="s">
        <v>158</v>
      </c>
      <c r="L22" s="13"/>
      <c r="M22" s="13"/>
      <c r="N22" s="13"/>
      <c r="O22" s="13"/>
      <c r="P22" s="13"/>
      <c r="R22" s="25"/>
    </row>
    <row r="23" spans="7:18" x14ac:dyDescent="0.25">
      <c r="K23" s="13" t="s">
        <v>159</v>
      </c>
      <c r="L23" s="13"/>
      <c r="M23" s="13"/>
      <c r="N23" s="13"/>
      <c r="O23" s="13"/>
      <c r="P23" s="13"/>
      <c r="R23" s="25"/>
    </row>
    <row r="24" spans="7:18" x14ac:dyDescent="0.25">
      <c r="K24" s="13" t="s">
        <v>160</v>
      </c>
      <c r="L24" s="13"/>
      <c r="M24" s="13"/>
      <c r="N24" s="13"/>
      <c r="O24" s="13"/>
      <c r="P24" s="13"/>
      <c r="R24" s="25"/>
    </row>
    <row r="25" spans="7:18" x14ac:dyDescent="0.25">
      <c r="K25" s="13" t="s">
        <v>161</v>
      </c>
      <c r="L25" s="13"/>
      <c r="M25" s="13"/>
      <c r="N25" s="13"/>
      <c r="O25" s="13"/>
      <c r="P25" s="13"/>
      <c r="R25" s="25"/>
    </row>
    <row r="26" spans="7:18" x14ac:dyDescent="0.25">
      <c r="K26" s="13" t="s">
        <v>138</v>
      </c>
    </row>
    <row r="27" spans="7:18" x14ac:dyDescent="0.25">
      <c r="K27" s="25" t="s">
        <v>171</v>
      </c>
    </row>
    <row r="28" spans="7:18" x14ac:dyDescent="0.25">
      <c r="K28" s="25" t="s">
        <v>172</v>
      </c>
    </row>
    <row r="29" spans="7:18" x14ac:dyDescent="0.25">
      <c r="K29" s="25" t="s">
        <v>173</v>
      </c>
    </row>
    <row r="30" spans="7:18" x14ac:dyDescent="0.25">
      <c r="K30" s="25" t="s">
        <v>174</v>
      </c>
    </row>
    <row r="31" spans="7:18" x14ac:dyDescent="0.25">
      <c r="K31" s="25" t="s">
        <v>175</v>
      </c>
    </row>
    <row r="32" spans="7:18" x14ac:dyDescent="0.25">
      <c r="K32" s="25" t="s">
        <v>176</v>
      </c>
    </row>
    <row r="33" spans="11:11" x14ac:dyDescent="0.25">
      <c r="K33" s="25" t="s">
        <v>177</v>
      </c>
    </row>
    <row r="34" spans="11:11" x14ac:dyDescent="0.25">
      <c r="K34" s="25" t="s">
        <v>178</v>
      </c>
    </row>
    <row r="35" spans="11:11" x14ac:dyDescent="0.25">
      <c r="K35" s="25" t="s">
        <v>179</v>
      </c>
    </row>
    <row r="36" spans="11:11" x14ac:dyDescent="0.25">
      <c r="K36" s="25" t="s">
        <v>180</v>
      </c>
    </row>
    <row r="37" spans="11:11" x14ac:dyDescent="0.25">
      <c r="K37" s="25" t="s">
        <v>181</v>
      </c>
    </row>
    <row r="38" spans="11:11" x14ac:dyDescent="0.25">
      <c r="K38" s="25" t="s">
        <v>182</v>
      </c>
    </row>
    <row r="39" spans="11:11" x14ac:dyDescent="0.25">
      <c r="K39" s="25" t="s">
        <v>183</v>
      </c>
    </row>
    <row r="40" spans="11:11" x14ac:dyDescent="0.25">
      <c r="K40" s="25" t="s">
        <v>184</v>
      </c>
    </row>
    <row r="41" spans="11:11" x14ac:dyDescent="0.25">
      <c r="K41" s="25" t="s">
        <v>185</v>
      </c>
    </row>
    <row r="42" spans="11:11" x14ac:dyDescent="0.25">
      <c r="K42" s="25" t="s">
        <v>186</v>
      </c>
    </row>
    <row r="43" spans="11:11" x14ac:dyDescent="0.25">
      <c r="K43" s="25" t="s">
        <v>187</v>
      </c>
    </row>
    <row r="44" spans="11:11" x14ac:dyDescent="0.25">
      <c r="K44" s="25" t="s">
        <v>188</v>
      </c>
    </row>
    <row r="45" spans="11:11" x14ac:dyDescent="0.25">
      <c r="K45" s="25" t="s">
        <v>189</v>
      </c>
    </row>
    <row r="46" spans="11:11" x14ac:dyDescent="0.25">
      <c r="K46" s="25" t="s">
        <v>190</v>
      </c>
    </row>
    <row r="47" spans="11:11" x14ac:dyDescent="0.25">
      <c r="K47" s="25" t="s">
        <v>191</v>
      </c>
    </row>
    <row r="48" spans="11:11" x14ac:dyDescent="0.25">
      <c r="K48" s="25" t="s">
        <v>192</v>
      </c>
    </row>
    <row r="49" spans="11:11" x14ac:dyDescent="0.25">
      <c r="K49" s="25" t="s">
        <v>193</v>
      </c>
    </row>
    <row r="50" spans="11:11" x14ac:dyDescent="0.25">
      <c r="K50" s="25" t="s">
        <v>194</v>
      </c>
    </row>
  </sheetData>
  <mergeCells count="8">
    <mergeCell ref="D1:I1"/>
    <mergeCell ref="D10:E10"/>
    <mergeCell ref="D5:D6"/>
    <mergeCell ref="D3:E3"/>
    <mergeCell ref="D4:E4"/>
    <mergeCell ref="D2:E2"/>
    <mergeCell ref="D7:E7"/>
    <mergeCell ref="D9:E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DNR">
    <tabColor rgb="FF92D050"/>
  </sheetPr>
  <dimension ref="A1:T21"/>
  <sheetViews>
    <sheetView topLeftCell="G1" workbookViewId="0">
      <selection activeCell="S20" sqref="S20"/>
    </sheetView>
  </sheetViews>
  <sheetFormatPr defaultRowHeight="15" x14ac:dyDescent="0.25"/>
  <cols>
    <col min="1" max="1" width="19.5703125" bestFit="1" customWidth="1"/>
    <col min="2" max="2" width="28.42578125" bestFit="1" customWidth="1"/>
    <col min="3" max="3" width="18.28515625" bestFit="1" customWidth="1"/>
    <col min="4" max="4" width="12" bestFit="1" customWidth="1"/>
    <col min="5" max="5" width="7.5703125" bestFit="1" customWidth="1"/>
    <col min="6" max="6" width="22.140625" style="2" bestFit="1" customWidth="1"/>
    <col min="7" max="7" width="8.28515625" bestFit="1" customWidth="1"/>
    <col min="8" max="8" width="9.85546875" customWidth="1"/>
    <col min="9" max="9" width="5.85546875" bestFit="1" customWidth="1"/>
    <col min="10" max="10" width="5.42578125" customWidth="1"/>
    <col min="11" max="11" width="6" bestFit="1" customWidth="1"/>
    <col min="12" max="12" width="10.5703125" customWidth="1"/>
    <col min="15" max="15" width="14" bestFit="1" customWidth="1"/>
    <col min="16" max="16" width="12.85546875" bestFit="1" customWidth="1"/>
    <col min="17" max="17" width="6" bestFit="1" customWidth="1"/>
    <col min="18" max="18" width="5.85546875" bestFit="1" customWidth="1"/>
    <col min="19" max="19" width="5.42578125" customWidth="1"/>
    <col min="20" max="20" width="10.5703125" customWidth="1"/>
  </cols>
  <sheetData>
    <row r="1" spans="1:20" x14ac:dyDescent="0.25">
      <c r="A1" s="1" t="s">
        <v>1</v>
      </c>
      <c r="B1" t="s">
        <v>31</v>
      </c>
    </row>
    <row r="2" spans="1:20" x14ac:dyDescent="0.25">
      <c r="A2" s="1" t="s">
        <v>5</v>
      </c>
      <c r="B2" t="s">
        <v>10</v>
      </c>
    </row>
    <row r="4" spans="1:20" x14ac:dyDescent="0.25">
      <c r="F4"/>
      <c r="H4" s="1" t="s">
        <v>25</v>
      </c>
      <c r="T4" s="2"/>
    </row>
    <row r="5" spans="1:20" x14ac:dyDescent="0.25">
      <c r="A5" s="1" t="s">
        <v>7</v>
      </c>
      <c r="B5" s="1" t="s">
        <v>2</v>
      </c>
      <c r="C5" s="1" t="s">
        <v>26</v>
      </c>
      <c r="D5" s="1" t="s">
        <v>33</v>
      </c>
      <c r="E5" s="1" t="s">
        <v>0</v>
      </c>
      <c r="F5" s="1" t="s">
        <v>6</v>
      </c>
      <c r="G5" s="1" t="s">
        <v>29</v>
      </c>
      <c r="H5" t="s">
        <v>40</v>
      </c>
      <c r="I5" t="s">
        <v>36</v>
      </c>
      <c r="J5" t="s">
        <v>37</v>
      </c>
      <c r="K5" t="s">
        <v>35</v>
      </c>
      <c r="L5" t="s">
        <v>41</v>
      </c>
      <c r="T5" s="2"/>
    </row>
    <row r="6" spans="1:20" x14ac:dyDescent="0.25">
      <c r="A6" t="s">
        <v>22</v>
      </c>
      <c r="F6"/>
      <c r="H6" s="2"/>
      <c r="I6" s="2"/>
      <c r="J6" s="2"/>
      <c r="K6" s="2"/>
      <c r="L6" s="3"/>
      <c r="T6" s="2"/>
    </row>
    <row r="7" spans="1:20" x14ac:dyDescent="0.25">
      <c r="F7"/>
      <c r="T7" s="2"/>
    </row>
    <row r="8" spans="1:20" x14ac:dyDescent="0.25">
      <c r="F8"/>
      <c r="O8" s="1" t="s">
        <v>5</v>
      </c>
      <c r="P8" t="s">
        <v>10</v>
      </c>
      <c r="T8" s="2"/>
    </row>
    <row r="9" spans="1:20" x14ac:dyDescent="0.25">
      <c r="F9"/>
      <c r="T9" s="2"/>
    </row>
    <row r="10" spans="1:20" x14ac:dyDescent="0.25">
      <c r="F10"/>
      <c r="P10" s="1" t="s">
        <v>25</v>
      </c>
    </row>
    <row r="11" spans="1:20" x14ac:dyDescent="0.25">
      <c r="F11"/>
      <c r="O11" s="1" t="s">
        <v>1</v>
      </c>
      <c r="P11" t="s">
        <v>40</v>
      </c>
      <c r="Q11" t="s">
        <v>35</v>
      </c>
      <c r="R11" t="s">
        <v>36</v>
      </c>
      <c r="S11" t="s">
        <v>37</v>
      </c>
      <c r="T11" t="s">
        <v>41</v>
      </c>
    </row>
    <row r="12" spans="1:20" x14ac:dyDescent="0.25">
      <c r="F12"/>
      <c r="O12" t="s">
        <v>31</v>
      </c>
      <c r="P12" s="2">
        <v>100</v>
      </c>
      <c r="Q12" s="2">
        <v>450</v>
      </c>
      <c r="R12" s="2">
        <v>450</v>
      </c>
      <c r="S12" s="2">
        <v>0</v>
      </c>
      <c r="T12" s="2">
        <v>5900</v>
      </c>
    </row>
    <row r="13" spans="1:20" x14ac:dyDescent="0.25">
      <c r="F13"/>
      <c r="O13" t="s">
        <v>22</v>
      </c>
      <c r="P13" s="2">
        <v>100</v>
      </c>
      <c r="Q13" s="2">
        <v>450</v>
      </c>
      <c r="R13" s="2">
        <v>450</v>
      </c>
      <c r="S13" s="2">
        <v>0</v>
      </c>
      <c r="T13" s="2">
        <v>5900</v>
      </c>
    </row>
    <row r="14" spans="1:20" x14ac:dyDescent="0.25">
      <c r="F14"/>
      <c r="T14" s="2"/>
    </row>
    <row r="15" spans="1:20" x14ac:dyDescent="0.25">
      <c r="F15"/>
      <c r="T15" s="2"/>
    </row>
    <row r="16" spans="1:20" x14ac:dyDescent="0.25">
      <c r="F16"/>
      <c r="O16" s="1" t="s">
        <v>5</v>
      </c>
      <c r="P16" t="s">
        <v>10</v>
      </c>
      <c r="T16" s="2"/>
    </row>
    <row r="17" spans="6:20" x14ac:dyDescent="0.25">
      <c r="F17"/>
      <c r="T17" s="2"/>
    </row>
    <row r="18" spans="6:20" x14ac:dyDescent="0.25">
      <c r="F18"/>
      <c r="P18" s="1" t="s">
        <v>25</v>
      </c>
    </row>
    <row r="19" spans="6:20" x14ac:dyDescent="0.25">
      <c r="F19"/>
      <c r="O19" s="1" t="s">
        <v>1</v>
      </c>
      <c r="P19" t="s">
        <v>40</v>
      </c>
      <c r="Q19" t="s">
        <v>35</v>
      </c>
      <c r="R19" t="s">
        <v>36</v>
      </c>
      <c r="S19" t="s">
        <v>37</v>
      </c>
      <c r="T19" t="s">
        <v>41</v>
      </c>
    </row>
    <row r="20" spans="6:20" x14ac:dyDescent="0.25">
      <c r="F20"/>
      <c r="O20" t="s">
        <v>22</v>
      </c>
      <c r="P20" s="2"/>
      <c r="Q20" s="2"/>
      <c r="R20" s="2"/>
      <c r="S20" s="2"/>
      <c r="T20" s="2"/>
    </row>
    <row r="21" spans="6:20" x14ac:dyDescent="0.25">
      <c r="F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SN">
    <tabColor rgb="FF92D050"/>
  </sheetPr>
  <dimension ref="A3:J39"/>
  <sheetViews>
    <sheetView workbookViewId="0">
      <selection activeCell="E5" sqref="E5"/>
    </sheetView>
  </sheetViews>
  <sheetFormatPr defaultRowHeight="15" x14ac:dyDescent="0.25"/>
  <cols>
    <col min="1" max="1" width="15.28515625" bestFit="1" customWidth="1"/>
    <col min="2" max="2" width="8.28515625" bestFit="1" customWidth="1"/>
    <col min="3" max="3" width="8.28515625" customWidth="1"/>
    <col min="4" max="4" width="12" bestFit="1" customWidth="1"/>
    <col min="5" max="5" width="9.85546875" bestFit="1" customWidth="1"/>
    <col min="6" max="6" width="10" bestFit="1" customWidth="1"/>
    <col min="7" max="7" width="12" bestFit="1" customWidth="1"/>
    <col min="8" max="8" width="10" bestFit="1" customWidth="1"/>
    <col min="9" max="9" width="12" bestFit="1" customWidth="1"/>
    <col min="10" max="10" width="16.85546875" customWidth="1"/>
  </cols>
  <sheetData>
    <row r="3" spans="1:10" x14ac:dyDescent="0.25">
      <c r="A3" s="8"/>
      <c r="B3" s="8"/>
      <c r="C3" s="8"/>
      <c r="D3" s="8" t="s">
        <v>25</v>
      </c>
      <c r="E3" s="8"/>
      <c r="F3" s="8"/>
      <c r="G3" s="8"/>
      <c r="H3" s="8"/>
      <c r="I3" s="8"/>
      <c r="J3" s="8"/>
    </row>
    <row r="4" spans="1:10" x14ac:dyDescent="0.25">
      <c r="A4" s="8" t="s">
        <v>3</v>
      </c>
      <c r="B4" s="8" t="s">
        <v>4</v>
      </c>
      <c r="C4" s="8" t="s">
        <v>29</v>
      </c>
      <c r="D4" s="8" t="s">
        <v>39</v>
      </c>
      <c r="E4" s="8" t="s">
        <v>40</v>
      </c>
      <c r="F4" s="8" t="s">
        <v>35</v>
      </c>
      <c r="G4" s="8" t="s">
        <v>37</v>
      </c>
      <c r="H4" s="8" t="s">
        <v>36</v>
      </c>
      <c r="I4" s="8" t="s">
        <v>41</v>
      </c>
      <c r="J4" s="8"/>
    </row>
    <row r="5" spans="1:10" x14ac:dyDescent="0.25">
      <c r="A5" s="8" t="s">
        <v>9</v>
      </c>
      <c r="B5" s="8" t="s">
        <v>60</v>
      </c>
      <c r="C5" s="10">
        <v>86</v>
      </c>
      <c r="D5" s="4">
        <v>16900</v>
      </c>
      <c r="E5" s="4">
        <v>1690000</v>
      </c>
      <c r="F5" s="4">
        <v>0</v>
      </c>
      <c r="G5" s="4">
        <v>1447383.5999999999</v>
      </c>
      <c r="H5" s="4">
        <v>0</v>
      </c>
      <c r="I5" s="4">
        <v>9488403.5999999996</v>
      </c>
    </row>
    <row r="6" spans="1:10" x14ac:dyDescent="0.25">
      <c r="A6" s="8" t="s">
        <v>9</v>
      </c>
      <c r="B6" s="8" t="s">
        <v>60</v>
      </c>
      <c r="C6" s="10">
        <v>135</v>
      </c>
      <c r="D6" s="4">
        <v>5015</v>
      </c>
      <c r="E6" s="4">
        <v>501500</v>
      </c>
      <c r="F6" s="4">
        <v>0</v>
      </c>
      <c r="G6" s="4">
        <v>678214.84</v>
      </c>
      <c r="H6" s="4">
        <v>0</v>
      </c>
      <c r="I6" s="4">
        <v>4446075.04</v>
      </c>
      <c r="J6" s="4"/>
    </row>
    <row r="7" spans="1:10" x14ac:dyDescent="0.25">
      <c r="A7" s="8" t="s">
        <v>9</v>
      </c>
      <c r="B7" s="8" t="s">
        <v>60</v>
      </c>
      <c r="C7" s="10">
        <v>175</v>
      </c>
      <c r="D7" s="4">
        <v>1113</v>
      </c>
      <c r="E7" s="4">
        <v>111300</v>
      </c>
      <c r="F7" s="4">
        <v>0</v>
      </c>
      <c r="G7" s="4">
        <v>194646.99999999997</v>
      </c>
      <c r="H7" s="4">
        <v>0</v>
      </c>
      <c r="I7" s="4">
        <v>1276019.2</v>
      </c>
      <c r="J7" s="4"/>
    </row>
    <row r="8" spans="1:10" x14ac:dyDescent="0.25">
      <c r="A8" s="8" t="s">
        <v>9</v>
      </c>
      <c r="B8" s="8" t="s">
        <v>60</v>
      </c>
      <c r="C8" s="10">
        <v>195</v>
      </c>
      <c r="D8" s="4">
        <v>1222</v>
      </c>
      <c r="E8" s="4">
        <v>122200</v>
      </c>
      <c r="F8" s="4">
        <v>25184.41</v>
      </c>
      <c r="G8" s="4">
        <v>188214.76999999996</v>
      </c>
      <c r="H8" s="4">
        <v>25184.41</v>
      </c>
      <c r="I8" s="4">
        <v>1564047.9899999998</v>
      </c>
      <c r="J8" s="4"/>
    </row>
    <row r="9" spans="1:10" x14ac:dyDescent="0.25">
      <c r="A9" s="8" t="s">
        <v>9</v>
      </c>
      <c r="B9" s="8" t="s">
        <v>60</v>
      </c>
      <c r="C9" s="10">
        <v>163</v>
      </c>
      <c r="D9" s="4">
        <v>1077</v>
      </c>
      <c r="E9" s="4">
        <v>107700</v>
      </c>
      <c r="F9" s="4">
        <v>11277.36</v>
      </c>
      <c r="G9" s="4">
        <v>153470.16</v>
      </c>
      <c r="H9" s="4">
        <v>11277.36</v>
      </c>
      <c r="I9" s="4">
        <v>1153940.8800000001</v>
      </c>
      <c r="J9" s="4"/>
    </row>
    <row r="10" spans="1:10" x14ac:dyDescent="0.25">
      <c r="A10" s="8" t="s">
        <v>9</v>
      </c>
      <c r="B10" s="8" t="s">
        <v>60</v>
      </c>
      <c r="C10" s="10">
        <v>130</v>
      </c>
      <c r="D10" s="4">
        <v>23486</v>
      </c>
      <c r="E10" s="4">
        <v>2348600</v>
      </c>
      <c r="F10" s="4">
        <v>0</v>
      </c>
      <c r="G10" s="4">
        <v>3063147.4499999997</v>
      </c>
      <c r="H10" s="4">
        <v>0</v>
      </c>
      <c r="I10" s="4">
        <v>20080633.329999998</v>
      </c>
      <c r="J10" s="4"/>
    </row>
    <row r="11" spans="1:10" x14ac:dyDescent="0.25">
      <c r="A11" s="8" t="s">
        <v>9</v>
      </c>
      <c r="B11" s="8" t="s">
        <v>60</v>
      </c>
      <c r="C11" s="10">
        <v>172</v>
      </c>
      <c r="D11" s="4">
        <v>17105</v>
      </c>
      <c r="E11" s="4">
        <v>1710500</v>
      </c>
      <c r="F11" s="4">
        <v>0</v>
      </c>
      <c r="G11" s="4">
        <v>2933606.6900000004</v>
      </c>
      <c r="H11" s="4">
        <v>0</v>
      </c>
      <c r="I11" s="4">
        <v>19231421.740000002</v>
      </c>
      <c r="J11" s="4"/>
    </row>
    <row r="12" spans="1:10" x14ac:dyDescent="0.25">
      <c r="A12" s="8" t="s">
        <v>9</v>
      </c>
      <c r="B12" s="8" t="s">
        <v>60</v>
      </c>
      <c r="C12" s="10">
        <v>13</v>
      </c>
      <c r="D12" s="4">
        <v>45</v>
      </c>
      <c r="E12" s="4">
        <v>4500</v>
      </c>
      <c r="F12" s="4">
        <v>283.5</v>
      </c>
      <c r="G12" s="4">
        <v>0</v>
      </c>
      <c r="H12" s="4">
        <v>283.5</v>
      </c>
      <c r="I12" s="4">
        <v>3717</v>
      </c>
      <c r="J12" s="4"/>
    </row>
    <row r="13" spans="1:10" x14ac:dyDescent="0.25">
      <c r="A13" s="8" t="s">
        <v>9</v>
      </c>
      <c r="B13" s="8" t="s">
        <v>60</v>
      </c>
      <c r="C13" s="10">
        <v>179</v>
      </c>
      <c r="D13" s="4">
        <v>695</v>
      </c>
      <c r="E13" s="4">
        <v>69500</v>
      </c>
      <c r="F13" s="4">
        <v>1787.4</v>
      </c>
      <c r="G13" s="4">
        <v>120649.5</v>
      </c>
      <c r="H13" s="4">
        <v>1787.4</v>
      </c>
      <c r="I13" s="4">
        <v>814359.3</v>
      </c>
      <c r="J13" s="4"/>
    </row>
    <row r="14" spans="1:10" x14ac:dyDescent="0.25">
      <c r="A14" s="8" t="s">
        <v>9</v>
      </c>
      <c r="B14" s="8" t="s">
        <v>60</v>
      </c>
      <c r="C14" s="10">
        <v>125</v>
      </c>
      <c r="D14" s="4">
        <v>1025</v>
      </c>
      <c r="E14" s="4">
        <v>102500</v>
      </c>
      <c r="F14" s="4">
        <v>0</v>
      </c>
      <c r="G14" s="4">
        <v>128504.25</v>
      </c>
      <c r="H14" s="4">
        <v>0</v>
      </c>
      <c r="I14" s="4">
        <v>842416.75</v>
      </c>
      <c r="J14" s="4"/>
    </row>
    <row r="15" spans="1:10" x14ac:dyDescent="0.25">
      <c r="A15" s="8" t="s">
        <v>9</v>
      </c>
      <c r="B15" s="8" t="s">
        <v>60</v>
      </c>
      <c r="C15" s="10">
        <v>153</v>
      </c>
      <c r="D15" s="4">
        <v>295</v>
      </c>
      <c r="E15" s="4">
        <v>29500</v>
      </c>
      <c r="F15" s="4">
        <v>5739.53</v>
      </c>
      <c r="G15" s="4">
        <v>33671.879999999997</v>
      </c>
      <c r="H15" s="4">
        <v>5739.53</v>
      </c>
      <c r="I15" s="4">
        <v>295989.44</v>
      </c>
      <c r="J15" s="4"/>
    </row>
    <row r="16" spans="1:10" x14ac:dyDescent="0.25">
      <c r="A16" s="8" t="s">
        <v>9</v>
      </c>
      <c r="B16" s="8" t="s">
        <v>60</v>
      </c>
      <c r="C16" s="10">
        <v>188</v>
      </c>
      <c r="D16" s="4">
        <v>110</v>
      </c>
      <c r="E16" s="4">
        <v>11000</v>
      </c>
      <c r="F16" s="4">
        <v>0</v>
      </c>
      <c r="G16" s="4">
        <v>20679.120000000003</v>
      </c>
      <c r="H16" s="4">
        <v>0</v>
      </c>
      <c r="I16" s="4">
        <v>135563.12</v>
      </c>
      <c r="J16" s="4"/>
    </row>
    <row r="17" spans="1:10" x14ac:dyDescent="0.25">
      <c r="A17" s="8" t="s">
        <v>9</v>
      </c>
      <c r="B17" s="8" t="s">
        <v>60</v>
      </c>
      <c r="C17" s="10">
        <v>144</v>
      </c>
      <c r="D17" s="4">
        <v>530</v>
      </c>
      <c r="E17" s="4">
        <v>53000</v>
      </c>
      <c r="F17" s="4">
        <v>0</v>
      </c>
      <c r="G17" s="4">
        <v>76548.959999999992</v>
      </c>
      <c r="H17" s="4">
        <v>0</v>
      </c>
      <c r="I17" s="4">
        <v>501820.95999999996</v>
      </c>
      <c r="J17" s="4"/>
    </row>
    <row r="18" spans="1:10" x14ac:dyDescent="0.25">
      <c r="A18" s="8" t="s">
        <v>9</v>
      </c>
      <c r="B18" s="8" t="s">
        <v>60</v>
      </c>
      <c r="C18" s="10">
        <v>141</v>
      </c>
      <c r="D18" s="4">
        <v>25987</v>
      </c>
      <c r="E18" s="4">
        <v>2598700</v>
      </c>
      <c r="F18" s="4">
        <v>0</v>
      </c>
      <c r="G18" s="4">
        <v>3673179.2800000012</v>
      </c>
      <c r="H18" s="4">
        <v>0</v>
      </c>
      <c r="I18" s="4">
        <v>24079730.899999995</v>
      </c>
      <c r="J18" s="4"/>
    </row>
    <row r="19" spans="1:10" x14ac:dyDescent="0.25">
      <c r="A19" s="8" t="s">
        <v>9</v>
      </c>
      <c r="B19" s="8" t="s">
        <v>60</v>
      </c>
      <c r="C19" s="10">
        <v>196</v>
      </c>
      <c r="D19" s="4">
        <v>386</v>
      </c>
      <c r="E19" s="4">
        <v>38600</v>
      </c>
      <c r="F19" s="4">
        <v>23070.89</v>
      </c>
      <c r="G19" s="4">
        <v>29394.9</v>
      </c>
      <c r="H19" s="4">
        <v>23070.89</v>
      </c>
      <c r="I19" s="4">
        <v>495184.88</v>
      </c>
      <c r="J19" s="4"/>
    </row>
    <row r="20" spans="1:10" x14ac:dyDescent="0.25">
      <c r="A20" s="8" t="s">
        <v>9</v>
      </c>
      <c r="B20" s="8" t="s">
        <v>60</v>
      </c>
      <c r="C20" s="10">
        <v>310</v>
      </c>
      <c r="D20" s="4">
        <v>136</v>
      </c>
      <c r="E20" s="4">
        <v>13600</v>
      </c>
      <c r="F20" s="4">
        <v>0</v>
      </c>
      <c r="G20" s="4">
        <v>42116.850000000006</v>
      </c>
      <c r="H20" s="4">
        <v>0</v>
      </c>
      <c r="I20" s="4">
        <v>276099.41000000003</v>
      </c>
      <c r="J20" s="4"/>
    </row>
    <row r="21" spans="1:10" x14ac:dyDescent="0.25">
      <c r="A21" s="8" t="s">
        <v>9</v>
      </c>
      <c r="B21" s="8" t="s">
        <v>60</v>
      </c>
      <c r="C21" s="10">
        <v>362</v>
      </c>
      <c r="D21" s="4">
        <v>252</v>
      </c>
      <c r="E21" s="4">
        <v>25200</v>
      </c>
      <c r="F21" s="4">
        <v>0</v>
      </c>
      <c r="G21" s="4">
        <v>91156.81</v>
      </c>
      <c r="H21" s="4">
        <v>0</v>
      </c>
      <c r="I21" s="4">
        <v>597583.57000000007</v>
      </c>
      <c r="J21" s="4"/>
    </row>
    <row r="22" spans="1:10" x14ac:dyDescent="0.25">
      <c r="A22" s="8" t="s">
        <v>9</v>
      </c>
      <c r="B22" s="8" t="s">
        <v>60</v>
      </c>
      <c r="C22" s="10">
        <v>401</v>
      </c>
      <c r="D22" s="4">
        <v>500</v>
      </c>
      <c r="E22" s="4">
        <v>50000</v>
      </c>
      <c r="F22" s="4">
        <v>0</v>
      </c>
      <c r="G22" s="4">
        <v>200721.59999999998</v>
      </c>
      <c r="H22" s="4">
        <v>0</v>
      </c>
      <c r="I22" s="4">
        <v>1315841.6000000001</v>
      </c>
      <c r="J22" s="4"/>
    </row>
    <row r="23" spans="1:10" x14ac:dyDescent="0.25">
      <c r="A23" s="8" t="s">
        <v>9</v>
      </c>
      <c r="B23" s="8" t="s">
        <v>60</v>
      </c>
      <c r="C23" s="10">
        <v>14</v>
      </c>
      <c r="D23" s="4">
        <v>20</v>
      </c>
      <c r="E23" s="4">
        <v>2000</v>
      </c>
      <c r="F23" s="4">
        <v>139.94999999999999</v>
      </c>
      <c r="G23" s="4">
        <v>0</v>
      </c>
      <c r="H23" s="4">
        <v>139.94999999999999</v>
      </c>
      <c r="I23" s="4">
        <v>1834.9</v>
      </c>
      <c r="J23" s="4"/>
    </row>
    <row r="24" spans="1:10" x14ac:dyDescent="0.25">
      <c r="A24" s="8" t="s">
        <v>9</v>
      </c>
      <c r="B24" s="8" t="s">
        <v>60</v>
      </c>
      <c r="C24" s="10">
        <v>185</v>
      </c>
      <c r="D24" s="4">
        <v>253</v>
      </c>
      <c r="E24" s="4">
        <v>25300</v>
      </c>
      <c r="F24" s="4">
        <v>0</v>
      </c>
      <c r="G24" s="4">
        <v>46718.58</v>
      </c>
      <c r="H24" s="4">
        <v>0</v>
      </c>
      <c r="I24" s="4">
        <v>306266.21999999997</v>
      </c>
    </row>
    <row r="25" spans="1:10" x14ac:dyDescent="0.25">
      <c r="A25" s="8" t="s">
        <v>9</v>
      </c>
      <c r="B25" s="8" t="s">
        <v>60</v>
      </c>
      <c r="C25" s="10">
        <v>178</v>
      </c>
      <c r="D25" s="4">
        <v>1304</v>
      </c>
      <c r="E25" s="4">
        <v>130400</v>
      </c>
      <c r="F25" s="4">
        <v>116069.04000000001</v>
      </c>
      <c r="G25" s="4">
        <v>0</v>
      </c>
      <c r="H25" s="4">
        <v>116069.04000000001</v>
      </c>
      <c r="I25" s="4">
        <v>1521794.08</v>
      </c>
    </row>
    <row r="26" spans="1:10" x14ac:dyDescent="0.25">
      <c r="A26" s="8" t="s">
        <v>9</v>
      </c>
      <c r="B26" s="8" t="s">
        <v>60</v>
      </c>
      <c r="C26" s="10">
        <v>220</v>
      </c>
      <c r="D26" s="4">
        <v>360</v>
      </c>
      <c r="E26" s="4">
        <v>36000</v>
      </c>
      <c r="F26" s="4">
        <v>39583.08</v>
      </c>
      <c r="G26" s="4">
        <v>0</v>
      </c>
      <c r="H26" s="4">
        <v>39583.08</v>
      </c>
      <c r="I26" s="4">
        <v>518978.16</v>
      </c>
    </row>
    <row r="27" spans="1:10" x14ac:dyDescent="0.25">
      <c r="A27" s="8" t="s">
        <v>9</v>
      </c>
      <c r="B27" s="8" t="s">
        <v>60</v>
      </c>
      <c r="C27" s="10">
        <v>148</v>
      </c>
      <c r="D27" s="4">
        <v>25</v>
      </c>
      <c r="E27" s="4">
        <v>2500</v>
      </c>
      <c r="F27" s="4">
        <v>0</v>
      </c>
      <c r="G27" s="4">
        <v>3695.85</v>
      </c>
      <c r="H27" s="4">
        <v>0</v>
      </c>
      <c r="I27" s="4">
        <v>24228.35</v>
      </c>
    </row>
    <row r="28" spans="1:10" x14ac:dyDescent="0.25">
      <c r="A28" s="8" t="s">
        <v>9</v>
      </c>
      <c r="B28" s="8" t="s">
        <v>62</v>
      </c>
      <c r="C28" s="10">
        <v>13</v>
      </c>
      <c r="D28" s="4">
        <v>5</v>
      </c>
      <c r="E28" s="4">
        <v>500</v>
      </c>
      <c r="F28" s="4">
        <v>31.5</v>
      </c>
      <c r="G28" s="4">
        <v>0</v>
      </c>
      <c r="H28" s="4">
        <v>31.5</v>
      </c>
      <c r="I28" s="4">
        <v>413</v>
      </c>
    </row>
    <row r="29" spans="1:10" x14ac:dyDescent="0.25">
      <c r="A29" s="8" t="s">
        <v>28</v>
      </c>
      <c r="B29" s="8" t="s">
        <v>61</v>
      </c>
      <c r="C29" s="10">
        <v>900</v>
      </c>
      <c r="D29" s="4">
        <v>1</v>
      </c>
      <c r="E29" s="4">
        <v>100</v>
      </c>
      <c r="F29" s="4">
        <v>450</v>
      </c>
      <c r="G29" s="4">
        <v>0</v>
      </c>
      <c r="H29" s="4">
        <v>450</v>
      </c>
      <c r="I29" s="4">
        <v>5900</v>
      </c>
    </row>
    <row r="30" spans="1:10" x14ac:dyDescent="0.25">
      <c r="A30" s="8" t="s">
        <v>30</v>
      </c>
      <c r="B30" s="8" t="s">
        <v>60</v>
      </c>
      <c r="C30" s="10">
        <v>14</v>
      </c>
      <c r="D30" s="4">
        <v>40</v>
      </c>
      <c r="E30" s="4">
        <v>4000</v>
      </c>
      <c r="F30" s="4">
        <v>279.89999999999998</v>
      </c>
      <c r="G30" s="4">
        <v>0</v>
      </c>
      <c r="H30" s="4">
        <v>279.89999999999998</v>
      </c>
      <c r="I30" s="4">
        <v>3669.8</v>
      </c>
    </row>
    <row r="31" spans="1:10" x14ac:dyDescent="0.25">
      <c r="A31" s="8" t="s">
        <v>59</v>
      </c>
      <c r="B31" s="8" t="s">
        <v>61</v>
      </c>
      <c r="C31" s="10">
        <v>13</v>
      </c>
      <c r="D31" s="4">
        <v>40</v>
      </c>
      <c r="E31" s="4">
        <v>4000</v>
      </c>
      <c r="F31" s="4">
        <v>252</v>
      </c>
      <c r="G31" s="4">
        <v>0</v>
      </c>
      <c r="H31" s="4">
        <v>252</v>
      </c>
      <c r="I31" s="4">
        <v>3304</v>
      </c>
    </row>
    <row r="32" spans="1:10" x14ac:dyDescent="0.25">
      <c r="A32" s="8" t="s">
        <v>59</v>
      </c>
      <c r="B32" s="8" t="s">
        <v>62</v>
      </c>
      <c r="C32" s="10">
        <v>14</v>
      </c>
      <c r="D32" s="4">
        <v>20</v>
      </c>
      <c r="E32" s="4">
        <v>2000</v>
      </c>
      <c r="F32" s="4">
        <v>139.94999999999999</v>
      </c>
      <c r="G32" s="4">
        <v>0</v>
      </c>
      <c r="H32" s="4">
        <v>139.94999999999999</v>
      </c>
      <c r="I32" s="4">
        <v>1834.9</v>
      </c>
    </row>
    <row r="33" spans="1:9" x14ac:dyDescent="0.25">
      <c r="A33" s="8" t="s">
        <v>170</v>
      </c>
      <c r="B33" s="8" t="s">
        <v>60</v>
      </c>
      <c r="C33" s="10">
        <v>140</v>
      </c>
      <c r="D33" s="4">
        <v>409</v>
      </c>
      <c r="E33" s="4">
        <v>40900</v>
      </c>
      <c r="F33" s="4">
        <v>0</v>
      </c>
      <c r="G33" s="4">
        <v>57171.82</v>
      </c>
      <c r="H33" s="4">
        <v>0</v>
      </c>
      <c r="I33" s="4">
        <v>374793.04</v>
      </c>
    </row>
    <row r="34" spans="1:9" x14ac:dyDescent="0.25">
      <c r="A34" s="8" t="s">
        <v>259</v>
      </c>
      <c r="B34" s="8" t="s">
        <v>61</v>
      </c>
      <c r="C34" s="10">
        <v>0</v>
      </c>
      <c r="D34" s="4">
        <v>110000</v>
      </c>
      <c r="E34" s="4">
        <v>11000000</v>
      </c>
      <c r="F34" s="4">
        <v>5400</v>
      </c>
      <c r="G34" s="4">
        <v>12960</v>
      </c>
      <c r="H34" s="4">
        <v>5400</v>
      </c>
      <c r="I34" s="4">
        <v>155760</v>
      </c>
    </row>
    <row r="35" spans="1:9" x14ac:dyDescent="0.25">
      <c r="A35" s="8" t="s">
        <v>277</v>
      </c>
      <c r="B35" s="8" t="s">
        <v>62</v>
      </c>
      <c r="C35" s="10">
        <v>311</v>
      </c>
      <c r="D35" s="4">
        <v>8</v>
      </c>
      <c r="E35" s="4">
        <v>800</v>
      </c>
      <c r="F35" s="4">
        <v>0</v>
      </c>
      <c r="G35" s="4">
        <v>2484</v>
      </c>
      <c r="H35" s="4">
        <v>0</v>
      </c>
      <c r="I35" s="4">
        <v>16284</v>
      </c>
    </row>
    <row r="36" spans="1:9" x14ac:dyDescent="0.25">
      <c r="A36" s="8" t="s">
        <v>277</v>
      </c>
      <c r="B36" s="8" t="s">
        <v>62</v>
      </c>
      <c r="C36" s="10">
        <v>345</v>
      </c>
      <c r="D36" s="4">
        <v>11</v>
      </c>
      <c r="E36" s="4">
        <v>1100</v>
      </c>
      <c r="F36" s="4">
        <v>0</v>
      </c>
      <c r="G36" s="4">
        <v>3791.7</v>
      </c>
      <c r="H36" s="4">
        <v>0</v>
      </c>
      <c r="I36" s="4">
        <v>24856.7</v>
      </c>
    </row>
    <row r="37" spans="1:9" x14ac:dyDescent="0.25">
      <c r="A37" s="8" t="s">
        <v>277</v>
      </c>
      <c r="B37" s="8" t="s">
        <v>62</v>
      </c>
      <c r="C37" s="10">
        <v>32</v>
      </c>
      <c r="D37" s="4">
        <v>2</v>
      </c>
      <c r="E37" s="4">
        <v>200</v>
      </c>
      <c r="F37" s="4">
        <v>0</v>
      </c>
      <c r="G37" s="4">
        <v>64.8</v>
      </c>
      <c r="H37" s="4">
        <v>0</v>
      </c>
      <c r="I37" s="4">
        <v>424.8</v>
      </c>
    </row>
    <row r="38" spans="1:9" x14ac:dyDescent="0.25">
      <c r="A38" s="8" t="s">
        <v>279</v>
      </c>
      <c r="B38" s="8" t="s">
        <v>62</v>
      </c>
      <c r="C38" s="10">
        <v>320</v>
      </c>
      <c r="D38" s="4">
        <v>14</v>
      </c>
      <c r="E38" s="4">
        <v>1400</v>
      </c>
      <c r="F38" s="4">
        <v>0</v>
      </c>
      <c r="G38" s="4">
        <v>4483.08</v>
      </c>
      <c r="H38" s="4">
        <v>0</v>
      </c>
      <c r="I38" s="4">
        <v>29389.08</v>
      </c>
    </row>
    <row r="39" spans="1:9" x14ac:dyDescent="0.25">
      <c r="A39" s="8" t="s">
        <v>22</v>
      </c>
      <c r="B39" s="8"/>
      <c r="C39" s="8"/>
      <c r="D39" s="4">
        <v>208391</v>
      </c>
      <c r="E39" s="4">
        <v>20839100</v>
      </c>
      <c r="F39" s="4">
        <v>229688.51000000004</v>
      </c>
      <c r="G39" s="4">
        <v>13206677.490000004</v>
      </c>
      <c r="H39" s="4">
        <v>229688.51000000004</v>
      </c>
      <c r="I39" s="4">
        <v>89588579.739999965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2BF">
    <tabColor rgb="FF92D050"/>
  </sheetPr>
  <dimension ref="A1:R256"/>
  <sheetViews>
    <sheetView topLeftCell="A176" workbookViewId="0">
      <selection activeCell="B188" sqref="B188"/>
    </sheetView>
  </sheetViews>
  <sheetFormatPr defaultRowHeight="15" x14ac:dyDescent="0.25"/>
  <cols>
    <col min="1" max="1" width="19" bestFit="1" customWidth="1"/>
    <col min="2" max="2" width="44.42578125" bestFit="1" customWidth="1"/>
    <col min="3" max="3" width="18.28515625" bestFit="1" customWidth="1"/>
    <col min="4" max="4" width="11.42578125" bestFit="1" customWidth="1"/>
    <col min="5" max="6" width="8.28515625" bestFit="1" customWidth="1"/>
    <col min="7" max="7" width="16.140625" bestFit="1" customWidth="1"/>
    <col min="8" max="8" width="10" bestFit="1" customWidth="1"/>
    <col min="9" max="9" width="12" bestFit="1" customWidth="1"/>
    <col min="10" max="10" width="10" bestFit="1" customWidth="1"/>
    <col min="11" max="11" width="12" bestFit="1" customWidth="1"/>
    <col min="17" max="17" width="22" bestFit="1" customWidth="1"/>
    <col min="18" max="18" width="12.85546875" bestFit="1" customWidth="1"/>
    <col min="19" max="25" width="11" bestFit="1" customWidth="1"/>
  </cols>
  <sheetData>
    <row r="1" spans="1:18" x14ac:dyDescent="0.25">
      <c r="A1" s="5" t="s">
        <v>34</v>
      </c>
      <c r="B1" s="6" t="s">
        <v>8</v>
      </c>
      <c r="Q1" s="5" t="s">
        <v>34</v>
      </c>
      <c r="R1" s="6" t="s">
        <v>8</v>
      </c>
    </row>
    <row r="2" spans="1:18" x14ac:dyDescent="0.25">
      <c r="A2" s="5" t="s">
        <v>5</v>
      </c>
      <c r="B2" s="6" t="s">
        <v>10</v>
      </c>
      <c r="Q2" s="5" t="s">
        <v>5</v>
      </c>
      <c r="R2" s="6" t="s">
        <v>10</v>
      </c>
    </row>
    <row r="4" spans="1:18" x14ac:dyDescent="0.25">
      <c r="A4" s="6"/>
      <c r="B4" s="6"/>
      <c r="C4" s="6"/>
      <c r="D4" s="6"/>
      <c r="E4" s="6"/>
      <c r="F4" s="6"/>
      <c r="G4" s="5" t="s">
        <v>25</v>
      </c>
      <c r="H4" s="6"/>
      <c r="I4" s="6"/>
      <c r="J4" s="6"/>
      <c r="Q4" s="5" t="s">
        <v>24</v>
      </c>
      <c r="R4" s="6"/>
    </row>
    <row r="5" spans="1:18" x14ac:dyDescent="0.25">
      <c r="A5" s="5" t="s">
        <v>7</v>
      </c>
      <c r="B5" s="5" t="s">
        <v>2</v>
      </c>
      <c r="C5" s="5" t="s">
        <v>26</v>
      </c>
      <c r="D5" s="5" t="s">
        <v>33</v>
      </c>
      <c r="E5" s="5" t="s">
        <v>6</v>
      </c>
      <c r="F5" s="5" t="s">
        <v>29</v>
      </c>
      <c r="G5" s="6" t="s">
        <v>23</v>
      </c>
      <c r="H5" s="6" t="s">
        <v>35</v>
      </c>
      <c r="I5" s="6" t="s">
        <v>37</v>
      </c>
      <c r="J5" s="6" t="s">
        <v>36</v>
      </c>
      <c r="K5" s="9" t="s">
        <v>38</v>
      </c>
      <c r="Q5" s="5" t="s">
        <v>26</v>
      </c>
      <c r="R5" s="6" t="s">
        <v>27</v>
      </c>
    </row>
    <row r="6" spans="1:18" x14ac:dyDescent="0.25">
      <c r="A6" s="6" t="s">
        <v>201</v>
      </c>
      <c r="B6" s="6" t="s">
        <v>199</v>
      </c>
      <c r="C6" s="6" t="s">
        <v>354</v>
      </c>
      <c r="D6" s="22">
        <v>44593</v>
      </c>
      <c r="E6" s="6" t="s">
        <v>16</v>
      </c>
      <c r="F6" s="12">
        <v>86</v>
      </c>
      <c r="G6" s="7">
        <v>180000</v>
      </c>
      <c r="H6" s="7">
        <v>0</v>
      </c>
      <c r="I6" s="7">
        <v>154159.20000000001</v>
      </c>
      <c r="J6" s="7">
        <v>0</v>
      </c>
      <c r="K6">
        <f t="shared" ref="K6:K69" si="0">VLOOKUP(C6,Q:R,2,0)</f>
        <v>1010599.2</v>
      </c>
      <c r="Q6" s="6" t="s">
        <v>354</v>
      </c>
      <c r="R6" s="7">
        <v>1010599.2</v>
      </c>
    </row>
    <row r="7" spans="1:18" x14ac:dyDescent="0.25">
      <c r="A7" s="6" t="s">
        <v>201</v>
      </c>
      <c r="B7" s="6" t="s">
        <v>199</v>
      </c>
      <c r="C7" s="6" t="s">
        <v>380</v>
      </c>
      <c r="D7" s="22">
        <v>44593</v>
      </c>
      <c r="E7" s="6" t="s">
        <v>14</v>
      </c>
      <c r="F7" s="12">
        <v>179</v>
      </c>
      <c r="G7" s="7">
        <v>5000</v>
      </c>
      <c r="H7" s="7">
        <v>0</v>
      </c>
      <c r="I7" s="7">
        <v>8937</v>
      </c>
      <c r="J7" s="7">
        <v>0</v>
      </c>
      <c r="K7">
        <f t="shared" si="0"/>
        <v>299731.21000000002</v>
      </c>
      <c r="Q7" s="6" t="s">
        <v>355</v>
      </c>
      <c r="R7" s="7">
        <v>718765.94000000006</v>
      </c>
    </row>
    <row r="8" spans="1:18" x14ac:dyDescent="0.25">
      <c r="A8" s="6" t="s">
        <v>201</v>
      </c>
      <c r="B8" s="6" t="s">
        <v>199</v>
      </c>
      <c r="C8" s="6" t="s">
        <v>380</v>
      </c>
      <c r="D8" s="22">
        <v>44593</v>
      </c>
      <c r="E8" s="6" t="s">
        <v>14</v>
      </c>
      <c r="F8" s="12">
        <v>144</v>
      </c>
      <c r="G8" s="7">
        <v>18000</v>
      </c>
      <c r="H8" s="7">
        <v>0</v>
      </c>
      <c r="I8" s="7">
        <v>25997.759999999998</v>
      </c>
      <c r="J8" s="7">
        <v>0</v>
      </c>
      <c r="K8">
        <f t="shared" si="0"/>
        <v>299731.21000000002</v>
      </c>
      <c r="Q8" s="6" t="s">
        <v>356</v>
      </c>
      <c r="R8" s="7">
        <v>756673.82000000007</v>
      </c>
    </row>
    <row r="9" spans="1:18" x14ac:dyDescent="0.25">
      <c r="A9" s="6" t="s">
        <v>201</v>
      </c>
      <c r="B9" s="6" t="s">
        <v>199</v>
      </c>
      <c r="C9" s="6" t="s">
        <v>381</v>
      </c>
      <c r="D9" s="22">
        <v>44593</v>
      </c>
      <c r="E9" s="6" t="s">
        <v>11</v>
      </c>
      <c r="F9" s="12">
        <v>135</v>
      </c>
      <c r="G9" s="7">
        <v>50000</v>
      </c>
      <c r="H9" s="7">
        <v>0</v>
      </c>
      <c r="I9" s="7">
        <v>67618.8</v>
      </c>
      <c r="J9" s="7">
        <v>0</v>
      </c>
      <c r="K9">
        <f t="shared" si="0"/>
        <v>950392.39000000013</v>
      </c>
      <c r="Q9" s="6" t="s">
        <v>357</v>
      </c>
      <c r="R9" s="7">
        <v>982878.17</v>
      </c>
    </row>
    <row r="10" spans="1:18" x14ac:dyDescent="0.25">
      <c r="A10" s="6" t="s">
        <v>201</v>
      </c>
      <c r="B10" s="6" t="s">
        <v>199</v>
      </c>
      <c r="C10" s="6" t="s">
        <v>381</v>
      </c>
      <c r="D10" s="22">
        <v>44593</v>
      </c>
      <c r="E10" s="6" t="s">
        <v>11</v>
      </c>
      <c r="F10" s="12">
        <v>130</v>
      </c>
      <c r="G10" s="7">
        <v>45000</v>
      </c>
      <c r="H10" s="7">
        <v>0</v>
      </c>
      <c r="I10" s="7">
        <v>58690.98</v>
      </c>
      <c r="J10" s="7">
        <v>0</v>
      </c>
      <c r="K10">
        <f t="shared" si="0"/>
        <v>950392.39000000013</v>
      </c>
      <c r="Q10" s="6" t="s">
        <v>358</v>
      </c>
      <c r="R10" s="7">
        <v>567799.72</v>
      </c>
    </row>
    <row r="11" spans="1:18" x14ac:dyDescent="0.25">
      <c r="A11" s="6" t="s">
        <v>201</v>
      </c>
      <c r="B11" s="6" t="s">
        <v>199</v>
      </c>
      <c r="C11" s="6" t="s">
        <v>390</v>
      </c>
      <c r="D11" s="22">
        <v>44593</v>
      </c>
      <c r="E11" s="6" t="s">
        <v>18</v>
      </c>
      <c r="F11" s="12">
        <v>141</v>
      </c>
      <c r="G11" s="7">
        <v>101200</v>
      </c>
      <c r="H11" s="7">
        <v>0</v>
      </c>
      <c r="I11" s="7">
        <v>143042.96</v>
      </c>
      <c r="J11" s="7">
        <v>0</v>
      </c>
      <c r="K11">
        <f t="shared" si="0"/>
        <v>937726.08</v>
      </c>
      <c r="Q11" s="6" t="s">
        <v>359</v>
      </c>
      <c r="R11" s="7">
        <v>6608</v>
      </c>
    </row>
    <row r="12" spans="1:18" x14ac:dyDescent="0.25">
      <c r="A12" s="6" t="s">
        <v>201</v>
      </c>
      <c r="B12" s="6" t="s">
        <v>199</v>
      </c>
      <c r="C12" s="6" t="s">
        <v>394</v>
      </c>
      <c r="D12" s="22">
        <v>44593</v>
      </c>
      <c r="E12" s="6" t="s">
        <v>18</v>
      </c>
      <c r="F12" s="12">
        <v>172</v>
      </c>
      <c r="G12" s="7">
        <v>20000</v>
      </c>
      <c r="H12" s="7">
        <v>0</v>
      </c>
      <c r="I12" s="7">
        <v>34301.160000000003</v>
      </c>
      <c r="J12" s="7">
        <v>0</v>
      </c>
      <c r="K12">
        <f t="shared" si="0"/>
        <v>576973.74</v>
      </c>
      <c r="Q12" s="6" t="s">
        <v>360</v>
      </c>
      <c r="R12" s="7">
        <v>530799.64</v>
      </c>
    </row>
    <row r="13" spans="1:18" x14ac:dyDescent="0.25">
      <c r="A13" s="6" t="s">
        <v>201</v>
      </c>
      <c r="B13" s="6" t="s">
        <v>199</v>
      </c>
      <c r="C13" s="6" t="s">
        <v>400</v>
      </c>
      <c r="D13" s="22">
        <v>44593</v>
      </c>
      <c r="E13" s="6" t="s">
        <v>18</v>
      </c>
      <c r="F13" s="12">
        <v>141</v>
      </c>
      <c r="G13" s="7">
        <v>58000</v>
      </c>
      <c r="H13" s="7">
        <v>0</v>
      </c>
      <c r="I13" s="7">
        <v>81981.14</v>
      </c>
      <c r="J13" s="7">
        <v>0</v>
      </c>
      <c r="K13">
        <f t="shared" si="0"/>
        <v>874726.67999999993</v>
      </c>
      <c r="Q13" s="6" t="s">
        <v>361</v>
      </c>
      <c r="R13" s="7">
        <v>1010599.2</v>
      </c>
    </row>
    <row r="14" spans="1:18" x14ac:dyDescent="0.25">
      <c r="A14" s="6" t="s">
        <v>201</v>
      </c>
      <c r="B14" s="6" t="s">
        <v>199</v>
      </c>
      <c r="C14" s="6" t="s">
        <v>401</v>
      </c>
      <c r="D14" s="22">
        <v>44593</v>
      </c>
      <c r="E14" s="6" t="s">
        <v>16</v>
      </c>
      <c r="F14" s="12">
        <v>172</v>
      </c>
      <c r="G14" s="7">
        <v>68000</v>
      </c>
      <c r="H14" s="7">
        <v>0</v>
      </c>
      <c r="I14" s="7">
        <v>116623.94</v>
      </c>
      <c r="J14" s="7">
        <v>0</v>
      </c>
      <c r="K14">
        <f t="shared" si="0"/>
        <v>764534.74</v>
      </c>
      <c r="Q14" s="6" t="s">
        <v>362</v>
      </c>
      <c r="R14" s="7">
        <v>764534.74</v>
      </c>
    </row>
    <row r="15" spans="1:18" x14ac:dyDescent="0.25">
      <c r="A15" s="6" t="s">
        <v>201</v>
      </c>
      <c r="B15" s="6" t="s">
        <v>199</v>
      </c>
      <c r="C15" s="6" t="s">
        <v>403</v>
      </c>
      <c r="D15" s="22">
        <v>44593</v>
      </c>
      <c r="E15" s="6" t="s">
        <v>19</v>
      </c>
      <c r="F15" s="12">
        <v>141</v>
      </c>
      <c r="G15" s="7">
        <v>60000</v>
      </c>
      <c r="H15" s="7">
        <v>0</v>
      </c>
      <c r="I15" s="7">
        <v>84808.08</v>
      </c>
      <c r="J15" s="7">
        <v>0</v>
      </c>
      <c r="K15">
        <f t="shared" si="0"/>
        <v>668395.65999999992</v>
      </c>
      <c r="Q15" s="6" t="s">
        <v>363</v>
      </c>
      <c r="R15" s="7">
        <v>947415.86</v>
      </c>
    </row>
    <row r="16" spans="1:18" x14ac:dyDescent="0.25">
      <c r="A16" s="6" t="s">
        <v>201</v>
      </c>
      <c r="B16" s="6" t="s">
        <v>199</v>
      </c>
      <c r="C16" s="6" t="s">
        <v>404</v>
      </c>
      <c r="D16" s="22">
        <v>44593</v>
      </c>
      <c r="E16" s="6" t="s">
        <v>18</v>
      </c>
      <c r="F16" s="12">
        <v>172</v>
      </c>
      <c r="G16" s="7">
        <v>68000</v>
      </c>
      <c r="H16" s="7">
        <v>0</v>
      </c>
      <c r="I16" s="7">
        <v>116623.94</v>
      </c>
      <c r="J16" s="7">
        <v>0</v>
      </c>
      <c r="K16">
        <f t="shared" si="0"/>
        <v>764534.74</v>
      </c>
      <c r="Q16" s="6" t="s">
        <v>364</v>
      </c>
      <c r="R16" s="7">
        <v>764534.74</v>
      </c>
    </row>
    <row r="17" spans="1:18" x14ac:dyDescent="0.25">
      <c r="A17" s="6" t="s">
        <v>201</v>
      </c>
      <c r="B17" s="6" t="s">
        <v>199</v>
      </c>
      <c r="C17" s="6" t="s">
        <v>411</v>
      </c>
      <c r="D17" s="22">
        <v>44593</v>
      </c>
      <c r="E17" s="6" t="s">
        <v>13</v>
      </c>
      <c r="F17" s="12">
        <v>141</v>
      </c>
      <c r="G17" s="7">
        <v>60000</v>
      </c>
      <c r="H17" s="7">
        <v>0</v>
      </c>
      <c r="I17" s="7">
        <v>84808.08</v>
      </c>
      <c r="J17" s="7">
        <v>0</v>
      </c>
      <c r="K17">
        <f t="shared" si="0"/>
        <v>965799.90999999992</v>
      </c>
      <c r="Q17" s="6" t="s">
        <v>365</v>
      </c>
      <c r="R17" s="7">
        <v>771898.77</v>
      </c>
    </row>
    <row r="18" spans="1:18" x14ac:dyDescent="0.25">
      <c r="A18" s="6" t="s">
        <v>201</v>
      </c>
      <c r="B18" s="6" t="s">
        <v>199</v>
      </c>
      <c r="C18" s="6" t="s">
        <v>415</v>
      </c>
      <c r="D18" s="22">
        <v>44593</v>
      </c>
      <c r="E18" s="6" t="s">
        <v>16</v>
      </c>
      <c r="F18" s="12">
        <v>172</v>
      </c>
      <c r="G18" s="7">
        <v>42000</v>
      </c>
      <c r="H18" s="7">
        <v>0</v>
      </c>
      <c r="I18" s="7">
        <v>72032.44</v>
      </c>
      <c r="J18" s="7">
        <v>0</v>
      </c>
      <c r="K18">
        <f t="shared" si="0"/>
        <v>472212.64</v>
      </c>
      <c r="Q18" s="6" t="s">
        <v>366</v>
      </c>
      <c r="R18" s="7">
        <v>486167.46</v>
      </c>
    </row>
    <row r="19" spans="1:18" x14ac:dyDescent="0.25">
      <c r="A19" s="6" t="s">
        <v>201</v>
      </c>
      <c r="B19" s="6" t="s">
        <v>199</v>
      </c>
      <c r="C19" s="6" t="s">
        <v>419</v>
      </c>
      <c r="D19" s="22">
        <v>44593</v>
      </c>
      <c r="E19" s="6" t="s">
        <v>16</v>
      </c>
      <c r="F19" s="12">
        <v>179</v>
      </c>
      <c r="G19" s="7">
        <v>5000</v>
      </c>
      <c r="H19" s="7">
        <v>0</v>
      </c>
      <c r="I19" s="7">
        <v>8937</v>
      </c>
      <c r="J19" s="7">
        <v>0</v>
      </c>
      <c r="K19">
        <f t="shared" si="0"/>
        <v>803588.73</v>
      </c>
      <c r="Q19" s="6" t="s">
        <v>367</v>
      </c>
      <c r="R19" s="7">
        <v>845442.86</v>
      </c>
    </row>
    <row r="20" spans="1:18" x14ac:dyDescent="0.25">
      <c r="A20" s="6" t="s">
        <v>201</v>
      </c>
      <c r="B20" s="6" t="s">
        <v>199</v>
      </c>
      <c r="C20" s="6" t="s">
        <v>419</v>
      </c>
      <c r="D20" s="22">
        <v>44593</v>
      </c>
      <c r="E20" s="6" t="s">
        <v>16</v>
      </c>
      <c r="F20" s="12">
        <v>141</v>
      </c>
      <c r="G20" s="7">
        <v>44000</v>
      </c>
      <c r="H20" s="7">
        <v>0</v>
      </c>
      <c r="I20" s="7">
        <v>62192.59</v>
      </c>
      <c r="J20" s="7">
        <v>0</v>
      </c>
      <c r="K20">
        <f t="shared" si="0"/>
        <v>803588.73</v>
      </c>
      <c r="Q20" s="6" t="s">
        <v>368</v>
      </c>
      <c r="R20" s="7">
        <v>938848.12</v>
      </c>
    </row>
    <row r="21" spans="1:18" x14ac:dyDescent="0.25">
      <c r="A21" s="6" t="s">
        <v>201</v>
      </c>
      <c r="B21" s="6" t="s">
        <v>199</v>
      </c>
      <c r="C21" s="6" t="s">
        <v>422</v>
      </c>
      <c r="D21" s="22">
        <v>44593</v>
      </c>
      <c r="E21" s="6" t="s">
        <v>17</v>
      </c>
      <c r="F21" s="12">
        <v>195</v>
      </c>
      <c r="G21" s="7">
        <v>2000</v>
      </c>
      <c r="H21" s="7">
        <v>0</v>
      </c>
      <c r="I21" s="7">
        <v>3904.56</v>
      </c>
      <c r="J21" s="7">
        <v>0</v>
      </c>
      <c r="K21">
        <f t="shared" si="0"/>
        <v>563614.6100000001</v>
      </c>
      <c r="Q21" s="6" t="s">
        <v>369</v>
      </c>
      <c r="R21" s="7">
        <v>828125.18</v>
      </c>
    </row>
    <row r="22" spans="1:18" x14ac:dyDescent="0.25">
      <c r="A22" s="6" t="s">
        <v>201</v>
      </c>
      <c r="B22" s="6" t="s">
        <v>199</v>
      </c>
      <c r="C22" s="6" t="s">
        <v>422</v>
      </c>
      <c r="D22" s="22">
        <v>44593</v>
      </c>
      <c r="E22" s="6" t="s">
        <v>17</v>
      </c>
      <c r="F22" s="12">
        <v>144</v>
      </c>
      <c r="G22" s="7">
        <v>20000</v>
      </c>
      <c r="H22" s="7">
        <v>0</v>
      </c>
      <c r="I22" s="7">
        <v>28886.400000000001</v>
      </c>
      <c r="J22" s="7">
        <v>0</v>
      </c>
      <c r="K22">
        <f t="shared" si="0"/>
        <v>563614.6100000001</v>
      </c>
      <c r="Q22" s="6" t="s">
        <v>370</v>
      </c>
      <c r="R22" s="7">
        <v>415996.85</v>
      </c>
    </row>
    <row r="23" spans="1:18" x14ac:dyDescent="0.25">
      <c r="A23" s="6" t="s">
        <v>201</v>
      </c>
      <c r="B23" s="6" t="s">
        <v>199</v>
      </c>
      <c r="C23" s="6" t="s">
        <v>428</v>
      </c>
      <c r="D23" s="22">
        <v>44593</v>
      </c>
      <c r="E23" s="6" t="s">
        <v>18</v>
      </c>
      <c r="F23" s="12">
        <v>163</v>
      </c>
      <c r="G23" s="7">
        <v>500</v>
      </c>
      <c r="H23" s="7">
        <v>0</v>
      </c>
      <c r="I23" s="7">
        <v>817.2</v>
      </c>
      <c r="J23" s="7">
        <v>0</v>
      </c>
      <c r="K23">
        <f t="shared" si="0"/>
        <v>517110.46</v>
      </c>
      <c r="Q23" s="6" t="s">
        <v>371</v>
      </c>
      <c r="R23" s="7">
        <v>810597.46</v>
      </c>
    </row>
    <row r="24" spans="1:18" x14ac:dyDescent="0.25">
      <c r="A24" s="6" t="s">
        <v>201</v>
      </c>
      <c r="B24" s="6" t="s">
        <v>199</v>
      </c>
      <c r="C24" s="6" t="s">
        <v>429</v>
      </c>
      <c r="D24" s="22">
        <v>44593</v>
      </c>
      <c r="E24" s="6" t="s">
        <v>16</v>
      </c>
      <c r="F24" s="12">
        <v>172</v>
      </c>
      <c r="G24" s="7">
        <v>68000</v>
      </c>
      <c r="H24" s="7">
        <v>0</v>
      </c>
      <c r="I24" s="7">
        <v>116623.94</v>
      </c>
      <c r="J24" s="7">
        <v>0</v>
      </c>
      <c r="K24">
        <f t="shared" si="0"/>
        <v>764534.74</v>
      </c>
      <c r="Q24" s="6" t="s">
        <v>372</v>
      </c>
      <c r="R24" s="7">
        <v>631725.39</v>
      </c>
    </row>
    <row r="25" spans="1:18" x14ac:dyDescent="0.25">
      <c r="A25" s="6" t="s">
        <v>201</v>
      </c>
      <c r="B25" s="6" t="s">
        <v>199</v>
      </c>
      <c r="C25" s="6" t="s">
        <v>436</v>
      </c>
      <c r="D25" s="22">
        <v>44593</v>
      </c>
      <c r="E25" s="6" t="s">
        <v>12</v>
      </c>
      <c r="F25" s="12">
        <v>13</v>
      </c>
      <c r="G25" s="7">
        <v>500</v>
      </c>
      <c r="H25" s="7">
        <v>31.5</v>
      </c>
      <c r="I25" s="7">
        <v>0</v>
      </c>
      <c r="J25" s="7">
        <v>31.5</v>
      </c>
      <c r="K25">
        <f t="shared" si="0"/>
        <v>826</v>
      </c>
      <c r="Q25" s="6" t="s">
        <v>373</v>
      </c>
      <c r="R25" s="7">
        <v>505942.11</v>
      </c>
    </row>
    <row r="26" spans="1:18" x14ac:dyDescent="0.25">
      <c r="A26" s="6" t="s">
        <v>201</v>
      </c>
      <c r="B26" s="6" t="s">
        <v>199</v>
      </c>
      <c r="C26" s="6" t="s">
        <v>466</v>
      </c>
      <c r="D26" s="22">
        <v>44593</v>
      </c>
      <c r="E26" s="6" t="s">
        <v>16</v>
      </c>
      <c r="F26" s="12">
        <v>175</v>
      </c>
      <c r="G26" s="7">
        <v>7000</v>
      </c>
      <c r="H26" s="7">
        <v>0</v>
      </c>
      <c r="I26" s="7">
        <v>12253.5</v>
      </c>
      <c r="J26" s="7">
        <v>0</v>
      </c>
      <c r="K26">
        <f t="shared" si="0"/>
        <v>859418.19</v>
      </c>
      <c r="Q26" s="6" t="s">
        <v>374</v>
      </c>
      <c r="R26" s="7">
        <v>1010599.2</v>
      </c>
    </row>
    <row r="27" spans="1:18" x14ac:dyDescent="0.25">
      <c r="A27" s="6" t="s">
        <v>201</v>
      </c>
      <c r="B27" s="6" t="s">
        <v>199</v>
      </c>
      <c r="C27" s="6" t="s">
        <v>466</v>
      </c>
      <c r="D27" s="22">
        <v>44593</v>
      </c>
      <c r="E27" s="6" t="s">
        <v>16</v>
      </c>
      <c r="F27" s="12">
        <v>163</v>
      </c>
      <c r="G27" s="7">
        <v>15000</v>
      </c>
      <c r="H27" s="7">
        <v>0</v>
      </c>
      <c r="I27" s="7">
        <v>24516</v>
      </c>
      <c r="J27" s="7">
        <v>0</v>
      </c>
      <c r="K27">
        <f t="shared" si="0"/>
        <v>859418.19</v>
      </c>
      <c r="Q27" s="6" t="s">
        <v>375</v>
      </c>
      <c r="R27" s="7">
        <v>1015931.81</v>
      </c>
    </row>
    <row r="28" spans="1:18" x14ac:dyDescent="0.25">
      <c r="A28" s="6" t="s">
        <v>201</v>
      </c>
      <c r="B28" s="6" t="s">
        <v>199</v>
      </c>
      <c r="C28" s="6" t="s">
        <v>467</v>
      </c>
      <c r="D28" s="22">
        <v>44593</v>
      </c>
      <c r="E28" s="6" t="s">
        <v>11</v>
      </c>
      <c r="F28" s="12">
        <v>130</v>
      </c>
      <c r="G28" s="7">
        <v>90000</v>
      </c>
      <c r="H28" s="7">
        <v>0</v>
      </c>
      <c r="I28" s="7">
        <v>117381.96</v>
      </c>
      <c r="J28" s="7">
        <v>0</v>
      </c>
      <c r="K28">
        <f t="shared" si="0"/>
        <v>802488.5</v>
      </c>
      <c r="Q28" s="6" t="s">
        <v>376</v>
      </c>
      <c r="R28" s="7">
        <v>955555.15</v>
      </c>
    </row>
    <row r="29" spans="1:18" x14ac:dyDescent="0.25">
      <c r="A29" s="6" t="s">
        <v>203</v>
      </c>
      <c r="B29" s="6" t="s">
        <v>199</v>
      </c>
      <c r="C29" s="6" t="s">
        <v>355</v>
      </c>
      <c r="D29" s="22">
        <v>44593</v>
      </c>
      <c r="E29" s="6" t="s">
        <v>11</v>
      </c>
      <c r="F29" s="12">
        <v>135</v>
      </c>
      <c r="G29" s="7">
        <v>60000</v>
      </c>
      <c r="H29" s="7">
        <v>0</v>
      </c>
      <c r="I29" s="7">
        <v>81142.559999999998</v>
      </c>
      <c r="J29" s="7">
        <v>0</v>
      </c>
      <c r="K29">
        <f t="shared" si="0"/>
        <v>718765.94000000006</v>
      </c>
      <c r="Q29" s="6" t="s">
        <v>377</v>
      </c>
      <c r="R29" s="7">
        <v>764534.74</v>
      </c>
    </row>
    <row r="30" spans="1:18" x14ac:dyDescent="0.25">
      <c r="A30" s="6" t="s">
        <v>203</v>
      </c>
      <c r="B30" s="6" t="s">
        <v>199</v>
      </c>
      <c r="C30" s="6" t="s">
        <v>355</v>
      </c>
      <c r="D30" s="22">
        <v>44593</v>
      </c>
      <c r="E30" s="6" t="s">
        <v>11</v>
      </c>
      <c r="F30" s="12">
        <v>175</v>
      </c>
      <c r="G30" s="7">
        <v>16300</v>
      </c>
      <c r="H30" s="7">
        <v>0</v>
      </c>
      <c r="I30" s="7">
        <v>28499.7</v>
      </c>
      <c r="J30" s="7">
        <v>0</v>
      </c>
      <c r="K30">
        <f t="shared" si="0"/>
        <v>718765.94000000006</v>
      </c>
      <c r="Q30" s="6" t="s">
        <v>378</v>
      </c>
      <c r="R30" s="7">
        <v>919876.79</v>
      </c>
    </row>
    <row r="31" spans="1:18" x14ac:dyDescent="0.25">
      <c r="A31" s="6" t="s">
        <v>203</v>
      </c>
      <c r="B31" s="6" t="s">
        <v>199</v>
      </c>
      <c r="C31" s="6" t="s">
        <v>356</v>
      </c>
      <c r="D31" s="22">
        <v>44593</v>
      </c>
      <c r="E31" s="6" t="s">
        <v>15</v>
      </c>
      <c r="F31" s="12">
        <v>135</v>
      </c>
      <c r="G31" s="7">
        <v>27500</v>
      </c>
      <c r="H31" s="7">
        <v>0</v>
      </c>
      <c r="I31" s="7">
        <v>37190.339999999997</v>
      </c>
      <c r="J31" s="7">
        <v>0</v>
      </c>
      <c r="K31">
        <f t="shared" si="0"/>
        <v>756673.82000000007</v>
      </c>
      <c r="Q31" s="6" t="s">
        <v>379</v>
      </c>
      <c r="R31" s="7">
        <v>1010599.2</v>
      </c>
    </row>
    <row r="32" spans="1:18" x14ac:dyDescent="0.25">
      <c r="A32" s="6" t="s">
        <v>203</v>
      </c>
      <c r="B32" s="6" t="s">
        <v>199</v>
      </c>
      <c r="C32" s="6" t="s">
        <v>356</v>
      </c>
      <c r="D32" s="22">
        <v>44593</v>
      </c>
      <c r="E32" s="6" t="s">
        <v>15</v>
      </c>
      <c r="F32" s="12">
        <v>175</v>
      </c>
      <c r="G32" s="7">
        <v>25000</v>
      </c>
      <c r="H32" s="7">
        <v>0</v>
      </c>
      <c r="I32" s="7">
        <v>43711.199999999997</v>
      </c>
      <c r="J32" s="7">
        <v>0</v>
      </c>
      <c r="K32">
        <f t="shared" si="0"/>
        <v>756673.82000000007</v>
      </c>
      <c r="Q32" s="6" t="s">
        <v>380</v>
      </c>
      <c r="R32" s="7">
        <v>299731.21000000002</v>
      </c>
    </row>
    <row r="33" spans="1:18" x14ac:dyDescent="0.25">
      <c r="A33" s="6" t="s">
        <v>203</v>
      </c>
      <c r="B33" s="6" t="s">
        <v>199</v>
      </c>
      <c r="C33" s="6" t="s">
        <v>371</v>
      </c>
      <c r="D33" s="22">
        <v>44593</v>
      </c>
      <c r="E33" s="6" t="s">
        <v>19</v>
      </c>
      <c r="F33" s="12">
        <v>130</v>
      </c>
      <c r="G33" s="7">
        <v>90000</v>
      </c>
      <c r="H33" s="7">
        <v>0</v>
      </c>
      <c r="I33" s="7">
        <v>117381.96</v>
      </c>
      <c r="J33" s="7">
        <v>0</v>
      </c>
      <c r="K33">
        <f t="shared" si="0"/>
        <v>810597.46</v>
      </c>
      <c r="Q33" s="6" t="s">
        <v>381</v>
      </c>
      <c r="R33" s="7">
        <v>950392.39000000013</v>
      </c>
    </row>
    <row r="34" spans="1:18" x14ac:dyDescent="0.25">
      <c r="A34" s="6" t="s">
        <v>203</v>
      </c>
      <c r="B34" s="6" t="s">
        <v>199</v>
      </c>
      <c r="C34" s="6" t="s">
        <v>371</v>
      </c>
      <c r="D34" s="22">
        <v>44593</v>
      </c>
      <c r="E34" s="6" t="s">
        <v>19</v>
      </c>
      <c r="F34" s="12">
        <v>125</v>
      </c>
      <c r="G34" s="7">
        <v>5000</v>
      </c>
      <c r="H34" s="7">
        <v>0</v>
      </c>
      <c r="I34" s="7">
        <v>6268.5</v>
      </c>
      <c r="J34" s="7">
        <v>0</v>
      </c>
      <c r="K34">
        <f t="shared" si="0"/>
        <v>810597.46</v>
      </c>
      <c r="Q34" s="6" t="s">
        <v>382</v>
      </c>
      <c r="R34" s="7">
        <v>764534.74</v>
      </c>
    </row>
    <row r="35" spans="1:18" x14ac:dyDescent="0.25">
      <c r="A35" s="6" t="s">
        <v>203</v>
      </c>
      <c r="B35" s="6" t="s">
        <v>199</v>
      </c>
      <c r="C35" s="6" t="s">
        <v>372</v>
      </c>
      <c r="D35" s="22">
        <v>44593</v>
      </c>
      <c r="E35" s="6" t="s">
        <v>15</v>
      </c>
      <c r="F35" s="12">
        <v>135</v>
      </c>
      <c r="G35" s="7">
        <v>40000</v>
      </c>
      <c r="H35" s="7">
        <v>0</v>
      </c>
      <c r="I35" s="7">
        <v>54095.040000000001</v>
      </c>
      <c r="J35" s="7">
        <v>0</v>
      </c>
      <c r="K35">
        <f t="shared" si="0"/>
        <v>631725.39</v>
      </c>
      <c r="Q35" s="6" t="s">
        <v>383</v>
      </c>
      <c r="R35" s="7">
        <v>764534.74</v>
      </c>
    </row>
    <row r="36" spans="1:18" x14ac:dyDescent="0.25">
      <c r="A36" s="6" t="s">
        <v>203</v>
      </c>
      <c r="B36" s="6" t="s">
        <v>199</v>
      </c>
      <c r="C36" s="6" t="s">
        <v>372</v>
      </c>
      <c r="D36" s="22">
        <v>44593</v>
      </c>
      <c r="E36" s="6" t="s">
        <v>15</v>
      </c>
      <c r="F36" s="12">
        <v>125</v>
      </c>
      <c r="G36" s="7">
        <v>2500</v>
      </c>
      <c r="H36" s="7">
        <v>0</v>
      </c>
      <c r="I36" s="7">
        <v>3134.25</v>
      </c>
      <c r="J36" s="7">
        <v>0</v>
      </c>
      <c r="K36">
        <f t="shared" si="0"/>
        <v>631725.39</v>
      </c>
      <c r="Q36" s="6" t="s">
        <v>384</v>
      </c>
      <c r="R36" s="7">
        <v>875947.51</v>
      </c>
    </row>
    <row r="37" spans="1:18" x14ac:dyDescent="0.25">
      <c r="A37" s="6" t="s">
        <v>203</v>
      </c>
      <c r="B37" s="6" t="s">
        <v>199</v>
      </c>
      <c r="C37" s="6" t="s">
        <v>407</v>
      </c>
      <c r="D37" s="22">
        <v>44593</v>
      </c>
      <c r="E37" s="6" t="s">
        <v>19</v>
      </c>
      <c r="F37" s="12">
        <v>141</v>
      </c>
      <c r="G37" s="7">
        <v>50000</v>
      </c>
      <c r="H37" s="7">
        <v>0</v>
      </c>
      <c r="I37" s="7">
        <v>70673.399999999994</v>
      </c>
      <c r="J37" s="7">
        <v>0</v>
      </c>
      <c r="K37">
        <f t="shared" si="0"/>
        <v>575734.98</v>
      </c>
      <c r="Q37" s="6" t="s">
        <v>385</v>
      </c>
      <c r="R37" s="7">
        <v>762595.18</v>
      </c>
    </row>
    <row r="38" spans="1:18" x14ac:dyDescent="0.25">
      <c r="A38" s="6" t="s">
        <v>203</v>
      </c>
      <c r="B38" s="6" t="s">
        <v>199</v>
      </c>
      <c r="C38" s="6" t="s">
        <v>444</v>
      </c>
      <c r="D38" s="22">
        <v>44593</v>
      </c>
      <c r="E38" s="6" t="s">
        <v>13</v>
      </c>
      <c r="F38" s="12">
        <v>130</v>
      </c>
      <c r="G38" s="7">
        <v>50000</v>
      </c>
      <c r="H38" s="7">
        <v>0</v>
      </c>
      <c r="I38" s="7">
        <v>65212.2</v>
      </c>
      <c r="J38" s="7">
        <v>0</v>
      </c>
      <c r="K38">
        <f t="shared" si="0"/>
        <v>937135.94</v>
      </c>
      <c r="Q38" s="6" t="s">
        <v>386</v>
      </c>
      <c r="R38" s="7">
        <v>917416.72000000009</v>
      </c>
    </row>
    <row r="39" spans="1:18" x14ac:dyDescent="0.25">
      <c r="A39" s="6" t="s">
        <v>203</v>
      </c>
      <c r="B39" s="6" t="s">
        <v>199</v>
      </c>
      <c r="C39" s="6" t="s">
        <v>444</v>
      </c>
      <c r="D39" s="22">
        <v>44593</v>
      </c>
      <c r="E39" s="6" t="s">
        <v>13</v>
      </c>
      <c r="F39" s="12">
        <v>141</v>
      </c>
      <c r="G39" s="7">
        <v>55000</v>
      </c>
      <c r="H39" s="7">
        <v>0</v>
      </c>
      <c r="I39" s="7">
        <v>77740.740000000005</v>
      </c>
      <c r="J39" s="7">
        <v>0</v>
      </c>
      <c r="K39">
        <f t="shared" si="0"/>
        <v>937135.94</v>
      </c>
      <c r="Q39" s="6" t="s">
        <v>387</v>
      </c>
      <c r="R39" s="7">
        <v>569310.89</v>
      </c>
    </row>
    <row r="40" spans="1:18" x14ac:dyDescent="0.25">
      <c r="A40" s="6" t="s">
        <v>203</v>
      </c>
      <c r="B40" s="6" t="s">
        <v>199</v>
      </c>
      <c r="C40" s="6" t="s">
        <v>445</v>
      </c>
      <c r="D40" s="22">
        <v>44593</v>
      </c>
      <c r="E40" s="6" t="s">
        <v>15</v>
      </c>
      <c r="F40" s="12">
        <v>179</v>
      </c>
      <c r="G40" s="7">
        <v>2500</v>
      </c>
      <c r="H40" s="7">
        <v>0</v>
      </c>
      <c r="I40" s="7">
        <v>4468.5</v>
      </c>
      <c r="J40" s="7">
        <v>0</v>
      </c>
      <c r="K40">
        <f t="shared" si="0"/>
        <v>616529.69999999995</v>
      </c>
      <c r="Q40" s="6" t="s">
        <v>388</v>
      </c>
      <c r="R40" s="7">
        <v>764534.74</v>
      </c>
    </row>
    <row r="41" spans="1:18" x14ac:dyDescent="0.25">
      <c r="A41" s="6" t="s">
        <v>203</v>
      </c>
      <c r="B41" s="6" t="s">
        <v>199</v>
      </c>
      <c r="C41" s="6" t="s">
        <v>445</v>
      </c>
      <c r="D41" s="22">
        <v>44593</v>
      </c>
      <c r="E41" s="6" t="s">
        <v>15</v>
      </c>
      <c r="F41" s="12">
        <v>141</v>
      </c>
      <c r="G41" s="7">
        <v>53000</v>
      </c>
      <c r="H41" s="7">
        <v>0</v>
      </c>
      <c r="I41" s="7">
        <v>74913.8</v>
      </c>
      <c r="J41" s="7">
        <v>0</v>
      </c>
      <c r="K41">
        <f t="shared" si="0"/>
        <v>616529.69999999995</v>
      </c>
      <c r="Q41" s="6" t="s">
        <v>389</v>
      </c>
      <c r="R41" s="7">
        <v>940504.84</v>
      </c>
    </row>
    <row r="42" spans="1:18" x14ac:dyDescent="0.25">
      <c r="A42" s="6" t="s">
        <v>203</v>
      </c>
      <c r="B42" s="6" t="s">
        <v>199</v>
      </c>
      <c r="C42" s="6" t="s">
        <v>460</v>
      </c>
      <c r="D42" s="22">
        <v>44593</v>
      </c>
      <c r="E42" s="6" t="s">
        <v>12</v>
      </c>
      <c r="F42" s="12">
        <v>14</v>
      </c>
      <c r="G42" s="7">
        <v>2000</v>
      </c>
      <c r="H42" s="7">
        <v>139.94999999999999</v>
      </c>
      <c r="I42" s="7">
        <v>0</v>
      </c>
      <c r="J42" s="7">
        <v>139.94999999999999</v>
      </c>
      <c r="K42">
        <f t="shared" si="0"/>
        <v>7339.6</v>
      </c>
      <c r="Q42" s="6" t="s">
        <v>390</v>
      </c>
      <c r="R42" s="7">
        <v>937726.08</v>
      </c>
    </row>
    <row r="43" spans="1:18" x14ac:dyDescent="0.25">
      <c r="A43" s="6" t="s">
        <v>203</v>
      </c>
      <c r="B43" s="6" t="s">
        <v>199</v>
      </c>
      <c r="C43" s="6" t="s">
        <v>461</v>
      </c>
      <c r="D43" s="22">
        <v>44593</v>
      </c>
      <c r="E43" s="6" t="s">
        <v>15</v>
      </c>
      <c r="F43" s="12">
        <v>175</v>
      </c>
      <c r="G43" s="7">
        <v>4000</v>
      </c>
      <c r="H43" s="7">
        <v>0</v>
      </c>
      <c r="I43" s="7">
        <v>7002</v>
      </c>
      <c r="J43" s="7">
        <v>0</v>
      </c>
      <c r="K43">
        <f t="shared" si="0"/>
        <v>611022.53</v>
      </c>
      <c r="Q43" s="6" t="s">
        <v>391</v>
      </c>
      <c r="R43" s="7">
        <v>940504.84</v>
      </c>
    </row>
    <row r="44" spans="1:18" x14ac:dyDescent="0.25">
      <c r="A44" s="6" t="s">
        <v>203</v>
      </c>
      <c r="B44" s="6" t="s">
        <v>199</v>
      </c>
      <c r="C44" s="6" t="s">
        <v>461</v>
      </c>
      <c r="D44" s="22">
        <v>44593</v>
      </c>
      <c r="E44" s="6" t="s">
        <v>15</v>
      </c>
      <c r="F44" s="12">
        <v>141</v>
      </c>
      <c r="G44" s="7">
        <v>39500</v>
      </c>
      <c r="H44" s="7">
        <v>0</v>
      </c>
      <c r="I44" s="7">
        <v>55831.99</v>
      </c>
      <c r="J44" s="7">
        <v>0</v>
      </c>
      <c r="K44">
        <f t="shared" si="0"/>
        <v>611022.53</v>
      </c>
      <c r="Q44" s="6" t="s">
        <v>392</v>
      </c>
      <c r="R44" s="7">
        <v>926606.8</v>
      </c>
    </row>
    <row r="45" spans="1:18" x14ac:dyDescent="0.25">
      <c r="A45" s="6" t="s">
        <v>205</v>
      </c>
      <c r="B45" s="6" t="s">
        <v>199</v>
      </c>
      <c r="C45" s="6" t="s">
        <v>356</v>
      </c>
      <c r="D45" s="22">
        <v>44593</v>
      </c>
      <c r="E45" s="6" t="s">
        <v>15</v>
      </c>
      <c r="F45" s="12">
        <v>195</v>
      </c>
      <c r="G45" s="7">
        <v>14000</v>
      </c>
      <c r="H45" s="7">
        <v>0</v>
      </c>
      <c r="I45" s="7">
        <v>27331.919999999998</v>
      </c>
      <c r="J45" s="7">
        <v>0</v>
      </c>
      <c r="K45">
        <f t="shared" si="0"/>
        <v>756673.82000000007</v>
      </c>
      <c r="Q45" s="6" t="s">
        <v>393</v>
      </c>
      <c r="R45" s="7">
        <v>1000735.34</v>
      </c>
    </row>
    <row r="46" spans="1:18" x14ac:dyDescent="0.25">
      <c r="A46" s="6" t="s">
        <v>205</v>
      </c>
      <c r="B46" s="6" t="s">
        <v>199</v>
      </c>
      <c r="C46" s="6" t="s">
        <v>356</v>
      </c>
      <c r="D46" s="22">
        <v>44593</v>
      </c>
      <c r="E46" s="6" t="s">
        <v>15</v>
      </c>
      <c r="F46" s="12">
        <v>163</v>
      </c>
      <c r="G46" s="7">
        <v>4400</v>
      </c>
      <c r="H46" s="7">
        <v>0</v>
      </c>
      <c r="I46" s="7">
        <v>7191.36</v>
      </c>
      <c r="J46" s="7">
        <v>0</v>
      </c>
      <c r="K46">
        <f t="shared" si="0"/>
        <v>756673.82000000007</v>
      </c>
      <c r="Q46" s="6" t="s">
        <v>394</v>
      </c>
      <c r="R46" s="7">
        <v>576973.74</v>
      </c>
    </row>
    <row r="47" spans="1:18" x14ac:dyDescent="0.25">
      <c r="A47" s="6" t="s">
        <v>205</v>
      </c>
      <c r="B47" s="6" t="s">
        <v>199</v>
      </c>
      <c r="C47" s="6" t="s">
        <v>361</v>
      </c>
      <c r="D47" s="22">
        <v>44593</v>
      </c>
      <c r="E47" s="6" t="s">
        <v>16</v>
      </c>
      <c r="F47" s="12">
        <v>86</v>
      </c>
      <c r="G47" s="7">
        <v>180000</v>
      </c>
      <c r="H47" s="7">
        <v>0</v>
      </c>
      <c r="I47" s="7">
        <v>154159.20000000001</v>
      </c>
      <c r="J47" s="7">
        <v>0</v>
      </c>
      <c r="K47">
        <f t="shared" si="0"/>
        <v>1010599.2</v>
      </c>
      <c r="Q47" s="6" t="s">
        <v>395</v>
      </c>
      <c r="R47" s="7">
        <v>833946.12</v>
      </c>
    </row>
    <row r="48" spans="1:18" x14ac:dyDescent="0.25">
      <c r="A48" s="6" t="s">
        <v>205</v>
      </c>
      <c r="B48" s="6" t="s">
        <v>199</v>
      </c>
      <c r="C48" s="6" t="s">
        <v>362</v>
      </c>
      <c r="D48" s="22">
        <v>44593</v>
      </c>
      <c r="E48" s="6" t="s">
        <v>16</v>
      </c>
      <c r="F48" s="12">
        <v>172</v>
      </c>
      <c r="G48" s="7">
        <v>68000</v>
      </c>
      <c r="H48" s="7">
        <v>0</v>
      </c>
      <c r="I48" s="7">
        <v>116623.94</v>
      </c>
      <c r="J48" s="7">
        <v>0</v>
      </c>
      <c r="K48">
        <f t="shared" si="0"/>
        <v>764534.74</v>
      </c>
      <c r="Q48" s="6" t="s">
        <v>396</v>
      </c>
      <c r="R48" s="7">
        <v>419870.52</v>
      </c>
    </row>
    <row r="49" spans="1:18" x14ac:dyDescent="0.25">
      <c r="A49" s="6" t="s">
        <v>205</v>
      </c>
      <c r="B49" s="6" t="s">
        <v>199</v>
      </c>
      <c r="C49" s="6" t="s">
        <v>367</v>
      </c>
      <c r="D49" s="22">
        <v>44593</v>
      </c>
      <c r="E49" s="6" t="s">
        <v>16</v>
      </c>
      <c r="F49" s="12">
        <v>135</v>
      </c>
      <c r="G49" s="7">
        <v>40000</v>
      </c>
      <c r="H49" s="7">
        <v>0</v>
      </c>
      <c r="I49" s="7">
        <v>54095.040000000001</v>
      </c>
      <c r="J49" s="7">
        <v>0</v>
      </c>
      <c r="K49">
        <f t="shared" si="0"/>
        <v>845442.86</v>
      </c>
      <c r="Q49" s="6" t="s">
        <v>397</v>
      </c>
      <c r="R49" s="7">
        <v>14160</v>
      </c>
    </row>
    <row r="50" spans="1:18" x14ac:dyDescent="0.25">
      <c r="A50" s="6" t="s">
        <v>205</v>
      </c>
      <c r="B50" s="6" t="s">
        <v>199</v>
      </c>
      <c r="C50" s="6" t="s">
        <v>367</v>
      </c>
      <c r="D50" s="22">
        <v>44593</v>
      </c>
      <c r="E50" s="6" t="s">
        <v>16</v>
      </c>
      <c r="F50" s="12">
        <v>125</v>
      </c>
      <c r="G50" s="7">
        <v>5000</v>
      </c>
      <c r="H50" s="7">
        <v>0</v>
      </c>
      <c r="I50" s="7">
        <v>6268.5</v>
      </c>
      <c r="J50" s="7">
        <v>0</v>
      </c>
      <c r="K50">
        <f t="shared" si="0"/>
        <v>845442.86</v>
      </c>
      <c r="Q50" s="6" t="s">
        <v>398</v>
      </c>
      <c r="R50" s="7">
        <v>976966.37</v>
      </c>
    </row>
    <row r="51" spans="1:18" x14ac:dyDescent="0.25">
      <c r="A51" s="6" t="s">
        <v>205</v>
      </c>
      <c r="B51" s="6" t="s">
        <v>199</v>
      </c>
      <c r="C51" s="6" t="s">
        <v>375</v>
      </c>
      <c r="D51" s="22">
        <v>44593</v>
      </c>
      <c r="E51" s="6" t="s">
        <v>18</v>
      </c>
      <c r="F51" s="12">
        <v>175</v>
      </c>
      <c r="G51" s="7">
        <v>25600</v>
      </c>
      <c r="H51" s="7">
        <v>0</v>
      </c>
      <c r="I51" s="7">
        <v>44760.27</v>
      </c>
      <c r="J51" s="7">
        <v>0</v>
      </c>
      <c r="K51">
        <f t="shared" si="0"/>
        <v>1015931.81</v>
      </c>
      <c r="Q51" s="6" t="s">
        <v>399</v>
      </c>
      <c r="R51" s="7">
        <v>874726.67999999993</v>
      </c>
    </row>
    <row r="52" spans="1:18" x14ac:dyDescent="0.25">
      <c r="A52" s="6" t="s">
        <v>205</v>
      </c>
      <c r="B52" s="6" t="s">
        <v>199</v>
      </c>
      <c r="C52" s="6" t="s">
        <v>375</v>
      </c>
      <c r="D52" s="22">
        <v>44593</v>
      </c>
      <c r="E52" s="6" t="s">
        <v>18</v>
      </c>
      <c r="F52" s="12">
        <v>153</v>
      </c>
      <c r="G52" s="7">
        <v>1000</v>
      </c>
      <c r="H52" s="7">
        <v>0</v>
      </c>
      <c r="I52" s="7">
        <v>1530.54</v>
      </c>
      <c r="J52" s="7">
        <v>0</v>
      </c>
      <c r="K52">
        <f t="shared" si="0"/>
        <v>1015931.81</v>
      </c>
      <c r="Q52" s="6" t="s">
        <v>400</v>
      </c>
      <c r="R52" s="7">
        <v>874726.67999999993</v>
      </c>
    </row>
    <row r="53" spans="1:18" x14ac:dyDescent="0.25">
      <c r="A53" s="6" t="s">
        <v>205</v>
      </c>
      <c r="B53" s="6" t="s">
        <v>199</v>
      </c>
      <c r="C53" s="6" t="s">
        <v>382</v>
      </c>
      <c r="D53" s="22">
        <v>44593</v>
      </c>
      <c r="E53" s="6" t="s">
        <v>18</v>
      </c>
      <c r="F53" s="12">
        <v>172</v>
      </c>
      <c r="G53" s="7">
        <v>68000</v>
      </c>
      <c r="H53" s="7">
        <v>0</v>
      </c>
      <c r="I53" s="7">
        <v>116623.94</v>
      </c>
      <c r="J53" s="7">
        <v>0</v>
      </c>
      <c r="K53">
        <f t="shared" si="0"/>
        <v>764534.74</v>
      </c>
      <c r="Q53" s="6" t="s">
        <v>401</v>
      </c>
      <c r="R53" s="7">
        <v>764534.74</v>
      </c>
    </row>
    <row r="54" spans="1:18" x14ac:dyDescent="0.25">
      <c r="A54" s="6" t="s">
        <v>205</v>
      </c>
      <c r="B54" s="6" t="s">
        <v>199</v>
      </c>
      <c r="C54" s="6" t="s">
        <v>383</v>
      </c>
      <c r="D54" s="22">
        <v>44593</v>
      </c>
      <c r="E54" s="6" t="s">
        <v>16</v>
      </c>
      <c r="F54" s="12">
        <v>172</v>
      </c>
      <c r="G54" s="7">
        <v>68000</v>
      </c>
      <c r="H54" s="7">
        <v>0</v>
      </c>
      <c r="I54" s="7">
        <v>116623.94</v>
      </c>
      <c r="J54" s="7">
        <v>0</v>
      </c>
      <c r="K54">
        <f t="shared" si="0"/>
        <v>764534.74</v>
      </c>
      <c r="Q54" s="6" t="s">
        <v>402</v>
      </c>
      <c r="R54" s="7">
        <v>782378.94</v>
      </c>
    </row>
    <row r="55" spans="1:18" x14ac:dyDescent="0.25">
      <c r="A55" s="6" t="s">
        <v>205</v>
      </c>
      <c r="B55" s="6" t="s">
        <v>199</v>
      </c>
      <c r="C55" s="6" t="s">
        <v>385</v>
      </c>
      <c r="D55" s="22">
        <v>44593</v>
      </c>
      <c r="E55" s="6" t="s">
        <v>18</v>
      </c>
      <c r="F55" s="12">
        <v>172</v>
      </c>
      <c r="G55" s="7">
        <v>66000</v>
      </c>
      <c r="H55" s="7">
        <v>0</v>
      </c>
      <c r="I55" s="7">
        <v>113193.83</v>
      </c>
      <c r="J55" s="7">
        <v>0</v>
      </c>
      <c r="K55">
        <f t="shared" si="0"/>
        <v>762595.18</v>
      </c>
      <c r="Q55" s="6" t="s">
        <v>403</v>
      </c>
      <c r="R55" s="7">
        <v>668395.65999999992</v>
      </c>
    </row>
    <row r="56" spans="1:18" x14ac:dyDescent="0.25">
      <c r="A56" s="6" t="s">
        <v>205</v>
      </c>
      <c r="B56" s="6" t="s">
        <v>199</v>
      </c>
      <c r="C56" s="6" t="s">
        <v>385</v>
      </c>
      <c r="D56" s="22">
        <v>44593</v>
      </c>
      <c r="E56" s="6" t="s">
        <v>18</v>
      </c>
      <c r="F56" s="12">
        <v>125</v>
      </c>
      <c r="G56" s="7">
        <v>2500</v>
      </c>
      <c r="H56" s="7">
        <v>0</v>
      </c>
      <c r="I56" s="7">
        <v>3134.25</v>
      </c>
      <c r="J56" s="7">
        <v>0</v>
      </c>
      <c r="K56">
        <f t="shared" si="0"/>
        <v>762595.18</v>
      </c>
      <c r="Q56" s="6" t="s">
        <v>404</v>
      </c>
      <c r="R56" s="7">
        <v>764534.74</v>
      </c>
    </row>
    <row r="57" spans="1:18" x14ac:dyDescent="0.25">
      <c r="A57" s="6" t="s">
        <v>205</v>
      </c>
      <c r="B57" s="6" t="s">
        <v>199</v>
      </c>
      <c r="C57" s="6" t="s">
        <v>389</v>
      </c>
      <c r="D57" s="22">
        <v>44593</v>
      </c>
      <c r="E57" s="6" t="s">
        <v>19</v>
      </c>
      <c r="F57" s="12">
        <v>130</v>
      </c>
      <c r="G57" s="7">
        <v>110000</v>
      </c>
      <c r="H57" s="7">
        <v>0</v>
      </c>
      <c r="I57" s="7">
        <v>143466.84</v>
      </c>
      <c r="J57" s="7">
        <v>0</v>
      </c>
      <c r="K57">
        <f t="shared" si="0"/>
        <v>940504.84</v>
      </c>
      <c r="Q57" s="6" t="s">
        <v>405</v>
      </c>
      <c r="R57" s="7">
        <v>909313.42999999993</v>
      </c>
    </row>
    <row r="58" spans="1:18" x14ac:dyDescent="0.25">
      <c r="A58" s="6" t="s">
        <v>205</v>
      </c>
      <c r="B58" s="6" t="s">
        <v>199</v>
      </c>
      <c r="C58" s="6" t="s">
        <v>394</v>
      </c>
      <c r="D58" s="22">
        <v>44593</v>
      </c>
      <c r="E58" s="6" t="s">
        <v>18</v>
      </c>
      <c r="F58" s="12">
        <v>141</v>
      </c>
      <c r="G58" s="7">
        <v>38000</v>
      </c>
      <c r="H58" s="7">
        <v>0</v>
      </c>
      <c r="I58" s="7">
        <v>53711.78</v>
      </c>
      <c r="J58" s="7">
        <v>0</v>
      </c>
      <c r="K58">
        <f t="shared" si="0"/>
        <v>576973.74</v>
      </c>
      <c r="Q58" s="6" t="s">
        <v>406</v>
      </c>
      <c r="R58" s="7">
        <v>800635.43</v>
      </c>
    </row>
    <row r="59" spans="1:18" x14ac:dyDescent="0.25">
      <c r="A59" s="6" t="s">
        <v>205</v>
      </c>
      <c r="B59" s="6" t="s">
        <v>199</v>
      </c>
      <c r="C59" s="6" t="s">
        <v>395</v>
      </c>
      <c r="D59" s="22">
        <v>44593</v>
      </c>
      <c r="E59" s="6" t="s">
        <v>11</v>
      </c>
      <c r="F59" s="12">
        <v>141</v>
      </c>
      <c r="G59" s="7">
        <v>90000</v>
      </c>
      <c r="H59" s="7">
        <v>0</v>
      </c>
      <c r="I59" s="7">
        <v>127212.12</v>
      </c>
      <c r="J59" s="7">
        <v>0</v>
      </c>
      <c r="K59">
        <f t="shared" si="0"/>
        <v>833946.12</v>
      </c>
      <c r="Q59" s="6" t="s">
        <v>407</v>
      </c>
      <c r="R59" s="7">
        <v>575734.98</v>
      </c>
    </row>
    <row r="60" spans="1:18" x14ac:dyDescent="0.25">
      <c r="A60" s="6" t="s">
        <v>205</v>
      </c>
      <c r="B60" s="6" t="s">
        <v>199</v>
      </c>
      <c r="C60" s="6" t="s">
        <v>396</v>
      </c>
      <c r="D60" s="22">
        <v>44593</v>
      </c>
      <c r="E60" s="6" t="s">
        <v>13</v>
      </c>
      <c r="F60" s="12">
        <v>141</v>
      </c>
      <c r="G60" s="7">
        <v>18000</v>
      </c>
      <c r="H60" s="7">
        <v>0</v>
      </c>
      <c r="I60" s="7">
        <v>25442.42</v>
      </c>
      <c r="J60" s="7">
        <v>0</v>
      </c>
      <c r="K60">
        <f t="shared" si="0"/>
        <v>419870.52</v>
      </c>
      <c r="Q60" s="6" t="s">
        <v>408</v>
      </c>
      <c r="R60" s="7">
        <v>449726.32</v>
      </c>
    </row>
    <row r="61" spans="1:18" x14ac:dyDescent="0.25">
      <c r="A61" s="6" t="s">
        <v>205</v>
      </c>
      <c r="B61" s="6" t="s">
        <v>199</v>
      </c>
      <c r="C61" s="6" t="s">
        <v>397</v>
      </c>
      <c r="D61" s="22">
        <v>44593</v>
      </c>
      <c r="E61" s="6" t="s">
        <v>14</v>
      </c>
      <c r="F61" s="12">
        <v>0</v>
      </c>
      <c r="G61" s="7">
        <v>1000000</v>
      </c>
      <c r="H61" s="7">
        <v>0</v>
      </c>
      <c r="I61" s="7">
        <v>2160</v>
      </c>
      <c r="J61" s="7">
        <v>0</v>
      </c>
      <c r="K61">
        <f t="shared" si="0"/>
        <v>14160</v>
      </c>
      <c r="Q61" s="6" t="s">
        <v>409</v>
      </c>
      <c r="R61" s="7">
        <v>583762.28</v>
      </c>
    </row>
    <row r="62" spans="1:18" x14ac:dyDescent="0.25">
      <c r="A62" s="6" t="s">
        <v>205</v>
      </c>
      <c r="B62" s="6" t="s">
        <v>199</v>
      </c>
      <c r="C62" s="6" t="s">
        <v>410</v>
      </c>
      <c r="D62" s="22">
        <v>44593</v>
      </c>
      <c r="E62" s="6" t="s">
        <v>14</v>
      </c>
      <c r="F62" s="12">
        <v>195</v>
      </c>
      <c r="G62" s="7">
        <v>10400</v>
      </c>
      <c r="H62" s="7">
        <v>0</v>
      </c>
      <c r="I62" s="7">
        <v>20318.689999999999</v>
      </c>
      <c r="J62" s="7">
        <v>0</v>
      </c>
      <c r="K62">
        <f t="shared" si="0"/>
        <v>399989.44</v>
      </c>
      <c r="Q62" s="6" t="s">
        <v>410</v>
      </c>
      <c r="R62" s="7">
        <v>399989.44</v>
      </c>
    </row>
    <row r="63" spans="1:18" x14ac:dyDescent="0.25">
      <c r="A63" s="6" t="s">
        <v>205</v>
      </c>
      <c r="B63" s="6" t="s">
        <v>199</v>
      </c>
      <c r="C63" s="6" t="s">
        <v>410</v>
      </c>
      <c r="D63" s="22">
        <v>44593</v>
      </c>
      <c r="E63" s="6" t="s">
        <v>14</v>
      </c>
      <c r="F63" s="12">
        <v>144</v>
      </c>
      <c r="G63" s="7">
        <v>15000</v>
      </c>
      <c r="H63" s="7">
        <v>0</v>
      </c>
      <c r="I63" s="7">
        <v>21664.799999999999</v>
      </c>
      <c r="J63" s="7">
        <v>0</v>
      </c>
      <c r="K63">
        <f t="shared" si="0"/>
        <v>399989.44</v>
      </c>
      <c r="Q63" s="6" t="s">
        <v>411</v>
      </c>
      <c r="R63" s="7">
        <v>965799.90999999992</v>
      </c>
    </row>
    <row r="64" spans="1:18" x14ac:dyDescent="0.25">
      <c r="A64" s="6" t="s">
        <v>205</v>
      </c>
      <c r="B64" s="6" t="s">
        <v>199</v>
      </c>
      <c r="C64" s="6" t="s">
        <v>411</v>
      </c>
      <c r="D64" s="22">
        <v>44593</v>
      </c>
      <c r="E64" s="6" t="s">
        <v>13</v>
      </c>
      <c r="F64" s="12">
        <v>130</v>
      </c>
      <c r="G64" s="7">
        <v>45000</v>
      </c>
      <c r="H64" s="7">
        <v>0</v>
      </c>
      <c r="I64" s="7">
        <v>58690.98</v>
      </c>
      <c r="J64" s="7">
        <v>0</v>
      </c>
      <c r="K64">
        <f t="shared" si="0"/>
        <v>965799.90999999992</v>
      </c>
      <c r="Q64" s="6" t="s">
        <v>412</v>
      </c>
      <c r="R64" s="7">
        <v>959038.04</v>
      </c>
    </row>
    <row r="65" spans="1:18" x14ac:dyDescent="0.25">
      <c r="A65" s="6" t="s">
        <v>205</v>
      </c>
      <c r="B65" s="6" t="s">
        <v>199</v>
      </c>
      <c r="C65" s="6" t="s">
        <v>416</v>
      </c>
      <c r="D65" s="22">
        <v>44593</v>
      </c>
      <c r="E65" s="6" t="s">
        <v>14</v>
      </c>
      <c r="F65" s="12">
        <v>0</v>
      </c>
      <c r="G65" s="7">
        <v>5000000</v>
      </c>
      <c r="H65" s="7">
        <v>0</v>
      </c>
      <c r="I65" s="7">
        <v>10800</v>
      </c>
      <c r="J65" s="7">
        <v>0</v>
      </c>
      <c r="K65">
        <f t="shared" si="0"/>
        <v>70800</v>
      </c>
      <c r="Q65" s="6" t="s">
        <v>413</v>
      </c>
      <c r="R65" s="7">
        <v>70954.58</v>
      </c>
    </row>
    <row r="66" spans="1:18" x14ac:dyDescent="0.25">
      <c r="A66" s="6" t="s">
        <v>205</v>
      </c>
      <c r="B66" s="6" t="s">
        <v>199</v>
      </c>
      <c r="C66" s="6" t="s">
        <v>420</v>
      </c>
      <c r="D66" s="22">
        <v>44593</v>
      </c>
      <c r="E66" s="6" t="s">
        <v>11</v>
      </c>
      <c r="F66" s="12">
        <v>195</v>
      </c>
      <c r="G66" s="7">
        <v>2000</v>
      </c>
      <c r="H66" s="7">
        <v>0</v>
      </c>
      <c r="I66" s="7">
        <v>3904.56</v>
      </c>
      <c r="J66" s="7">
        <v>0</v>
      </c>
      <c r="K66">
        <f t="shared" si="0"/>
        <v>961469.43</v>
      </c>
      <c r="Q66" s="6" t="s">
        <v>414</v>
      </c>
      <c r="R66" s="7">
        <v>70800</v>
      </c>
    </row>
    <row r="67" spans="1:18" x14ac:dyDescent="0.25">
      <c r="A67" s="6" t="s">
        <v>205</v>
      </c>
      <c r="B67" s="6" t="s">
        <v>199</v>
      </c>
      <c r="C67" s="6" t="s">
        <v>420</v>
      </c>
      <c r="D67" s="22">
        <v>44593</v>
      </c>
      <c r="E67" s="6" t="s">
        <v>11</v>
      </c>
      <c r="F67" s="12">
        <v>141</v>
      </c>
      <c r="G67" s="7">
        <v>101000</v>
      </c>
      <c r="H67" s="7">
        <v>0</v>
      </c>
      <c r="I67" s="7">
        <v>142760.26999999999</v>
      </c>
      <c r="J67" s="7">
        <v>0</v>
      </c>
      <c r="K67">
        <f t="shared" si="0"/>
        <v>961469.43</v>
      </c>
      <c r="Q67" s="6" t="s">
        <v>415</v>
      </c>
      <c r="R67" s="7">
        <v>472212.64</v>
      </c>
    </row>
    <row r="68" spans="1:18" x14ac:dyDescent="0.25">
      <c r="A68" s="6" t="s">
        <v>205</v>
      </c>
      <c r="B68" s="6" t="s">
        <v>199</v>
      </c>
      <c r="C68" s="6" t="s">
        <v>423</v>
      </c>
      <c r="D68" s="22">
        <v>44593</v>
      </c>
      <c r="E68" s="6" t="s">
        <v>11</v>
      </c>
      <c r="F68" s="12">
        <v>141</v>
      </c>
      <c r="G68" s="7">
        <v>95000</v>
      </c>
      <c r="H68" s="7">
        <v>0</v>
      </c>
      <c r="I68" s="7">
        <v>134279.46</v>
      </c>
      <c r="J68" s="7">
        <v>0</v>
      </c>
      <c r="K68">
        <f t="shared" si="0"/>
        <v>1001774.1699999999</v>
      </c>
      <c r="Q68" s="6" t="s">
        <v>416</v>
      </c>
      <c r="R68" s="7">
        <v>70800</v>
      </c>
    </row>
    <row r="69" spans="1:18" x14ac:dyDescent="0.25">
      <c r="A69" s="6" t="s">
        <v>205</v>
      </c>
      <c r="B69" s="6" t="s">
        <v>199</v>
      </c>
      <c r="C69" s="6" t="s">
        <v>432</v>
      </c>
      <c r="D69" s="22">
        <v>44593</v>
      </c>
      <c r="E69" s="6" t="s">
        <v>16</v>
      </c>
      <c r="F69" s="12">
        <v>195</v>
      </c>
      <c r="G69" s="7">
        <v>23000</v>
      </c>
      <c r="H69" s="7">
        <v>0</v>
      </c>
      <c r="I69" s="7">
        <v>44902.44</v>
      </c>
      <c r="J69" s="7">
        <v>0</v>
      </c>
      <c r="K69">
        <f t="shared" si="0"/>
        <v>982527</v>
      </c>
      <c r="Q69" s="6" t="s">
        <v>417</v>
      </c>
      <c r="R69" s="7">
        <v>833946.12</v>
      </c>
    </row>
    <row r="70" spans="1:18" x14ac:dyDescent="0.25">
      <c r="A70" s="6" t="s">
        <v>205</v>
      </c>
      <c r="B70" s="6" t="s">
        <v>199</v>
      </c>
      <c r="C70" s="6" t="s">
        <v>432</v>
      </c>
      <c r="D70" s="22">
        <v>44593</v>
      </c>
      <c r="E70" s="6" t="s">
        <v>16</v>
      </c>
      <c r="F70" s="12">
        <v>141</v>
      </c>
      <c r="G70" s="7">
        <v>50000</v>
      </c>
      <c r="H70" s="7">
        <v>0</v>
      </c>
      <c r="I70" s="7">
        <v>70673.399999999994</v>
      </c>
      <c r="J70" s="7">
        <v>0</v>
      </c>
      <c r="K70">
        <f t="shared" ref="K70:K133" si="1">VLOOKUP(C70,Q:R,2,0)</f>
        <v>982527</v>
      </c>
      <c r="Q70" s="6" t="s">
        <v>418</v>
      </c>
      <c r="R70" s="7">
        <v>658353.39</v>
      </c>
    </row>
    <row r="71" spans="1:18" x14ac:dyDescent="0.25">
      <c r="A71" s="6" t="s">
        <v>205</v>
      </c>
      <c r="B71" s="6" t="s">
        <v>199</v>
      </c>
      <c r="C71" s="6" t="s">
        <v>436</v>
      </c>
      <c r="D71" s="22">
        <v>44593</v>
      </c>
      <c r="E71" s="6" t="s">
        <v>12</v>
      </c>
      <c r="F71" s="12">
        <v>13</v>
      </c>
      <c r="G71" s="7">
        <v>500</v>
      </c>
      <c r="H71" s="7">
        <v>31.5</v>
      </c>
      <c r="I71" s="7">
        <v>0</v>
      </c>
      <c r="J71" s="7">
        <v>31.5</v>
      </c>
      <c r="K71">
        <f t="shared" si="1"/>
        <v>826</v>
      </c>
      <c r="Q71" s="6" t="s">
        <v>419</v>
      </c>
      <c r="R71" s="7">
        <v>803588.73</v>
      </c>
    </row>
    <row r="72" spans="1:18" x14ac:dyDescent="0.25">
      <c r="A72" s="6" t="s">
        <v>205</v>
      </c>
      <c r="B72" s="6" t="s">
        <v>199</v>
      </c>
      <c r="C72" s="6" t="s">
        <v>439</v>
      </c>
      <c r="D72" s="22">
        <v>44593</v>
      </c>
      <c r="E72" s="6" t="s">
        <v>16</v>
      </c>
      <c r="F72" s="12">
        <v>172</v>
      </c>
      <c r="G72" s="7">
        <v>25000</v>
      </c>
      <c r="H72" s="7">
        <v>0</v>
      </c>
      <c r="I72" s="7">
        <v>42876.45</v>
      </c>
      <c r="J72" s="7">
        <v>0</v>
      </c>
      <c r="K72">
        <f t="shared" si="1"/>
        <v>883373.37000000011</v>
      </c>
      <c r="Q72" s="6" t="s">
        <v>420</v>
      </c>
      <c r="R72" s="7">
        <v>961469.43</v>
      </c>
    </row>
    <row r="73" spans="1:18" x14ac:dyDescent="0.25">
      <c r="A73" s="6" t="s">
        <v>205</v>
      </c>
      <c r="B73" s="6" t="s">
        <v>199</v>
      </c>
      <c r="C73" s="6" t="s">
        <v>439</v>
      </c>
      <c r="D73" s="22">
        <v>44593</v>
      </c>
      <c r="E73" s="6" t="s">
        <v>16</v>
      </c>
      <c r="F73" s="12">
        <v>141</v>
      </c>
      <c r="G73" s="7">
        <v>65000</v>
      </c>
      <c r="H73" s="7">
        <v>0</v>
      </c>
      <c r="I73" s="7">
        <v>91875.42</v>
      </c>
      <c r="J73" s="7">
        <v>0</v>
      </c>
      <c r="K73">
        <f t="shared" si="1"/>
        <v>883373.37000000011</v>
      </c>
      <c r="Q73" s="6" t="s">
        <v>421</v>
      </c>
      <c r="R73" s="7">
        <v>912797.73</v>
      </c>
    </row>
    <row r="74" spans="1:18" x14ac:dyDescent="0.25">
      <c r="A74" s="6" t="s">
        <v>205</v>
      </c>
      <c r="B74" s="6" t="s">
        <v>199</v>
      </c>
      <c r="C74" s="6" t="s">
        <v>440</v>
      </c>
      <c r="D74" s="22">
        <v>44593</v>
      </c>
      <c r="E74" s="6" t="s">
        <v>13</v>
      </c>
      <c r="F74" s="12">
        <v>130</v>
      </c>
      <c r="G74" s="7">
        <v>110000</v>
      </c>
      <c r="H74" s="7">
        <v>0</v>
      </c>
      <c r="I74" s="7">
        <v>143466.84</v>
      </c>
      <c r="J74" s="7">
        <v>0</v>
      </c>
      <c r="K74">
        <f t="shared" si="1"/>
        <v>940504.84</v>
      </c>
      <c r="Q74" s="6" t="s">
        <v>422</v>
      </c>
      <c r="R74" s="7">
        <v>563614.6100000001</v>
      </c>
    </row>
    <row r="75" spans="1:18" x14ac:dyDescent="0.25">
      <c r="A75" s="6" t="s">
        <v>205</v>
      </c>
      <c r="B75" s="6" t="s">
        <v>199</v>
      </c>
      <c r="C75" s="6" t="s">
        <v>442</v>
      </c>
      <c r="D75" s="22">
        <v>44593</v>
      </c>
      <c r="E75" s="6" t="s">
        <v>16</v>
      </c>
      <c r="F75" s="12">
        <v>86</v>
      </c>
      <c r="G75" s="7">
        <v>180000</v>
      </c>
      <c r="H75" s="7">
        <v>0</v>
      </c>
      <c r="I75" s="7">
        <v>154159.20000000001</v>
      </c>
      <c r="J75" s="7">
        <v>0</v>
      </c>
      <c r="K75">
        <f t="shared" si="1"/>
        <v>1010599.2</v>
      </c>
      <c r="Q75" s="6" t="s">
        <v>423</v>
      </c>
      <c r="R75" s="7">
        <v>1001774.1699999999</v>
      </c>
    </row>
    <row r="76" spans="1:18" x14ac:dyDescent="0.25">
      <c r="A76" s="6" t="s">
        <v>205</v>
      </c>
      <c r="B76" s="6" t="s">
        <v>199</v>
      </c>
      <c r="C76" s="6" t="s">
        <v>443</v>
      </c>
      <c r="D76" s="22">
        <v>44593</v>
      </c>
      <c r="E76" s="6" t="s">
        <v>16</v>
      </c>
      <c r="F76" s="12">
        <v>86</v>
      </c>
      <c r="G76" s="7">
        <v>180000</v>
      </c>
      <c r="H76" s="7">
        <v>0</v>
      </c>
      <c r="I76" s="7">
        <v>154159.20000000001</v>
      </c>
      <c r="J76" s="7">
        <v>0</v>
      </c>
      <c r="K76">
        <f t="shared" si="1"/>
        <v>1010599.2</v>
      </c>
      <c r="Q76" s="6" t="s">
        <v>424</v>
      </c>
      <c r="R76" s="7">
        <v>897754.62</v>
      </c>
    </row>
    <row r="77" spans="1:18" x14ac:dyDescent="0.25">
      <c r="A77" s="6" t="s">
        <v>205</v>
      </c>
      <c r="B77" s="6" t="s">
        <v>199</v>
      </c>
      <c r="C77" s="6" t="s">
        <v>456</v>
      </c>
      <c r="D77" s="22">
        <v>44593</v>
      </c>
      <c r="E77" s="6" t="s">
        <v>18</v>
      </c>
      <c r="F77" s="12">
        <v>141</v>
      </c>
      <c r="G77" s="7">
        <v>24000</v>
      </c>
      <c r="H77" s="7">
        <v>0</v>
      </c>
      <c r="I77" s="7">
        <v>33923.230000000003</v>
      </c>
      <c r="J77" s="7">
        <v>0</v>
      </c>
      <c r="K77">
        <f t="shared" si="1"/>
        <v>945516.77</v>
      </c>
      <c r="Q77" s="6" t="s">
        <v>425</v>
      </c>
      <c r="R77" s="7">
        <v>617316.17000000004</v>
      </c>
    </row>
    <row r="78" spans="1:18" x14ac:dyDescent="0.25">
      <c r="A78" s="6" t="s">
        <v>205</v>
      </c>
      <c r="B78" s="6" t="s">
        <v>199</v>
      </c>
      <c r="C78" s="6" t="s">
        <v>462</v>
      </c>
      <c r="D78" s="22">
        <v>44593</v>
      </c>
      <c r="E78" s="6" t="s">
        <v>32</v>
      </c>
      <c r="F78" s="12">
        <v>175</v>
      </c>
      <c r="G78" s="7">
        <v>3000</v>
      </c>
      <c r="H78" s="7">
        <v>0</v>
      </c>
      <c r="I78" s="7">
        <v>5251.5</v>
      </c>
      <c r="J78" s="7">
        <v>0</v>
      </c>
      <c r="K78">
        <f t="shared" si="1"/>
        <v>667340.74</v>
      </c>
      <c r="Q78" s="6" t="s">
        <v>426</v>
      </c>
      <c r="R78" s="7">
        <v>135944.26</v>
      </c>
    </row>
    <row r="79" spans="1:18" x14ac:dyDescent="0.25">
      <c r="A79" s="6" t="s">
        <v>205</v>
      </c>
      <c r="B79" s="6" t="s">
        <v>199</v>
      </c>
      <c r="C79" s="6" t="s">
        <v>462</v>
      </c>
      <c r="D79" s="22">
        <v>44593</v>
      </c>
      <c r="E79" s="6" t="s">
        <v>32</v>
      </c>
      <c r="F79" s="12">
        <v>125</v>
      </c>
      <c r="G79" s="7">
        <v>15000</v>
      </c>
      <c r="H79" s="7">
        <v>0</v>
      </c>
      <c r="I79" s="7">
        <v>18805.5</v>
      </c>
      <c r="J79" s="7">
        <v>0</v>
      </c>
      <c r="K79">
        <f t="shared" si="1"/>
        <v>667340.74</v>
      </c>
      <c r="Q79" s="6" t="s">
        <v>427</v>
      </c>
      <c r="R79" s="7">
        <v>743610.04</v>
      </c>
    </row>
    <row r="80" spans="1:18" x14ac:dyDescent="0.25">
      <c r="A80" s="6" t="s">
        <v>205</v>
      </c>
      <c r="B80" s="6" t="s">
        <v>199</v>
      </c>
      <c r="C80" s="6" t="s">
        <v>472</v>
      </c>
      <c r="D80" s="22">
        <v>44593</v>
      </c>
      <c r="E80" s="6" t="s">
        <v>12</v>
      </c>
      <c r="F80" s="12">
        <v>195</v>
      </c>
      <c r="G80" s="7">
        <v>25800</v>
      </c>
      <c r="H80" s="7">
        <v>25184.41</v>
      </c>
      <c r="I80" s="7">
        <v>0</v>
      </c>
      <c r="J80" s="7">
        <v>25184.41</v>
      </c>
      <c r="K80">
        <f t="shared" si="1"/>
        <v>1420887.5599999998</v>
      </c>
      <c r="Q80" s="6" t="s">
        <v>428</v>
      </c>
      <c r="R80" s="7">
        <v>517110.46</v>
      </c>
    </row>
    <row r="81" spans="1:18" x14ac:dyDescent="0.25">
      <c r="A81" s="6" t="s">
        <v>207</v>
      </c>
      <c r="B81" s="6" t="s">
        <v>199</v>
      </c>
      <c r="C81" s="6" t="s">
        <v>357</v>
      </c>
      <c r="D81" s="22">
        <v>44593</v>
      </c>
      <c r="E81" s="6" t="s">
        <v>13</v>
      </c>
      <c r="F81" s="12">
        <v>135</v>
      </c>
      <c r="G81" s="7">
        <v>53000</v>
      </c>
      <c r="H81" s="7">
        <v>0</v>
      </c>
      <c r="I81" s="7">
        <v>71675.929999999993</v>
      </c>
      <c r="J81" s="7">
        <v>0</v>
      </c>
      <c r="K81">
        <f t="shared" si="1"/>
        <v>982878.17</v>
      </c>
      <c r="Q81" s="6" t="s">
        <v>429</v>
      </c>
      <c r="R81" s="7">
        <v>764534.74</v>
      </c>
    </row>
    <row r="82" spans="1:18" x14ac:dyDescent="0.25">
      <c r="A82" s="6" t="s">
        <v>207</v>
      </c>
      <c r="B82" s="6" t="s">
        <v>199</v>
      </c>
      <c r="C82" s="6" t="s">
        <v>357</v>
      </c>
      <c r="D82" s="22">
        <v>44593</v>
      </c>
      <c r="E82" s="6" t="s">
        <v>13</v>
      </c>
      <c r="F82" s="12">
        <v>130</v>
      </c>
      <c r="G82" s="7">
        <v>60000</v>
      </c>
      <c r="H82" s="7">
        <v>0</v>
      </c>
      <c r="I82" s="7">
        <v>78254.64</v>
      </c>
      <c r="J82" s="7">
        <v>0</v>
      </c>
      <c r="K82">
        <f t="shared" si="1"/>
        <v>982878.17</v>
      </c>
      <c r="Q82" s="6" t="s">
        <v>430</v>
      </c>
      <c r="R82" s="7">
        <v>923658.22</v>
      </c>
    </row>
    <row r="83" spans="1:18" x14ac:dyDescent="0.25">
      <c r="A83" s="6" t="s">
        <v>207</v>
      </c>
      <c r="B83" s="6" t="s">
        <v>199</v>
      </c>
      <c r="C83" s="6" t="s">
        <v>364</v>
      </c>
      <c r="D83" s="22">
        <v>44593</v>
      </c>
      <c r="E83" s="6" t="s">
        <v>16</v>
      </c>
      <c r="F83" s="12">
        <v>172</v>
      </c>
      <c r="G83" s="7">
        <v>68000</v>
      </c>
      <c r="H83" s="7">
        <v>0</v>
      </c>
      <c r="I83" s="7">
        <v>116623.94</v>
      </c>
      <c r="J83" s="7">
        <v>0</v>
      </c>
      <c r="K83">
        <f t="shared" si="1"/>
        <v>764534.74</v>
      </c>
      <c r="Q83" s="6" t="s">
        <v>431</v>
      </c>
      <c r="R83" s="7">
        <v>374793.04</v>
      </c>
    </row>
    <row r="84" spans="1:18" x14ac:dyDescent="0.25">
      <c r="A84" s="6" t="s">
        <v>207</v>
      </c>
      <c r="B84" s="6" t="s">
        <v>199</v>
      </c>
      <c r="C84" s="6" t="s">
        <v>369</v>
      </c>
      <c r="D84" s="22">
        <v>44593</v>
      </c>
      <c r="E84" s="6" t="s">
        <v>16</v>
      </c>
      <c r="F84" s="12">
        <v>172</v>
      </c>
      <c r="G84" s="7">
        <v>50000</v>
      </c>
      <c r="H84" s="7">
        <v>0</v>
      </c>
      <c r="I84" s="7">
        <v>85752.9</v>
      </c>
      <c r="J84" s="7">
        <v>0</v>
      </c>
      <c r="K84">
        <f t="shared" si="1"/>
        <v>828125.18</v>
      </c>
      <c r="Q84" s="6" t="s">
        <v>432</v>
      </c>
      <c r="R84" s="7">
        <v>982527</v>
      </c>
    </row>
    <row r="85" spans="1:18" x14ac:dyDescent="0.25">
      <c r="A85" s="6" t="s">
        <v>207</v>
      </c>
      <c r="B85" s="6" t="s">
        <v>199</v>
      </c>
      <c r="C85" s="6" t="s">
        <v>372</v>
      </c>
      <c r="D85" s="22">
        <v>44593</v>
      </c>
      <c r="E85" s="6" t="s">
        <v>15</v>
      </c>
      <c r="F85" s="12">
        <v>195</v>
      </c>
      <c r="G85" s="7">
        <v>10000</v>
      </c>
      <c r="H85" s="7">
        <v>0</v>
      </c>
      <c r="I85" s="7">
        <v>19522.8</v>
      </c>
      <c r="J85" s="7">
        <v>0</v>
      </c>
      <c r="K85">
        <f t="shared" si="1"/>
        <v>631725.39</v>
      </c>
      <c r="Q85" s="6" t="s">
        <v>433</v>
      </c>
      <c r="R85" s="7">
        <v>931794.08000000007</v>
      </c>
    </row>
    <row r="86" spans="1:18" x14ac:dyDescent="0.25">
      <c r="A86" s="6" t="s">
        <v>207</v>
      </c>
      <c r="B86" s="6" t="s">
        <v>199</v>
      </c>
      <c r="C86" s="6" t="s">
        <v>374</v>
      </c>
      <c r="D86" s="22">
        <v>44593</v>
      </c>
      <c r="E86" s="6" t="s">
        <v>16</v>
      </c>
      <c r="F86" s="12">
        <v>86</v>
      </c>
      <c r="G86" s="7">
        <v>180000</v>
      </c>
      <c r="H86" s="7">
        <v>0</v>
      </c>
      <c r="I86" s="7">
        <v>154159.20000000001</v>
      </c>
      <c r="J86" s="7">
        <v>0</v>
      </c>
      <c r="K86">
        <f t="shared" si="1"/>
        <v>1010599.2</v>
      </c>
      <c r="Q86" s="6" t="s">
        <v>434</v>
      </c>
      <c r="R86" s="7">
        <v>413818.32999999996</v>
      </c>
    </row>
    <row r="87" spans="1:18" x14ac:dyDescent="0.25">
      <c r="A87" s="6" t="s">
        <v>207</v>
      </c>
      <c r="B87" s="6" t="s">
        <v>199</v>
      </c>
      <c r="C87" s="6" t="s">
        <v>375</v>
      </c>
      <c r="D87" s="22">
        <v>44593</v>
      </c>
      <c r="E87" s="6" t="s">
        <v>18</v>
      </c>
      <c r="F87" s="12">
        <v>135</v>
      </c>
      <c r="G87" s="7">
        <v>55000</v>
      </c>
      <c r="H87" s="7">
        <v>0</v>
      </c>
      <c r="I87" s="7">
        <v>74380.679999999993</v>
      </c>
      <c r="J87" s="7">
        <v>0</v>
      </c>
      <c r="K87">
        <f t="shared" si="1"/>
        <v>1015931.81</v>
      </c>
      <c r="Q87" s="6" t="s">
        <v>435</v>
      </c>
      <c r="R87" s="7">
        <v>734496.9</v>
      </c>
    </row>
    <row r="88" spans="1:18" x14ac:dyDescent="0.25">
      <c r="A88" s="6" t="s">
        <v>207</v>
      </c>
      <c r="B88" s="6" t="s">
        <v>199</v>
      </c>
      <c r="C88" s="6" t="s">
        <v>375</v>
      </c>
      <c r="D88" s="22">
        <v>44593</v>
      </c>
      <c r="E88" s="6" t="s">
        <v>18</v>
      </c>
      <c r="F88" s="12">
        <v>172</v>
      </c>
      <c r="G88" s="7">
        <v>20000</v>
      </c>
      <c r="H88" s="7">
        <v>0</v>
      </c>
      <c r="I88" s="7">
        <v>34301.160000000003</v>
      </c>
      <c r="J88" s="7">
        <v>0</v>
      </c>
      <c r="K88">
        <f t="shared" si="1"/>
        <v>1015931.81</v>
      </c>
      <c r="Q88" s="6" t="s">
        <v>436</v>
      </c>
      <c r="R88" s="7">
        <v>826</v>
      </c>
    </row>
    <row r="89" spans="1:18" x14ac:dyDescent="0.25">
      <c r="A89" s="6" t="s">
        <v>207</v>
      </c>
      <c r="B89" s="6" t="s">
        <v>199</v>
      </c>
      <c r="C89" s="6" t="s">
        <v>376</v>
      </c>
      <c r="D89" s="22">
        <v>44593</v>
      </c>
      <c r="E89" s="6" t="s">
        <v>13</v>
      </c>
      <c r="F89" s="12">
        <v>130</v>
      </c>
      <c r="G89" s="7">
        <v>110000</v>
      </c>
      <c r="H89" s="7">
        <v>0</v>
      </c>
      <c r="I89" s="7">
        <v>143466.84</v>
      </c>
      <c r="J89" s="7">
        <v>0</v>
      </c>
      <c r="K89">
        <f t="shared" si="1"/>
        <v>955555.15</v>
      </c>
      <c r="Q89" s="6" t="s">
        <v>437</v>
      </c>
      <c r="R89" s="7">
        <v>959038.04</v>
      </c>
    </row>
    <row r="90" spans="1:18" x14ac:dyDescent="0.25">
      <c r="A90" s="6" t="s">
        <v>207</v>
      </c>
      <c r="B90" s="6" t="s">
        <v>199</v>
      </c>
      <c r="C90" s="6" t="s">
        <v>384</v>
      </c>
      <c r="D90" s="22">
        <v>44593</v>
      </c>
      <c r="E90" s="6" t="s">
        <v>13</v>
      </c>
      <c r="F90" s="12">
        <v>130</v>
      </c>
      <c r="G90" s="7">
        <v>63000</v>
      </c>
      <c r="H90" s="7">
        <v>0</v>
      </c>
      <c r="I90" s="7">
        <v>82167.37</v>
      </c>
      <c r="J90" s="7">
        <v>0</v>
      </c>
      <c r="K90">
        <f t="shared" si="1"/>
        <v>875947.51</v>
      </c>
      <c r="Q90" s="6" t="s">
        <v>438</v>
      </c>
      <c r="R90" s="7">
        <v>940504.84</v>
      </c>
    </row>
    <row r="91" spans="1:18" x14ac:dyDescent="0.25">
      <c r="A91" s="6" t="s">
        <v>207</v>
      </c>
      <c r="B91" s="6" t="s">
        <v>199</v>
      </c>
      <c r="C91" s="6" t="s">
        <v>384</v>
      </c>
      <c r="D91" s="22">
        <v>44593</v>
      </c>
      <c r="E91" s="6" t="s">
        <v>13</v>
      </c>
      <c r="F91" s="12">
        <v>172</v>
      </c>
      <c r="G91" s="7">
        <v>30000</v>
      </c>
      <c r="H91" s="7">
        <v>0</v>
      </c>
      <c r="I91" s="7">
        <v>51451.74</v>
      </c>
      <c r="J91" s="7">
        <v>0</v>
      </c>
      <c r="K91">
        <f t="shared" si="1"/>
        <v>875947.51</v>
      </c>
      <c r="Q91" s="6" t="s">
        <v>439</v>
      </c>
      <c r="R91" s="7">
        <v>883373.37000000011</v>
      </c>
    </row>
    <row r="92" spans="1:18" x14ac:dyDescent="0.25">
      <c r="A92" s="6" t="s">
        <v>207</v>
      </c>
      <c r="B92" s="6" t="s">
        <v>199</v>
      </c>
      <c r="C92" s="6" t="s">
        <v>387</v>
      </c>
      <c r="D92" s="22">
        <v>44593</v>
      </c>
      <c r="E92" s="6" t="s">
        <v>16</v>
      </c>
      <c r="F92" s="12">
        <v>135</v>
      </c>
      <c r="G92" s="7">
        <v>23000</v>
      </c>
      <c r="H92" s="7">
        <v>0</v>
      </c>
      <c r="I92" s="7">
        <v>31104.65</v>
      </c>
      <c r="J92" s="7">
        <v>0</v>
      </c>
      <c r="K92">
        <f t="shared" si="1"/>
        <v>569310.89</v>
      </c>
      <c r="Q92" s="6" t="s">
        <v>440</v>
      </c>
      <c r="R92" s="7">
        <v>940504.84</v>
      </c>
    </row>
    <row r="93" spans="1:18" x14ac:dyDescent="0.25">
      <c r="A93" s="6" t="s">
        <v>207</v>
      </c>
      <c r="B93" s="6" t="s">
        <v>199</v>
      </c>
      <c r="C93" s="6" t="s">
        <v>388</v>
      </c>
      <c r="D93" s="22">
        <v>44593</v>
      </c>
      <c r="E93" s="6" t="s">
        <v>18</v>
      </c>
      <c r="F93" s="12">
        <v>172</v>
      </c>
      <c r="G93" s="7">
        <v>68000</v>
      </c>
      <c r="H93" s="7">
        <v>0</v>
      </c>
      <c r="I93" s="7">
        <v>116623.94</v>
      </c>
      <c r="J93" s="7">
        <v>0</v>
      </c>
      <c r="K93">
        <f t="shared" si="1"/>
        <v>764534.74</v>
      </c>
      <c r="Q93" s="6" t="s">
        <v>441</v>
      </c>
      <c r="R93" s="7">
        <v>959205.95</v>
      </c>
    </row>
    <row r="94" spans="1:18" x14ac:dyDescent="0.25">
      <c r="A94" s="6" t="s">
        <v>207</v>
      </c>
      <c r="B94" s="6" t="s">
        <v>199</v>
      </c>
      <c r="C94" s="6" t="s">
        <v>392</v>
      </c>
      <c r="D94" s="22">
        <v>44593</v>
      </c>
      <c r="E94" s="6" t="s">
        <v>11</v>
      </c>
      <c r="F94" s="12">
        <v>141</v>
      </c>
      <c r="G94" s="7">
        <v>100000</v>
      </c>
      <c r="H94" s="7">
        <v>0</v>
      </c>
      <c r="I94" s="7">
        <v>141346.79999999999</v>
      </c>
      <c r="J94" s="7">
        <v>0</v>
      </c>
      <c r="K94">
        <f t="shared" si="1"/>
        <v>926606.8</v>
      </c>
      <c r="Q94" s="6" t="s">
        <v>442</v>
      </c>
      <c r="R94" s="7">
        <v>1010599.2</v>
      </c>
    </row>
    <row r="95" spans="1:18" x14ac:dyDescent="0.25">
      <c r="A95" s="6" t="s">
        <v>207</v>
      </c>
      <c r="B95" s="6" t="s">
        <v>199</v>
      </c>
      <c r="C95" s="6" t="s">
        <v>393</v>
      </c>
      <c r="D95" s="22">
        <v>44593</v>
      </c>
      <c r="E95" s="6" t="s">
        <v>16</v>
      </c>
      <c r="F95" s="12">
        <v>141</v>
      </c>
      <c r="G95" s="7">
        <v>108000</v>
      </c>
      <c r="H95" s="7">
        <v>0</v>
      </c>
      <c r="I95" s="7">
        <v>152654.54</v>
      </c>
      <c r="J95" s="7">
        <v>0</v>
      </c>
      <c r="K95">
        <f t="shared" si="1"/>
        <v>1000735.34</v>
      </c>
      <c r="Q95" s="6" t="s">
        <v>443</v>
      </c>
      <c r="R95" s="7">
        <v>1010599.2</v>
      </c>
    </row>
    <row r="96" spans="1:18" x14ac:dyDescent="0.25">
      <c r="A96" s="6" t="s">
        <v>207</v>
      </c>
      <c r="B96" s="6" t="s">
        <v>199</v>
      </c>
      <c r="C96" s="6" t="s">
        <v>399</v>
      </c>
      <c r="D96" s="22">
        <v>44593</v>
      </c>
      <c r="E96" s="6" t="s">
        <v>16</v>
      </c>
      <c r="F96" s="12">
        <v>172</v>
      </c>
      <c r="G96" s="7">
        <v>30000</v>
      </c>
      <c r="H96" s="7">
        <v>0</v>
      </c>
      <c r="I96" s="7">
        <v>51451.74</v>
      </c>
      <c r="J96" s="7">
        <v>0</v>
      </c>
      <c r="K96">
        <f t="shared" si="1"/>
        <v>874726.67999999993</v>
      </c>
      <c r="Q96" s="6" t="s">
        <v>444</v>
      </c>
      <c r="R96" s="7">
        <v>937135.94</v>
      </c>
    </row>
    <row r="97" spans="1:18" x14ac:dyDescent="0.25">
      <c r="A97" s="6" t="s">
        <v>207</v>
      </c>
      <c r="B97" s="6" t="s">
        <v>199</v>
      </c>
      <c r="C97" s="6" t="s">
        <v>399</v>
      </c>
      <c r="D97" s="22">
        <v>44593</v>
      </c>
      <c r="E97" s="6" t="s">
        <v>16</v>
      </c>
      <c r="F97" s="12">
        <v>141</v>
      </c>
      <c r="G97" s="7">
        <v>58000</v>
      </c>
      <c r="H97" s="7">
        <v>0</v>
      </c>
      <c r="I97" s="7">
        <v>81981.14</v>
      </c>
      <c r="J97" s="7">
        <v>0</v>
      </c>
      <c r="K97">
        <f t="shared" si="1"/>
        <v>874726.67999999993</v>
      </c>
      <c r="Q97" s="6" t="s">
        <v>445</v>
      </c>
      <c r="R97" s="7">
        <v>616529.69999999995</v>
      </c>
    </row>
    <row r="98" spans="1:18" x14ac:dyDescent="0.25">
      <c r="A98" s="6" t="s">
        <v>207</v>
      </c>
      <c r="B98" s="6" t="s">
        <v>199</v>
      </c>
      <c r="C98" s="6" t="s">
        <v>403</v>
      </c>
      <c r="D98" s="22">
        <v>44593</v>
      </c>
      <c r="E98" s="6" t="s">
        <v>19</v>
      </c>
      <c r="F98" s="12">
        <v>172</v>
      </c>
      <c r="G98" s="7">
        <v>10000</v>
      </c>
      <c r="H98" s="7">
        <v>0</v>
      </c>
      <c r="I98" s="7">
        <v>17150.580000000002</v>
      </c>
      <c r="J98" s="7">
        <v>0</v>
      </c>
      <c r="K98">
        <f t="shared" si="1"/>
        <v>668395.65999999992</v>
      </c>
      <c r="Q98" s="6" t="s">
        <v>446</v>
      </c>
      <c r="R98" s="7">
        <v>778131.41</v>
      </c>
    </row>
    <row r="99" spans="1:18" x14ac:dyDescent="0.25">
      <c r="A99" s="6" t="s">
        <v>207</v>
      </c>
      <c r="B99" s="6" t="s">
        <v>199</v>
      </c>
      <c r="C99" s="6" t="s">
        <v>427</v>
      </c>
      <c r="D99" s="22">
        <v>44593</v>
      </c>
      <c r="E99" s="6" t="s">
        <v>32</v>
      </c>
      <c r="F99" s="12">
        <v>195</v>
      </c>
      <c r="G99" s="7">
        <v>7000</v>
      </c>
      <c r="H99" s="7">
        <v>0</v>
      </c>
      <c r="I99" s="7">
        <v>13665.96</v>
      </c>
      <c r="J99" s="7">
        <v>0</v>
      </c>
      <c r="K99">
        <f t="shared" si="1"/>
        <v>743610.04</v>
      </c>
      <c r="Q99" s="6" t="s">
        <v>447</v>
      </c>
      <c r="R99" s="7">
        <v>98686.36</v>
      </c>
    </row>
    <row r="100" spans="1:18" x14ac:dyDescent="0.25">
      <c r="A100" s="6" t="s">
        <v>207</v>
      </c>
      <c r="B100" s="6" t="s">
        <v>199</v>
      </c>
      <c r="C100" s="6" t="s">
        <v>427</v>
      </c>
      <c r="D100" s="22">
        <v>44593</v>
      </c>
      <c r="E100" s="6" t="s">
        <v>32</v>
      </c>
      <c r="F100" s="12">
        <v>163</v>
      </c>
      <c r="G100" s="7">
        <v>4000</v>
      </c>
      <c r="H100" s="7">
        <v>0</v>
      </c>
      <c r="I100" s="7">
        <v>6537.6</v>
      </c>
      <c r="J100" s="7">
        <v>0</v>
      </c>
      <c r="K100">
        <f t="shared" si="1"/>
        <v>743610.04</v>
      </c>
      <c r="Q100" s="6" t="s">
        <v>448</v>
      </c>
      <c r="R100" s="7">
        <v>1010599.2</v>
      </c>
    </row>
    <row r="101" spans="1:18" x14ac:dyDescent="0.25">
      <c r="A101" s="6" t="s">
        <v>207</v>
      </c>
      <c r="B101" s="6" t="s">
        <v>199</v>
      </c>
      <c r="C101" s="6" t="s">
        <v>428</v>
      </c>
      <c r="D101" s="22">
        <v>44593</v>
      </c>
      <c r="E101" s="6" t="s">
        <v>18</v>
      </c>
      <c r="F101" s="12">
        <v>179</v>
      </c>
      <c r="G101" s="7">
        <v>5000</v>
      </c>
      <c r="H101" s="7">
        <v>0</v>
      </c>
      <c r="I101" s="7">
        <v>8937</v>
      </c>
      <c r="J101" s="7">
        <v>0</v>
      </c>
      <c r="K101">
        <f t="shared" si="1"/>
        <v>517110.46</v>
      </c>
      <c r="Q101" s="6" t="s">
        <v>449</v>
      </c>
      <c r="R101" s="7">
        <v>1010599.2</v>
      </c>
    </row>
    <row r="102" spans="1:18" x14ac:dyDescent="0.25">
      <c r="A102" s="6" t="s">
        <v>207</v>
      </c>
      <c r="B102" s="6" t="s">
        <v>199</v>
      </c>
      <c r="C102" s="6" t="s">
        <v>428</v>
      </c>
      <c r="D102" s="22">
        <v>44593</v>
      </c>
      <c r="E102" s="6" t="s">
        <v>18</v>
      </c>
      <c r="F102" s="12">
        <v>141</v>
      </c>
      <c r="G102" s="7">
        <v>42000</v>
      </c>
      <c r="H102" s="7">
        <v>0</v>
      </c>
      <c r="I102" s="7">
        <v>59365.66</v>
      </c>
      <c r="J102" s="7">
        <v>0</v>
      </c>
      <c r="K102">
        <f t="shared" si="1"/>
        <v>517110.46</v>
      </c>
      <c r="Q102" s="6" t="s">
        <v>450</v>
      </c>
      <c r="R102" s="7">
        <v>1054899.72</v>
      </c>
    </row>
    <row r="103" spans="1:18" x14ac:dyDescent="0.25">
      <c r="A103" s="6" t="s">
        <v>207</v>
      </c>
      <c r="B103" s="6" t="s">
        <v>199</v>
      </c>
      <c r="C103" s="6" t="s">
        <v>434</v>
      </c>
      <c r="D103" s="22">
        <v>44593</v>
      </c>
      <c r="E103" s="6" t="s">
        <v>164</v>
      </c>
      <c r="F103" s="12">
        <v>195</v>
      </c>
      <c r="G103" s="7">
        <v>6000</v>
      </c>
      <c r="H103" s="7">
        <v>0</v>
      </c>
      <c r="I103" s="7">
        <v>11713.68</v>
      </c>
      <c r="J103" s="7">
        <v>0</v>
      </c>
      <c r="K103">
        <f t="shared" si="1"/>
        <v>413818.32999999996</v>
      </c>
      <c r="Q103" s="6" t="s">
        <v>451</v>
      </c>
      <c r="R103" s="7">
        <v>563003.13</v>
      </c>
    </row>
    <row r="104" spans="1:18" x14ac:dyDescent="0.25">
      <c r="A104" s="6" t="s">
        <v>207</v>
      </c>
      <c r="B104" s="6" t="s">
        <v>199</v>
      </c>
      <c r="C104" s="6" t="s">
        <v>434</v>
      </c>
      <c r="D104" s="22">
        <v>44593</v>
      </c>
      <c r="E104" s="6" t="s">
        <v>164</v>
      </c>
      <c r="F104" s="12">
        <v>163</v>
      </c>
      <c r="G104" s="7">
        <v>11000</v>
      </c>
      <c r="H104" s="7">
        <v>0</v>
      </c>
      <c r="I104" s="7">
        <v>17978.400000000001</v>
      </c>
      <c r="J104" s="7">
        <v>0</v>
      </c>
      <c r="K104">
        <f t="shared" si="1"/>
        <v>413818.32999999996</v>
      </c>
      <c r="Q104" s="6" t="s">
        <v>452</v>
      </c>
      <c r="R104" s="7">
        <v>709600.08000000007</v>
      </c>
    </row>
    <row r="105" spans="1:18" x14ac:dyDescent="0.25">
      <c r="A105" s="6" t="s">
        <v>207</v>
      </c>
      <c r="B105" s="6" t="s">
        <v>199</v>
      </c>
      <c r="C105" s="6" t="s">
        <v>453</v>
      </c>
      <c r="D105" s="22">
        <v>44593</v>
      </c>
      <c r="E105" s="6" t="s">
        <v>16</v>
      </c>
      <c r="F105" s="12">
        <v>163</v>
      </c>
      <c r="G105" s="7">
        <v>23000</v>
      </c>
      <c r="H105" s="7">
        <v>0</v>
      </c>
      <c r="I105" s="7">
        <v>37591.199999999997</v>
      </c>
      <c r="J105" s="7">
        <v>0</v>
      </c>
      <c r="K105">
        <f t="shared" si="1"/>
        <v>990285.03</v>
      </c>
      <c r="Q105" s="6" t="s">
        <v>453</v>
      </c>
      <c r="R105" s="7">
        <v>990285.03</v>
      </c>
    </row>
    <row r="106" spans="1:18" x14ac:dyDescent="0.25">
      <c r="A106" s="6" t="s">
        <v>207</v>
      </c>
      <c r="B106" s="6" t="s">
        <v>199</v>
      </c>
      <c r="C106" s="6" t="s">
        <v>453</v>
      </c>
      <c r="D106" s="22">
        <v>44593</v>
      </c>
      <c r="E106" s="6" t="s">
        <v>16</v>
      </c>
      <c r="F106" s="12">
        <v>130</v>
      </c>
      <c r="G106" s="7">
        <v>87000</v>
      </c>
      <c r="H106" s="7">
        <v>0</v>
      </c>
      <c r="I106" s="7">
        <v>113469.23</v>
      </c>
      <c r="J106" s="7">
        <v>0</v>
      </c>
      <c r="K106">
        <f t="shared" si="1"/>
        <v>990285.03</v>
      </c>
      <c r="Q106" s="6" t="s">
        <v>454</v>
      </c>
      <c r="R106" s="7">
        <v>822436.99</v>
      </c>
    </row>
    <row r="107" spans="1:18" x14ac:dyDescent="0.25">
      <c r="A107" s="6" t="s">
        <v>207</v>
      </c>
      <c r="B107" s="6" t="s">
        <v>199</v>
      </c>
      <c r="C107" s="6" t="s">
        <v>454</v>
      </c>
      <c r="D107" s="22">
        <v>44593</v>
      </c>
      <c r="E107" s="6" t="s">
        <v>18</v>
      </c>
      <c r="F107" s="12">
        <v>172</v>
      </c>
      <c r="G107" s="7">
        <v>10000</v>
      </c>
      <c r="H107" s="7">
        <v>0</v>
      </c>
      <c r="I107" s="7">
        <v>17150.580000000002</v>
      </c>
      <c r="J107" s="7">
        <v>0</v>
      </c>
      <c r="K107">
        <f t="shared" si="1"/>
        <v>822436.99</v>
      </c>
      <c r="Q107" s="6" t="s">
        <v>455</v>
      </c>
      <c r="R107" s="7">
        <v>99680.5</v>
      </c>
    </row>
    <row r="108" spans="1:18" x14ac:dyDescent="0.25">
      <c r="A108" s="6" t="s">
        <v>207</v>
      </c>
      <c r="B108" s="6" t="s">
        <v>199</v>
      </c>
      <c r="C108" s="6" t="s">
        <v>455</v>
      </c>
      <c r="D108" s="22">
        <v>44593</v>
      </c>
      <c r="E108" s="6" t="s">
        <v>14</v>
      </c>
      <c r="F108" s="12">
        <v>179</v>
      </c>
      <c r="G108" s="7">
        <v>5000</v>
      </c>
      <c r="H108" s="7">
        <v>0</v>
      </c>
      <c r="I108" s="7">
        <v>8937</v>
      </c>
      <c r="J108" s="7">
        <v>0</v>
      </c>
      <c r="K108">
        <f t="shared" si="1"/>
        <v>99680.5</v>
      </c>
      <c r="Q108" s="6" t="s">
        <v>456</v>
      </c>
      <c r="R108" s="7">
        <v>945516.77</v>
      </c>
    </row>
    <row r="109" spans="1:18" x14ac:dyDescent="0.25">
      <c r="A109" s="6" t="s">
        <v>207</v>
      </c>
      <c r="B109" s="6" t="s">
        <v>199</v>
      </c>
      <c r="C109" s="6" t="s">
        <v>456</v>
      </c>
      <c r="D109" s="22">
        <v>44593</v>
      </c>
      <c r="E109" s="6" t="s">
        <v>18</v>
      </c>
      <c r="F109" s="12">
        <v>135</v>
      </c>
      <c r="G109" s="7">
        <v>48000</v>
      </c>
      <c r="H109" s="7">
        <v>0</v>
      </c>
      <c r="I109" s="7">
        <v>64912.32</v>
      </c>
      <c r="J109" s="7">
        <v>0</v>
      </c>
      <c r="K109">
        <f t="shared" si="1"/>
        <v>945516.77</v>
      </c>
      <c r="Q109" s="6" t="s">
        <v>457</v>
      </c>
      <c r="R109" s="7">
        <v>1019267.48</v>
      </c>
    </row>
    <row r="110" spans="1:18" x14ac:dyDescent="0.25">
      <c r="A110" s="6" t="s">
        <v>207</v>
      </c>
      <c r="B110" s="6" t="s">
        <v>199</v>
      </c>
      <c r="C110" s="6" t="s">
        <v>456</v>
      </c>
      <c r="D110" s="22">
        <v>44593</v>
      </c>
      <c r="E110" s="6" t="s">
        <v>18</v>
      </c>
      <c r="F110" s="12">
        <v>130</v>
      </c>
      <c r="G110" s="7">
        <v>30000</v>
      </c>
      <c r="H110" s="7">
        <v>0</v>
      </c>
      <c r="I110" s="7">
        <v>39127.32</v>
      </c>
      <c r="J110" s="7">
        <v>0</v>
      </c>
      <c r="K110">
        <f t="shared" si="1"/>
        <v>945516.77</v>
      </c>
      <c r="Q110" s="6" t="s">
        <v>458</v>
      </c>
      <c r="R110" s="7">
        <v>801725.04</v>
      </c>
    </row>
    <row r="111" spans="1:18" x14ac:dyDescent="0.25">
      <c r="A111" s="6" t="s">
        <v>207</v>
      </c>
      <c r="B111" s="6" t="s">
        <v>199</v>
      </c>
      <c r="C111" s="6" t="s">
        <v>464</v>
      </c>
      <c r="D111" s="22">
        <v>44593</v>
      </c>
      <c r="E111" s="6" t="s">
        <v>341</v>
      </c>
      <c r="F111" s="12">
        <v>86</v>
      </c>
      <c r="G111" s="7">
        <v>70000</v>
      </c>
      <c r="H111" s="7">
        <v>0</v>
      </c>
      <c r="I111" s="7">
        <v>59950.8</v>
      </c>
      <c r="J111" s="7">
        <v>0</v>
      </c>
      <c r="K111">
        <f t="shared" si="1"/>
        <v>699277.02</v>
      </c>
      <c r="Q111" s="6" t="s">
        <v>459</v>
      </c>
      <c r="R111" s="7">
        <v>571621.73</v>
      </c>
    </row>
    <row r="112" spans="1:18" x14ac:dyDescent="0.25">
      <c r="A112" s="6" t="s">
        <v>207</v>
      </c>
      <c r="B112" s="6" t="s">
        <v>199</v>
      </c>
      <c r="C112" s="6" t="s">
        <v>464</v>
      </c>
      <c r="D112" s="22">
        <v>44593</v>
      </c>
      <c r="E112" s="6" t="s">
        <v>341</v>
      </c>
      <c r="F112" s="12">
        <v>185</v>
      </c>
      <c r="G112" s="7">
        <v>25300</v>
      </c>
      <c r="H112" s="7">
        <v>0</v>
      </c>
      <c r="I112" s="7">
        <v>46718.58</v>
      </c>
      <c r="J112" s="7">
        <v>0</v>
      </c>
      <c r="K112">
        <f t="shared" si="1"/>
        <v>699277.02</v>
      </c>
      <c r="Q112" s="6" t="s">
        <v>460</v>
      </c>
      <c r="R112" s="7">
        <v>7339.6</v>
      </c>
    </row>
    <row r="113" spans="1:18" x14ac:dyDescent="0.25">
      <c r="A113" s="6" t="s">
        <v>207</v>
      </c>
      <c r="B113" s="6" t="s">
        <v>199</v>
      </c>
      <c r="C113" s="6" t="s">
        <v>468</v>
      </c>
      <c r="D113" s="22">
        <v>44593</v>
      </c>
      <c r="E113" s="6" t="s">
        <v>19</v>
      </c>
      <c r="F113" s="12">
        <v>130</v>
      </c>
      <c r="G113" s="7">
        <v>30000</v>
      </c>
      <c r="H113" s="7">
        <v>0</v>
      </c>
      <c r="I113" s="7">
        <v>39127.32</v>
      </c>
      <c r="J113" s="7">
        <v>0</v>
      </c>
      <c r="K113">
        <f t="shared" si="1"/>
        <v>262239.07</v>
      </c>
      <c r="Q113" s="6" t="s">
        <v>461</v>
      </c>
      <c r="R113" s="7">
        <v>611022.53</v>
      </c>
    </row>
    <row r="114" spans="1:18" x14ac:dyDescent="0.25">
      <c r="A114" s="6" t="s">
        <v>209</v>
      </c>
      <c r="B114" s="6" t="s">
        <v>199</v>
      </c>
      <c r="C114" s="6" t="s">
        <v>358</v>
      </c>
      <c r="D114" s="22">
        <v>44593</v>
      </c>
      <c r="E114" s="6" t="s">
        <v>18</v>
      </c>
      <c r="F114" s="12">
        <v>135</v>
      </c>
      <c r="G114" s="7">
        <v>26000</v>
      </c>
      <c r="H114" s="7">
        <v>0</v>
      </c>
      <c r="I114" s="7">
        <v>35161.78</v>
      </c>
      <c r="J114" s="7">
        <v>0</v>
      </c>
      <c r="K114">
        <f t="shared" si="1"/>
        <v>567799.72</v>
      </c>
      <c r="Q114" s="6" t="s">
        <v>462</v>
      </c>
      <c r="R114" s="7">
        <v>667340.74</v>
      </c>
    </row>
    <row r="115" spans="1:18" x14ac:dyDescent="0.25">
      <c r="A115" s="6" t="s">
        <v>209</v>
      </c>
      <c r="B115" s="6" t="s">
        <v>199</v>
      </c>
      <c r="C115" s="6" t="s">
        <v>358</v>
      </c>
      <c r="D115" s="22">
        <v>44593</v>
      </c>
      <c r="E115" s="6" t="s">
        <v>18</v>
      </c>
      <c r="F115" s="12">
        <v>172</v>
      </c>
      <c r="G115" s="7">
        <v>30000</v>
      </c>
      <c r="H115" s="7">
        <v>0</v>
      </c>
      <c r="I115" s="7">
        <v>51451.74</v>
      </c>
      <c r="J115" s="7">
        <v>0</v>
      </c>
      <c r="K115">
        <f t="shared" si="1"/>
        <v>567799.72</v>
      </c>
      <c r="Q115" s="6" t="s">
        <v>463</v>
      </c>
      <c r="R115" s="7">
        <v>872217.65</v>
      </c>
    </row>
    <row r="116" spans="1:18" x14ac:dyDescent="0.25">
      <c r="A116" s="6" t="s">
        <v>211</v>
      </c>
      <c r="B116" s="6" t="s">
        <v>199</v>
      </c>
      <c r="C116" s="6" t="s">
        <v>359</v>
      </c>
      <c r="D116" s="22">
        <v>44593</v>
      </c>
      <c r="E116" s="6" t="s">
        <v>12</v>
      </c>
      <c r="F116" s="12">
        <v>13</v>
      </c>
      <c r="G116" s="7">
        <v>8000</v>
      </c>
      <c r="H116" s="7">
        <v>504</v>
      </c>
      <c r="I116" s="7">
        <v>0</v>
      </c>
      <c r="J116" s="7">
        <v>504</v>
      </c>
      <c r="K116">
        <f t="shared" si="1"/>
        <v>6608</v>
      </c>
      <c r="Q116" s="6" t="s">
        <v>464</v>
      </c>
      <c r="R116" s="7">
        <v>699277.02</v>
      </c>
    </row>
    <row r="117" spans="1:18" x14ac:dyDescent="0.25">
      <c r="A117" s="6" t="s">
        <v>211</v>
      </c>
      <c r="B117" s="6" t="s">
        <v>199</v>
      </c>
      <c r="C117" s="6" t="s">
        <v>360</v>
      </c>
      <c r="D117" s="22">
        <v>44593</v>
      </c>
      <c r="E117" s="6" t="s">
        <v>16</v>
      </c>
      <c r="F117" s="12">
        <v>179</v>
      </c>
      <c r="G117" s="7">
        <v>5000</v>
      </c>
      <c r="H117" s="7">
        <v>0</v>
      </c>
      <c r="I117" s="7">
        <v>8937</v>
      </c>
      <c r="J117" s="7">
        <v>0</v>
      </c>
      <c r="K117">
        <f t="shared" si="1"/>
        <v>530799.64</v>
      </c>
      <c r="Q117" s="6" t="s">
        <v>465</v>
      </c>
      <c r="R117" s="7">
        <v>961033.3</v>
      </c>
    </row>
    <row r="118" spans="1:18" x14ac:dyDescent="0.25">
      <c r="A118" s="6" t="s">
        <v>211</v>
      </c>
      <c r="B118" s="6" t="s">
        <v>199</v>
      </c>
      <c r="C118" s="6" t="s">
        <v>366</v>
      </c>
      <c r="D118" s="22">
        <v>44593</v>
      </c>
      <c r="E118" s="6" t="s">
        <v>32</v>
      </c>
      <c r="F118" s="12">
        <v>175</v>
      </c>
      <c r="G118" s="7">
        <v>2200</v>
      </c>
      <c r="H118" s="7">
        <v>0</v>
      </c>
      <c r="I118" s="7">
        <v>3846.59</v>
      </c>
      <c r="J118" s="7">
        <v>0</v>
      </c>
      <c r="K118">
        <f t="shared" si="1"/>
        <v>486167.46</v>
      </c>
      <c r="Q118" s="6" t="s">
        <v>466</v>
      </c>
      <c r="R118" s="7">
        <v>859418.19</v>
      </c>
    </row>
    <row r="119" spans="1:18" x14ac:dyDescent="0.25">
      <c r="A119" s="6" t="s">
        <v>211</v>
      </c>
      <c r="B119" s="6" t="s">
        <v>199</v>
      </c>
      <c r="C119" s="6" t="s">
        <v>366</v>
      </c>
      <c r="D119" s="22">
        <v>44593</v>
      </c>
      <c r="E119" s="6" t="s">
        <v>32</v>
      </c>
      <c r="F119" s="12">
        <v>125</v>
      </c>
      <c r="G119" s="7">
        <v>10000</v>
      </c>
      <c r="H119" s="7">
        <v>0</v>
      </c>
      <c r="I119" s="7">
        <v>12537</v>
      </c>
      <c r="J119" s="7">
        <v>0</v>
      </c>
      <c r="K119">
        <f t="shared" si="1"/>
        <v>486167.46</v>
      </c>
      <c r="Q119" s="6" t="s">
        <v>467</v>
      </c>
      <c r="R119" s="7">
        <v>802488.5</v>
      </c>
    </row>
    <row r="120" spans="1:18" x14ac:dyDescent="0.25">
      <c r="A120" s="6" t="s">
        <v>211</v>
      </c>
      <c r="B120" s="6" t="s">
        <v>199</v>
      </c>
      <c r="C120" s="6" t="s">
        <v>367</v>
      </c>
      <c r="D120" s="22">
        <v>44593</v>
      </c>
      <c r="E120" s="6" t="s">
        <v>16</v>
      </c>
      <c r="F120" s="12">
        <v>172</v>
      </c>
      <c r="G120" s="7">
        <v>40000</v>
      </c>
      <c r="H120" s="7">
        <v>0</v>
      </c>
      <c r="I120" s="7">
        <v>68602.320000000007</v>
      </c>
      <c r="J120" s="7">
        <v>0</v>
      </c>
      <c r="K120">
        <f t="shared" si="1"/>
        <v>845442.86</v>
      </c>
      <c r="Q120" s="6" t="s">
        <v>468</v>
      </c>
      <c r="R120" s="7">
        <v>262239.07</v>
      </c>
    </row>
    <row r="121" spans="1:18" x14ac:dyDescent="0.25">
      <c r="A121" s="6" t="s">
        <v>211</v>
      </c>
      <c r="B121" s="6" t="s">
        <v>199</v>
      </c>
      <c r="C121" s="6" t="s">
        <v>386</v>
      </c>
      <c r="D121" s="22">
        <v>44593</v>
      </c>
      <c r="E121" s="6" t="s">
        <v>13</v>
      </c>
      <c r="F121" s="12">
        <v>130</v>
      </c>
      <c r="G121" s="7">
        <v>81000</v>
      </c>
      <c r="H121" s="7">
        <v>0</v>
      </c>
      <c r="I121" s="7">
        <v>105643.76</v>
      </c>
      <c r="J121" s="7">
        <v>0</v>
      </c>
      <c r="K121">
        <f t="shared" si="1"/>
        <v>917416.72000000009</v>
      </c>
      <c r="Q121" s="6" t="s">
        <v>469</v>
      </c>
      <c r="R121" s="7">
        <v>509633.74</v>
      </c>
    </row>
    <row r="122" spans="1:18" x14ac:dyDescent="0.25">
      <c r="A122" s="6" t="s">
        <v>211</v>
      </c>
      <c r="B122" s="6" t="s">
        <v>199</v>
      </c>
      <c r="C122" s="6" t="s">
        <v>386</v>
      </c>
      <c r="D122" s="22">
        <v>44593</v>
      </c>
      <c r="E122" s="6" t="s">
        <v>13</v>
      </c>
      <c r="F122" s="12">
        <v>172</v>
      </c>
      <c r="G122" s="7">
        <v>20000</v>
      </c>
      <c r="H122" s="7">
        <v>0</v>
      </c>
      <c r="I122" s="7">
        <v>34301.160000000003</v>
      </c>
      <c r="J122" s="7">
        <v>0</v>
      </c>
      <c r="K122">
        <f t="shared" si="1"/>
        <v>917416.72000000009</v>
      </c>
      <c r="Q122" s="6" t="s">
        <v>470</v>
      </c>
      <c r="R122" s="7">
        <v>59348.1</v>
      </c>
    </row>
    <row r="123" spans="1:18" x14ac:dyDescent="0.25">
      <c r="A123" s="6" t="s">
        <v>211</v>
      </c>
      <c r="B123" s="6" t="s">
        <v>199</v>
      </c>
      <c r="C123" s="6" t="s">
        <v>391</v>
      </c>
      <c r="D123" s="22">
        <v>44593</v>
      </c>
      <c r="E123" s="6" t="s">
        <v>13</v>
      </c>
      <c r="F123" s="12">
        <v>130</v>
      </c>
      <c r="G123" s="7">
        <v>110000</v>
      </c>
      <c r="H123" s="7">
        <v>0</v>
      </c>
      <c r="I123" s="7">
        <v>143466.84</v>
      </c>
      <c r="J123" s="7">
        <v>0</v>
      </c>
      <c r="K123">
        <f t="shared" si="1"/>
        <v>940504.84</v>
      </c>
      <c r="Q123" s="6" t="s">
        <v>471</v>
      </c>
      <c r="R123" s="7">
        <v>1400424</v>
      </c>
    </row>
    <row r="124" spans="1:18" x14ac:dyDescent="0.25">
      <c r="A124" s="6" t="s">
        <v>211</v>
      </c>
      <c r="B124" s="6" t="s">
        <v>199</v>
      </c>
      <c r="C124" s="6" t="s">
        <v>398</v>
      </c>
      <c r="D124" s="22">
        <v>44593</v>
      </c>
      <c r="E124" s="6" t="s">
        <v>13</v>
      </c>
      <c r="F124" s="12">
        <v>125</v>
      </c>
      <c r="G124" s="7">
        <v>5000</v>
      </c>
      <c r="H124" s="7">
        <v>0</v>
      </c>
      <c r="I124" s="7">
        <v>6268.5</v>
      </c>
      <c r="J124" s="7">
        <v>0</v>
      </c>
      <c r="K124">
        <f t="shared" si="1"/>
        <v>976966.37</v>
      </c>
      <c r="Q124" s="6" t="s">
        <v>472</v>
      </c>
      <c r="R124" s="7">
        <v>1420887.5599999998</v>
      </c>
    </row>
    <row r="125" spans="1:18" x14ac:dyDescent="0.25">
      <c r="A125" s="6" t="s">
        <v>211</v>
      </c>
      <c r="B125" s="6" t="s">
        <v>199</v>
      </c>
      <c r="C125" s="6" t="s">
        <v>398</v>
      </c>
      <c r="D125" s="22">
        <v>44593</v>
      </c>
      <c r="E125" s="6" t="s">
        <v>13</v>
      </c>
      <c r="F125" s="12">
        <v>141</v>
      </c>
      <c r="G125" s="7">
        <v>101000</v>
      </c>
      <c r="H125" s="7">
        <v>0</v>
      </c>
      <c r="I125" s="7">
        <v>142760.26999999999</v>
      </c>
      <c r="J125" s="7">
        <v>0</v>
      </c>
      <c r="K125">
        <f t="shared" si="1"/>
        <v>976966.37</v>
      </c>
      <c r="Q125" s="6" t="s">
        <v>473</v>
      </c>
      <c r="R125" s="7">
        <v>897754.62</v>
      </c>
    </row>
    <row r="126" spans="1:18" x14ac:dyDescent="0.25">
      <c r="A126" s="6" t="s">
        <v>211</v>
      </c>
      <c r="B126" s="6" t="s">
        <v>199</v>
      </c>
      <c r="C126" s="6" t="s">
        <v>400</v>
      </c>
      <c r="D126" s="22">
        <v>44593</v>
      </c>
      <c r="E126" s="6" t="s">
        <v>18</v>
      </c>
      <c r="F126" s="12">
        <v>172</v>
      </c>
      <c r="G126" s="7">
        <v>30000</v>
      </c>
      <c r="H126" s="7">
        <v>0</v>
      </c>
      <c r="I126" s="7">
        <v>51451.74</v>
      </c>
      <c r="J126" s="7">
        <v>0</v>
      </c>
      <c r="K126">
        <f t="shared" si="1"/>
        <v>874726.67999999993</v>
      </c>
      <c r="Q126" s="6" t="s">
        <v>474</v>
      </c>
      <c r="R126" s="7">
        <v>766276.78</v>
      </c>
    </row>
    <row r="127" spans="1:18" x14ac:dyDescent="0.25">
      <c r="A127" s="6" t="s">
        <v>211</v>
      </c>
      <c r="B127" s="6" t="s">
        <v>199</v>
      </c>
      <c r="C127" s="6" t="s">
        <v>405</v>
      </c>
      <c r="D127" s="22">
        <v>44593</v>
      </c>
      <c r="E127" s="6" t="s">
        <v>11</v>
      </c>
      <c r="F127" s="12">
        <v>172</v>
      </c>
      <c r="G127" s="7">
        <v>10000</v>
      </c>
      <c r="H127" s="7">
        <v>0</v>
      </c>
      <c r="I127" s="7">
        <v>17150.580000000002</v>
      </c>
      <c r="J127" s="7">
        <v>0</v>
      </c>
      <c r="K127">
        <f t="shared" si="1"/>
        <v>909313.42999999993</v>
      </c>
      <c r="Q127" s="6" t="s">
        <v>475</v>
      </c>
      <c r="R127" s="7">
        <v>1010599.2</v>
      </c>
    </row>
    <row r="128" spans="1:18" x14ac:dyDescent="0.25">
      <c r="A128" s="6" t="s">
        <v>211</v>
      </c>
      <c r="B128" s="6" t="s">
        <v>199</v>
      </c>
      <c r="C128" s="6" t="s">
        <v>405</v>
      </c>
      <c r="D128" s="22">
        <v>44593</v>
      </c>
      <c r="E128" s="6" t="s">
        <v>11</v>
      </c>
      <c r="F128" s="12">
        <v>141</v>
      </c>
      <c r="G128" s="7">
        <v>86000</v>
      </c>
      <c r="H128" s="7">
        <v>0</v>
      </c>
      <c r="I128" s="7">
        <v>121558.25</v>
      </c>
      <c r="J128" s="7">
        <v>0</v>
      </c>
      <c r="K128">
        <f t="shared" si="1"/>
        <v>909313.42999999993</v>
      </c>
      <c r="Q128" s="6" t="s">
        <v>22</v>
      </c>
      <c r="R128" s="7">
        <v>89582679.73999995</v>
      </c>
    </row>
    <row r="129" spans="1:11" x14ac:dyDescent="0.25">
      <c r="A129" s="6" t="s">
        <v>211</v>
      </c>
      <c r="B129" s="6" t="s">
        <v>199</v>
      </c>
      <c r="C129" s="6" t="s">
        <v>407</v>
      </c>
      <c r="D129" s="22">
        <v>44593</v>
      </c>
      <c r="E129" s="6" t="s">
        <v>19</v>
      </c>
      <c r="F129" s="12">
        <v>172</v>
      </c>
      <c r="G129" s="7">
        <v>10000</v>
      </c>
      <c r="H129" s="7">
        <v>0</v>
      </c>
      <c r="I129" s="7">
        <v>17150.580000000002</v>
      </c>
      <c r="J129" s="7">
        <v>0</v>
      </c>
      <c r="K129">
        <f t="shared" si="1"/>
        <v>575734.98</v>
      </c>
    </row>
    <row r="130" spans="1:11" x14ac:dyDescent="0.25">
      <c r="A130" s="6" t="s">
        <v>211</v>
      </c>
      <c r="B130" s="6" t="s">
        <v>199</v>
      </c>
      <c r="C130" s="6" t="s">
        <v>413</v>
      </c>
      <c r="D130" s="22">
        <v>44593</v>
      </c>
      <c r="E130" s="6" t="s">
        <v>14</v>
      </c>
      <c r="F130" s="12">
        <v>320</v>
      </c>
      <c r="G130" s="7">
        <v>1400</v>
      </c>
      <c r="H130" s="7">
        <v>0</v>
      </c>
      <c r="I130" s="7">
        <v>4483.08</v>
      </c>
      <c r="J130" s="7">
        <v>0</v>
      </c>
      <c r="K130">
        <f t="shared" si="1"/>
        <v>70954.58</v>
      </c>
    </row>
    <row r="131" spans="1:11" x14ac:dyDescent="0.25">
      <c r="A131" s="6" t="s">
        <v>211</v>
      </c>
      <c r="B131" s="6" t="s">
        <v>199</v>
      </c>
      <c r="C131" s="6" t="s">
        <v>417</v>
      </c>
      <c r="D131" s="22">
        <v>44593</v>
      </c>
      <c r="E131" s="6" t="s">
        <v>11</v>
      </c>
      <c r="F131" s="12">
        <v>141</v>
      </c>
      <c r="G131" s="7">
        <v>90000</v>
      </c>
      <c r="H131" s="7">
        <v>0</v>
      </c>
      <c r="I131" s="7">
        <v>127212.12</v>
      </c>
      <c r="J131" s="7">
        <v>0</v>
      </c>
      <c r="K131">
        <f t="shared" si="1"/>
        <v>833946.12</v>
      </c>
    </row>
    <row r="132" spans="1:11" x14ac:dyDescent="0.25">
      <c r="A132" s="6" t="s">
        <v>211</v>
      </c>
      <c r="B132" s="6" t="s">
        <v>199</v>
      </c>
      <c r="C132" s="6" t="s">
        <v>418</v>
      </c>
      <c r="D132" s="22">
        <v>44593</v>
      </c>
      <c r="E132" s="6" t="s">
        <v>13</v>
      </c>
      <c r="F132" s="12">
        <v>130</v>
      </c>
      <c r="G132" s="7">
        <v>77000</v>
      </c>
      <c r="H132" s="7">
        <v>0</v>
      </c>
      <c r="I132" s="7">
        <v>100426.79</v>
      </c>
      <c r="J132" s="7">
        <v>0</v>
      </c>
      <c r="K132">
        <f t="shared" si="1"/>
        <v>658353.39</v>
      </c>
    </row>
    <row r="133" spans="1:11" x14ac:dyDescent="0.25">
      <c r="A133" s="6" t="s">
        <v>211</v>
      </c>
      <c r="B133" s="6" t="s">
        <v>199</v>
      </c>
      <c r="C133" s="6" t="s">
        <v>419</v>
      </c>
      <c r="D133" s="22">
        <v>44593</v>
      </c>
      <c r="E133" s="6" t="s">
        <v>16</v>
      </c>
      <c r="F133" s="12">
        <v>172</v>
      </c>
      <c r="G133" s="7">
        <v>30000</v>
      </c>
      <c r="H133" s="7">
        <v>0</v>
      </c>
      <c r="I133" s="7">
        <v>51451.74</v>
      </c>
      <c r="J133" s="7">
        <v>0</v>
      </c>
      <c r="K133">
        <f t="shared" si="1"/>
        <v>803588.73</v>
      </c>
    </row>
    <row r="134" spans="1:11" x14ac:dyDescent="0.25">
      <c r="A134" s="6" t="s">
        <v>211</v>
      </c>
      <c r="B134" s="6" t="s">
        <v>199</v>
      </c>
      <c r="C134" s="6" t="s">
        <v>423</v>
      </c>
      <c r="D134" s="22">
        <v>44593</v>
      </c>
      <c r="E134" s="6" t="s">
        <v>11</v>
      </c>
      <c r="F134" s="12">
        <v>175</v>
      </c>
      <c r="G134" s="7">
        <v>10600</v>
      </c>
      <c r="H134" s="7">
        <v>0</v>
      </c>
      <c r="I134" s="7">
        <v>18533.55</v>
      </c>
      <c r="J134" s="7">
        <v>0</v>
      </c>
      <c r="K134">
        <f t="shared" ref="K134:K197" si="2">VLOOKUP(C134,Q:R,2,0)</f>
        <v>1001774.1699999999</v>
      </c>
    </row>
    <row r="135" spans="1:11" x14ac:dyDescent="0.25">
      <c r="A135" s="6" t="s">
        <v>211</v>
      </c>
      <c r="B135" s="6" t="s">
        <v>199</v>
      </c>
      <c r="C135" s="6" t="s">
        <v>424</v>
      </c>
      <c r="D135" s="22">
        <v>44593</v>
      </c>
      <c r="E135" s="6" t="s">
        <v>13</v>
      </c>
      <c r="F135" s="12">
        <v>130</v>
      </c>
      <c r="G135" s="7">
        <v>105000</v>
      </c>
      <c r="H135" s="7">
        <v>0</v>
      </c>
      <c r="I135" s="7">
        <v>136945.62</v>
      </c>
      <c r="J135" s="7">
        <v>0</v>
      </c>
      <c r="K135">
        <f t="shared" si="2"/>
        <v>897754.62</v>
      </c>
    </row>
    <row r="136" spans="1:11" x14ac:dyDescent="0.25">
      <c r="A136" s="6" t="s">
        <v>211</v>
      </c>
      <c r="B136" s="6" t="s">
        <v>199</v>
      </c>
      <c r="C136" s="6" t="s">
        <v>428</v>
      </c>
      <c r="D136" s="22">
        <v>44593</v>
      </c>
      <c r="E136" s="6" t="s">
        <v>18</v>
      </c>
      <c r="F136" s="12">
        <v>195</v>
      </c>
      <c r="G136" s="7">
        <v>5000</v>
      </c>
      <c r="H136" s="7">
        <v>0</v>
      </c>
      <c r="I136" s="7">
        <v>9761.4</v>
      </c>
      <c r="J136" s="7">
        <v>0</v>
      </c>
      <c r="K136">
        <f t="shared" si="2"/>
        <v>517110.46</v>
      </c>
    </row>
    <row r="137" spans="1:11" x14ac:dyDescent="0.25">
      <c r="A137" s="6" t="s">
        <v>211</v>
      </c>
      <c r="B137" s="6" t="s">
        <v>199</v>
      </c>
      <c r="C137" s="6" t="s">
        <v>431</v>
      </c>
      <c r="D137" s="22">
        <v>44593</v>
      </c>
      <c r="E137" s="6" t="s">
        <v>20</v>
      </c>
      <c r="F137" s="12">
        <v>140</v>
      </c>
      <c r="G137" s="7">
        <v>40900</v>
      </c>
      <c r="H137" s="7">
        <v>0</v>
      </c>
      <c r="I137" s="7">
        <v>57171.82</v>
      </c>
      <c r="J137" s="7">
        <v>0</v>
      </c>
      <c r="K137">
        <f t="shared" si="2"/>
        <v>374793.04</v>
      </c>
    </row>
    <row r="138" spans="1:11" x14ac:dyDescent="0.25">
      <c r="A138" s="6" t="s">
        <v>211</v>
      </c>
      <c r="B138" s="6" t="s">
        <v>199</v>
      </c>
      <c r="C138" s="6" t="s">
        <v>432</v>
      </c>
      <c r="D138" s="22">
        <v>44593</v>
      </c>
      <c r="E138" s="6" t="s">
        <v>16</v>
      </c>
      <c r="F138" s="12">
        <v>172</v>
      </c>
      <c r="G138" s="7">
        <v>20000</v>
      </c>
      <c r="H138" s="7">
        <v>0</v>
      </c>
      <c r="I138" s="7">
        <v>34301.160000000003</v>
      </c>
      <c r="J138" s="7">
        <v>0</v>
      </c>
      <c r="K138">
        <f t="shared" si="2"/>
        <v>982527</v>
      </c>
    </row>
    <row r="139" spans="1:11" x14ac:dyDescent="0.25">
      <c r="A139" s="6" t="s">
        <v>211</v>
      </c>
      <c r="B139" s="6" t="s">
        <v>199</v>
      </c>
      <c r="C139" s="6" t="s">
        <v>437</v>
      </c>
      <c r="D139" s="22">
        <v>44593</v>
      </c>
      <c r="E139" s="6" t="s">
        <v>11</v>
      </c>
      <c r="F139" s="12">
        <v>141</v>
      </c>
      <c r="G139" s="7">
        <v>103500</v>
      </c>
      <c r="H139" s="7">
        <v>0</v>
      </c>
      <c r="I139" s="7">
        <v>146293.94</v>
      </c>
      <c r="J139" s="7">
        <v>0</v>
      </c>
      <c r="K139">
        <f t="shared" si="2"/>
        <v>959038.04</v>
      </c>
    </row>
    <row r="140" spans="1:11" x14ac:dyDescent="0.25">
      <c r="A140" s="6" t="s">
        <v>211</v>
      </c>
      <c r="B140" s="6" t="s">
        <v>199</v>
      </c>
      <c r="C140" s="6" t="s">
        <v>438</v>
      </c>
      <c r="D140" s="22">
        <v>44593</v>
      </c>
      <c r="E140" s="6" t="s">
        <v>13</v>
      </c>
      <c r="F140" s="12">
        <v>130</v>
      </c>
      <c r="G140" s="7">
        <v>110000</v>
      </c>
      <c r="H140" s="7">
        <v>0</v>
      </c>
      <c r="I140" s="7">
        <v>143466.84</v>
      </c>
      <c r="J140" s="7">
        <v>0</v>
      </c>
      <c r="K140">
        <f t="shared" si="2"/>
        <v>940504.84</v>
      </c>
    </row>
    <row r="141" spans="1:11" x14ac:dyDescent="0.25">
      <c r="A141" s="6" t="s">
        <v>211</v>
      </c>
      <c r="B141" s="6" t="s">
        <v>199</v>
      </c>
      <c r="C141" s="6" t="s">
        <v>445</v>
      </c>
      <c r="D141" s="22">
        <v>44593</v>
      </c>
      <c r="E141" s="6" t="s">
        <v>15</v>
      </c>
      <c r="F141" s="12">
        <v>195</v>
      </c>
      <c r="G141" s="7">
        <v>5000</v>
      </c>
      <c r="H141" s="7">
        <v>0</v>
      </c>
      <c r="I141" s="7">
        <v>9761.4</v>
      </c>
      <c r="J141" s="7">
        <v>0</v>
      </c>
      <c r="K141">
        <f t="shared" si="2"/>
        <v>616529.69999999995</v>
      </c>
    </row>
    <row r="142" spans="1:11" x14ac:dyDescent="0.25">
      <c r="A142" s="6" t="s">
        <v>211</v>
      </c>
      <c r="B142" s="6" t="s">
        <v>199</v>
      </c>
      <c r="C142" s="6" t="s">
        <v>445</v>
      </c>
      <c r="D142" s="22">
        <v>44593</v>
      </c>
      <c r="E142" s="6" t="s">
        <v>15</v>
      </c>
      <c r="F142" s="12">
        <v>163</v>
      </c>
      <c r="G142" s="7">
        <v>3000</v>
      </c>
      <c r="H142" s="7">
        <v>0</v>
      </c>
      <c r="I142" s="7">
        <v>4903.2</v>
      </c>
      <c r="J142" s="7">
        <v>0</v>
      </c>
      <c r="K142">
        <f t="shared" si="2"/>
        <v>616529.69999999995</v>
      </c>
    </row>
    <row r="143" spans="1:11" x14ac:dyDescent="0.25">
      <c r="A143" s="6" t="s">
        <v>211</v>
      </c>
      <c r="B143" s="6" t="s">
        <v>199</v>
      </c>
      <c r="C143" s="6" t="s">
        <v>452</v>
      </c>
      <c r="D143" s="22">
        <v>44593</v>
      </c>
      <c r="E143" s="6" t="s">
        <v>19</v>
      </c>
      <c r="F143" s="12">
        <v>195</v>
      </c>
      <c r="G143" s="7">
        <v>2000</v>
      </c>
      <c r="H143" s="7">
        <v>0</v>
      </c>
      <c r="I143" s="7">
        <v>3904.56</v>
      </c>
      <c r="J143" s="7">
        <v>0</v>
      </c>
      <c r="K143">
        <f t="shared" si="2"/>
        <v>709600.08000000007</v>
      </c>
    </row>
    <row r="144" spans="1:11" x14ac:dyDescent="0.25">
      <c r="A144" s="6" t="s">
        <v>211</v>
      </c>
      <c r="B144" s="6" t="s">
        <v>199</v>
      </c>
      <c r="C144" s="6" t="s">
        <v>452</v>
      </c>
      <c r="D144" s="22">
        <v>44593</v>
      </c>
      <c r="E144" s="6" t="s">
        <v>19</v>
      </c>
      <c r="F144" s="12">
        <v>130</v>
      </c>
      <c r="G144" s="7">
        <v>80000</v>
      </c>
      <c r="H144" s="7">
        <v>0</v>
      </c>
      <c r="I144" s="7">
        <v>104339.52</v>
      </c>
      <c r="J144" s="7">
        <v>0</v>
      </c>
      <c r="K144">
        <f t="shared" si="2"/>
        <v>709600.08000000007</v>
      </c>
    </row>
    <row r="145" spans="1:11" x14ac:dyDescent="0.25">
      <c r="A145" s="6" t="s">
        <v>211</v>
      </c>
      <c r="B145" s="6" t="s">
        <v>199</v>
      </c>
      <c r="C145" s="6" t="s">
        <v>456</v>
      </c>
      <c r="D145" s="22">
        <v>44593</v>
      </c>
      <c r="E145" s="6" t="s">
        <v>18</v>
      </c>
      <c r="F145" s="12">
        <v>125</v>
      </c>
      <c r="G145" s="7">
        <v>5000</v>
      </c>
      <c r="H145" s="7">
        <v>0</v>
      </c>
      <c r="I145" s="7">
        <v>6268.5</v>
      </c>
      <c r="J145" s="7">
        <v>0</v>
      </c>
      <c r="K145">
        <f t="shared" si="2"/>
        <v>945516.77</v>
      </c>
    </row>
    <row r="146" spans="1:11" x14ac:dyDescent="0.25">
      <c r="A146" s="6" t="s">
        <v>211</v>
      </c>
      <c r="B146" s="6" t="s">
        <v>199</v>
      </c>
      <c r="C146" s="6" t="s">
        <v>457</v>
      </c>
      <c r="D146" s="22">
        <v>44593</v>
      </c>
      <c r="E146" s="6" t="s">
        <v>13</v>
      </c>
      <c r="F146" s="12">
        <v>141</v>
      </c>
      <c r="G146" s="7">
        <v>110000</v>
      </c>
      <c r="H146" s="7">
        <v>0</v>
      </c>
      <c r="I146" s="7">
        <v>155481.48000000001</v>
      </c>
      <c r="J146" s="7">
        <v>0</v>
      </c>
      <c r="K146">
        <f t="shared" si="2"/>
        <v>1019267.48</v>
      </c>
    </row>
    <row r="147" spans="1:11" x14ac:dyDescent="0.25">
      <c r="A147" s="6" t="s">
        <v>211</v>
      </c>
      <c r="B147" s="6" t="s">
        <v>199</v>
      </c>
      <c r="C147" s="6" t="s">
        <v>465</v>
      </c>
      <c r="D147" s="22">
        <v>44593</v>
      </c>
      <c r="E147" s="6" t="s">
        <v>18</v>
      </c>
      <c r="F147" s="12">
        <v>175</v>
      </c>
      <c r="G147" s="7">
        <v>3000</v>
      </c>
      <c r="H147" s="7">
        <v>0</v>
      </c>
      <c r="I147" s="7">
        <v>5251.5</v>
      </c>
      <c r="J147" s="7">
        <v>0</v>
      </c>
      <c r="K147">
        <f t="shared" si="2"/>
        <v>961033.3</v>
      </c>
    </row>
    <row r="148" spans="1:11" x14ac:dyDescent="0.25">
      <c r="A148" s="6" t="s">
        <v>211</v>
      </c>
      <c r="B148" s="6" t="s">
        <v>199</v>
      </c>
      <c r="C148" s="6" t="s">
        <v>465</v>
      </c>
      <c r="D148" s="22">
        <v>44593</v>
      </c>
      <c r="E148" s="6" t="s">
        <v>18</v>
      </c>
      <c r="F148" s="12">
        <v>141</v>
      </c>
      <c r="G148" s="7">
        <v>100000</v>
      </c>
      <c r="H148" s="7">
        <v>0</v>
      </c>
      <c r="I148" s="7">
        <v>141346.79999999999</v>
      </c>
      <c r="J148" s="7">
        <v>0</v>
      </c>
      <c r="K148">
        <f t="shared" si="2"/>
        <v>961033.3</v>
      </c>
    </row>
    <row r="149" spans="1:11" x14ac:dyDescent="0.25">
      <c r="A149" s="6" t="s">
        <v>211</v>
      </c>
      <c r="B149" s="6" t="s">
        <v>199</v>
      </c>
      <c r="C149" s="6" t="s">
        <v>466</v>
      </c>
      <c r="D149" s="22">
        <v>44593</v>
      </c>
      <c r="E149" s="6" t="s">
        <v>16</v>
      </c>
      <c r="F149" s="12">
        <v>172</v>
      </c>
      <c r="G149" s="7">
        <v>55000</v>
      </c>
      <c r="H149" s="7">
        <v>0</v>
      </c>
      <c r="I149" s="7">
        <v>94328.19</v>
      </c>
      <c r="J149" s="7">
        <v>0</v>
      </c>
      <c r="K149">
        <f t="shared" si="2"/>
        <v>859418.19</v>
      </c>
    </row>
    <row r="150" spans="1:11" x14ac:dyDescent="0.25">
      <c r="A150" s="6" t="s">
        <v>211</v>
      </c>
      <c r="B150" s="6" t="s">
        <v>199</v>
      </c>
      <c r="C150" s="6" t="s">
        <v>472</v>
      </c>
      <c r="D150" s="22">
        <v>44593</v>
      </c>
      <c r="E150" s="6" t="s">
        <v>12</v>
      </c>
      <c r="F150" s="12">
        <v>163</v>
      </c>
      <c r="G150" s="7">
        <v>13800</v>
      </c>
      <c r="H150" s="7">
        <v>11277.36</v>
      </c>
      <c r="I150" s="7">
        <v>0</v>
      </c>
      <c r="J150" s="7">
        <v>11277.36</v>
      </c>
      <c r="K150">
        <f t="shared" si="2"/>
        <v>1420887.5599999998</v>
      </c>
    </row>
    <row r="151" spans="1:11" x14ac:dyDescent="0.25">
      <c r="A151" s="6" t="s">
        <v>211</v>
      </c>
      <c r="B151" s="6" t="s">
        <v>199</v>
      </c>
      <c r="C151" s="6" t="s">
        <v>473</v>
      </c>
      <c r="D151" s="22">
        <v>44593</v>
      </c>
      <c r="E151" s="6" t="s">
        <v>13</v>
      </c>
      <c r="F151" s="12">
        <v>130</v>
      </c>
      <c r="G151" s="7">
        <v>105000</v>
      </c>
      <c r="H151" s="7">
        <v>0</v>
      </c>
      <c r="I151" s="7">
        <v>136945.62</v>
      </c>
      <c r="J151" s="7">
        <v>0</v>
      </c>
      <c r="K151">
        <f t="shared" si="2"/>
        <v>897754.62</v>
      </c>
    </row>
    <row r="152" spans="1:11" x14ac:dyDescent="0.25">
      <c r="A152" s="6" t="s">
        <v>211</v>
      </c>
      <c r="B152" s="6" t="s">
        <v>199</v>
      </c>
      <c r="C152" s="6" t="s">
        <v>474</v>
      </c>
      <c r="D152" s="22">
        <v>44593</v>
      </c>
      <c r="E152" s="6" t="s">
        <v>16</v>
      </c>
      <c r="F152" s="12">
        <v>148</v>
      </c>
      <c r="G152" s="7">
        <v>2500</v>
      </c>
      <c r="H152" s="7">
        <v>0</v>
      </c>
      <c r="I152" s="7">
        <v>3695.85</v>
      </c>
      <c r="J152" s="7">
        <v>0</v>
      </c>
      <c r="K152">
        <f t="shared" si="2"/>
        <v>766276.78</v>
      </c>
    </row>
    <row r="153" spans="1:11" x14ac:dyDescent="0.25">
      <c r="A153" s="6" t="s">
        <v>213</v>
      </c>
      <c r="B153" s="6" t="s">
        <v>199</v>
      </c>
      <c r="C153" s="6" t="s">
        <v>360</v>
      </c>
      <c r="D153" s="22">
        <v>44593</v>
      </c>
      <c r="E153" s="6" t="s">
        <v>16</v>
      </c>
      <c r="F153" s="12">
        <v>172</v>
      </c>
      <c r="G153" s="7">
        <v>42000</v>
      </c>
      <c r="H153" s="7">
        <v>0</v>
      </c>
      <c r="I153" s="7">
        <v>72032.44</v>
      </c>
      <c r="J153" s="7">
        <v>0</v>
      </c>
      <c r="K153">
        <f t="shared" si="2"/>
        <v>530799.64</v>
      </c>
    </row>
    <row r="154" spans="1:11" x14ac:dyDescent="0.25">
      <c r="A154" s="6" t="s">
        <v>213</v>
      </c>
      <c r="B154" s="6" t="s">
        <v>199</v>
      </c>
      <c r="C154" s="6" t="s">
        <v>373</v>
      </c>
      <c r="D154" s="22">
        <v>44593</v>
      </c>
      <c r="E154" s="6" t="s">
        <v>18</v>
      </c>
      <c r="F154" s="12">
        <v>172</v>
      </c>
      <c r="G154" s="7">
        <v>45000</v>
      </c>
      <c r="H154" s="7">
        <v>0</v>
      </c>
      <c r="I154" s="7">
        <v>77177.61</v>
      </c>
      <c r="J154" s="7">
        <v>0</v>
      </c>
      <c r="K154">
        <f t="shared" si="2"/>
        <v>505942.11</v>
      </c>
    </row>
    <row r="155" spans="1:11" x14ac:dyDescent="0.25">
      <c r="A155" s="6" t="s">
        <v>213</v>
      </c>
      <c r="B155" s="6" t="s">
        <v>199</v>
      </c>
      <c r="C155" s="6" t="s">
        <v>378</v>
      </c>
      <c r="D155" s="22">
        <v>44593</v>
      </c>
      <c r="E155" s="6" t="s">
        <v>19</v>
      </c>
      <c r="F155" s="12">
        <v>153</v>
      </c>
      <c r="G155" s="7">
        <v>1000</v>
      </c>
      <c r="H155" s="7">
        <v>0</v>
      </c>
      <c r="I155" s="7">
        <v>1530.54</v>
      </c>
      <c r="J155" s="7">
        <v>0</v>
      </c>
      <c r="K155">
        <f t="shared" si="2"/>
        <v>919876.79</v>
      </c>
    </row>
    <row r="156" spans="1:11" x14ac:dyDescent="0.25">
      <c r="A156" s="6" t="s">
        <v>213</v>
      </c>
      <c r="B156" s="6" t="s">
        <v>199</v>
      </c>
      <c r="C156" s="6" t="s">
        <v>447</v>
      </c>
      <c r="D156" s="22">
        <v>44593</v>
      </c>
      <c r="E156" s="6" t="s">
        <v>12</v>
      </c>
      <c r="F156" s="12">
        <v>179</v>
      </c>
      <c r="G156" s="7">
        <v>2000</v>
      </c>
      <c r="H156" s="7">
        <v>1787.4</v>
      </c>
      <c r="I156" s="7">
        <v>0</v>
      </c>
      <c r="J156" s="7">
        <v>1787.4</v>
      </c>
      <c r="K156">
        <f t="shared" si="2"/>
        <v>98686.36</v>
      </c>
    </row>
    <row r="157" spans="1:11" x14ac:dyDescent="0.25">
      <c r="A157" s="6" t="s">
        <v>213</v>
      </c>
      <c r="B157" s="6" t="s">
        <v>199</v>
      </c>
      <c r="C157" s="6" t="s">
        <v>447</v>
      </c>
      <c r="D157" s="22">
        <v>44593</v>
      </c>
      <c r="E157" s="6" t="s">
        <v>12</v>
      </c>
      <c r="F157" s="12">
        <v>153</v>
      </c>
      <c r="G157" s="7">
        <v>7500</v>
      </c>
      <c r="H157" s="7">
        <v>5739.53</v>
      </c>
      <c r="I157" s="7">
        <v>0</v>
      </c>
      <c r="J157" s="7">
        <v>5739.53</v>
      </c>
      <c r="K157">
        <f t="shared" si="2"/>
        <v>98686.36</v>
      </c>
    </row>
    <row r="158" spans="1:11" x14ac:dyDescent="0.25">
      <c r="A158" s="6" t="s">
        <v>213</v>
      </c>
      <c r="B158" s="6" t="s">
        <v>199</v>
      </c>
      <c r="C158" s="6" t="s">
        <v>474</v>
      </c>
      <c r="D158" s="22">
        <v>44593</v>
      </c>
      <c r="E158" s="6" t="s">
        <v>16</v>
      </c>
      <c r="F158" s="12">
        <v>172</v>
      </c>
      <c r="G158" s="7">
        <v>66000</v>
      </c>
      <c r="H158" s="7">
        <v>0</v>
      </c>
      <c r="I158" s="7">
        <v>113193.83</v>
      </c>
      <c r="J158" s="7">
        <v>0</v>
      </c>
      <c r="K158">
        <f t="shared" si="2"/>
        <v>766276.78</v>
      </c>
    </row>
    <row r="159" spans="1:11" x14ac:dyDescent="0.25">
      <c r="A159" s="6" t="s">
        <v>213</v>
      </c>
      <c r="B159" s="6" t="s">
        <v>199</v>
      </c>
      <c r="C159" s="6" t="s">
        <v>475</v>
      </c>
      <c r="D159" s="22">
        <v>44593</v>
      </c>
      <c r="E159" s="6" t="s">
        <v>16</v>
      </c>
      <c r="F159" s="12">
        <v>86</v>
      </c>
      <c r="G159" s="7">
        <v>180000</v>
      </c>
      <c r="H159" s="7">
        <v>0</v>
      </c>
      <c r="I159" s="7">
        <v>154159.20000000001</v>
      </c>
      <c r="J159" s="7">
        <v>0</v>
      </c>
      <c r="K159">
        <f t="shared" si="2"/>
        <v>1010599.2</v>
      </c>
    </row>
    <row r="160" spans="1:11" x14ac:dyDescent="0.25">
      <c r="A160" s="6" t="s">
        <v>217</v>
      </c>
      <c r="B160" s="6" t="s">
        <v>199</v>
      </c>
      <c r="C160" s="6" t="s">
        <v>363</v>
      </c>
      <c r="D160" s="22">
        <v>44593</v>
      </c>
      <c r="E160" s="6" t="s">
        <v>13</v>
      </c>
      <c r="F160" s="12">
        <v>135</v>
      </c>
      <c r="G160" s="7">
        <v>49000</v>
      </c>
      <c r="H160" s="7">
        <v>0</v>
      </c>
      <c r="I160" s="7">
        <v>66266.42</v>
      </c>
      <c r="J160" s="7">
        <v>0</v>
      </c>
      <c r="K160">
        <f t="shared" si="2"/>
        <v>947415.86</v>
      </c>
    </row>
    <row r="161" spans="1:11" x14ac:dyDescent="0.25">
      <c r="A161" s="6" t="s">
        <v>217</v>
      </c>
      <c r="B161" s="6" t="s">
        <v>199</v>
      </c>
      <c r="C161" s="6" t="s">
        <v>363</v>
      </c>
      <c r="D161" s="22">
        <v>44593</v>
      </c>
      <c r="E161" s="6" t="s">
        <v>13</v>
      </c>
      <c r="F161" s="12">
        <v>130</v>
      </c>
      <c r="G161" s="7">
        <v>60000</v>
      </c>
      <c r="H161" s="7">
        <v>0</v>
      </c>
      <c r="I161" s="7">
        <v>78254.64</v>
      </c>
      <c r="J161" s="7">
        <v>0</v>
      </c>
      <c r="K161">
        <f t="shared" si="2"/>
        <v>947415.86</v>
      </c>
    </row>
    <row r="162" spans="1:11" x14ac:dyDescent="0.25">
      <c r="A162" s="6" t="s">
        <v>221</v>
      </c>
      <c r="B162" s="6" t="s">
        <v>199</v>
      </c>
      <c r="C162" s="6" t="s">
        <v>365</v>
      </c>
      <c r="D162" s="22">
        <v>44593</v>
      </c>
      <c r="E162" s="6" t="s">
        <v>18</v>
      </c>
      <c r="F162" s="12">
        <v>172</v>
      </c>
      <c r="G162" s="7">
        <v>65000</v>
      </c>
      <c r="H162" s="7">
        <v>0</v>
      </c>
      <c r="I162" s="7">
        <v>111478.77</v>
      </c>
      <c r="J162" s="7">
        <v>0</v>
      </c>
      <c r="K162">
        <f t="shared" si="2"/>
        <v>771898.77</v>
      </c>
    </row>
    <row r="163" spans="1:11" x14ac:dyDescent="0.25">
      <c r="A163" s="6" t="s">
        <v>221</v>
      </c>
      <c r="B163" s="6" t="s">
        <v>199</v>
      </c>
      <c r="C163" s="6" t="s">
        <v>365</v>
      </c>
      <c r="D163" s="22">
        <v>44593</v>
      </c>
      <c r="E163" s="6" t="s">
        <v>18</v>
      </c>
      <c r="F163" s="12">
        <v>125</v>
      </c>
      <c r="G163" s="7">
        <v>5000</v>
      </c>
      <c r="H163" s="7">
        <v>0</v>
      </c>
      <c r="I163" s="7">
        <v>6268.5</v>
      </c>
      <c r="J163" s="7">
        <v>0</v>
      </c>
      <c r="K163">
        <f t="shared" si="2"/>
        <v>771898.77</v>
      </c>
    </row>
    <row r="164" spans="1:11" x14ac:dyDescent="0.25">
      <c r="A164" s="6" t="s">
        <v>221</v>
      </c>
      <c r="B164" s="6" t="s">
        <v>199</v>
      </c>
      <c r="C164" s="6" t="s">
        <v>366</v>
      </c>
      <c r="D164" s="22">
        <v>44593</v>
      </c>
      <c r="E164" s="6" t="s">
        <v>32</v>
      </c>
      <c r="F164" s="12">
        <v>130</v>
      </c>
      <c r="G164" s="7">
        <v>18000</v>
      </c>
      <c r="H164" s="7">
        <v>0</v>
      </c>
      <c r="I164" s="7">
        <v>23476.39</v>
      </c>
      <c r="J164" s="7">
        <v>0</v>
      </c>
      <c r="K164">
        <f t="shared" si="2"/>
        <v>486167.46</v>
      </c>
    </row>
    <row r="165" spans="1:11" x14ac:dyDescent="0.25">
      <c r="A165" s="6" t="s">
        <v>221</v>
      </c>
      <c r="B165" s="6" t="s">
        <v>199</v>
      </c>
      <c r="C165" s="6" t="s">
        <v>366</v>
      </c>
      <c r="D165" s="22">
        <v>44593</v>
      </c>
      <c r="E165" s="6" t="s">
        <v>32</v>
      </c>
      <c r="F165" s="12">
        <v>172</v>
      </c>
      <c r="G165" s="7">
        <v>20000</v>
      </c>
      <c r="H165" s="7">
        <v>0</v>
      </c>
      <c r="I165" s="7">
        <v>34301.160000000003</v>
      </c>
      <c r="J165" s="7">
        <v>0</v>
      </c>
      <c r="K165">
        <f t="shared" si="2"/>
        <v>486167.46</v>
      </c>
    </row>
    <row r="166" spans="1:11" x14ac:dyDescent="0.25">
      <c r="A166" s="6" t="s">
        <v>221</v>
      </c>
      <c r="B166" s="6" t="s">
        <v>199</v>
      </c>
      <c r="C166" s="6" t="s">
        <v>426</v>
      </c>
      <c r="D166" s="22">
        <v>44593</v>
      </c>
      <c r="E166" s="6" t="s">
        <v>19</v>
      </c>
      <c r="F166" s="12">
        <v>195</v>
      </c>
      <c r="G166" s="7">
        <v>1000</v>
      </c>
      <c r="H166" s="7">
        <v>0</v>
      </c>
      <c r="I166" s="7">
        <v>1952.28</v>
      </c>
      <c r="J166" s="7">
        <v>0</v>
      </c>
      <c r="K166">
        <f t="shared" si="2"/>
        <v>135944.26</v>
      </c>
    </row>
    <row r="167" spans="1:11" x14ac:dyDescent="0.25">
      <c r="A167" s="6" t="s">
        <v>221</v>
      </c>
      <c r="B167" s="6" t="s">
        <v>199</v>
      </c>
      <c r="C167" s="6" t="s">
        <v>426</v>
      </c>
      <c r="D167" s="22">
        <v>44593</v>
      </c>
      <c r="E167" s="6" t="s">
        <v>19</v>
      </c>
      <c r="F167" s="12">
        <v>163</v>
      </c>
      <c r="G167" s="7">
        <v>1000</v>
      </c>
      <c r="H167" s="7">
        <v>0</v>
      </c>
      <c r="I167" s="7">
        <v>1634.4</v>
      </c>
      <c r="J167" s="7">
        <v>0</v>
      </c>
      <c r="K167">
        <f t="shared" si="2"/>
        <v>135944.26</v>
      </c>
    </row>
    <row r="168" spans="1:11" x14ac:dyDescent="0.25">
      <c r="A168" s="6" t="s">
        <v>221</v>
      </c>
      <c r="B168" s="6" t="s">
        <v>199</v>
      </c>
      <c r="C168" s="6" t="s">
        <v>427</v>
      </c>
      <c r="D168" s="22">
        <v>44593</v>
      </c>
      <c r="E168" s="6" t="s">
        <v>32</v>
      </c>
      <c r="F168" s="12">
        <v>179</v>
      </c>
      <c r="G168" s="7">
        <v>5000</v>
      </c>
      <c r="H168" s="7">
        <v>0</v>
      </c>
      <c r="I168" s="7">
        <v>8937</v>
      </c>
      <c r="J168" s="7">
        <v>0</v>
      </c>
      <c r="K168">
        <f t="shared" si="2"/>
        <v>743610.04</v>
      </c>
    </row>
    <row r="169" spans="1:11" x14ac:dyDescent="0.25">
      <c r="A169" s="6" t="s">
        <v>221</v>
      </c>
      <c r="B169" s="6" t="s">
        <v>199</v>
      </c>
      <c r="C169" s="6" t="s">
        <v>427</v>
      </c>
      <c r="D169" s="22">
        <v>44593</v>
      </c>
      <c r="E169" s="6" t="s">
        <v>32</v>
      </c>
      <c r="F169" s="12">
        <v>125</v>
      </c>
      <c r="G169" s="7">
        <v>15000</v>
      </c>
      <c r="H169" s="7">
        <v>0</v>
      </c>
      <c r="I169" s="7">
        <v>18805.5</v>
      </c>
      <c r="J169" s="7">
        <v>0</v>
      </c>
      <c r="K169">
        <f t="shared" si="2"/>
        <v>743610.04</v>
      </c>
    </row>
    <row r="170" spans="1:11" x14ac:dyDescent="0.25">
      <c r="A170" s="6" t="s">
        <v>221</v>
      </c>
      <c r="B170" s="6" t="s">
        <v>199</v>
      </c>
      <c r="C170" s="6" t="s">
        <v>427</v>
      </c>
      <c r="D170" s="22">
        <v>44593</v>
      </c>
      <c r="E170" s="6" t="s">
        <v>32</v>
      </c>
      <c r="F170" s="12">
        <v>188</v>
      </c>
      <c r="G170" s="7">
        <v>1000</v>
      </c>
      <c r="H170" s="7">
        <v>0</v>
      </c>
      <c r="I170" s="7">
        <v>1879.92</v>
      </c>
      <c r="J170" s="7">
        <v>0</v>
      </c>
      <c r="K170">
        <f t="shared" si="2"/>
        <v>743610.04</v>
      </c>
    </row>
    <row r="171" spans="1:11" x14ac:dyDescent="0.25">
      <c r="A171" s="6" t="s">
        <v>221</v>
      </c>
      <c r="B171" s="6" t="s">
        <v>199</v>
      </c>
      <c r="C171" s="6" t="s">
        <v>427</v>
      </c>
      <c r="D171" s="22">
        <v>44593</v>
      </c>
      <c r="E171" s="6" t="s">
        <v>32</v>
      </c>
      <c r="F171" s="12">
        <v>141</v>
      </c>
      <c r="G171" s="7">
        <v>45000</v>
      </c>
      <c r="H171" s="7">
        <v>0</v>
      </c>
      <c r="I171" s="7">
        <v>63606.06</v>
      </c>
      <c r="J171" s="7">
        <v>0</v>
      </c>
      <c r="K171">
        <f t="shared" si="2"/>
        <v>743610.04</v>
      </c>
    </row>
    <row r="172" spans="1:11" x14ac:dyDescent="0.25">
      <c r="A172" s="6" t="s">
        <v>221</v>
      </c>
      <c r="B172" s="6" t="s">
        <v>199</v>
      </c>
      <c r="C172" s="6" t="s">
        <v>461</v>
      </c>
      <c r="D172" s="22">
        <v>44593</v>
      </c>
      <c r="E172" s="6" t="s">
        <v>15</v>
      </c>
      <c r="F172" s="12">
        <v>195</v>
      </c>
      <c r="G172" s="7">
        <v>3000</v>
      </c>
      <c r="H172" s="7">
        <v>0</v>
      </c>
      <c r="I172" s="7">
        <v>5856.84</v>
      </c>
      <c r="J172" s="7">
        <v>0</v>
      </c>
      <c r="K172">
        <f t="shared" si="2"/>
        <v>611022.53</v>
      </c>
    </row>
    <row r="173" spans="1:11" x14ac:dyDescent="0.25">
      <c r="A173" s="6" t="s">
        <v>221</v>
      </c>
      <c r="B173" s="6" t="s">
        <v>199</v>
      </c>
      <c r="C173" s="6" t="s">
        <v>461</v>
      </c>
      <c r="D173" s="22">
        <v>44593</v>
      </c>
      <c r="E173" s="6" t="s">
        <v>15</v>
      </c>
      <c r="F173" s="12">
        <v>163</v>
      </c>
      <c r="G173" s="7">
        <v>15000</v>
      </c>
      <c r="H173" s="7">
        <v>0</v>
      </c>
      <c r="I173" s="7">
        <v>24516</v>
      </c>
      <c r="J173" s="7">
        <v>0</v>
      </c>
      <c r="K173">
        <f t="shared" si="2"/>
        <v>611022.53</v>
      </c>
    </row>
    <row r="174" spans="1:11" x14ac:dyDescent="0.25">
      <c r="A174" s="6" t="s">
        <v>221</v>
      </c>
      <c r="B174" s="6" t="s">
        <v>199</v>
      </c>
      <c r="C174" s="6" t="s">
        <v>462</v>
      </c>
      <c r="D174" s="22">
        <v>44593</v>
      </c>
      <c r="E174" s="6" t="s">
        <v>32</v>
      </c>
      <c r="F174" s="12">
        <v>141</v>
      </c>
      <c r="G174" s="7">
        <v>55000</v>
      </c>
      <c r="H174" s="7">
        <v>0</v>
      </c>
      <c r="I174" s="7">
        <v>77740.740000000005</v>
      </c>
      <c r="J174" s="7">
        <v>0</v>
      </c>
      <c r="K174">
        <f t="shared" si="2"/>
        <v>667340.74</v>
      </c>
    </row>
    <row r="175" spans="1:11" x14ac:dyDescent="0.25">
      <c r="A175" s="6" t="s">
        <v>218</v>
      </c>
      <c r="B175" s="6" t="s">
        <v>199</v>
      </c>
      <c r="C175" s="6" t="s">
        <v>368</v>
      </c>
      <c r="D175" s="22">
        <v>44593</v>
      </c>
      <c r="E175" s="6" t="s">
        <v>13</v>
      </c>
      <c r="F175" s="12">
        <v>130</v>
      </c>
      <c r="G175" s="7">
        <v>105000</v>
      </c>
      <c r="H175" s="7">
        <v>0</v>
      </c>
      <c r="I175" s="7">
        <v>136945.62</v>
      </c>
      <c r="J175" s="7">
        <v>0</v>
      </c>
      <c r="K175">
        <f t="shared" si="2"/>
        <v>938848.12</v>
      </c>
    </row>
    <row r="176" spans="1:11" x14ac:dyDescent="0.25">
      <c r="A176" s="6" t="s">
        <v>218</v>
      </c>
      <c r="B176" s="6" t="s">
        <v>199</v>
      </c>
      <c r="C176" s="6" t="s">
        <v>368</v>
      </c>
      <c r="D176" s="22">
        <v>44593</v>
      </c>
      <c r="E176" s="6" t="s">
        <v>13</v>
      </c>
      <c r="F176" s="12">
        <v>125</v>
      </c>
      <c r="G176" s="7">
        <v>5000</v>
      </c>
      <c r="H176" s="7">
        <v>0</v>
      </c>
      <c r="I176" s="7">
        <v>6268.5</v>
      </c>
      <c r="J176" s="7">
        <v>0</v>
      </c>
      <c r="K176">
        <f t="shared" si="2"/>
        <v>938848.12</v>
      </c>
    </row>
    <row r="177" spans="1:11" x14ac:dyDescent="0.25">
      <c r="A177" s="6" t="s">
        <v>218</v>
      </c>
      <c r="B177" s="6" t="s">
        <v>199</v>
      </c>
      <c r="C177" s="6" t="s">
        <v>372</v>
      </c>
      <c r="D177" s="22">
        <v>44593</v>
      </c>
      <c r="E177" s="6" t="s">
        <v>15</v>
      </c>
      <c r="F177" s="12">
        <v>163</v>
      </c>
      <c r="G177" s="7">
        <v>12000</v>
      </c>
      <c r="H177" s="7">
        <v>0</v>
      </c>
      <c r="I177" s="7">
        <v>19612.8</v>
      </c>
      <c r="J177" s="7">
        <v>0</v>
      </c>
      <c r="K177">
        <f t="shared" si="2"/>
        <v>631725.39</v>
      </c>
    </row>
    <row r="178" spans="1:11" x14ac:dyDescent="0.25">
      <c r="A178" s="6" t="s">
        <v>218</v>
      </c>
      <c r="B178" s="6" t="s">
        <v>199</v>
      </c>
      <c r="C178" s="6" t="s">
        <v>381</v>
      </c>
      <c r="D178" s="22">
        <v>44593</v>
      </c>
      <c r="E178" s="6" t="s">
        <v>11</v>
      </c>
      <c r="F178" s="12">
        <v>175</v>
      </c>
      <c r="G178" s="7">
        <v>9800</v>
      </c>
      <c r="H178" s="7">
        <v>0</v>
      </c>
      <c r="I178" s="7">
        <v>17134.79</v>
      </c>
      <c r="J178" s="7">
        <v>0</v>
      </c>
      <c r="K178">
        <f t="shared" si="2"/>
        <v>950392.39000000013</v>
      </c>
    </row>
    <row r="179" spans="1:11" x14ac:dyDescent="0.25">
      <c r="A179" s="6" t="s">
        <v>218</v>
      </c>
      <c r="B179" s="6" t="s">
        <v>199</v>
      </c>
      <c r="C179" s="6" t="s">
        <v>381</v>
      </c>
      <c r="D179" s="22">
        <v>44593</v>
      </c>
      <c r="E179" s="6" t="s">
        <v>11</v>
      </c>
      <c r="F179" s="12">
        <v>153</v>
      </c>
      <c r="G179" s="7">
        <v>1000</v>
      </c>
      <c r="H179" s="7">
        <v>0</v>
      </c>
      <c r="I179" s="7">
        <v>1530.54</v>
      </c>
      <c r="J179" s="7">
        <v>0</v>
      </c>
      <c r="K179">
        <f t="shared" si="2"/>
        <v>950392.39000000013</v>
      </c>
    </row>
    <row r="180" spans="1:11" x14ac:dyDescent="0.25">
      <c r="A180" s="6" t="s">
        <v>218</v>
      </c>
      <c r="B180" s="6" t="s">
        <v>199</v>
      </c>
      <c r="C180" s="6" t="s">
        <v>430</v>
      </c>
      <c r="D180" s="22">
        <v>44593</v>
      </c>
      <c r="E180" s="6" t="s">
        <v>11</v>
      </c>
      <c r="F180" s="12">
        <v>130</v>
      </c>
      <c r="G180" s="7">
        <v>30000</v>
      </c>
      <c r="H180" s="7">
        <v>0</v>
      </c>
      <c r="I180" s="7">
        <v>39127.32</v>
      </c>
      <c r="J180" s="7">
        <v>0</v>
      </c>
      <c r="K180">
        <f t="shared" si="2"/>
        <v>923658.22</v>
      </c>
    </row>
    <row r="181" spans="1:11" x14ac:dyDescent="0.25">
      <c r="A181" s="6" t="s">
        <v>218</v>
      </c>
      <c r="B181" s="6" t="s">
        <v>199</v>
      </c>
      <c r="C181" s="6" t="s">
        <v>430</v>
      </c>
      <c r="D181" s="22">
        <v>44593</v>
      </c>
      <c r="E181" s="6" t="s">
        <v>11</v>
      </c>
      <c r="F181" s="12">
        <v>141</v>
      </c>
      <c r="G181" s="7">
        <v>72000</v>
      </c>
      <c r="H181" s="7">
        <v>0</v>
      </c>
      <c r="I181" s="7">
        <v>101769.7</v>
      </c>
      <c r="J181" s="7">
        <v>0</v>
      </c>
      <c r="K181">
        <f t="shared" si="2"/>
        <v>923658.22</v>
      </c>
    </row>
    <row r="182" spans="1:11" x14ac:dyDescent="0.25">
      <c r="A182" s="6" t="s">
        <v>218</v>
      </c>
      <c r="B182" s="6" t="s">
        <v>199</v>
      </c>
      <c r="C182" s="6" t="s">
        <v>441</v>
      </c>
      <c r="D182" s="22">
        <v>44593</v>
      </c>
      <c r="E182" s="6" t="s">
        <v>13</v>
      </c>
      <c r="F182" s="12">
        <v>130</v>
      </c>
      <c r="G182" s="7">
        <v>58000</v>
      </c>
      <c r="H182" s="7">
        <v>0</v>
      </c>
      <c r="I182" s="7">
        <v>75646.149999999994</v>
      </c>
      <c r="J182" s="7">
        <v>0</v>
      </c>
      <c r="K182">
        <f t="shared" si="2"/>
        <v>959205.95</v>
      </c>
    </row>
    <row r="183" spans="1:11" x14ac:dyDescent="0.25">
      <c r="A183" s="6" t="s">
        <v>218</v>
      </c>
      <c r="B183" s="6" t="s">
        <v>199</v>
      </c>
      <c r="C183" s="6" t="s">
        <v>441</v>
      </c>
      <c r="D183" s="22">
        <v>44593</v>
      </c>
      <c r="E183" s="6" t="s">
        <v>13</v>
      </c>
      <c r="F183" s="12">
        <v>141</v>
      </c>
      <c r="G183" s="7">
        <v>50000</v>
      </c>
      <c r="H183" s="7">
        <v>0</v>
      </c>
      <c r="I183" s="7">
        <v>70673.399999999994</v>
      </c>
      <c r="J183" s="7">
        <v>0</v>
      </c>
      <c r="K183">
        <f t="shared" si="2"/>
        <v>959205.95</v>
      </c>
    </row>
    <row r="184" spans="1:11" x14ac:dyDescent="0.25">
      <c r="A184" s="6" t="s">
        <v>218</v>
      </c>
      <c r="B184" s="6" t="s">
        <v>199</v>
      </c>
      <c r="C184" s="6" t="s">
        <v>460</v>
      </c>
      <c r="D184" s="22">
        <v>44593</v>
      </c>
      <c r="E184" s="6" t="s">
        <v>12</v>
      </c>
      <c r="F184" s="12">
        <v>14</v>
      </c>
      <c r="G184" s="7">
        <v>4000</v>
      </c>
      <c r="H184" s="7">
        <v>279.89999999999998</v>
      </c>
      <c r="I184" s="7">
        <v>0</v>
      </c>
      <c r="J184" s="7">
        <v>279.89999999999998</v>
      </c>
      <c r="K184">
        <f t="shared" si="2"/>
        <v>7339.6</v>
      </c>
    </row>
    <row r="185" spans="1:11" x14ac:dyDescent="0.25">
      <c r="A185" s="6" t="s">
        <v>226</v>
      </c>
      <c r="B185" s="6" t="s">
        <v>199</v>
      </c>
      <c r="C185" s="6" t="s">
        <v>369</v>
      </c>
      <c r="D185" s="22">
        <v>44593</v>
      </c>
      <c r="E185" s="6" t="s">
        <v>16</v>
      </c>
      <c r="F185" s="12">
        <v>135</v>
      </c>
      <c r="G185" s="7">
        <v>30000</v>
      </c>
      <c r="H185" s="7">
        <v>0</v>
      </c>
      <c r="I185" s="7">
        <v>40571.279999999999</v>
      </c>
      <c r="J185" s="7">
        <v>0</v>
      </c>
      <c r="K185">
        <f t="shared" si="2"/>
        <v>828125.18</v>
      </c>
    </row>
    <row r="186" spans="1:11" x14ac:dyDescent="0.25">
      <c r="A186" s="6" t="s">
        <v>226</v>
      </c>
      <c r="B186" s="6" t="s">
        <v>199</v>
      </c>
      <c r="C186" s="6" t="s">
        <v>370</v>
      </c>
      <c r="D186" s="22">
        <v>44593</v>
      </c>
      <c r="E186" s="6" t="s">
        <v>18</v>
      </c>
      <c r="F186" s="12">
        <v>172</v>
      </c>
      <c r="G186" s="7">
        <v>37000</v>
      </c>
      <c r="H186" s="7">
        <v>0</v>
      </c>
      <c r="I186" s="7">
        <v>63457.15</v>
      </c>
      <c r="J186" s="7">
        <v>0</v>
      </c>
      <c r="K186">
        <f t="shared" si="2"/>
        <v>415996.85</v>
      </c>
    </row>
    <row r="187" spans="1:11" x14ac:dyDescent="0.25">
      <c r="A187" s="6" t="s">
        <v>226</v>
      </c>
      <c r="B187" s="6" t="s">
        <v>199</v>
      </c>
      <c r="C187" s="6" t="s">
        <v>376</v>
      </c>
      <c r="D187" s="22">
        <v>44593</v>
      </c>
      <c r="E187" s="6" t="s">
        <v>13</v>
      </c>
      <c r="F187" s="12">
        <v>153</v>
      </c>
      <c r="G187" s="7">
        <v>1500</v>
      </c>
      <c r="H187" s="7">
        <v>0</v>
      </c>
      <c r="I187" s="7">
        <v>2295.81</v>
      </c>
      <c r="J187" s="7">
        <v>0</v>
      </c>
      <c r="K187">
        <f t="shared" si="2"/>
        <v>955555.15</v>
      </c>
    </row>
    <row r="188" spans="1:11" x14ac:dyDescent="0.25">
      <c r="A188" s="6" t="s">
        <v>226</v>
      </c>
      <c r="B188" s="6" t="s">
        <v>199</v>
      </c>
      <c r="C188" s="6" t="s">
        <v>377</v>
      </c>
      <c r="D188" s="22">
        <v>44593</v>
      </c>
      <c r="E188" s="6" t="s">
        <v>18</v>
      </c>
      <c r="F188" s="12">
        <v>172</v>
      </c>
      <c r="G188" s="7">
        <v>68000</v>
      </c>
      <c r="H188" s="7">
        <v>0</v>
      </c>
      <c r="I188" s="7">
        <v>116623.94</v>
      </c>
      <c r="J188" s="7">
        <v>0</v>
      </c>
      <c r="K188">
        <f t="shared" si="2"/>
        <v>764534.74</v>
      </c>
    </row>
    <row r="189" spans="1:11" x14ac:dyDescent="0.25">
      <c r="A189" s="6" t="s">
        <v>226</v>
      </c>
      <c r="B189" s="6" t="s">
        <v>199</v>
      </c>
      <c r="C189" s="6" t="s">
        <v>378</v>
      </c>
      <c r="D189" s="22">
        <v>44593</v>
      </c>
      <c r="E189" s="6" t="s">
        <v>19</v>
      </c>
      <c r="F189" s="12">
        <v>130</v>
      </c>
      <c r="G189" s="7">
        <v>92000</v>
      </c>
      <c r="H189" s="7">
        <v>0</v>
      </c>
      <c r="I189" s="7">
        <v>119990.45</v>
      </c>
      <c r="J189" s="7">
        <v>0</v>
      </c>
      <c r="K189">
        <f t="shared" si="2"/>
        <v>919876.79</v>
      </c>
    </row>
    <row r="190" spans="1:11" x14ac:dyDescent="0.25">
      <c r="A190" s="6" t="s">
        <v>226</v>
      </c>
      <c r="B190" s="6" t="s">
        <v>199</v>
      </c>
      <c r="C190" s="6" t="s">
        <v>402</v>
      </c>
      <c r="D190" s="22">
        <v>44593</v>
      </c>
      <c r="E190" s="6" t="s">
        <v>11</v>
      </c>
      <c r="F190" s="12">
        <v>125</v>
      </c>
      <c r="G190" s="7">
        <v>5000</v>
      </c>
      <c r="H190" s="7">
        <v>0</v>
      </c>
      <c r="I190" s="7">
        <v>6268.5</v>
      </c>
      <c r="J190" s="7">
        <v>0</v>
      </c>
      <c r="K190">
        <f t="shared" si="2"/>
        <v>782378.94</v>
      </c>
    </row>
    <row r="191" spans="1:11" x14ac:dyDescent="0.25">
      <c r="A191" s="6" t="s">
        <v>226</v>
      </c>
      <c r="B191" s="6" t="s">
        <v>199</v>
      </c>
      <c r="C191" s="6" t="s">
        <v>402</v>
      </c>
      <c r="D191" s="22">
        <v>44593</v>
      </c>
      <c r="E191" s="6" t="s">
        <v>11</v>
      </c>
      <c r="F191" s="12">
        <v>141</v>
      </c>
      <c r="G191" s="7">
        <v>80000</v>
      </c>
      <c r="H191" s="7">
        <v>0</v>
      </c>
      <c r="I191" s="7">
        <v>113077.44</v>
      </c>
      <c r="J191" s="7">
        <v>0</v>
      </c>
      <c r="K191">
        <f t="shared" si="2"/>
        <v>782378.94</v>
      </c>
    </row>
    <row r="192" spans="1:11" x14ac:dyDescent="0.25">
      <c r="A192" s="6" t="s">
        <v>226</v>
      </c>
      <c r="B192" s="6" t="s">
        <v>199</v>
      </c>
      <c r="C192" s="6" t="s">
        <v>406</v>
      </c>
      <c r="D192" s="22">
        <v>44593</v>
      </c>
      <c r="E192" s="6" t="s">
        <v>16</v>
      </c>
      <c r="F192" s="12">
        <v>172</v>
      </c>
      <c r="G192" s="7">
        <v>66000</v>
      </c>
      <c r="H192" s="7">
        <v>0</v>
      </c>
      <c r="I192" s="7">
        <v>113193.83</v>
      </c>
      <c r="J192" s="7">
        <v>0</v>
      </c>
      <c r="K192">
        <f t="shared" si="2"/>
        <v>800635.43</v>
      </c>
    </row>
    <row r="193" spans="1:11" x14ac:dyDescent="0.25">
      <c r="A193" s="6" t="s">
        <v>226</v>
      </c>
      <c r="B193" s="6" t="s">
        <v>199</v>
      </c>
      <c r="C193" s="6" t="s">
        <v>406</v>
      </c>
      <c r="D193" s="22">
        <v>44593</v>
      </c>
      <c r="E193" s="6" t="s">
        <v>16</v>
      </c>
      <c r="F193" s="12">
        <v>179</v>
      </c>
      <c r="G193" s="7">
        <v>5000</v>
      </c>
      <c r="H193" s="7">
        <v>0</v>
      </c>
      <c r="I193" s="7">
        <v>8937</v>
      </c>
      <c r="J193" s="7">
        <v>0</v>
      </c>
      <c r="K193">
        <f t="shared" si="2"/>
        <v>800635.43</v>
      </c>
    </row>
    <row r="194" spans="1:11" x14ac:dyDescent="0.25">
      <c r="A194" s="6" t="s">
        <v>226</v>
      </c>
      <c r="B194" s="6" t="s">
        <v>199</v>
      </c>
      <c r="C194" s="6" t="s">
        <v>425</v>
      </c>
      <c r="D194" s="22">
        <v>44593</v>
      </c>
      <c r="E194" s="6" t="s">
        <v>16</v>
      </c>
      <c r="F194" s="12">
        <v>163</v>
      </c>
      <c r="G194" s="7">
        <v>2000</v>
      </c>
      <c r="H194" s="7">
        <v>0</v>
      </c>
      <c r="I194" s="7">
        <v>3268.8</v>
      </c>
      <c r="J194" s="7">
        <v>0</v>
      </c>
      <c r="K194">
        <f t="shared" si="2"/>
        <v>617316.17000000004</v>
      </c>
    </row>
    <row r="195" spans="1:11" x14ac:dyDescent="0.25">
      <c r="A195" s="6" t="s">
        <v>226</v>
      </c>
      <c r="B195" s="6" t="s">
        <v>199</v>
      </c>
      <c r="C195" s="6" t="s">
        <v>425</v>
      </c>
      <c r="D195" s="22">
        <v>44593</v>
      </c>
      <c r="E195" s="6" t="s">
        <v>16</v>
      </c>
      <c r="F195" s="12">
        <v>172</v>
      </c>
      <c r="G195" s="7">
        <v>53000</v>
      </c>
      <c r="H195" s="7">
        <v>0</v>
      </c>
      <c r="I195" s="7">
        <v>90898.07</v>
      </c>
      <c r="J195" s="7">
        <v>0</v>
      </c>
      <c r="K195">
        <f t="shared" si="2"/>
        <v>617316.17000000004</v>
      </c>
    </row>
    <row r="196" spans="1:11" x14ac:dyDescent="0.25">
      <c r="A196" s="6" t="s">
        <v>226</v>
      </c>
      <c r="B196" s="6" t="s">
        <v>199</v>
      </c>
      <c r="C196" s="6" t="s">
        <v>426</v>
      </c>
      <c r="D196" s="22">
        <v>44593</v>
      </c>
      <c r="E196" s="6" t="s">
        <v>19</v>
      </c>
      <c r="F196" s="12">
        <v>172</v>
      </c>
      <c r="G196" s="7">
        <v>10000</v>
      </c>
      <c r="H196" s="7">
        <v>0</v>
      </c>
      <c r="I196" s="7">
        <v>17150.580000000002</v>
      </c>
      <c r="J196" s="7">
        <v>0</v>
      </c>
      <c r="K196">
        <f t="shared" si="2"/>
        <v>135944.26</v>
      </c>
    </row>
    <row r="197" spans="1:11" x14ac:dyDescent="0.25">
      <c r="A197" s="6" t="s">
        <v>226</v>
      </c>
      <c r="B197" s="6" t="s">
        <v>199</v>
      </c>
      <c r="C197" s="6" t="s">
        <v>451</v>
      </c>
      <c r="D197" s="22">
        <v>44593</v>
      </c>
      <c r="E197" s="6" t="s">
        <v>17</v>
      </c>
      <c r="F197" s="12">
        <v>362</v>
      </c>
      <c r="G197" s="7">
        <v>7000</v>
      </c>
      <c r="H197" s="7">
        <v>0</v>
      </c>
      <c r="I197" s="7">
        <v>25321.34</v>
      </c>
      <c r="J197" s="7">
        <v>0</v>
      </c>
      <c r="K197">
        <f t="shared" si="2"/>
        <v>563003.13</v>
      </c>
    </row>
    <row r="198" spans="1:11" x14ac:dyDescent="0.25">
      <c r="A198" s="6" t="s">
        <v>226</v>
      </c>
      <c r="B198" s="6" t="s">
        <v>199</v>
      </c>
      <c r="C198" s="6" t="s">
        <v>451</v>
      </c>
      <c r="D198" s="22">
        <v>44593</v>
      </c>
      <c r="E198" s="6" t="s">
        <v>17</v>
      </c>
      <c r="F198" s="12">
        <v>401</v>
      </c>
      <c r="G198" s="7">
        <v>12000</v>
      </c>
      <c r="H198" s="7">
        <v>0</v>
      </c>
      <c r="I198" s="7">
        <v>48173.18</v>
      </c>
      <c r="J198" s="7">
        <v>0</v>
      </c>
      <c r="K198">
        <f t="shared" ref="K198:K255" si="3">VLOOKUP(C198,Q:R,2,0)</f>
        <v>563003.13</v>
      </c>
    </row>
    <row r="199" spans="1:11" x14ac:dyDescent="0.25">
      <c r="A199" s="6" t="s">
        <v>226</v>
      </c>
      <c r="B199" s="6" t="s">
        <v>199</v>
      </c>
      <c r="C199" s="6" t="s">
        <v>467</v>
      </c>
      <c r="D199" s="22">
        <v>44593</v>
      </c>
      <c r="E199" s="6" t="s">
        <v>11</v>
      </c>
      <c r="F199" s="12">
        <v>175</v>
      </c>
      <c r="G199" s="7">
        <v>2000</v>
      </c>
      <c r="H199" s="7">
        <v>0</v>
      </c>
      <c r="I199" s="7">
        <v>3501</v>
      </c>
      <c r="J199" s="7">
        <v>0</v>
      </c>
      <c r="K199">
        <f t="shared" si="3"/>
        <v>802488.5</v>
      </c>
    </row>
    <row r="200" spans="1:11" x14ac:dyDescent="0.25">
      <c r="A200" s="6" t="s">
        <v>226</v>
      </c>
      <c r="B200" s="6" t="s">
        <v>199</v>
      </c>
      <c r="C200" s="6" t="s">
        <v>467</v>
      </c>
      <c r="D200" s="22">
        <v>44593</v>
      </c>
      <c r="E200" s="6" t="s">
        <v>11</v>
      </c>
      <c r="F200" s="12">
        <v>153</v>
      </c>
      <c r="G200" s="7">
        <v>1000</v>
      </c>
      <c r="H200" s="7">
        <v>0</v>
      </c>
      <c r="I200" s="7">
        <v>1530.54</v>
      </c>
      <c r="J200" s="7">
        <v>0</v>
      </c>
      <c r="K200">
        <f t="shared" si="3"/>
        <v>802488.5</v>
      </c>
    </row>
    <row r="201" spans="1:11" x14ac:dyDescent="0.25">
      <c r="A201" s="6" t="s">
        <v>237</v>
      </c>
      <c r="B201" s="6" t="s">
        <v>199</v>
      </c>
      <c r="C201" s="6" t="s">
        <v>378</v>
      </c>
      <c r="D201" s="22">
        <v>44593</v>
      </c>
      <c r="E201" s="6" t="s">
        <v>19</v>
      </c>
      <c r="F201" s="12">
        <v>188</v>
      </c>
      <c r="G201" s="7">
        <v>10000</v>
      </c>
      <c r="H201" s="7">
        <v>0</v>
      </c>
      <c r="I201" s="7">
        <v>18799.2</v>
      </c>
      <c r="J201" s="7">
        <v>0</v>
      </c>
      <c r="K201">
        <f t="shared" si="3"/>
        <v>919876.79</v>
      </c>
    </row>
    <row r="202" spans="1:11" x14ac:dyDescent="0.25">
      <c r="A202" s="6" t="s">
        <v>237</v>
      </c>
      <c r="B202" s="6" t="s">
        <v>199</v>
      </c>
      <c r="C202" s="6" t="s">
        <v>379</v>
      </c>
      <c r="D202" s="22">
        <v>44593</v>
      </c>
      <c r="E202" s="6" t="s">
        <v>16</v>
      </c>
      <c r="F202" s="12">
        <v>86</v>
      </c>
      <c r="G202" s="7">
        <v>180000</v>
      </c>
      <c r="H202" s="7">
        <v>0</v>
      </c>
      <c r="I202" s="7">
        <v>154159.20000000001</v>
      </c>
      <c r="J202" s="7">
        <v>0</v>
      </c>
      <c r="K202">
        <f t="shared" si="3"/>
        <v>1010599.2</v>
      </c>
    </row>
    <row r="203" spans="1:11" x14ac:dyDescent="0.25">
      <c r="A203" s="6" t="s">
        <v>237</v>
      </c>
      <c r="B203" s="6" t="s">
        <v>199</v>
      </c>
      <c r="C203" s="6" t="s">
        <v>380</v>
      </c>
      <c r="D203" s="22">
        <v>44593</v>
      </c>
      <c r="E203" s="6" t="s">
        <v>14</v>
      </c>
      <c r="F203" s="12">
        <v>125</v>
      </c>
      <c r="G203" s="7">
        <v>2500</v>
      </c>
      <c r="H203" s="7">
        <v>0</v>
      </c>
      <c r="I203" s="7">
        <v>3134.25</v>
      </c>
      <c r="J203" s="7">
        <v>0</v>
      </c>
      <c r="K203">
        <f t="shared" si="3"/>
        <v>299731.21000000002</v>
      </c>
    </row>
    <row r="204" spans="1:11" x14ac:dyDescent="0.25">
      <c r="A204" s="6" t="s">
        <v>237</v>
      </c>
      <c r="B204" s="6" t="s">
        <v>199</v>
      </c>
      <c r="C204" s="6" t="s">
        <v>380</v>
      </c>
      <c r="D204" s="22">
        <v>44593</v>
      </c>
      <c r="E204" s="6" t="s">
        <v>14</v>
      </c>
      <c r="F204" s="12">
        <v>153</v>
      </c>
      <c r="G204" s="7">
        <v>5000</v>
      </c>
      <c r="H204" s="7">
        <v>0</v>
      </c>
      <c r="I204" s="7">
        <v>7652.7</v>
      </c>
      <c r="J204" s="7">
        <v>0</v>
      </c>
      <c r="K204">
        <f t="shared" si="3"/>
        <v>299731.21000000002</v>
      </c>
    </row>
    <row r="205" spans="1:11" x14ac:dyDescent="0.25">
      <c r="A205" s="6" t="s">
        <v>237</v>
      </c>
      <c r="B205" s="6" t="s">
        <v>199</v>
      </c>
      <c r="C205" s="6" t="s">
        <v>408</v>
      </c>
      <c r="D205" s="22">
        <v>44593</v>
      </c>
      <c r="E205" s="6" t="s">
        <v>16</v>
      </c>
      <c r="F205" s="12">
        <v>172</v>
      </c>
      <c r="G205" s="7">
        <v>40000</v>
      </c>
      <c r="H205" s="7">
        <v>0</v>
      </c>
      <c r="I205" s="7">
        <v>68602.320000000007</v>
      </c>
      <c r="J205" s="7">
        <v>0</v>
      </c>
      <c r="K205">
        <f t="shared" si="3"/>
        <v>449726.32</v>
      </c>
    </row>
    <row r="206" spans="1:11" x14ac:dyDescent="0.25">
      <c r="A206" s="6" t="s">
        <v>237</v>
      </c>
      <c r="B206" s="6" t="s">
        <v>199</v>
      </c>
      <c r="C206" s="6" t="s">
        <v>409</v>
      </c>
      <c r="D206" s="22">
        <v>44593</v>
      </c>
      <c r="E206" s="6" t="s">
        <v>15</v>
      </c>
      <c r="F206" s="12">
        <v>141</v>
      </c>
      <c r="G206" s="7">
        <v>63000</v>
      </c>
      <c r="H206" s="7">
        <v>0</v>
      </c>
      <c r="I206" s="7">
        <v>89048.48</v>
      </c>
      <c r="J206" s="7">
        <v>0</v>
      </c>
      <c r="K206">
        <f t="shared" si="3"/>
        <v>583762.28</v>
      </c>
    </row>
    <row r="207" spans="1:11" x14ac:dyDescent="0.25">
      <c r="A207" s="6" t="s">
        <v>237</v>
      </c>
      <c r="B207" s="6" t="s">
        <v>199</v>
      </c>
      <c r="C207" s="6" t="s">
        <v>410</v>
      </c>
      <c r="D207" s="22">
        <v>44593</v>
      </c>
      <c r="E207" s="6" t="s">
        <v>14</v>
      </c>
      <c r="F207" s="12">
        <v>179</v>
      </c>
      <c r="G207" s="7">
        <v>5000</v>
      </c>
      <c r="H207" s="7">
        <v>0</v>
      </c>
      <c r="I207" s="7">
        <v>8937</v>
      </c>
      <c r="J207" s="7">
        <v>0</v>
      </c>
      <c r="K207">
        <f t="shared" si="3"/>
        <v>399989.44</v>
      </c>
    </row>
    <row r="208" spans="1:11" x14ac:dyDescent="0.25">
      <c r="A208" s="6" t="s">
        <v>237</v>
      </c>
      <c r="B208" s="6" t="s">
        <v>199</v>
      </c>
      <c r="C208" s="6" t="s">
        <v>410</v>
      </c>
      <c r="D208" s="22">
        <v>44593</v>
      </c>
      <c r="E208" s="6" t="s">
        <v>14</v>
      </c>
      <c r="F208" s="12">
        <v>125</v>
      </c>
      <c r="G208" s="7">
        <v>5000</v>
      </c>
      <c r="H208" s="7">
        <v>0</v>
      </c>
      <c r="I208" s="7">
        <v>6268.5</v>
      </c>
      <c r="J208" s="7">
        <v>0</v>
      </c>
      <c r="K208">
        <f t="shared" si="3"/>
        <v>399989.44</v>
      </c>
    </row>
    <row r="209" spans="1:11" x14ac:dyDescent="0.25">
      <c r="A209" s="6" t="s">
        <v>237</v>
      </c>
      <c r="B209" s="6" t="s">
        <v>199</v>
      </c>
      <c r="C209" s="6" t="s">
        <v>410</v>
      </c>
      <c r="D209" s="22">
        <v>44593</v>
      </c>
      <c r="E209" s="6" t="s">
        <v>14</v>
      </c>
      <c r="F209" s="12">
        <v>153</v>
      </c>
      <c r="G209" s="7">
        <v>2500</v>
      </c>
      <c r="H209" s="7">
        <v>0</v>
      </c>
      <c r="I209" s="7">
        <v>3826.35</v>
      </c>
      <c r="J209" s="7">
        <v>0</v>
      </c>
      <c r="K209">
        <f t="shared" si="3"/>
        <v>399989.44</v>
      </c>
    </row>
    <row r="210" spans="1:11" x14ac:dyDescent="0.25">
      <c r="A210" s="6" t="s">
        <v>237</v>
      </c>
      <c r="B210" s="6" t="s">
        <v>199</v>
      </c>
      <c r="C210" s="6" t="s">
        <v>454</v>
      </c>
      <c r="D210" s="22">
        <v>44593</v>
      </c>
      <c r="E210" s="6" t="s">
        <v>18</v>
      </c>
      <c r="F210" s="12">
        <v>153</v>
      </c>
      <c r="G210" s="7">
        <v>1500</v>
      </c>
      <c r="H210" s="7">
        <v>0</v>
      </c>
      <c r="I210" s="7">
        <v>2295.81</v>
      </c>
      <c r="J210" s="7">
        <v>0</v>
      </c>
      <c r="K210">
        <f t="shared" si="3"/>
        <v>822436.99</v>
      </c>
    </row>
    <row r="211" spans="1:11" x14ac:dyDescent="0.25">
      <c r="A211" s="6" t="s">
        <v>237</v>
      </c>
      <c r="B211" s="6" t="s">
        <v>199</v>
      </c>
      <c r="C211" s="6" t="s">
        <v>454</v>
      </c>
      <c r="D211" s="22">
        <v>44593</v>
      </c>
      <c r="E211" s="6" t="s">
        <v>18</v>
      </c>
      <c r="F211" s="12">
        <v>141</v>
      </c>
      <c r="G211" s="7">
        <v>75000</v>
      </c>
      <c r="H211" s="7">
        <v>0</v>
      </c>
      <c r="I211" s="7">
        <v>106010.1</v>
      </c>
      <c r="J211" s="7">
        <v>0</v>
      </c>
      <c r="K211">
        <f t="shared" si="3"/>
        <v>822436.99</v>
      </c>
    </row>
    <row r="212" spans="1:11" x14ac:dyDescent="0.25">
      <c r="A212" s="6" t="s">
        <v>237</v>
      </c>
      <c r="B212" s="6" t="s">
        <v>199</v>
      </c>
      <c r="C212" s="6" t="s">
        <v>468</v>
      </c>
      <c r="D212" s="22">
        <v>44593</v>
      </c>
      <c r="E212" s="6" t="s">
        <v>19</v>
      </c>
      <c r="F212" s="12">
        <v>175</v>
      </c>
      <c r="G212" s="7">
        <v>500</v>
      </c>
      <c r="H212" s="7">
        <v>0</v>
      </c>
      <c r="I212" s="7">
        <v>875.25</v>
      </c>
      <c r="J212" s="7">
        <v>0</v>
      </c>
      <c r="K212">
        <f t="shared" si="3"/>
        <v>262239.07</v>
      </c>
    </row>
    <row r="213" spans="1:11" x14ac:dyDescent="0.25">
      <c r="A213" s="6" t="s">
        <v>237</v>
      </c>
      <c r="B213" s="6" t="s">
        <v>199</v>
      </c>
      <c r="C213" s="6" t="s">
        <v>469</v>
      </c>
      <c r="D213" s="22">
        <v>44593</v>
      </c>
      <c r="E213" s="6" t="s">
        <v>18</v>
      </c>
      <c r="F213" s="12">
        <v>141</v>
      </c>
      <c r="G213" s="7">
        <v>55000</v>
      </c>
      <c r="H213" s="7">
        <v>0</v>
      </c>
      <c r="I213" s="7">
        <v>77740.740000000005</v>
      </c>
      <c r="J213" s="7">
        <v>0</v>
      </c>
      <c r="K213">
        <f t="shared" si="3"/>
        <v>509633.74</v>
      </c>
    </row>
    <row r="214" spans="1:11" x14ac:dyDescent="0.25">
      <c r="A214" s="6" t="s">
        <v>247</v>
      </c>
      <c r="B214" s="6" t="s">
        <v>199</v>
      </c>
      <c r="C214" s="6" t="s">
        <v>387</v>
      </c>
      <c r="D214" s="22">
        <v>44593</v>
      </c>
      <c r="E214" s="6" t="s">
        <v>16</v>
      </c>
      <c r="F214" s="12">
        <v>172</v>
      </c>
      <c r="G214" s="7">
        <v>32500</v>
      </c>
      <c r="H214" s="7">
        <v>0</v>
      </c>
      <c r="I214" s="7">
        <v>55739.39</v>
      </c>
      <c r="J214" s="7">
        <v>0</v>
      </c>
      <c r="K214">
        <f t="shared" si="3"/>
        <v>569310.89</v>
      </c>
    </row>
    <row r="215" spans="1:11" x14ac:dyDescent="0.25">
      <c r="A215" s="6" t="s">
        <v>257</v>
      </c>
      <c r="B215" s="6" t="s">
        <v>199</v>
      </c>
      <c r="C215" s="6" t="s">
        <v>396</v>
      </c>
      <c r="D215" s="22">
        <v>44593</v>
      </c>
      <c r="E215" s="6" t="s">
        <v>13</v>
      </c>
      <c r="F215" s="12">
        <v>130</v>
      </c>
      <c r="G215" s="7">
        <v>29600</v>
      </c>
      <c r="H215" s="7">
        <v>0</v>
      </c>
      <c r="I215" s="7">
        <v>38605.620000000003</v>
      </c>
      <c r="J215" s="7">
        <v>0</v>
      </c>
      <c r="K215">
        <f t="shared" si="3"/>
        <v>419870.52</v>
      </c>
    </row>
    <row r="216" spans="1:11" x14ac:dyDescent="0.25">
      <c r="A216" s="6" t="s">
        <v>257</v>
      </c>
      <c r="B216" s="6" t="s">
        <v>199</v>
      </c>
      <c r="C216" s="6" t="s">
        <v>414</v>
      </c>
      <c r="D216" s="22">
        <v>44593</v>
      </c>
      <c r="E216" s="6" t="s">
        <v>12</v>
      </c>
      <c r="F216" s="12">
        <v>0</v>
      </c>
      <c r="G216" s="7">
        <v>5000000</v>
      </c>
      <c r="H216" s="7">
        <v>5400</v>
      </c>
      <c r="I216" s="7">
        <v>0</v>
      </c>
      <c r="J216" s="7">
        <v>5400</v>
      </c>
      <c r="K216">
        <f t="shared" si="3"/>
        <v>70800</v>
      </c>
    </row>
    <row r="217" spans="1:11" x14ac:dyDescent="0.25">
      <c r="A217" s="6" t="s">
        <v>274</v>
      </c>
      <c r="B217" s="6" t="s">
        <v>199</v>
      </c>
      <c r="C217" s="6" t="s">
        <v>411</v>
      </c>
      <c r="D217" s="22">
        <v>44593</v>
      </c>
      <c r="E217" s="6" t="s">
        <v>13</v>
      </c>
      <c r="F217" s="12">
        <v>153</v>
      </c>
      <c r="G217" s="7">
        <v>2500</v>
      </c>
      <c r="H217" s="7">
        <v>0</v>
      </c>
      <c r="I217" s="7">
        <v>3826.35</v>
      </c>
      <c r="J217" s="7">
        <v>0</v>
      </c>
      <c r="K217">
        <f t="shared" si="3"/>
        <v>965799.90999999992</v>
      </c>
    </row>
    <row r="218" spans="1:11" x14ac:dyDescent="0.25">
      <c r="A218" s="6" t="s">
        <v>274</v>
      </c>
      <c r="B218" s="6" t="s">
        <v>199</v>
      </c>
      <c r="C218" s="6" t="s">
        <v>412</v>
      </c>
      <c r="D218" s="22">
        <v>44593</v>
      </c>
      <c r="E218" s="6" t="s">
        <v>11</v>
      </c>
      <c r="F218" s="12">
        <v>141</v>
      </c>
      <c r="G218" s="7">
        <v>103500</v>
      </c>
      <c r="H218" s="7">
        <v>0</v>
      </c>
      <c r="I218" s="7">
        <v>146293.94</v>
      </c>
      <c r="J218" s="7">
        <v>0</v>
      </c>
      <c r="K218">
        <f t="shared" si="3"/>
        <v>959038.04</v>
      </c>
    </row>
    <row r="219" spans="1:11" x14ac:dyDescent="0.25">
      <c r="A219" s="6" t="s">
        <v>274</v>
      </c>
      <c r="B219" s="6" t="s">
        <v>199</v>
      </c>
      <c r="C219" s="6" t="s">
        <v>413</v>
      </c>
      <c r="D219" s="22">
        <v>44593</v>
      </c>
      <c r="E219" s="6" t="s">
        <v>14</v>
      </c>
      <c r="F219" s="12">
        <v>311</v>
      </c>
      <c r="G219" s="7">
        <v>800</v>
      </c>
      <c r="H219" s="7">
        <v>0</v>
      </c>
      <c r="I219" s="7">
        <v>2484</v>
      </c>
      <c r="J219" s="7">
        <v>0</v>
      </c>
      <c r="K219">
        <f t="shared" si="3"/>
        <v>70954.58</v>
      </c>
    </row>
    <row r="220" spans="1:11" x14ac:dyDescent="0.25">
      <c r="A220" s="6" t="s">
        <v>274</v>
      </c>
      <c r="B220" s="6" t="s">
        <v>199</v>
      </c>
      <c r="C220" s="6" t="s">
        <v>413</v>
      </c>
      <c r="D220" s="22">
        <v>44593</v>
      </c>
      <c r="E220" s="6" t="s">
        <v>14</v>
      </c>
      <c r="F220" s="12">
        <v>345</v>
      </c>
      <c r="G220" s="7">
        <v>1100</v>
      </c>
      <c r="H220" s="7">
        <v>0</v>
      </c>
      <c r="I220" s="7">
        <v>3791.7</v>
      </c>
      <c r="J220" s="7">
        <v>0</v>
      </c>
      <c r="K220">
        <f t="shared" si="3"/>
        <v>70954.58</v>
      </c>
    </row>
    <row r="221" spans="1:11" x14ac:dyDescent="0.25">
      <c r="A221" s="6" t="s">
        <v>278</v>
      </c>
      <c r="B221" s="6" t="s">
        <v>199</v>
      </c>
      <c r="C221" s="6" t="s">
        <v>413</v>
      </c>
      <c r="D221" s="22">
        <v>44593</v>
      </c>
      <c r="E221" s="6" t="s">
        <v>14</v>
      </c>
      <c r="F221" s="12">
        <v>32</v>
      </c>
      <c r="G221" s="7">
        <v>200</v>
      </c>
      <c r="H221" s="7">
        <v>0</v>
      </c>
      <c r="I221" s="7">
        <v>64.8</v>
      </c>
      <c r="J221" s="7">
        <v>0</v>
      </c>
      <c r="K221">
        <f t="shared" si="3"/>
        <v>70954.58</v>
      </c>
    </row>
    <row r="222" spans="1:11" x14ac:dyDescent="0.25">
      <c r="A222" s="6" t="s">
        <v>288</v>
      </c>
      <c r="B222" s="6" t="s">
        <v>199</v>
      </c>
      <c r="C222" s="6" t="s">
        <v>421</v>
      </c>
      <c r="D222" s="22">
        <v>44593</v>
      </c>
      <c r="E222" s="6" t="s">
        <v>13</v>
      </c>
      <c r="F222" s="12">
        <v>163</v>
      </c>
      <c r="G222" s="7">
        <v>3000</v>
      </c>
      <c r="H222" s="7">
        <v>0</v>
      </c>
      <c r="I222" s="7">
        <v>4903.2</v>
      </c>
      <c r="J222" s="7">
        <v>0</v>
      </c>
      <c r="K222">
        <f t="shared" si="3"/>
        <v>912797.73</v>
      </c>
    </row>
    <row r="223" spans="1:11" x14ac:dyDescent="0.25">
      <c r="A223" s="6" t="s">
        <v>288</v>
      </c>
      <c r="B223" s="6" t="s">
        <v>199</v>
      </c>
      <c r="C223" s="6" t="s">
        <v>421</v>
      </c>
      <c r="D223" s="22">
        <v>44593</v>
      </c>
      <c r="E223" s="6" t="s">
        <v>13</v>
      </c>
      <c r="F223" s="12">
        <v>130</v>
      </c>
      <c r="G223" s="7">
        <v>103000</v>
      </c>
      <c r="H223" s="7">
        <v>0</v>
      </c>
      <c r="I223" s="7">
        <v>134337.13</v>
      </c>
      <c r="J223" s="7">
        <v>0</v>
      </c>
      <c r="K223">
        <f t="shared" si="3"/>
        <v>912797.73</v>
      </c>
    </row>
    <row r="224" spans="1:11" x14ac:dyDescent="0.25">
      <c r="A224" s="6" t="s">
        <v>288</v>
      </c>
      <c r="B224" s="6" t="s">
        <v>199</v>
      </c>
      <c r="C224" s="6" t="s">
        <v>422</v>
      </c>
      <c r="D224" s="22">
        <v>44593</v>
      </c>
      <c r="E224" s="6" t="s">
        <v>17</v>
      </c>
      <c r="F224" s="12">
        <v>179</v>
      </c>
      <c r="G224" s="7">
        <v>20000</v>
      </c>
      <c r="H224" s="7">
        <v>0</v>
      </c>
      <c r="I224" s="7">
        <v>35748</v>
      </c>
      <c r="J224" s="7">
        <v>0</v>
      </c>
      <c r="K224">
        <f t="shared" si="3"/>
        <v>563614.6100000001</v>
      </c>
    </row>
    <row r="225" spans="1:11" x14ac:dyDescent="0.25">
      <c r="A225" s="6" t="s">
        <v>288</v>
      </c>
      <c r="B225" s="6" t="s">
        <v>199</v>
      </c>
      <c r="C225" s="6" t="s">
        <v>422</v>
      </c>
      <c r="D225" s="22">
        <v>44593</v>
      </c>
      <c r="E225" s="6" t="s">
        <v>17</v>
      </c>
      <c r="F225" s="12">
        <v>125</v>
      </c>
      <c r="G225" s="7">
        <v>10000</v>
      </c>
      <c r="H225" s="7">
        <v>0</v>
      </c>
      <c r="I225" s="7">
        <v>12537</v>
      </c>
      <c r="J225" s="7">
        <v>0</v>
      </c>
      <c r="K225">
        <f t="shared" si="3"/>
        <v>563614.6100000001</v>
      </c>
    </row>
    <row r="226" spans="1:11" x14ac:dyDescent="0.25">
      <c r="A226" s="6" t="s">
        <v>288</v>
      </c>
      <c r="B226" s="6" t="s">
        <v>199</v>
      </c>
      <c r="C226" s="6" t="s">
        <v>422</v>
      </c>
      <c r="D226" s="22">
        <v>44593</v>
      </c>
      <c r="E226" s="6" t="s">
        <v>17</v>
      </c>
      <c r="F226" s="12">
        <v>196</v>
      </c>
      <c r="G226" s="7">
        <v>2500</v>
      </c>
      <c r="H226" s="7">
        <v>0</v>
      </c>
      <c r="I226" s="7">
        <v>4899.1499999999996</v>
      </c>
      <c r="J226" s="7">
        <v>0</v>
      </c>
      <c r="K226">
        <f t="shared" si="3"/>
        <v>563614.6100000001</v>
      </c>
    </row>
    <row r="227" spans="1:11" x14ac:dyDescent="0.25">
      <c r="A227" s="6" t="s">
        <v>301</v>
      </c>
      <c r="B227" s="6" t="s">
        <v>199</v>
      </c>
      <c r="C227" s="6" t="s">
        <v>433</v>
      </c>
      <c r="D227" s="22">
        <v>44593</v>
      </c>
      <c r="E227" s="6" t="s">
        <v>13</v>
      </c>
      <c r="F227" s="12">
        <v>195</v>
      </c>
      <c r="G227" s="7">
        <v>6000</v>
      </c>
      <c r="H227" s="7">
        <v>0</v>
      </c>
      <c r="I227" s="7">
        <v>11713.68</v>
      </c>
      <c r="J227" s="7">
        <v>0</v>
      </c>
      <c r="K227">
        <f t="shared" si="3"/>
        <v>931794.08000000007</v>
      </c>
    </row>
    <row r="228" spans="1:11" x14ac:dyDescent="0.25">
      <c r="A228" s="6" t="s">
        <v>301</v>
      </c>
      <c r="B228" s="6" t="s">
        <v>199</v>
      </c>
      <c r="C228" s="6" t="s">
        <v>433</v>
      </c>
      <c r="D228" s="22">
        <v>44593</v>
      </c>
      <c r="E228" s="6" t="s">
        <v>13</v>
      </c>
      <c r="F228" s="12">
        <v>130</v>
      </c>
      <c r="G228" s="7">
        <v>100000</v>
      </c>
      <c r="H228" s="7">
        <v>0</v>
      </c>
      <c r="I228" s="7">
        <v>130424.4</v>
      </c>
      <c r="J228" s="7">
        <v>0</v>
      </c>
      <c r="K228">
        <f t="shared" si="3"/>
        <v>931794.08000000007</v>
      </c>
    </row>
    <row r="229" spans="1:11" x14ac:dyDescent="0.25">
      <c r="A229" s="6" t="s">
        <v>301</v>
      </c>
      <c r="B229" s="6" t="s">
        <v>199</v>
      </c>
      <c r="C229" s="6" t="s">
        <v>434</v>
      </c>
      <c r="D229" s="22">
        <v>44593</v>
      </c>
      <c r="E229" s="6" t="s">
        <v>164</v>
      </c>
      <c r="F229" s="12">
        <v>179</v>
      </c>
      <c r="G229" s="7">
        <v>5000</v>
      </c>
      <c r="H229" s="7">
        <v>0</v>
      </c>
      <c r="I229" s="7">
        <v>8937</v>
      </c>
      <c r="J229" s="7">
        <v>0</v>
      </c>
      <c r="K229">
        <f t="shared" si="3"/>
        <v>413818.32999999996</v>
      </c>
    </row>
    <row r="230" spans="1:11" x14ac:dyDescent="0.25">
      <c r="A230" s="6" t="s">
        <v>301</v>
      </c>
      <c r="B230" s="6" t="s">
        <v>199</v>
      </c>
      <c r="C230" s="6" t="s">
        <v>434</v>
      </c>
      <c r="D230" s="22">
        <v>44593</v>
      </c>
      <c r="E230" s="6" t="s">
        <v>164</v>
      </c>
      <c r="F230" s="12">
        <v>196</v>
      </c>
      <c r="G230" s="7">
        <v>12500</v>
      </c>
      <c r="H230" s="7">
        <v>0</v>
      </c>
      <c r="I230" s="7">
        <v>24495.75</v>
      </c>
      <c r="J230" s="7">
        <v>0</v>
      </c>
      <c r="K230">
        <f t="shared" si="3"/>
        <v>413818.32999999996</v>
      </c>
    </row>
    <row r="231" spans="1:11" x14ac:dyDescent="0.25">
      <c r="A231" s="6" t="s">
        <v>304</v>
      </c>
      <c r="B231" s="6" t="s">
        <v>199</v>
      </c>
      <c r="C231" s="6" t="s">
        <v>435</v>
      </c>
      <c r="D231" s="22">
        <v>44593</v>
      </c>
      <c r="E231" s="6" t="s">
        <v>18</v>
      </c>
      <c r="F231" s="12">
        <v>172</v>
      </c>
      <c r="G231" s="7">
        <v>20000</v>
      </c>
      <c r="H231" s="7">
        <v>0</v>
      </c>
      <c r="I231" s="7">
        <v>34301.160000000003</v>
      </c>
      <c r="J231" s="7">
        <v>0</v>
      </c>
      <c r="K231">
        <f t="shared" si="3"/>
        <v>734496.9</v>
      </c>
    </row>
    <row r="232" spans="1:11" x14ac:dyDescent="0.25">
      <c r="A232" s="6" t="s">
        <v>304</v>
      </c>
      <c r="B232" s="6" t="s">
        <v>199</v>
      </c>
      <c r="C232" s="6" t="s">
        <v>435</v>
      </c>
      <c r="D232" s="22">
        <v>44593</v>
      </c>
      <c r="E232" s="6" t="s">
        <v>18</v>
      </c>
      <c r="F232" s="12">
        <v>141</v>
      </c>
      <c r="G232" s="7">
        <v>55000</v>
      </c>
      <c r="H232" s="7">
        <v>0</v>
      </c>
      <c r="I232" s="7">
        <v>77740.740000000005</v>
      </c>
      <c r="J232" s="7">
        <v>0</v>
      </c>
      <c r="K232">
        <f t="shared" si="3"/>
        <v>734496.9</v>
      </c>
    </row>
    <row r="233" spans="1:11" x14ac:dyDescent="0.25">
      <c r="A233" s="6" t="s">
        <v>316</v>
      </c>
      <c r="B233" s="6" t="s">
        <v>199</v>
      </c>
      <c r="C233" s="6" t="s">
        <v>446</v>
      </c>
      <c r="D233" s="22">
        <v>44593</v>
      </c>
      <c r="E233" s="6" t="s">
        <v>16</v>
      </c>
      <c r="F233" s="12">
        <v>130</v>
      </c>
      <c r="G233" s="7">
        <v>20000</v>
      </c>
      <c r="H233" s="7">
        <v>0</v>
      </c>
      <c r="I233" s="7">
        <v>26084.880000000001</v>
      </c>
      <c r="J233" s="7">
        <v>0</v>
      </c>
      <c r="K233">
        <f t="shared" si="3"/>
        <v>778131.41</v>
      </c>
    </row>
    <row r="234" spans="1:11" x14ac:dyDescent="0.25">
      <c r="A234" s="6" t="s">
        <v>316</v>
      </c>
      <c r="B234" s="6" t="s">
        <v>199</v>
      </c>
      <c r="C234" s="6" t="s">
        <v>446</v>
      </c>
      <c r="D234" s="22">
        <v>44593</v>
      </c>
      <c r="E234" s="6" t="s">
        <v>16</v>
      </c>
      <c r="F234" s="12">
        <v>172</v>
      </c>
      <c r="G234" s="7">
        <v>54000</v>
      </c>
      <c r="H234" s="7">
        <v>0</v>
      </c>
      <c r="I234" s="7">
        <v>92613.13</v>
      </c>
      <c r="J234" s="7">
        <v>0</v>
      </c>
      <c r="K234">
        <f t="shared" si="3"/>
        <v>778131.41</v>
      </c>
    </row>
    <row r="235" spans="1:11" x14ac:dyDescent="0.25">
      <c r="A235" s="6" t="s">
        <v>316</v>
      </c>
      <c r="B235" s="6" t="s">
        <v>199</v>
      </c>
      <c r="C235" s="6" t="s">
        <v>470</v>
      </c>
      <c r="D235" s="22">
        <v>44593</v>
      </c>
      <c r="E235" s="6" t="s">
        <v>14</v>
      </c>
      <c r="F235" s="12">
        <v>175</v>
      </c>
      <c r="G235" s="7">
        <v>800</v>
      </c>
      <c r="H235" s="7">
        <v>0</v>
      </c>
      <c r="I235" s="7">
        <v>1400.4</v>
      </c>
      <c r="J235" s="7">
        <v>0</v>
      </c>
      <c r="K235">
        <f t="shared" si="3"/>
        <v>59348.1</v>
      </c>
    </row>
    <row r="236" spans="1:11" x14ac:dyDescent="0.25">
      <c r="A236" s="6" t="s">
        <v>316</v>
      </c>
      <c r="B236" s="6" t="s">
        <v>199</v>
      </c>
      <c r="C236" s="6" t="s">
        <v>470</v>
      </c>
      <c r="D236" s="22">
        <v>44593</v>
      </c>
      <c r="E236" s="6" t="s">
        <v>14</v>
      </c>
      <c r="F236" s="12">
        <v>153</v>
      </c>
      <c r="G236" s="7">
        <v>5000</v>
      </c>
      <c r="H236" s="7">
        <v>0</v>
      </c>
      <c r="I236" s="7">
        <v>7652.7</v>
      </c>
      <c r="J236" s="7">
        <v>0</v>
      </c>
      <c r="K236">
        <f t="shared" si="3"/>
        <v>59348.1</v>
      </c>
    </row>
    <row r="237" spans="1:11" x14ac:dyDescent="0.25">
      <c r="A237" s="6" t="s">
        <v>316</v>
      </c>
      <c r="B237" s="6" t="s">
        <v>199</v>
      </c>
      <c r="C237" s="6" t="s">
        <v>471</v>
      </c>
      <c r="D237" s="22">
        <v>44593</v>
      </c>
      <c r="E237" s="6" t="s">
        <v>12</v>
      </c>
      <c r="F237" s="12">
        <v>178</v>
      </c>
      <c r="G237" s="7">
        <v>120000</v>
      </c>
      <c r="H237" s="7">
        <v>106812</v>
      </c>
      <c r="I237" s="7">
        <v>0</v>
      </c>
      <c r="J237" s="7">
        <v>106812</v>
      </c>
      <c r="K237">
        <f t="shared" si="3"/>
        <v>1400424</v>
      </c>
    </row>
    <row r="238" spans="1:11" x14ac:dyDescent="0.25">
      <c r="A238" s="6" t="s">
        <v>316</v>
      </c>
      <c r="B238" s="6" t="s">
        <v>199</v>
      </c>
      <c r="C238" s="6" t="s">
        <v>472</v>
      </c>
      <c r="D238" s="22">
        <v>44593</v>
      </c>
      <c r="E238" s="6" t="s">
        <v>12</v>
      </c>
      <c r="F238" s="12">
        <v>196</v>
      </c>
      <c r="G238" s="7">
        <v>23600</v>
      </c>
      <c r="H238" s="7">
        <v>23070.89</v>
      </c>
      <c r="I238" s="7">
        <v>0</v>
      </c>
      <c r="J238" s="7">
        <v>23070.89</v>
      </c>
      <c r="K238">
        <f t="shared" si="3"/>
        <v>1420887.5599999998</v>
      </c>
    </row>
    <row r="239" spans="1:11" x14ac:dyDescent="0.25">
      <c r="A239" s="6" t="s">
        <v>316</v>
      </c>
      <c r="B239" s="6" t="s">
        <v>199</v>
      </c>
      <c r="C239" s="6" t="s">
        <v>472</v>
      </c>
      <c r="D239" s="22">
        <v>44593</v>
      </c>
      <c r="E239" s="6" t="s">
        <v>12</v>
      </c>
      <c r="F239" s="12">
        <v>178</v>
      </c>
      <c r="G239" s="7">
        <v>10400</v>
      </c>
      <c r="H239" s="7">
        <v>9257.0400000000009</v>
      </c>
      <c r="I239" s="7">
        <v>0</v>
      </c>
      <c r="J239" s="7">
        <v>9257.0400000000009</v>
      </c>
      <c r="K239">
        <f t="shared" si="3"/>
        <v>1420887.5599999998</v>
      </c>
    </row>
    <row r="240" spans="1:11" x14ac:dyDescent="0.25">
      <c r="A240" s="6" t="s">
        <v>316</v>
      </c>
      <c r="B240" s="6" t="s">
        <v>199</v>
      </c>
      <c r="C240" s="6" t="s">
        <v>472</v>
      </c>
      <c r="D240" s="22">
        <v>44593</v>
      </c>
      <c r="E240" s="6" t="s">
        <v>12</v>
      </c>
      <c r="F240" s="12">
        <v>220</v>
      </c>
      <c r="G240" s="7">
        <v>36000</v>
      </c>
      <c r="H240" s="7">
        <v>39583.08</v>
      </c>
      <c r="I240" s="7">
        <v>0</v>
      </c>
      <c r="J240" s="7">
        <v>39583.08</v>
      </c>
      <c r="K240">
        <f t="shared" si="3"/>
        <v>1420887.5599999998</v>
      </c>
    </row>
    <row r="241" spans="1:11" x14ac:dyDescent="0.25">
      <c r="A241" s="6" t="s">
        <v>319</v>
      </c>
      <c r="B241" s="6" t="s">
        <v>199</v>
      </c>
      <c r="C241" s="6" t="s">
        <v>448</v>
      </c>
      <c r="D241" s="22">
        <v>44593</v>
      </c>
      <c r="E241" s="6" t="s">
        <v>16</v>
      </c>
      <c r="F241" s="12">
        <v>86</v>
      </c>
      <c r="G241" s="7">
        <v>180000</v>
      </c>
      <c r="H241" s="7">
        <v>0</v>
      </c>
      <c r="I241" s="7">
        <v>154159.20000000001</v>
      </c>
      <c r="J241" s="7">
        <v>0</v>
      </c>
      <c r="K241">
        <f t="shared" si="3"/>
        <v>1010599.2</v>
      </c>
    </row>
    <row r="242" spans="1:11" x14ac:dyDescent="0.25">
      <c r="A242" s="6" t="s">
        <v>319</v>
      </c>
      <c r="B242" s="6" t="s">
        <v>199</v>
      </c>
      <c r="C242" s="6" t="s">
        <v>449</v>
      </c>
      <c r="D242" s="22">
        <v>44593</v>
      </c>
      <c r="E242" s="6" t="s">
        <v>16</v>
      </c>
      <c r="F242" s="12">
        <v>86</v>
      </c>
      <c r="G242" s="7">
        <v>180000</v>
      </c>
      <c r="H242" s="7">
        <v>0</v>
      </c>
      <c r="I242" s="7">
        <v>154159.20000000001</v>
      </c>
      <c r="J242" s="7">
        <v>0</v>
      </c>
      <c r="K242">
        <f t="shared" si="3"/>
        <v>1010599.2</v>
      </c>
    </row>
    <row r="243" spans="1:11" x14ac:dyDescent="0.25">
      <c r="A243" s="6" t="s">
        <v>319</v>
      </c>
      <c r="B243" s="6" t="s">
        <v>199</v>
      </c>
      <c r="C243" s="6" t="s">
        <v>450</v>
      </c>
      <c r="D243" s="22">
        <v>44593</v>
      </c>
      <c r="E243" s="6" t="s">
        <v>20</v>
      </c>
      <c r="F243" s="12">
        <v>310</v>
      </c>
      <c r="G243" s="7">
        <v>6600</v>
      </c>
      <c r="H243" s="7">
        <v>0</v>
      </c>
      <c r="I243" s="7">
        <v>20439.060000000001</v>
      </c>
      <c r="J243" s="7">
        <v>0</v>
      </c>
      <c r="K243">
        <f t="shared" si="3"/>
        <v>1054899.72</v>
      </c>
    </row>
    <row r="244" spans="1:11" x14ac:dyDescent="0.25">
      <c r="A244" s="6" t="s">
        <v>322</v>
      </c>
      <c r="B244" s="6" t="s">
        <v>199</v>
      </c>
      <c r="C244" s="6" t="s">
        <v>450</v>
      </c>
      <c r="D244" s="22">
        <v>44593</v>
      </c>
      <c r="E244" s="6" t="s">
        <v>20</v>
      </c>
      <c r="F244" s="12">
        <v>362</v>
      </c>
      <c r="G244" s="7">
        <v>12200</v>
      </c>
      <c r="H244" s="7">
        <v>0</v>
      </c>
      <c r="I244" s="7">
        <v>44131.47</v>
      </c>
      <c r="J244" s="7">
        <v>0</v>
      </c>
      <c r="K244">
        <f t="shared" si="3"/>
        <v>1054899.72</v>
      </c>
    </row>
    <row r="245" spans="1:11" x14ac:dyDescent="0.25">
      <c r="A245" s="6" t="s">
        <v>322</v>
      </c>
      <c r="B245" s="6" t="s">
        <v>199</v>
      </c>
      <c r="C245" s="6" t="s">
        <v>450</v>
      </c>
      <c r="D245" s="22">
        <v>44593</v>
      </c>
      <c r="E245" s="6" t="s">
        <v>20</v>
      </c>
      <c r="F245" s="12">
        <v>401</v>
      </c>
      <c r="G245" s="7">
        <v>24000</v>
      </c>
      <c r="H245" s="7">
        <v>0</v>
      </c>
      <c r="I245" s="7">
        <v>96346.37</v>
      </c>
      <c r="J245" s="7">
        <v>0</v>
      </c>
      <c r="K245">
        <f t="shared" si="3"/>
        <v>1054899.72</v>
      </c>
    </row>
    <row r="246" spans="1:11" x14ac:dyDescent="0.25">
      <c r="A246" s="6" t="s">
        <v>322</v>
      </c>
      <c r="B246" s="6" t="s">
        <v>199</v>
      </c>
      <c r="C246" s="6" t="s">
        <v>451</v>
      </c>
      <c r="D246" s="22">
        <v>44593</v>
      </c>
      <c r="E246" s="6" t="s">
        <v>17</v>
      </c>
      <c r="F246" s="12">
        <v>310</v>
      </c>
      <c r="G246" s="7">
        <v>4000</v>
      </c>
      <c r="H246" s="7">
        <v>0</v>
      </c>
      <c r="I246" s="7">
        <v>12387.31</v>
      </c>
      <c r="J246" s="7">
        <v>0</v>
      </c>
      <c r="K246">
        <f t="shared" si="3"/>
        <v>563003.13</v>
      </c>
    </row>
    <row r="247" spans="1:11" x14ac:dyDescent="0.25">
      <c r="A247" s="6" t="s">
        <v>328</v>
      </c>
      <c r="B247" s="6" t="s">
        <v>199</v>
      </c>
      <c r="C247" s="6" t="s">
        <v>455</v>
      </c>
      <c r="D247" s="22">
        <v>44593</v>
      </c>
      <c r="E247" s="6" t="s">
        <v>14</v>
      </c>
      <c r="F247" s="12">
        <v>125</v>
      </c>
      <c r="G247" s="7">
        <v>5000</v>
      </c>
      <c r="H247" s="7">
        <v>0</v>
      </c>
      <c r="I247" s="7">
        <v>6268.5</v>
      </c>
      <c r="J247" s="7">
        <v>0</v>
      </c>
      <c r="K247">
        <f t="shared" si="3"/>
        <v>99680.5</v>
      </c>
    </row>
    <row r="248" spans="1:11" x14ac:dyDescent="0.25">
      <c r="A248" s="6" t="s">
        <v>332</v>
      </c>
      <c r="B248" s="6" t="s">
        <v>199</v>
      </c>
      <c r="C248" s="6" t="s">
        <v>458</v>
      </c>
      <c r="D248" s="22">
        <v>44593</v>
      </c>
      <c r="E248" s="6" t="s">
        <v>16</v>
      </c>
      <c r="F248" s="12">
        <v>130</v>
      </c>
      <c r="G248" s="7">
        <v>45000</v>
      </c>
      <c r="H248" s="7">
        <v>0</v>
      </c>
      <c r="I248" s="7">
        <v>58690.98</v>
      </c>
      <c r="J248" s="7">
        <v>0</v>
      </c>
      <c r="K248">
        <f t="shared" si="3"/>
        <v>801725.04</v>
      </c>
    </row>
    <row r="249" spans="1:11" x14ac:dyDescent="0.25">
      <c r="A249" s="6" t="s">
        <v>332</v>
      </c>
      <c r="B249" s="6" t="s">
        <v>199</v>
      </c>
      <c r="C249" s="6" t="s">
        <v>458</v>
      </c>
      <c r="D249" s="22">
        <v>44593</v>
      </c>
      <c r="E249" s="6" t="s">
        <v>16</v>
      </c>
      <c r="F249" s="12">
        <v>141</v>
      </c>
      <c r="G249" s="7">
        <v>45000</v>
      </c>
      <c r="H249" s="7">
        <v>0</v>
      </c>
      <c r="I249" s="7">
        <v>63606.06</v>
      </c>
      <c r="J249" s="7">
        <v>0</v>
      </c>
      <c r="K249">
        <f t="shared" si="3"/>
        <v>801725.04</v>
      </c>
    </row>
    <row r="250" spans="1:11" x14ac:dyDescent="0.25">
      <c r="A250" s="6" t="s">
        <v>332</v>
      </c>
      <c r="B250" s="6" t="s">
        <v>199</v>
      </c>
      <c r="C250" s="6" t="s">
        <v>459</v>
      </c>
      <c r="D250" s="22">
        <v>44593</v>
      </c>
      <c r="E250" s="6" t="s">
        <v>18</v>
      </c>
      <c r="F250" s="12">
        <v>310</v>
      </c>
      <c r="G250" s="7">
        <v>3000</v>
      </c>
      <c r="H250" s="7">
        <v>0</v>
      </c>
      <c r="I250" s="7">
        <v>9290.48</v>
      </c>
      <c r="J250" s="7">
        <v>0</v>
      </c>
      <c r="K250">
        <f t="shared" si="3"/>
        <v>571621.73</v>
      </c>
    </row>
    <row r="251" spans="1:11" x14ac:dyDescent="0.25">
      <c r="A251" s="6" t="s">
        <v>334</v>
      </c>
      <c r="B251" s="6" t="s">
        <v>199</v>
      </c>
      <c r="C251" s="6" t="s">
        <v>459</v>
      </c>
      <c r="D251" s="22">
        <v>44593</v>
      </c>
      <c r="E251" s="6" t="s">
        <v>18</v>
      </c>
      <c r="F251" s="12">
        <v>362</v>
      </c>
      <c r="G251" s="7">
        <v>6000</v>
      </c>
      <c r="H251" s="7">
        <v>0</v>
      </c>
      <c r="I251" s="7">
        <v>21704</v>
      </c>
      <c r="J251" s="7">
        <v>0</v>
      </c>
      <c r="K251">
        <f t="shared" si="3"/>
        <v>571621.73</v>
      </c>
    </row>
    <row r="252" spans="1:11" x14ac:dyDescent="0.25">
      <c r="A252" s="6" t="s">
        <v>334</v>
      </c>
      <c r="B252" s="6" t="s">
        <v>199</v>
      </c>
      <c r="C252" s="6" t="s">
        <v>459</v>
      </c>
      <c r="D252" s="22">
        <v>44593</v>
      </c>
      <c r="E252" s="6" t="s">
        <v>18</v>
      </c>
      <c r="F252" s="12">
        <v>401</v>
      </c>
      <c r="G252" s="7">
        <v>14000</v>
      </c>
      <c r="H252" s="7">
        <v>0</v>
      </c>
      <c r="I252" s="7">
        <v>56202.05</v>
      </c>
      <c r="J252" s="7">
        <v>0</v>
      </c>
      <c r="K252">
        <f t="shared" si="3"/>
        <v>571621.73</v>
      </c>
    </row>
    <row r="253" spans="1:11" x14ac:dyDescent="0.25">
      <c r="A253" s="6" t="s">
        <v>334</v>
      </c>
      <c r="B253" s="6" t="s">
        <v>199</v>
      </c>
      <c r="C253" s="6" t="s">
        <v>460</v>
      </c>
      <c r="D253" s="22">
        <v>44593</v>
      </c>
      <c r="E253" s="6" t="s">
        <v>12</v>
      </c>
      <c r="F253" s="12">
        <v>14</v>
      </c>
      <c r="G253" s="7">
        <v>2000</v>
      </c>
      <c r="H253" s="7">
        <v>139.94999999999999</v>
      </c>
      <c r="I253" s="7">
        <v>0</v>
      </c>
      <c r="J253" s="7">
        <v>139.94999999999999</v>
      </c>
      <c r="K253">
        <f t="shared" si="3"/>
        <v>7339.6</v>
      </c>
    </row>
    <row r="254" spans="1:11" x14ac:dyDescent="0.25">
      <c r="A254" s="6" t="s">
        <v>339</v>
      </c>
      <c r="B254" s="6" t="s">
        <v>199</v>
      </c>
      <c r="C254" s="6" t="s">
        <v>463</v>
      </c>
      <c r="D254" s="22">
        <v>44593</v>
      </c>
      <c r="E254" s="6" t="s">
        <v>13</v>
      </c>
      <c r="F254" s="12">
        <v>175</v>
      </c>
      <c r="G254" s="7">
        <v>1500</v>
      </c>
      <c r="H254" s="7">
        <v>0</v>
      </c>
      <c r="I254" s="7">
        <v>2625.75</v>
      </c>
      <c r="J254" s="7">
        <v>0</v>
      </c>
      <c r="K254">
        <f t="shared" si="3"/>
        <v>872217.65</v>
      </c>
    </row>
    <row r="255" spans="1:11" x14ac:dyDescent="0.25">
      <c r="A255" s="6" t="s">
        <v>339</v>
      </c>
      <c r="B255" s="6" t="s">
        <v>199</v>
      </c>
      <c r="C255" s="6" t="s">
        <v>463</v>
      </c>
      <c r="D255" s="22">
        <v>44593</v>
      </c>
      <c r="E255" s="6" t="s">
        <v>13</v>
      </c>
      <c r="F255" s="12">
        <v>130</v>
      </c>
      <c r="G255" s="7">
        <v>100000</v>
      </c>
      <c r="H255" s="7">
        <v>0</v>
      </c>
      <c r="I255" s="7">
        <v>130424.4</v>
      </c>
      <c r="J255" s="7">
        <v>0</v>
      </c>
      <c r="K255">
        <f t="shared" si="3"/>
        <v>872217.65</v>
      </c>
    </row>
    <row r="256" spans="1:11" x14ac:dyDescent="0.25">
      <c r="A256" s="6" t="s">
        <v>22</v>
      </c>
      <c r="B256" s="6"/>
      <c r="C256" s="6"/>
      <c r="D256" s="6"/>
      <c r="E256" s="6"/>
      <c r="F256" s="6"/>
      <c r="G256" s="11">
        <v>20839000</v>
      </c>
      <c r="H256" s="7">
        <v>229238.51</v>
      </c>
      <c r="I256" s="7">
        <v>13206677.489999998</v>
      </c>
      <c r="J256" s="7">
        <v>229238.51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2C">
    <tabColor rgb="FFFFFF00"/>
  </sheetPr>
  <dimension ref="A2:H7"/>
  <sheetViews>
    <sheetView topLeftCell="A3" workbookViewId="0">
      <selection activeCell="A5" sqref="A5"/>
    </sheetView>
  </sheetViews>
  <sheetFormatPr defaultRowHeight="15" x14ac:dyDescent="0.25"/>
  <cols>
    <col min="1" max="1" width="20" bestFit="1" customWidth="1"/>
    <col min="2" max="2" width="17.85546875" bestFit="1" customWidth="1"/>
    <col min="3" max="3" width="9.85546875" bestFit="1" customWidth="1"/>
    <col min="4" max="4" width="6" bestFit="1" customWidth="1"/>
    <col min="5" max="5" width="5.85546875" bestFit="1" customWidth="1"/>
    <col min="6" max="6" width="5.42578125" bestFit="1" customWidth="1"/>
    <col min="7" max="7" width="4.85546875" bestFit="1" customWidth="1"/>
    <col min="8" max="8" width="10.5703125" bestFit="1" customWidth="1"/>
  </cols>
  <sheetData>
    <row r="2" spans="1:8" x14ac:dyDescent="0.25">
      <c r="A2" s="1" t="s">
        <v>43</v>
      </c>
      <c r="B2" t="s">
        <v>8</v>
      </c>
    </row>
    <row r="3" spans="1:8" x14ac:dyDescent="0.25">
      <c r="A3" s="1" t="s">
        <v>5</v>
      </c>
      <c r="B3" t="s">
        <v>137</v>
      </c>
    </row>
    <row r="5" spans="1:8" x14ac:dyDescent="0.25">
      <c r="C5" s="1" t="s">
        <v>25</v>
      </c>
    </row>
    <row r="6" spans="1:8" x14ac:dyDescent="0.25">
      <c r="A6" s="1" t="s">
        <v>6</v>
      </c>
      <c r="B6" s="1" t="s">
        <v>29</v>
      </c>
      <c r="C6" t="s">
        <v>40</v>
      </c>
      <c r="D6" t="s">
        <v>35</v>
      </c>
      <c r="E6" t="s">
        <v>36</v>
      </c>
      <c r="F6" t="s">
        <v>37</v>
      </c>
      <c r="G6" t="s">
        <v>42</v>
      </c>
      <c r="H6" t="s">
        <v>41</v>
      </c>
    </row>
    <row r="7" spans="1:8" x14ac:dyDescent="0.25">
      <c r="A7" t="s">
        <v>22</v>
      </c>
      <c r="C7" s="3"/>
      <c r="D7" s="2"/>
      <c r="E7" s="2"/>
      <c r="F7" s="2"/>
      <c r="G7" s="2"/>
      <c r="H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ing"/>
  <dimension ref="A1:BJ253"/>
  <sheetViews>
    <sheetView topLeftCell="AI1" workbookViewId="0">
      <pane ySplit="1" topLeftCell="A2" activePane="bottomLeft" state="frozen"/>
      <selection activeCell="AX1" sqref="AX1"/>
      <selection pane="bottomLeft" activeCell="D2" sqref="D2:D253"/>
    </sheetView>
  </sheetViews>
  <sheetFormatPr defaultRowHeight="15" x14ac:dyDescent="0.25"/>
  <cols>
    <col min="1" max="1" width="7" customWidth="1"/>
    <col min="2" max="2" width="26.7109375" bestFit="1" customWidth="1"/>
    <col min="3" max="5" width="10.5703125" customWidth="1"/>
    <col min="6" max="6" width="10.28515625" customWidth="1"/>
    <col min="7" max="7" width="10" customWidth="1"/>
    <col min="8" max="8" width="18" customWidth="1"/>
    <col min="9" max="9" width="19" customWidth="1"/>
    <col min="10" max="10" width="17.140625" customWidth="1"/>
    <col min="11" max="11" width="16.85546875" customWidth="1"/>
    <col min="12" max="12" width="17" customWidth="1"/>
    <col min="13" max="13" width="11" customWidth="1"/>
    <col min="14" max="14" width="12.5703125" customWidth="1"/>
    <col min="15" max="15" width="7.85546875" customWidth="1"/>
    <col min="16" max="16" width="13.5703125" customWidth="1"/>
    <col min="17" max="17" width="9.140625" customWidth="1"/>
    <col min="18" max="18" width="10.140625" customWidth="1"/>
    <col min="19" max="19" width="9.5703125" customWidth="1"/>
    <col min="20" max="20" width="10.5703125" customWidth="1"/>
    <col min="21" max="21" width="7.28515625" customWidth="1"/>
    <col min="22" max="22" width="11.5703125" customWidth="1"/>
    <col min="23" max="23" width="14.28515625" bestFit="1" customWidth="1"/>
    <col min="24" max="24" width="16.140625" customWidth="1"/>
    <col min="25" max="25" width="15.7109375" bestFit="1" customWidth="1"/>
    <col min="26" max="26" width="11" customWidth="1"/>
    <col min="27" max="27" width="8.5703125" customWidth="1"/>
    <col min="28" max="28" width="6.7109375" customWidth="1"/>
    <col min="29" max="29" width="11.140625" customWidth="1"/>
    <col min="30" max="30" width="16.28515625" customWidth="1"/>
    <col min="31" max="31" width="13.28515625" customWidth="1"/>
    <col min="32" max="32" width="13.7109375" customWidth="1"/>
    <col min="33" max="33" width="7.5703125" customWidth="1"/>
    <col min="34" max="34" width="8.5703125" customWidth="1"/>
    <col min="35" max="35" width="10.140625" customWidth="1"/>
    <col min="36" max="36" width="15.140625" customWidth="1"/>
    <col min="37" max="37" width="11.5703125" customWidth="1"/>
    <col min="38" max="38" width="13.7109375" customWidth="1"/>
    <col min="39" max="39" width="12.140625" customWidth="1"/>
    <col min="40" max="40" width="14.85546875" customWidth="1"/>
    <col min="41" max="42" width="12.5703125" customWidth="1"/>
    <col min="43" max="43" width="10.28515625" customWidth="1"/>
    <col min="44" max="44" width="13.5703125" customWidth="1"/>
    <col min="45" max="45" width="12" customWidth="1"/>
    <col min="46" max="46" width="14.7109375" customWidth="1"/>
    <col min="47" max="49" width="12.42578125" customWidth="1"/>
    <col min="50" max="50" width="15" customWidth="1"/>
    <col min="51" max="51" width="12.28515625" customWidth="1"/>
    <col min="52" max="52" width="18.7109375" customWidth="1"/>
    <col min="53" max="53" width="16.140625" customWidth="1"/>
    <col min="54" max="54" width="23.28515625" customWidth="1"/>
    <col min="55" max="55" width="24.85546875" customWidth="1"/>
    <col min="56" max="56" width="25" bestFit="1" customWidth="1"/>
    <col min="57" max="57" width="20" bestFit="1" customWidth="1"/>
    <col min="58" max="58" width="17.42578125" bestFit="1" customWidth="1"/>
    <col min="59" max="59" width="13.42578125" customWidth="1"/>
    <col min="60" max="60" width="14.140625" customWidth="1"/>
    <col min="61" max="61" width="9.28515625" customWidth="1"/>
    <col min="62" max="62" width="8.7109375" customWidth="1"/>
  </cols>
  <sheetData>
    <row r="1" spans="1:62" x14ac:dyDescent="0.25">
      <c r="A1" t="s">
        <v>77</v>
      </c>
      <c r="B1" t="s">
        <v>0</v>
      </c>
      <c r="C1" t="s">
        <v>78</v>
      </c>
      <c r="D1" t="s">
        <v>66</v>
      </c>
      <c r="E1" t="s">
        <v>63</v>
      </c>
      <c r="F1" t="s">
        <v>1</v>
      </c>
      <c r="G1" t="s">
        <v>79</v>
      </c>
      <c r="H1" t="s">
        <v>26</v>
      </c>
      <c r="I1" t="s">
        <v>80</v>
      </c>
      <c r="J1" t="s">
        <v>81</v>
      </c>
      <c r="K1" t="s">
        <v>82</v>
      </c>
      <c r="L1" t="s">
        <v>83</v>
      </c>
      <c r="M1" t="s">
        <v>33</v>
      </c>
      <c r="N1" t="s">
        <v>84</v>
      </c>
      <c r="O1" t="s">
        <v>85</v>
      </c>
      <c r="P1" t="s">
        <v>2</v>
      </c>
      <c r="Q1" t="s">
        <v>86</v>
      </c>
      <c r="R1" t="s">
        <v>87</v>
      </c>
      <c r="S1" t="s">
        <v>88</v>
      </c>
      <c r="T1" t="s">
        <v>89</v>
      </c>
      <c r="U1" t="s">
        <v>90</v>
      </c>
      <c r="V1" t="s">
        <v>91</v>
      </c>
      <c r="W1" t="s">
        <v>92</v>
      </c>
      <c r="X1" t="s">
        <v>3</v>
      </c>
      <c r="Y1" t="s">
        <v>4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103</v>
      </c>
      <c r="AK1" t="s">
        <v>104</v>
      </c>
      <c r="AL1" t="s">
        <v>105</v>
      </c>
      <c r="AM1" t="s">
        <v>106</v>
      </c>
      <c r="AN1" t="s">
        <v>195</v>
      </c>
      <c r="AO1" t="s">
        <v>132</v>
      </c>
      <c r="AP1" t="s">
        <v>107</v>
      </c>
      <c r="AQ1" t="s">
        <v>134</v>
      </c>
      <c r="AR1" t="s">
        <v>108</v>
      </c>
      <c r="AS1" t="s">
        <v>109</v>
      </c>
      <c r="AT1" t="s">
        <v>196</v>
      </c>
      <c r="AU1" t="s">
        <v>133</v>
      </c>
      <c r="AV1" t="s">
        <v>135</v>
      </c>
      <c r="AW1" t="s">
        <v>29</v>
      </c>
      <c r="AX1" t="s">
        <v>110</v>
      </c>
      <c r="AY1" t="s">
        <v>111</v>
      </c>
      <c r="AZ1" t="s">
        <v>112</v>
      </c>
      <c r="BA1" t="s">
        <v>5</v>
      </c>
      <c r="BB1" t="s">
        <v>113</v>
      </c>
      <c r="BC1" t="s">
        <v>114</v>
      </c>
      <c r="BD1" t="s">
        <v>115</v>
      </c>
      <c r="BE1" t="s">
        <v>6</v>
      </c>
      <c r="BF1" t="s">
        <v>7</v>
      </c>
      <c r="BG1" t="s">
        <v>116</v>
      </c>
      <c r="BH1" t="s">
        <v>117</v>
      </c>
      <c r="BI1" t="s">
        <v>118</v>
      </c>
      <c r="BJ1" t="s">
        <v>119</v>
      </c>
    </row>
    <row r="2" spans="1:62" x14ac:dyDescent="0.25">
      <c r="A2" t="s">
        <v>120</v>
      </c>
      <c r="B2" t="s">
        <v>121</v>
      </c>
      <c r="C2">
        <v>1234</v>
      </c>
      <c r="D2" t="s">
        <v>197</v>
      </c>
      <c r="E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" t="s">
        <v>8</v>
      </c>
      <c r="G2" t="s">
        <v>197</v>
      </c>
      <c r="H2" t="str">
        <f t="shared" ref="H1:H64" si="0">F2 &amp; "/"&amp; G2</f>
        <v>SI-2/1900-1757</v>
      </c>
      <c r="I2" t="s">
        <v>122</v>
      </c>
      <c r="J2" t="s">
        <v>122</v>
      </c>
      <c r="K2" t="s">
        <v>122</v>
      </c>
      <c r="L2" t="s">
        <v>122</v>
      </c>
      <c r="M2" s="21">
        <v>44593</v>
      </c>
      <c r="N2" t="s">
        <v>123</v>
      </c>
      <c r="O2" t="s">
        <v>198</v>
      </c>
      <c r="P2" t="s">
        <v>199</v>
      </c>
      <c r="Q2" t="s">
        <v>122</v>
      </c>
      <c r="R2" t="s">
        <v>122</v>
      </c>
      <c r="U2">
        <v>1234</v>
      </c>
      <c r="V2">
        <v>0</v>
      </c>
      <c r="W2" t="s">
        <v>200</v>
      </c>
      <c r="X2" t="s">
        <v>9</v>
      </c>
      <c r="Y2" t="s">
        <v>60</v>
      </c>
      <c r="Z2" t="s">
        <v>122</v>
      </c>
      <c r="AA2" t="s">
        <v>122</v>
      </c>
      <c r="AB2" t="s">
        <v>122</v>
      </c>
      <c r="AC2" t="s">
        <v>122</v>
      </c>
      <c r="AF2">
        <v>1800</v>
      </c>
      <c r="AG2">
        <v>100</v>
      </c>
      <c r="AH2" t="s">
        <v>124</v>
      </c>
      <c r="AI2">
        <v>1</v>
      </c>
      <c r="AJ2">
        <v>180000</v>
      </c>
      <c r="AK2">
        <v>180000</v>
      </c>
      <c r="AL2">
        <v>0</v>
      </c>
      <c r="AM2">
        <v>0</v>
      </c>
      <c r="AN2">
        <v>0</v>
      </c>
      <c r="AO2">
        <v>0</v>
      </c>
      <c r="AP2">
        <v>154159.20000000001</v>
      </c>
      <c r="AQ2">
        <v>154159.20000000001</v>
      </c>
      <c r="AR2">
        <v>0</v>
      </c>
      <c r="AS2">
        <v>0</v>
      </c>
      <c r="AT2">
        <v>0</v>
      </c>
      <c r="AU2">
        <v>0</v>
      </c>
      <c r="AV2">
        <f>Table1[[#This Row],[CGST]]+Table1[[#This Row],[IGST]]+Table1[[#This Row],[SGST]]</f>
        <v>154159.20000000001</v>
      </c>
      <c r="AW2">
        <f t="shared" ref="AW2:AW65" si="1">ROUND((AV2/AJ2)*100,0.5)</f>
        <v>86</v>
      </c>
      <c r="AX2">
        <v>0</v>
      </c>
      <c r="AY2">
        <v>1010599.2</v>
      </c>
      <c r="AZ2" t="s">
        <v>125</v>
      </c>
      <c r="BA2" t="s">
        <v>10</v>
      </c>
      <c r="BB2" t="s">
        <v>126</v>
      </c>
      <c r="BC2" t="s">
        <v>127</v>
      </c>
      <c r="BD2" t="s">
        <v>128</v>
      </c>
      <c r="BE2" t="s">
        <v>16</v>
      </c>
      <c r="BF2" t="s">
        <v>201</v>
      </c>
      <c r="BH2">
        <v>0</v>
      </c>
    </row>
    <row r="3" spans="1:62" x14ac:dyDescent="0.25">
      <c r="A3" t="s">
        <v>120</v>
      </c>
      <c r="B3" t="s">
        <v>121</v>
      </c>
      <c r="C3">
        <v>1234</v>
      </c>
      <c r="D3" t="s">
        <v>202</v>
      </c>
      <c r="E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3" t="s">
        <v>8</v>
      </c>
      <c r="G3" t="s">
        <v>202</v>
      </c>
      <c r="H3" t="str">
        <f t="shared" si="0"/>
        <v>SI-2/1900-1759</v>
      </c>
      <c r="I3" t="s">
        <v>122</v>
      </c>
      <c r="J3" t="s">
        <v>122</v>
      </c>
      <c r="K3" t="s">
        <v>122</v>
      </c>
      <c r="L3" t="s">
        <v>122</v>
      </c>
      <c r="M3" s="21">
        <v>44593</v>
      </c>
      <c r="N3" t="s">
        <v>123</v>
      </c>
      <c r="O3" t="s">
        <v>198</v>
      </c>
      <c r="P3" t="s">
        <v>199</v>
      </c>
      <c r="Q3" t="s">
        <v>122</v>
      </c>
      <c r="R3" t="s">
        <v>122</v>
      </c>
      <c r="U3">
        <v>1234</v>
      </c>
      <c r="V3">
        <v>0</v>
      </c>
      <c r="W3" t="s">
        <v>200</v>
      </c>
      <c r="X3" t="s">
        <v>9</v>
      </c>
      <c r="Y3" t="s">
        <v>60</v>
      </c>
      <c r="Z3" t="s">
        <v>122</v>
      </c>
      <c r="AA3" t="s">
        <v>122</v>
      </c>
      <c r="AB3" t="s">
        <v>122</v>
      </c>
      <c r="AC3" t="s">
        <v>122</v>
      </c>
      <c r="AF3">
        <v>600</v>
      </c>
      <c r="AG3">
        <v>100</v>
      </c>
      <c r="AH3" t="s">
        <v>124</v>
      </c>
      <c r="AI3">
        <v>1</v>
      </c>
      <c r="AJ3">
        <v>60000</v>
      </c>
      <c r="AK3">
        <v>60000</v>
      </c>
      <c r="AL3">
        <v>0</v>
      </c>
      <c r="AM3">
        <v>0</v>
      </c>
      <c r="AN3">
        <v>0</v>
      </c>
      <c r="AO3">
        <v>0</v>
      </c>
      <c r="AP3">
        <v>81142.559999999998</v>
      </c>
      <c r="AQ3">
        <v>81142.559999999998</v>
      </c>
      <c r="AR3">
        <v>0</v>
      </c>
      <c r="AS3">
        <v>0</v>
      </c>
      <c r="AT3">
        <v>0</v>
      </c>
      <c r="AU3">
        <v>0</v>
      </c>
      <c r="AV3">
        <f>Table1[[#This Row],[CGST]]+Table1[[#This Row],[IGST]]+Table1[[#This Row],[SGST]]</f>
        <v>81142.559999999998</v>
      </c>
      <c r="AW3">
        <f t="shared" si="1"/>
        <v>135</v>
      </c>
      <c r="AX3">
        <v>0</v>
      </c>
      <c r="AY3">
        <v>531934.56000000006</v>
      </c>
      <c r="AZ3" t="s">
        <v>125</v>
      </c>
      <c r="BA3" t="s">
        <v>10</v>
      </c>
      <c r="BB3" t="s">
        <v>126</v>
      </c>
      <c r="BC3" t="s">
        <v>127</v>
      </c>
      <c r="BD3" t="s">
        <v>128</v>
      </c>
      <c r="BE3" t="s">
        <v>11</v>
      </c>
      <c r="BF3" t="s">
        <v>203</v>
      </c>
      <c r="BH3">
        <v>0</v>
      </c>
    </row>
    <row r="4" spans="1:62" x14ac:dyDescent="0.25">
      <c r="A4" t="s">
        <v>120</v>
      </c>
      <c r="B4" t="s">
        <v>121</v>
      </c>
      <c r="C4">
        <v>1234</v>
      </c>
      <c r="D4" t="s">
        <v>202</v>
      </c>
      <c r="E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4" t="s">
        <v>8</v>
      </c>
      <c r="G4" t="s">
        <v>202</v>
      </c>
      <c r="H4" t="str">
        <f t="shared" si="0"/>
        <v>SI-2/1900-1759</v>
      </c>
      <c r="I4" t="s">
        <v>122</v>
      </c>
      <c r="J4" t="s">
        <v>122</v>
      </c>
      <c r="K4" t="s">
        <v>122</v>
      </c>
      <c r="L4" t="s">
        <v>122</v>
      </c>
      <c r="M4" s="21">
        <v>44593</v>
      </c>
      <c r="N4" t="s">
        <v>123</v>
      </c>
      <c r="O4" t="s">
        <v>198</v>
      </c>
      <c r="P4" t="s">
        <v>199</v>
      </c>
      <c r="Q4" t="s">
        <v>122</v>
      </c>
      <c r="R4" t="s">
        <v>122</v>
      </c>
      <c r="U4">
        <v>1234</v>
      </c>
      <c r="V4">
        <v>0</v>
      </c>
      <c r="W4" t="s">
        <v>200</v>
      </c>
      <c r="X4" t="s">
        <v>9</v>
      </c>
      <c r="Y4" t="s">
        <v>60</v>
      </c>
      <c r="Z4" t="s">
        <v>122</v>
      </c>
      <c r="AA4" t="s">
        <v>122</v>
      </c>
      <c r="AB4" t="s">
        <v>122</v>
      </c>
      <c r="AC4" t="s">
        <v>122</v>
      </c>
      <c r="AF4">
        <v>163</v>
      </c>
      <c r="AG4">
        <v>100</v>
      </c>
      <c r="AH4" t="s">
        <v>124</v>
      </c>
      <c r="AI4">
        <v>1</v>
      </c>
      <c r="AJ4">
        <v>16300</v>
      </c>
      <c r="AK4">
        <v>16300</v>
      </c>
      <c r="AL4">
        <v>0</v>
      </c>
      <c r="AM4">
        <v>0</v>
      </c>
      <c r="AN4">
        <v>0</v>
      </c>
      <c r="AO4">
        <v>0</v>
      </c>
      <c r="AP4">
        <v>28499.7</v>
      </c>
      <c r="AQ4">
        <v>28499.7</v>
      </c>
      <c r="AR4">
        <v>0</v>
      </c>
      <c r="AS4">
        <v>0</v>
      </c>
      <c r="AT4">
        <v>0</v>
      </c>
      <c r="AU4">
        <v>0</v>
      </c>
      <c r="AV4">
        <f>Table1[[#This Row],[CGST]]+Table1[[#This Row],[IGST]]+Table1[[#This Row],[SGST]]</f>
        <v>28499.7</v>
      </c>
      <c r="AW4">
        <f t="shared" si="1"/>
        <v>175</v>
      </c>
      <c r="AX4">
        <v>0</v>
      </c>
      <c r="AY4">
        <v>186831.38</v>
      </c>
      <c r="AZ4" t="s">
        <v>125</v>
      </c>
      <c r="BA4" t="s">
        <v>10</v>
      </c>
      <c r="BB4" t="s">
        <v>126</v>
      </c>
      <c r="BC4" t="s">
        <v>127</v>
      </c>
      <c r="BD4" t="s">
        <v>128</v>
      </c>
      <c r="BE4" t="s">
        <v>11</v>
      </c>
      <c r="BF4" t="s">
        <v>203</v>
      </c>
      <c r="BH4">
        <v>0</v>
      </c>
    </row>
    <row r="5" spans="1:62" x14ac:dyDescent="0.25">
      <c r="A5" t="s">
        <v>120</v>
      </c>
      <c r="B5" t="s">
        <v>121</v>
      </c>
      <c r="C5">
        <v>1234</v>
      </c>
      <c r="D5" t="s">
        <v>204</v>
      </c>
      <c r="E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5" t="s">
        <v>8</v>
      </c>
      <c r="G5" t="s">
        <v>204</v>
      </c>
      <c r="H5" t="str">
        <f t="shared" si="0"/>
        <v>SI-2/1900-1760</v>
      </c>
      <c r="I5" t="s">
        <v>122</v>
      </c>
      <c r="J5" t="s">
        <v>122</v>
      </c>
      <c r="K5" t="s">
        <v>122</v>
      </c>
      <c r="L5" t="s">
        <v>122</v>
      </c>
      <c r="M5" s="21">
        <v>44593</v>
      </c>
      <c r="N5" t="s">
        <v>123</v>
      </c>
      <c r="O5" t="s">
        <v>198</v>
      </c>
      <c r="P5" t="s">
        <v>199</v>
      </c>
      <c r="Q5" t="s">
        <v>122</v>
      </c>
      <c r="R5" t="s">
        <v>122</v>
      </c>
      <c r="U5">
        <v>1234</v>
      </c>
      <c r="V5">
        <v>0</v>
      </c>
      <c r="W5" t="s">
        <v>200</v>
      </c>
      <c r="X5" t="s">
        <v>9</v>
      </c>
      <c r="Y5" t="s">
        <v>60</v>
      </c>
      <c r="Z5" t="s">
        <v>122</v>
      </c>
      <c r="AA5" t="s">
        <v>122</v>
      </c>
      <c r="AB5" t="s">
        <v>122</v>
      </c>
      <c r="AC5" t="s">
        <v>122</v>
      </c>
      <c r="AF5">
        <v>275</v>
      </c>
      <c r="AG5">
        <v>100</v>
      </c>
      <c r="AH5" t="s">
        <v>124</v>
      </c>
      <c r="AI5">
        <v>1</v>
      </c>
      <c r="AJ5">
        <v>27500</v>
      </c>
      <c r="AK5">
        <v>27500</v>
      </c>
      <c r="AL5">
        <v>0</v>
      </c>
      <c r="AM5">
        <v>0</v>
      </c>
      <c r="AN5">
        <v>0</v>
      </c>
      <c r="AO5">
        <v>0</v>
      </c>
      <c r="AP5">
        <v>37190.339999999997</v>
      </c>
      <c r="AQ5">
        <v>37190.339999999997</v>
      </c>
      <c r="AR5">
        <v>0</v>
      </c>
      <c r="AS5">
        <v>0</v>
      </c>
      <c r="AT5">
        <v>0</v>
      </c>
      <c r="AU5">
        <v>0</v>
      </c>
      <c r="AV5">
        <f>Table1[[#This Row],[CGST]]+Table1[[#This Row],[IGST]]+Table1[[#This Row],[SGST]]</f>
        <v>37190.339999999997</v>
      </c>
      <c r="AW5">
        <f t="shared" si="1"/>
        <v>135</v>
      </c>
      <c r="AX5">
        <v>0</v>
      </c>
      <c r="AY5">
        <v>243803.34</v>
      </c>
      <c r="AZ5" t="s">
        <v>125</v>
      </c>
      <c r="BA5" t="s">
        <v>10</v>
      </c>
      <c r="BB5" t="s">
        <v>126</v>
      </c>
      <c r="BC5" t="s">
        <v>127</v>
      </c>
      <c r="BD5" t="s">
        <v>128</v>
      </c>
      <c r="BE5" t="s">
        <v>15</v>
      </c>
      <c r="BF5" t="s">
        <v>203</v>
      </c>
      <c r="BH5">
        <v>0</v>
      </c>
    </row>
    <row r="6" spans="1:62" x14ac:dyDescent="0.25">
      <c r="A6" t="s">
        <v>120</v>
      </c>
      <c r="B6" t="s">
        <v>121</v>
      </c>
      <c r="C6">
        <v>1234</v>
      </c>
      <c r="D6" t="s">
        <v>204</v>
      </c>
      <c r="E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6" t="s">
        <v>8</v>
      </c>
      <c r="G6" t="s">
        <v>204</v>
      </c>
      <c r="H6" t="str">
        <f t="shared" si="0"/>
        <v>SI-2/1900-1760</v>
      </c>
      <c r="I6" t="s">
        <v>122</v>
      </c>
      <c r="J6" t="s">
        <v>122</v>
      </c>
      <c r="K6" t="s">
        <v>122</v>
      </c>
      <c r="L6" t="s">
        <v>122</v>
      </c>
      <c r="M6" s="21">
        <v>44593</v>
      </c>
      <c r="N6" t="s">
        <v>123</v>
      </c>
      <c r="O6" t="s">
        <v>198</v>
      </c>
      <c r="P6" t="s">
        <v>199</v>
      </c>
      <c r="Q6" t="s">
        <v>122</v>
      </c>
      <c r="R6" t="s">
        <v>122</v>
      </c>
      <c r="U6">
        <v>1234</v>
      </c>
      <c r="V6">
        <v>0</v>
      </c>
      <c r="W6" t="s">
        <v>200</v>
      </c>
      <c r="X6" t="s">
        <v>9</v>
      </c>
      <c r="Y6" t="s">
        <v>60</v>
      </c>
      <c r="Z6" t="s">
        <v>122</v>
      </c>
      <c r="AA6" t="s">
        <v>122</v>
      </c>
      <c r="AB6" t="s">
        <v>122</v>
      </c>
      <c r="AC6" t="s">
        <v>122</v>
      </c>
      <c r="AF6">
        <v>250</v>
      </c>
      <c r="AG6">
        <v>100</v>
      </c>
      <c r="AH6" t="s">
        <v>124</v>
      </c>
      <c r="AI6">
        <v>1</v>
      </c>
      <c r="AJ6">
        <v>25000</v>
      </c>
      <c r="AK6">
        <v>25000</v>
      </c>
      <c r="AL6">
        <v>0</v>
      </c>
      <c r="AM6">
        <v>0</v>
      </c>
      <c r="AN6">
        <v>0</v>
      </c>
      <c r="AO6">
        <v>0</v>
      </c>
      <c r="AP6">
        <v>43711.199999999997</v>
      </c>
      <c r="AQ6">
        <v>43711.199999999997</v>
      </c>
      <c r="AR6">
        <v>0</v>
      </c>
      <c r="AS6">
        <v>0</v>
      </c>
      <c r="AT6">
        <v>0</v>
      </c>
      <c r="AU6">
        <v>0</v>
      </c>
      <c r="AV6">
        <f>Table1[[#This Row],[CGST]]+Table1[[#This Row],[IGST]]+Table1[[#This Row],[SGST]]</f>
        <v>43711.199999999997</v>
      </c>
      <c r="AW6">
        <f t="shared" si="1"/>
        <v>175</v>
      </c>
      <c r="AX6">
        <v>0</v>
      </c>
      <c r="AY6">
        <v>286551.2</v>
      </c>
      <c r="AZ6" t="s">
        <v>125</v>
      </c>
      <c r="BA6" t="s">
        <v>10</v>
      </c>
      <c r="BB6" t="s">
        <v>126</v>
      </c>
      <c r="BC6" t="s">
        <v>127</v>
      </c>
      <c r="BD6" t="s">
        <v>128</v>
      </c>
      <c r="BE6" t="s">
        <v>15</v>
      </c>
      <c r="BF6" t="s">
        <v>203</v>
      </c>
      <c r="BH6">
        <v>0</v>
      </c>
    </row>
    <row r="7" spans="1:62" x14ac:dyDescent="0.25">
      <c r="A7" t="s">
        <v>120</v>
      </c>
      <c r="B7" t="s">
        <v>121</v>
      </c>
      <c r="C7">
        <v>1234</v>
      </c>
      <c r="D7" t="s">
        <v>204</v>
      </c>
      <c r="E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7" t="s">
        <v>8</v>
      </c>
      <c r="G7" t="s">
        <v>204</v>
      </c>
      <c r="H7" t="str">
        <f t="shared" si="0"/>
        <v>SI-2/1900-1760</v>
      </c>
      <c r="I7" t="s">
        <v>122</v>
      </c>
      <c r="J7" t="s">
        <v>122</v>
      </c>
      <c r="K7" t="s">
        <v>122</v>
      </c>
      <c r="L7" t="s">
        <v>122</v>
      </c>
      <c r="M7" s="21">
        <v>44593</v>
      </c>
      <c r="N7" t="s">
        <v>123</v>
      </c>
      <c r="O7" t="s">
        <v>198</v>
      </c>
      <c r="P7" t="s">
        <v>199</v>
      </c>
      <c r="Q7" t="s">
        <v>122</v>
      </c>
      <c r="R7" t="s">
        <v>122</v>
      </c>
      <c r="U7">
        <v>1234</v>
      </c>
      <c r="V7">
        <v>0</v>
      </c>
      <c r="W7" t="s">
        <v>200</v>
      </c>
      <c r="X7" t="s">
        <v>9</v>
      </c>
      <c r="Y7" t="s">
        <v>60</v>
      </c>
      <c r="Z7" t="s">
        <v>122</v>
      </c>
      <c r="AA7" t="s">
        <v>122</v>
      </c>
      <c r="AB7" t="s">
        <v>122</v>
      </c>
      <c r="AC7" t="s">
        <v>122</v>
      </c>
      <c r="AF7">
        <v>140</v>
      </c>
      <c r="AG7">
        <v>100</v>
      </c>
      <c r="AH7" t="s">
        <v>124</v>
      </c>
      <c r="AI7">
        <v>1</v>
      </c>
      <c r="AJ7">
        <v>14000</v>
      </c>
      <c r="AK7">
        <v>14000</v>
      </c>
      <c r="AL7">
        <v>0</v>
      </c>
      <c r="AM7">
        <v>0</v>
      </c>
      <c r="AN7">
        <v>0</v>
      </c>
      <c r="AO7">
        <v>0</v>
      </c>
      <c r="AP7">
        <v>27331.919999999998</v>
      </c>
      <c r="AQ7">
        <v>27331.919999999998</v>
      </c>
      <c r="AR7">
        <v>0</v>
      </c>
      <c r="AS7">
        <v>0</v>
      </c>
      <c r="AT7">
        <v>0</v>
      </c>
      <c r="AU7">
        <v>0</v>
      </c>
      <c r="AV7">
        <f>Table1[[#This Row],[CGST]]+Table1[[#This Row],[IGST]]+Table1[[#This Row],[SGST]]</f>
        <v>27331.919999999998</v>
      </c>
      <c r="AW7">
        <f t="shared" si="1"/>
        <v>195</v>
      </c>
      <c r="AX7">
        <v>0</v>
      </c>
      <c r="AY7">
        <v>179175.92</v>
      </c>
      <c r="AZ7" t="s">
        <v>125</v>
      </c>
      <c r="BA7" t="s">
        <v>10</v>
      </c>
      <c r="BB7" t="s">
        <v>126</v>
      </c>
      <c r="BC7" t="s">
        <v>127</v>
      </c>
      <c r="BD7" t="s">
        <v>128</v>
      </c>
      <c r="BE7" t="s">
        <v>15</v>
      </c>
      <c r="BF7" t="s">
        <v>205</v>
      </c>
      <c r="BH7">
        <v>0</v>
      </c>
    </row>
    <row r="8" spans="1:62" x14ac:dyDescent="0.25">
      <c r="A8" t="s">
        <v>120</v>
      </c>
      <c r="B8" t="s">
        <v>121</v>
      </c>
      <c r="C8">
        <v>1234</v>
      </c>
      <c r="D8" t="s">
        <v>204</v>
      </c>
      <c r="E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8" t="s">
        <v>8</v>
      </c>
      <c r="G8" t="s">
        <v>204</v>
      </c>
      <c r="H8" t="str">
        <f t="shared" si="0"/>
        <v>SI-2/1900-1760</v>
      </c>
      <c r="I8" t="s">
        <v>122</v>
      </c>
      <c r="J8" t="s">
        <v>122</v>
      </c>
      <c r="K8" t="s">
        <v>122</v>
      </c>
      <c r="L8" t="s">
        <v>122</v>
      </c>
      <c r="M8" s="21">
        <v>44593</v>
      </c>
      <c r="N8" t="s">
        <v>123</v>
      </c>
      <c r="O8" t="s">
        <v>198</v>
      </c>
      <c r="P8" t="s">
        <v>199</v>
      </c>
      <c r="Q8" t="s">
        <v>122</v>
      </c>
      <c r="R8" t="s">
        <v>122</v>
      </c>
      <c r="U8">
        <v>1234</v>
      </c>
      <c r="V8">
        <v>0</v>
      </c>
      <c r="W8" t="s">
        <v>200</v>
      </c>
      <c r="X8" t="s">
        <v>9</v>
      </c>
      <c r="Y8" t="s">
        <v>60</v>
      </c>
      <c r="Z8" t="s">
        <v>122</v>
      </c>
      <c r="AA8" t="s">
        <v>122</v>
      </c>
      <c r="AB8" t="s">
        <v>122</v>
      </c>
      <c r="AC8" t="s">
        <v>122</v>
      </c>
      <c r="AF8">
        <v>44</v>
      </c>
      <c r="AG8">
        <v>100</v>
      </c>
      <c r="AH8" t="s">
        <v>124</v>
      </c>
      <c r="AI8">
        <v>1</v>
      </c>
      <c r="AJ8">
        <v>4400</v>
      </c>
      <c r="AK8">
        <v>4400</v>
      </c>
      <c r="AL8">
        <v>0</v>
      </c>
      <c r="AM8">
        <v>0</v>
      </c>
      <c r="AN8">
        <v>0</v>
      </c>
      <c r="AO8">
        <v>0</v>
      </c>
      <c r="AP8">
        <v>7191.36</v>
      </c>
      <c r="AQ8">
        <v>7191.36</v>
      </c>
      <c r="AR8">
        <v>0</v>
      </c>
      <c r="AS8">
        <v>0</v>
      </c>
      <c r="AT8">
        <v>0</v>
      </c>
      <c r="AU8">
        <v>0</v>
      </c>
      <c r="AV8">
        <f>Table1[[#This Row],[CGST]]+Table1[[#This Row],[IGST]]+Table1[[#This Row],[SGST]]</f>
        <v>7191.36</v>
      </c>
      <c r="AW8">
        <f t="shared" si="1"/>
        <v>163</v>
      </c>
      <c r="AX8">
        <v>0</v>
      </c>
      <c r="AY8">
        <v>47143.360000000001</v>
      </c>
      <c r="AZ8" t="s">
        <v>125</v>
      </c>
      <c r="BA8" t="s">
        <v>10</v>
      </c>
      <c r="BB8" t="s">
        <v>126</v>
      </c>
      <c r="BC8" t="s">
        <v>127</v>
      </c>
      <c r="BD8" t="s">
        <v>128</v>
      </c>
      <c r="BE8" t="s">
        <v>15</v>
      </c>
      <c r="BF8" t="s">
        <v>205</v>
      </c>
      <c r="BH8">
        <v>0</v>
      </c>
    </row>
    <row r="9" spans="1:62" x14ac:dyDescent="0.25">
      <c r="A9" t="s">
        <v>120</v>
      </c>
      <c r="B9" t="s">
        <v>121</v>
      </c>
      <c r="C9">
        <v>1234</v>
      </c>
      <c r="D9" t="s">
        <v>206</v>
      </c>
      <c r="E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9" t="s">
        <v>8</v>
      </c>
      <c r="G9" t="s">
        <v>206</v>
      </c>
      <c r="H9" t="str">
        <f t="shared" si="0"/>
        <v>SI-2/1900-1761</v>
      </c>
      <c r="I9" t="s">
        <v>122</v>
      </c>
      <c r="J9" t="s">
        <v>122</v>
      </c>
      <c r="K9" t="s">
        <v>122</v>
      </c>
      <c r="L9" t="s">
        <v>122</v>
      </c>
      <c r="M9" s="21">
        <v>44593</v>
      </c>
      <c r="N9" t="s">
        <v>123</v>
      </c>
      <c r="O9" t="s">
        <v>198</v>
      </c>
      <c r="P9" t="s">
        <v>199</v>
      </c>
      <c r="Q9" t="s">
        <v>122</v>
      </c>
      <c r="R9" t="s">
        <v>122</v>
      </c>
      <c r="U9">
        <v>1234</v>
      </c>
      <c r="V9">
        <v>0</v>
      </c>
      <c r="W9" t="s">
        <v>200</v>
      </c>
      <c r="X9" t="s">
        <v>9</v>
      </c>
      <c r="Y9" t="s">
        <v>60</v>
      </c>
      <c r="Z9" t="s">
        <v>122</v>
      </c>
      <c r="AA9" t="s">
        <v>122</v>
      </c>
      <c r="AB9" t="s">
        <v>122</v>
      </c>
      <c r="AC9" t="s">
        <v>122</v>
      </c>
      <c r="AF9">
        <v>530</v>
      </c>
      <c r="AG9">
        <v>100</v>
      </c>
      <c r="AH9" t="s">
        <v>124</v>
      </c>
      <c r="AI9">
        <v>1</v>
      </c>
      <c r="AJ9">
        <v>53000</v>
      </c>
      <c r="AK9">
        <v>53000</v>
      </c>
      <c r="AL9">
        <v>0</v>
      </c>
      <c r="AM9">
        <v>0</v>
      </c>
      <c r="AN9">
        <v>0</v>
      </c>
      <c r="AO9">
        <v>0</v>
      </c>
      <c r="AP9">
        <v>71675.929999999993</v>
      </c>
      <c r="AQ9">
        <v>71675.929999999993</v>
      </c>
      <c r="AR9">
        <v>0</v>
      </c>
      <c r="AS9">
        <v>0</v>
      </c>
      <c r="AT9">
        <v>0</v>
      </c>
      <c r="AU9">
        <v>0</v>
      </c>
      <c r="AV9">
        <f>Table1[[#This Row],[CGST]]+Table1[[#This Row],[IGST]]+Table1[[#This Row],[SGST]]</f>
        <v>71675.929999999993</v>
      </c>
      <c r="AW9">
        <f t="shared" si="1"/>
        <v>135</v>
      </c>
      <c r="AX9">
        <v>0</v>
      </c>
      <c r="AY9">
        <v>469875.53</v>
      </c>
      <c r="AZ9" t="s">
        <v>125</v>
      </c>
      <c r="BA9" t="s">
        <v>10</v>
      </c>
      <c r="BB9" t="s">
        <v>126</v>
      </c>
      <c r="BC9" t="s">
        <v>127</v>
      </c>
      <c r="BD9" t="s">
        <v>128</v>
      </c>
      <c r="BE9" t="s">
        <v>13</v>
      </c>
      <c r="BF9" t="s">
        <v>207</v>
      </c>
      <c r="BH9">
        <v>0</v>
      </c>
    </row>
    <row r="10" spans="1:62" x14ac:dyDescent="0.25">
      <c r="A10" t="s">
        <v>120</v>
      </c>
      <c r="B10" t="s">
        <v>121</v>
      </c>
      <c r="C10">
        <v>1234</v>
      </c>
      <c r="D10" t="s">
        <v>206</v>
      </c>
      <c r="E1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0" t="s">
        <v>8</v>
      </c>
      <c r="G10" t="s">
        <v>206</v>
      </c>
      <c r="H10" t="str">
        <f t="shared" si="0"/>
        <v>SI-2/1900-1761</v>
      </c>
      <c r="I10" t="s">
        <v>122</v>
      </c>
      <c r="J10" t="s">
        <v>122</v>
      </c>
      <c r="K10" t="s">
        <v>122</v>
      </c>
      <c r="L10" t="s">
        <v>122</v>
      </c>
      <c r="M10" s="21">
        <v>44593</v>
      </c>
      <c r="N10" t="s">
        <v>123</v>
      </c>
      <c r="O10" t="s">
        <v>198</v>
      </c>
      <c r="P10" t="s">
        <v>199</v>
      </c>
      <c r="Q10" t="s">
        <v>122</v>
      </c>
      <c r="R10" t="s">
        <v>122</v>
      </c>
      <c r="U10">
        <v>1234</v>
      </c>
      <c r="V10">
        <v>0</v>
      </c>
      <c r="W10" t="s">
        <v>200</v>
      </c>
      <c r="X10" t="s">
        <v>9</v>
      </c>
      <c r="Y10" t="s">
        <v>60</v>
      </c>
      <c r="Z10" t="s">
        <v>122</v>
      </c>
      <c r="AA10" t="s">
        <v>122</v>
      </c>
      <c r="AB10" t="s">
        <v>122</v>
      </c>
      <c r="AC10" t="s">
        <v>122</v>
      </c>
      <c r="AF10">
        <v>600</v>
      </c>
      <c r="AG10">
        <v>100</v>
      </c>
      <c r="AH10" t="s">
        <v>124</v>
      </c>
      <c r="AI10">
        <v>1</v>
      </c>
      <c r="AJ10">
        <v>60000</v>
      </c>
      <c r="AK10">
        <v>60000</v>
      </c>
      <c r="AL10">
        <v>0</v>
      </c>
      <c r="AM10">
        <v>0</v>
      </c>
      <c r="AN10">
        <v>0</v>
      </c>
      <c r="AO10">
        <v>0</v>
      </c>
      <c r="AP10">
        <v>78254.64</v>
      </c>
      <c r="AQ10">
        <v>78254.64</v>
      </c>
      <c r="AR10">
        <v>0</v>
      </c>
      <c r="AS10">
        <v>0</v>
      </c>
      <c r="AT10">
        <v>0</v>
      </c>
      <c r="AU10">
        <v>0</v>
      </c>
      <c r="AV10">
        <f>Table1[[#This Row],[CGST]]+Table1[[#This Row],[IGST]]+Table1[[#This Row],[SGST]]</f>
        <v>78254.64</v>
      </c>
      <c r="AW10">
        <f t="shared" si="1"/>
        <v>130</v>
      </c>
      <c r="AX10">
        <v>0</v>
      </c>
      <c r="AY10">
        <v>513002.64</v>
      </c>
      <c r="AZ10" t="s">
        <v>125</v>
      </c>
      <c r="BA10" t="s">
        <v>10</v>
      </c>
      <c r="BB10" t="s">
        <v>126</v>
      </c>
      <c r="BC10" t="s">
        <v>127</v>
      </c>
      <c r="BD10" t="s">
        <v>128</v>
      </c>
      <c r="BE10" t="s">
        <v>13</v>
      </c>
      <c r="BF10" t="s">
        <v>207</v>
      </c>
      <c r="BH10">
        <v>0</v>
      </c>
    </row>
    <row r="11" spans="1:62" x14ac:dyDescent="0.25">
      <c r="A11" t="s">
        <v>120</v>
      </c>
      <c r="B11" t="s">
        <v>121</v>
      </c>
      <c r="C11">
        <v>1234</v>
      </c>
      <c r="D11" t="s">
        <v>208</v>
      </c>
      <c r="E1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1" t="s">
        <v>8</v>
      </c>
      <c r="G11" t="s">
        <v>208</v>
      </c>
      <c r="H11" t="str">
        <f t="shared" si="0"/>
        <v>SI-2/1900-1762</v>
      </c>
      <c r="I11" t="s">
        <v>122</v>
      </c>
      <c r="J11" t="s">
        <v>122</v>
      </c>
      <c r="K11" t="s">
        <v>122</v>
      </c>
      <c r="L11" t="s">
        <v>122</v>
      </c>
      <c r="M11" s="21">
        <v>44593</v>
      </c>
      <c r="N11" t="s">
        <v>123</v>
      </c>
      <c r="O11" t="s">
        <v>198</v>
      </c>
      <c r="P11" t="s">
        <v>199</v>
      </c>
      <c r="Q11" t="s">
        <v>122</v>
      </c>
      <c r="R11" t="s">
        <v>122</v>
      </c>
      <c r="U11">
        <v>1234</v>
      </c>
      <c r="V11">
        <v>0</v>
      </c>
      <c r="W11" t="s">
        <v>200</v>
      </c>
      <c r="X11" t="s">
        <v>9</v>
      </c>
      <c r="Y11" t="s">
        <v>60</v>
      </c>
      <c r="Z11" t="s">
        <v>122</v>
      </c>
      <c r="AA11" t="s">
        <v>122</v>
      </c>
      <c r="AB11" t="s">
        <v>122</v>
      </c>
      <c r="AC11" t="s">
        <v>122</v>
      </c>
      <c r="AF11">
        <v>300</v>
      </c>
      <c r="AG11">
        <v>100</v>
      </c>
      <c r="AH11" t="s">
        <v>124</v>
      </c>
      <c r="AI11">
        <v>1</v>
      </c>
      <c r="AJ11">
        <v>30000</v>
      </c>
      <c r="AK11">
        <v>30000</v>
      </c>
      <c r="AL11">
        <v>0</v>
      </c>
      <c r="AM11">
        <v>0</v>
      </c>
      <c r="AN11">
        <v>0</v>
      </c>
      <c r="AO11">
        <v>0</v>
      </c>
      <c r="AP11">
        <v>51451.74</v>
      </c>
      <c r="AQ11">
        <v>51451.74</v>
      </c>
      <c r="AR11">
        <v>0</v>
      </c>
      <c r="AS11">
        <v>0</v>
      </c>
      <c r="AT11">
        <v>0</v>
      </c>
      <c r="AU11">
        <v>0</v>
      </c>
      <c r="AV11">
        <f>Table1[[#This Row],[CGST]]+Table1[[#This Row],[IGST]]+Table1[[#This Row],[SGST]]</f>
        <v>51451.74</v>
      </c>
      <c r="AW11">
        <f t="shared" si="1"/>
        <v>172</v>
      </c>
      <c r="AX11">
        <v>0</v>
      </c>
      <c r="AY11">
        <v>337294.74</v>
      </c>
      <c r="AZ11" t="s">
        <v>125</v>
      </c>
      <c r="BA11" t="s">
        <v>10</v>
      </c>
      <c r="BB11" t="s">
        <v>126</v>
      </c>
      <c r="BC11" t="s">
        <v>127</v>
      </c>
      <c r="BD11" t="s">
        <v>128</v>
      </c>
      <c r="BE11" t="s">
        <v>18</v>
      </c>
      <c r="BF11" t="s">
        <v>209</v>
      </c>
      <c r="BH11">
        <v>0</v>
      </c>
    </row>
    <row r="12" spans="1:62" x14ac:dyDescent="0.25">
      <c r="A12" t="s">
        <v>120</v>
      </c>
      <c r="B12" t="s">
        <v>121</v>
      </c>
      <c r="C12">
        <v>1234</v>
      </c>
      <c r="D12" t="s">
        <v>208</v>
      </c>
      <c r="E1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2" t="s">
        <v>8</v>
      </c>
      <c r="G12" t="s">
        <v>208</v>
      </c>
      <c r="H12" t="str">
        <f t="shared" si="0"/>
        <v>SI-2/1900-1762</v>
      </c>
      <c r="I12" t="s">
        <v>122</v>
      </c>
      <c r="J12" t="s">
        <v>122</v>
      </c>
      <c r="K12" t="s">
        <v>122</v>
      </c>
      <c r="L12" t="s">
        <v>122</v>
      </c>
      <c r="M12" s="21">
        <v>44593</v>
      </c>
      <c r="N12" t="s">
        <v>123</v>
      </c>
      <c r="O12" t="s">
        <v>198</v>
      </c>
      <c r="P12" t="s">
        <v>199</v>
      </c>
      <c r="Q12" t="s">
        <v>122</v>
      </c>
      <c r="R12" t="s">
        <v>122</v>
      </c>
      <c r="U12">
        <v>1234</v>
      </c>
      <c r="V12">
        <v>0</v>
      </c>
      <c r="W12" t="s">
        <v>200</v>
      </c>
      <c r="X12" t="s">
        <v>9</v>
      </c>
      <c r="Y12" t="s">
        <v>60</v>
      </c>
      <c r="Z12" t="s">
        <v>122</v>
      </c>
      <c r="AA12" t="s">
        <v>122</v>
      </c>
      <c r="AB12" t="s">
        <v>122</v>
      </c>
      <c r="AC12" t="s">
        <v>122</v>
      </c>
      <c r="AF12">
        <v>260</v>
      </c>
      <c r="AG12">
        <v>100</v>
      </c>
      <c r="AH12" t="s">
        <v>124</v>
      </c>
      <c r="AI12">
        <v>1</v>
      </c>
      <c r="AJ12">
        <v>26000</v>
      </c>
      <c r="AK12">
        <v>26000</v>
      </c>
      <c r="AL12">
        <v>0</v>
      </c>
      <c r="AM12">
        <v>0</v>
      </c>
      <c r="AN12">
        <v>0</v>
      </c>
      <c r="AO12">
        <v>0</v>
      </c>
      <c r="AP12">
        <v>35161.78</v>
      </c>
      <c r="AQ12">
        <v>35161.78</v>
      </c>
      <c r="AR12">
        <v>0</v>
      </c>
      <c r="AS12">
        <v>0</v>
      </c>
      <c r="AT12">
        <v>0</v>
      </c>
      <c r="AU12">
        <v>0</v>
      </c>
      <c r="AV12">
        <f>Table1[[#This Row],[CGST]]+Table1[[#This Row],[IGST]]+Table1[[#This Row],[SGST]]</f>
        <v>35161.78</v>
      </c>
      <c r="AW12">
        <f t="shared" si="1"/>
        <v>135</v>
      </c>
      <c r="AX12">
        <v>0</v>
      </c>
      <c r="AY12">
        <v>230504.98</v>
      </c>
      <c r="AZ12" t="s">
        <v>125</v>
      </c>
      <c r="BA12" t="s">
        <v>10</v>
      </c>
      <c r="BB12" t="s">
        <v>126</v>
      </c>
      <c r="BC12" t="s">
        <v>127</v>
      </c>
      <c r="BD12" t="s">
        <v>128</v>
      </c>
      <c r="BE12" t="s">
        <v>18</v>
      </c>
      <c r="BF12" t="s">
        <v>209</v>
      </c>
      <c r="BH12">
        <v>0</v>
      </c>
    </row>
    <row r="13" spans="1:62" x14ac:dyDescent="0.25">
      <c r="A13" t="s">
        <v>120</v>
      </c>
      <c r="B13" t="s">
        <v>121</v>
      </c>
      <c r="C13">
        <v>1234</v>
      </c>
      <c r="D13" t="s">
        <v>210</v>
      </c>
      <c r="E1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3" t="s">
        <v>8</v>
      </c>
      <c r="G13" t="s">
        <v>210</v>
      </c>
      <c r="H13" t="str">
        <f t="shared" si="0"/>
        <v>SI-2/1900-1763</v>
      </c>
      <c r="I13" t="s">
        <v>122</v>
      </c>
      <c r="J13" t="s">
        <v>122</v>
      </c>
      <c r="K13" t="s">
        <v>122</v>
      </c>
      <c r="L13" t="s">
        <v>122</v>
      </c>
      <c r="M13" s="21">
        <v>44593</v>
      </c>
      <c r="N13" t="s">
        <v>123</v>
      </c>
      <c r="O13" t="s">
        <v>198</v>
      </c>
      <c r="P13" t="s">
        <v>199</v>
      </c>
      <c r="Q13" t="s">
        <v>122</v>
      </c>
      <c r="R13" t="s">
        <v>122</v>
      </c>
      <c r="U13">
        <v>1234</v>
      </c>
      <c r="V13">
        <v>0</v>
      </c>
      <c r="W13" t="s">
        <v>200</v>
      </c>
      <c r="X13" t="s">
        <v>9</v>
      </c>
      <c r="Y13" t="s">
        <v>60</v>
      </c>
      <c r="Z13" t="s">
        <v>122</v>
      </c>
      <c r="AA13" t="s">
        <v>122</v>
      </c>
      <c r="AB13" t="s">
        <v>122</v>
      </c>
      <c r="AC13" t="s">
        <v>122</v>
      </c>
      <c r="AF13">
        <v>40</v>
      </c>
      <c r="AG13">
        <v>100</v>
      </c>
      <c r="AH13" t="s">
        <v>124</v>
      </c>
      <c r="AI13">
        <v>1</v>
      </c>
      <c r="AJ13">
        <v>4000</v>
      </c>
      <c r="AK13">
        <v>4000</v>
      </c>
      <c r="AL13">
        <v>0</v>
      </c>
      <c r="AM13">
        <v>252</v>
      </c>
      <c r="AN13">
        <v>0</v>
      </c>
      <c r="AO13">
        <v>252</v>
      </c>
      <c r="AP13">
        <v>0</v>
      </c>
      <c r="AQ13">
        <v>0</v>
      </c>
      <c r="AR13">
        <v>0</v>
      </c>
      <c r="AS13">
        <v>252</v>
      </c>
      <c r="AT13">
        <v>0</v>
      </c>
      <c r="AU13">
        <v>252</v>
      </c>
      <c r="AV13">
        <f>Table1[[#This Row],[CGST]]+Table1[[#This Row],[IGST]]+Table1[[#This Row],[SGST]]</f>
        <v>504</v>
      </c>
      <c r="AW13">
        <f t="shared" si="1"/>
        <v>13</v>
      </c>
      <c r="AX13">
        <v>0</v>
      </c>
      <c r="AY13">
        <v>3304</v>
      </c>
      <c r="AZ13" t="s">
        <v>129</v>
      </c>
      <c r="BA13" t="s">
        <v>10</v>
      </c>
      <c r="BB13" t="s">
        <v>126</v>
      </c>
      <c r="BC13" t="s">
        <v>127</v>
      </c>
      <c r="BD13" t="s">
        <v>128</v>
      </c>
      <c r="BE13" t="s">
        <v>12</v>
      </c>
      <c r="BF13" t="s">
        <v>211</v>
      </c>
      <c r="BH13">
        <v>0</v>
      </c>
    </row>
    <row r="14" spans="1:62" x14ac:dyDescent="0.25">
      <c r="A14" t="s">
        <v>120</v>
      </c>
      <c r="B14" t="s">
        <v>121</v>
      </c>
      <c r="C14">
        <v>1234</v>
      </c>
      <c r="D14" t="s">
        <v>210</v>
      </c>
      <c r="E1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4" t="s">
        <v>8</v>
      </c>
      <c r="G14" t="s">
        <v>210</v>
      </c>
      <c r="H14" t="str">
        <f t="shared" si="0"/>
        <v>SI-2/1900-1763</v>
      </c>
      <c r="I14" t="s">
        <v>122</v>
      </c>
      <c r="J14" t="s">
        <v>122</v>
      </c>
      <c r="K14" t="s">
        <v>122</v>
      </c>
      <c r="L14" t="s">
        <v>122</v>
      </c>
      <c r="M14" s="21">
        <v>44593</v>
      </c>
      <c r="N14" t="s">
        <v>123</v>
      </c>
      <c r="O14" t="s">
        <v>198</v>
      </c>
      <c r="P14" t="s">
        <v>199</v>
      </c>
      <c r="Q14" t="s">
        <v>122</v>
      </c>
      <c r="R14" t="s">
        <v>122</v>
      </c>
      <c r="U14">
        <v>1234</v>
      </c>
      <c r="V14">
        <v>0</v>
      </c>
      <c r="W14" t="s">
        <v>200</v>
      </c>
      <c r="X14" t="s">
        <v>59</v>
      </c>
      <c r="Y14" t="s">
        <v>61</v>
      </c>
      <c r="Z14" t="s">
        <v>122</v>
      </c>
      <c r="AA14" t="s">
        <v>122</v>
      </c>
      <c r="AB14" t="s">
        <v>122</v>
      </c>
      <c r="AC14" t="s">
        <v>122</v>
      </c>
      <c r="AF14">
        <v>40</v>
      </c>
      <c r="AG14">
        <v>100</v>
      </c>
      <c r="AH14" t="s">
        <v>124</v>
      </c>
      <c r="AI14">
        <v>1</v>
      </c>
      <c r="AJ14">
        <v>4000</v>
      </c>
      <c r="AK14">
        <v>4000</v>
      </c>
      <c r="AL14">
        <v>0</v>
      </c>
      <c r="AM14">
        <v>252</v>
      </c>
      <c r="AN14">
        <v>0</v>
      </c>
      <c r="AO14">
        <v>252</v>
      </c>
      <c r="AP14">
        <v>0</v>
      </c>
      <c r="AQ14">
        <v>0</v>
      </c>
      <c r="AR14">
        <v>0</v>
      </c>
      <c r="AS14">
        <v>252</v>
      </c>
      <c r="AT14">
        <v>0</v>
      </c>
      <c r="AU14">
        <v>252</v>
      </c>
      <c r="AV14">
        <f>Table1[[#This Row],[CGST]]+Table1[[#This Row],[IGST]]+Table1[[#This Row],[SGST]]</f>
        <v>504</v>
      </c>
      <c r="AW14">
        <f t="shared" si="1"/>
        <v>13</v>
      </c>
      <c r="AX14">
        <v>0</v>
      </c>
      <c r="AY14">
        <v>3304</v>
      </c>
      <c r="AZ14" t="s">
        <v>129</v>
      </c>
      <c r="BA14" t="s">
        <v>10</v>
      </c>
      <c r="BB14" t="s">
        <v>126</v>
      </c>
      <c r="BC14" t="s">
        <v>127</v>
      </c>
      <c r="BD14" t="s">
        <v>128</v>
      </c>
      <c r="BE14" t="s">
        <v>12</v>
      </c>
      <c r="BF14" t="s">
        <v>211</v>
      </c>
      <c r="BH14">
        <v>0</v>
      </c>
    </row>
    <row r="15" spans="1:62" x14ac:dyDescent="0.25">
      <c r="A15" t="s">
        <v>120</v>
      </c>
      <c r="B15" t="s">
        <v>121</v>
      </c>
      <c r="C15">
        <v>1234</v>
      </c>
      <c r="D15" t="s">
        <v>212</v>
      </c>
      <c r="E1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5" t="s">
        <v>8</v>
      </c>
      <c r="G15" t="s">
        <v>212</v>
      </c>
      <c r="H15" t="str">
        <f t="shared" si="0"/>
        <v>SI-2/1900-1764</v>
      </c>
      <c r="I15" t="s">
        <v>122</v>
      </c>
      <c r="J15" t="s">
        <v>122</v>
      </c>
      <c r="K15" t="s">
        <v>122</v>
      </c>
      <c r="L15" t="s">
        <v>122</v>
      </c>
      <c r="M15" s="21">
        <v>44593</v>
      </c>
      <c r="N15" t="s">
        <v>123</v>
      </c>
      <c r="O15" t="s">
        <v>198</v>
      </c>
      <c r="P15" t="s">
        <v>199</v>
      </c>
      <c r="Q15" t="s">
        <v>122</v>
      </c>
      <c r="R15" t="s">
        <v>122</v>
      </c>
      <c r="U15">
        <v>1234</v>
      </c>
      <c r="V15">
        <v>0</v>
      </c>
      <c r="W15" t="s">
        <v>200</v>
      </c>
      <c r="X15" t="s">
        <v>9</v>
      </c>
      <c r="Y15" t="s">
        <v>60</v>
      </c>
      <c r="Z15" t="s">
        <v>122</v>
      </c>
      <c r="AA15" t="s">
        <v>122</v>
      </c>
      <c r="AB15" t="s">
        <v>122</v>
      </c>
      <c r="AC15" t="s">
        <v>122</v>
      </c>
      <c r="AF15">
        <v>420</v>
      </c>
      <c r="AG15">
        <v>100</v>
      </c>
      <c r="AH15" t="s">
        <v>124</v>
      </c>
      <c r="AI15">
        <v>1</v>
      </c>
      <c r="AJ15">
        <v>42000</v>
      </c>
      <c r="AK15">
        <v>42000</v>
      </c>
      <c r="AL15">
        <v>0</v>
      </c>
      <c r="AM15">
        <v>0</v>
      </c>
      <c r="AN15">
        <v>0</v>
      </c>
      <c r="AO15">
        <v>0</v>
      </c>
      <c r="AP15">
        <v>72032.44</v>
      </c>
      <c r="AQ15">
        <v>72032.44</v>
      </c>
      <c r="AR15">
        <v>0</v>
      </c>
      <c r="AS15">
        <v>0</v>
      </c>
      <c r="AT15">
        <v>0</v>
      </c>
      <c r="AU15">
        <v>0</v>
      </c>
      <c r="AV15">
        <f>Table1[[#This Row],[CGST]]+Table1[[#This Row],[IGST]]+Table1[[#This Row],[SGST]]</f>
        <v>72032.44</v>
      </c>
      <c r="AW15">
        <f t="shared" si="1"/>
        <v>172</v>
      </c>
      <c r="AX15">
        <v>0</v>
      </c>
      <c r="AY15">
        <v>472212.64</v>
      </c>
      <c r="AZ15" t="s">
        <v>125</v>
      </c>
      <c r="BA15" t="s">
        <v>10</v>
      </c>
      <c r="BB15" t="s">
        <v>126</v>
      </c>
      <c r="BC15" t="s">
        <v>127</v>
      </c>
      <c r="BD15" t="s">
        <v>128</v>
      </c>
      <c r="BE15" t="s">
        <v>16</v>
      </c>
      <c r="BF15" t="s">
        <v>213</v>
      </c>
      <c r="BH15">
        <v>0</v>
      </c>
    </row>
    <row r="16" spans="1:62" x14ac:dyDescent="0.25">
      <c r="A16" t="s">
        <v>120</v>
      </c>
      <c r="B16" t="s">
        <v>121</v>
      </c>
      <c r="C16">
        <v>1234</v>
      </c>
      <c r="D16" t="s">
        <v>212</v>
      </c>
      <c r="E1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6" t="s">
        <v>8</v>
      </c>
      <c r="G16" t="s">
        <v>212</v>
      </c>
      <c r="H16" t="str">
        <f t="shared" si="0"/>
        <v>SI-2/1900-1764</v>
      </c>
      <c r="I16" t="s">
        <v>122</v>
      </c>
      <c r="J16" t="s">
        <v>122</v>
      </c>
      <c r="K16" t="s">
        <v>122</v>
      </c>
      <c r="L16" t="s">
        <v>122</v>
      </c>
      <c r="M16" s="21">
        <v>44593</v>
      </c>
      <c r="N16" t="s">
        <v>123</v>
      </c>
      <c r="O16" t="s">
        <v>198</v>
      </c>
      <c r="P16" t="s">
        <v>199</v>
      </c>
      <c r="Q16" t="s">
        <v>122</v>
      </c>
      <c r="R16" t="s">
        <v>122</v>
      </c>
      <c r="U16">
        <v>1234</v>
      </c>
      <c r="V16">
        <v>0</v>
      </c>
      <c r="W16" t="s">
        <v>200</v>
      </c>
      <c r="X16" t="s">
        <v>9</v>
      </c>
      <c r="Y16" t="s">
        <v>60</v>
      </c>
      <c r="Z16" t="s">
        <v>122</v>
      </c>
      <c r="AA16" t="s">
        <v>122</v>
      </c>
      <c r="AB16" t="s">
        <v>122</v>
      </c>
      <c r="AC16" t="s">
        <v>122</v>
      </c>
      <c r="AF16">
        <v>50</v>
      </c>
      <c r="AG16">
        <v>100</v>
      </c>
      <c r="AH16" t="s">
        <v>124</v>
      </c>
      <c r="AI16">
        <v>1</v>
      </c>
      <c r="AJ16">
        <v>5000</v>
      </c>
      <c r="AK16">
        <v>5000</v>
      </c>
      <c r="AL16">
        <v>0</v>
      </c>
      <c r="AM16">
        <v>0</v>
      </c>
      <c r="AN16">
        <v>0</v>
      </c>
      <c r="AO16">
        <v>0</v>
      </c>
      <c r="AP16">
        <v>8937</v>
      </c>
      <c r="AQ16">
        <v>8937</v>
      </c>
      <c r="AR16">
        <v>0</v>
      </c>
      <c r="AS16">
        <v>0</v>
      </c>
      <c r="AT16">
        <v>0</v>
      </c>
      <c r="AU16">
        <v>0</v>
      </c>
      <c r="AV16">
        <f>Table1[[#This Row],[CGST]]+Table1[[#This Row],[IGST]]+Table1[[#This Row],[SGST]]</f>
        <v>8937</v>
      </c>
      <c r="AW16">
        <f t="shared" si="1"/>
        <v>179</v>
      </c>
      <c r="AX16">
        <v>0</v>
      </c>
      <c r="AY16">
        <v>58587</v>
      </c>
      <c r="AZ16" t="s">
        <v>125</v>
      </c>
      <c r="BA16" t="s">
        <v>10</v>
      </c>
      <c r="BB16" t="s">
        <v>126</v>
      </c>
      <c r="BC16" t="s">
        <v>127</v>
      </c>
      <c r="BD16" t="s">
        <v>128</v>
      </c>
      <c r="BE16" t="s">
        <v>16</v>
      </c>
      <c r="BF16" t="s">
        <v>211</v>
      </c>
      <c r="BH16">
        <v>0</v>
      </c>
    </row>
    <row r="17" spans="1:60" x14ac:dyDescent="0.25">
      <c r="A17" t="s">
        <v>120</v>
      </c>
      <c r="B17" t="s">
        <v>121</v>
      </c>
      <c r="C17">
        <v>1234</v>
      </c>
      <c r="D17" t="s">
        <v>214</v>
      </c>
      <c r="E1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7" t="s">
        <v>8</v>
      </c>
      <c r="G17" t="s">
        <v>214</v>
      </c>
      <c r="H17" t="str">
        <f t="shared" si="0"/>
        <v>SI-2/1900-1765</v>
      </c>
      <c r="I17" t="s">
        <v>122</v>
      </c>
      <c r="J17" t="s">
        <v>122</v>
      </c>
      <c r="K17" t="s">
        <v>122</v>
      </c>
      <c r="L17" t="s">
        <v>122</v>
      </c>
      <c r="M17" s="21">
        <v>44593</v>
      </c>
      <c r="N17" t="s">
        <v>123</v>
      </c>
      <c r="O17" t="s">
        <v>198</v>
      </c>
      <c r="P17" t="s">
        <v>199</v>
      </c>
      <c r="Q17" t="s">
        <v>122</v>
      </c>
      <c r="R17" t="s">
        <v>122</v>
      </c>
      <c r="U17">
        <v>1234</v>
      </c>
      <c r="V17">
        <v>0</v>
      </c>
      <c r="W17" t="s">
        <v>200</v>
      </c>
      <c r="X17" t="s">
        <v>9</v>
      </c>
      <c r="Y17" t="s">
        <v>60</v>
      </c>
      <c r="Z17" t="s">
        <v>122</v>
      </c>
      <c r="AA17" t="s">
        <v>122</v>
      </c>
      <c r="AB17" t="s">
        <v>122</v>
      </c>
      <c r="AC17" t="s">
        <v>122</v>
      </c>
      <c r="AF17">
        <v>1800</v>
      </c>
      <c r="AG17">
        <v>100</v>
      </c>
      <c r="AH17" t="s">
        <v>124</v>
      </c>
      <c r="AI17">
        <v>1</v>
      </c>
      <c r="AJ17">
        <v>180000</v>
      </c>
      <c r="AK17">
        <v>180000</v>
      </c>
      <c r="AL17">
        <v>0</v>
      </c>
      <c r="AM17">
        <v>0</v>
      </c>
      <c r="AN17">
        <v>0</v>
      </c>
      <c r="AO17">
        <v>0</v>
      </c>
      <c r="AP17">
        <v>154159.20000000001</v>
      </c>
      <c r="AQ17">
        <v>154159.20000000001</v>
      </c>
      <c r="AR17">
        <v>0</v>
      </c>
      <c r="AS17">
        <v>0</v>
      </c>
      <c r="AT17">
        <v>0</v>
      </c>
      <c r="AU17">
        <v>0</v>
      </c>
      <c r="AV17">
        <f>Table1[[#This Row],[CGST]]+Table1[[#This Row],[IGST]]+Table1[[#This Row],[SGST]]</f>
        <v>154159.20000000001</v>
      </c>
      <c r="AW17">
        <f t="shared" si="1"/>
        <v>86</v>
      </c>
      <c r="AX17">
        <v>0</v>
      </c>
      <c r="AY17">
        <v>1010599.2</v>
      </c>
      <c r="AZ17" t="s">
        <v>125</v>
      </c>
      <c r="BA17" t="s">
        <v>10</v>
      </c>
      <c r="BB17" t="s">
        <v>126</v>
      </c>
      <c r="BC17" t="s">
        <v>127</v>
      </c>
      <c r="BD17" t="s">
        <v>128</v>
      </c>
      <c r="BE17" t="s">
        <v>16</v>
      </c>
      <c r="BF17" t="s">
        <v>205</v>
      </c>
      <c r="BH17">
        <v>0</v>
      </c>
    </row>
    <row r="18" spans="1:60" x14ac:dyDescent="0.25">
      <c r="A18" t="s">
        <v>120</v>
      </c>
      <c r="B18" t="s">
        <v>121</v>
      </c>
      <c r="C18">
        <v>1234</v>
      </c>
      <c r="D18" t="s">
        <v>215</v>
      </c>
      <c r="E1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8" t="s">
        <v>8</v>
      </c>
      <c r="G18" t="s">
        <v>215</v>
      </c>
      <c r="H18" t="str">
        <f t="shared" si="0"/>
        <v>SI-2/1900-1766</v>
      </c>
      <c r="I18" t="s">
        <v>122</v>
      </c>
      <c r="J18" t="s">
        <v>122</v>
      </c>
      <c r="K18" t="s">
        <v>122</v>
      </c>
      <c r="L18" t="s">
        <v>122</v>
      </c>
      <c r="M18" s="21">
        <v>44593</v>
      </c>
      <c r="N18" t="s">
        <v>123</v>
      </c>
      <c r="O18" t="s">
        <v>198</v>
      </c>
      <c r="P18" t="s">
        <v>199</v>
      </c>
      <c r="Q18" t="s">
        <v>122</v>
      </c>
      <c r="R18" t="s">
        <v>122</v>
      </c>
      <c r="U18">
        <v>1234</v>
      </c>
      <c r="V18">
        <v>0</v>
      </c>
      <c r="W18" t="s">
        <v>200</v>
      </c>
      <c r="X18" t="s">
        <v>9</v>
      </c>
      <c r="Y18" t="s">
        <v>60</v>
      </c>
      <c r="Z18" t="s">
        <v>122</v>
      </c>
      <c r="AA18" t="s">
        <v>122</v>
      </c>
      <c r="AB18" t="s">
        <v>122</v>
      </c>
      <c r="AC18" t="s">
        <v>122</v>
      </c>
      <c r="AF18">
        <v>680</v>
      </c>
      <c r="AG18">
        <v>100</v>
      </c>
      <c r="AH18" t="s">
        <v>124</v>
      </c>
      <c r="AI18">
        <v>1</v>
      </c>
      <c r="AJ18">
        <v>68000</v>
      </c>
      <c r="AK18">
        <v>68000</v>
      </c>
      <c r="AL18">
        <v>0</v>
      </c>
      <c r="AM18">
        <v>0</v>
      </c>
      <c r="AN18">
        <v>0</v>
      </c>
      <c r="AO18">
        <v>0</v>
      </c>
      <c r="AP18">
        <v>116623.94</v>
      </c>
      <c r="AQ18">
        <v>116623.94</v>
      </c>
      <c r="AR18">
        <v>0</v>
      </c>
      <c r="AS18">
        <v>0</v>
      </c>
      <c r="AT18">
        <v>0</v>
      </c>
      <c r="AU18">
        <v>0</v>
      </c>
      <c r="AV18">
        <f>Table1[[#This Row],[CGST]]+Table1[[#This Row],[IGST]]+Table1[[#This Row],[SGST]]</f>
        <v>116623.94</v>
      </c>
      <c r="AW18">
        <f t="shared" si="1"/>
        <v>172</v>
      </c>
      <c r="AX18">
        <v>0</v>
      </c>
      <c r="AY18">
        <v>764534.74</v>
      </c>
      <c r="AZ18" t="s">
        <v>125</v>
      </c>
      <c r="BA18" t="s">
        <v>10</v>
      </c>
      <c r="BB18" t="s">
        <v>126</v>
      </c>
      <c r="BC18" t="s">
        <v>127</v>
      </c>
      <c r="BD18" t="s">
        <v>128</v>
      </c>
      <c r="BE18" t="s">
        <v>16</v>
      </c>
      <c r="BF18" t="s">
        <v>205</v>
      </c>
      <c r="BH18">
        <v>0</v>
      </c>
    </row>
    <row r="19" spans="1:60" x14ac:dyDescent="0.25">
      <c r="A19" t="s">
        <v>120</v>
      </c>
      <c r="B19" t="s">
        <v>121</v>
      </c>
      <c r="C19">
        <v>1234</v>
      </c>
      <c r="D19" t="s">
        <v>216</v>
      </c>
      <c r="E1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9" t="s">
        <v>8</v>
      </c>
      <c r="G19" t="s">
        <v>216</v>
      </c>
      <c r="H19" t="str">
        <f t="shared" si="0"/>
        <v>SI-2/1900-1767</v>
      </c>
      <c r="I19" t="s">
        <v>122</v>
      </c>
      <c r="J19" t="s">
        <v>122</v>
      </c>
      <c r="K19" t="s">
        <v>122</v>
      </c>
      <c r="L19" t="s">
        <v>122</v>
      </c>
      <c r="M19" s="21">
        <v>44593</v>
      </c>
      <c r="N19" t="s">
        <v>123</v>
      </c>
      <c r="O19" t="s">
        <v>198</v>
      </c>
      <c r="P19" t="s">
        <v>199</v>
      </c>
      <c r="Q19" t="s">
        <v>122</v>
      </c>
      <c r="R19" t="s">
        <v>122</v>
      </c>
      <c r="U19">
        <v>1234</v>
      </c>
      <c r="V19">
        <v>0</v>
      </c>
      <c r="W19" t="s">
        <v>200</v>
      </c>
      <c r="X19" t="s">
        <v>9</v>
      </c>
      <c r="Y19" t="s">
        <v>60</v>
      </c>
      <c r="Z19" t="s">
        <v>122</v>
      </c>
      <c r="AA19" t="s">
        <v>122</v>
      </c>
      <c r="AB19" t="s">
        <v>122</v>
      </c>
      <c r="AC19" t="s">
        <v>122</v>
      </c>
      <c r="AF19">
        <v>490</v>
      </c>
      <c r="AG19">
        <v>100</v>
      </c>
      <c r="AH19" t="s">
        <v>124</v>
      </c>
      <c r="AI19">
        <v>1</v>
      </c>
      <c r="AJ19">
        <v>49000</v>
      </c>
      <c r="AK19">
        <v>49000</v>
      </c>
      <c r="AL19">
        <v>0</v>
      </c>
      <c r="AM19">
        <v>0</v>
      </c>
      <c r="AN19">
        <v>0</v>
      </c>
      <c r="AO19">
        <v>0</v>
      </c>
      <c r="AP19">
        <v>66266.42</v>
      </c>
      <c r="AQ19">
        <v>66266.42</v>
      </c>
      <c r="AR19">
        <v>0</v>
      </c>
      <c r="AS19">
        <v>0</v>
      </c>
      <c r="AT19">
        <v>0</v>
      </c>
      <c r="AU19">
        <v>0</v>
      </c>
      <c r="AV19">
        <f>Table1[[#This Row],[CGST]]+Table1[[#This Row],[IGST]]+Table1[[#This Row],[SGST]]</f>
        <v>66266.42</v>
      </c>
      <c r="AW19">
        <f t="shared" si="1"/>
        <v>135</v>
      </c>
      <c r="AX19">
        <v>0</v>
      </c>
      <c r="AY19">
        <v>434413.22</v>
      </c>
      <c r="AZ19" t="s">
        <v>125</v>
      </c>
      <c r="BA19" t="s">
        <v>10</v>
      </c>
      <c r="BB19" t="s">
        <v>126</v>
      </c>
      <c r="BC19" t="s">
        <v>127</v>
      </c>
      <c r="BD19" t="s">
        <v>128</v>
      </c>
      <c r="BE19" t="s">
        <v>13</v>
      </c>
      <c r="BF19" t="s">
        <v>217</v>
      </c>
      <c r="BH19">
        <v>0</v>
      </c>
    </row>
    <row r="20" spans="1:60" x14ac:dyDescent="0.25">
      <c r="A20" t="s">
        <v>120</v>
      </c>
      <c r="B20" t="s">
        <v>121</v>
      </c>
      <c r="C20">
        <v>1234</v>
      </c>
      <c r="D20" t="s">
        <v>216</v>
      </c>
      <c r="E2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0" t="s">
        <v>8</v>
      </c>
      <c r="G20" t="s">
        <v>216</v>
      </c>
      <c r="H20" t="str">
        <f t="shared" si="0"/>
        <v>SI-2/1900-1767</v>
      </c>
      <c r="I20" t="s">
        <v>122</v>
      </c>
      <c r="J20" t="s">
        <v>122</v>
      </c>
      <c r="K20" t="s">
        <v>122</v>
      </c>
      <c r="L20" t="s">
        <v>122</v>
      </c>
      <c r="M20" s="21">
        <v>44593</v>
      </c>
      <c r="N20" t="s">
        <v>123</v>
      </c>
      <c r="O20" t="s">
        <v>198</v>
      </c>
      <c r="P20" t="s">
        <v>199</v>
      </c>
      <c r="Q20" t="s">
        <v>122</v>
      </c>
      <c r="R20" t="s">
        <v>122</v>
      </c>
      <c r="U20">
        <v>1234</v>
      </c>
      <c r="V20">
        <v>0</v>
      </c>
      <c r="W20" t="s">
        <v>200</v>
      </c>
      <c r="X20" t="s">
        <v>9</v>
      </c>
      <c r="Y20" t="s">
        <v>60</v>
      </c>
      <c r="Z20" t="s">
        <v>122</v>
      </c>
      <c r="AA20" t="s">
        <v>122</v>
      </c>
      <c r="AB20" t="s">
        <v>122</v>
      </c>
      <c r="AC20" t="s">
        <v>122</v>
      </c>
      <c r="AF20">
        <v>600</v>
      </c>
      <c r="AG20">
        <v>100</v>
      </c>
      <c r="AH20" t="s">
        <v>124</v>
      </c>
      <c r="AI20">
        <v>1</v>
      </c>
      <c r="AJ20">
        <v>60000</v>
      </c>
      <c r="AK20">
        <v>60000</v>
      </c>
      <c r="AL20">
        <v>0</v>
      </c>
      <c r="AM20">
        <v>0</v>
      </c>
      <c r="AN20">
        <v>0</v>
      </c>
      <c r="AO20">
        <v>0</v>
      </c>
      <c r="AP20">
        <v>78254.64</v>
      </c>
      <c r="AQ20">
        <v>78254.64</v>
      </c>
      <c r="AR20">
        <v>0</v>
      </c>
      <c r="AS20">
        <v>0</v>
      </c>
      <c r="AT20">
        <v>0</v>
      </c>
      <c r="AU20">
        <v>0</v>
      </c>
      <c r="AV20">
        <f>Table1[[#This Row],[CGST]]+Table1[[#This Row],[IGST]]+Table1[[#This Row],[SGST]]</f>
        <v>78254.64</v>
      </c>
      <c r="AW20">
        <f t="shared" si="1"/>
        <v>130</v>
      </c>
      <c r="AX20">
        <v>0</v>
      </c>
      <c r="AY20">
        <v>513002.64</v>
      </c>
      <c r="AZ20" t="s">
        <v>125</v>
      </c>
      <c r="BA20" t="s">
        <v>10</v>
      </c>
      <c r="BB20" t="s">
        <v>126</v>
      </c>
      <c r="BC20" t="s">
        <v>127</v>
      </c>
      <c r="BD20" t="s">
        <v>128</v>
      </c>
      <c r="BE20" t="s">
        <v>13</v>
      </c>
      <c r="BF20" t="s">
        <v>217</v>
      </c>
      <c r="BH20">
        <v>0</v>
      </c>
    </row>
    <row r="21" spans="1:60" x14ac:dyDescent="0.25">
      <c r="A21" t="s">
        <v>120</v>
      </c>
      <c r="B21" t="s">
        <v>121</v>
      </c>
      <c r="C21">
        <v>1234</v>
      </c>
      <c r="D21" t="s">
        <v>219</v>
      </c>
      <c r="E2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1" t="s">
        <v>8</v>
      </c>
      <c r="G21" t="s">
        <v>219</v>
      </c>
      <c r="H21" t="str">
        <f t="shared" si="0"/>
        <v>SI-2/1900-1768</v>
      </c>
      <c r="I21" t="s">
        <v>122</v>
      </c>
      <c r="J21" t="s">
        <v>122</v>
      </c>
      <c r="K21" t="s">
        <v>122</v>
      </c>
      <c r="L21" t="s">
        <v>122</v>
      </c>
      <c r="M21" s="21">
        <v>44593</v>
      </c>
      <c r="N21" t="s">
        <v>123</v>
      </c>
      <c r="O21" t="s">
        <v>198</v>
      </c>
      <c r="P21" t="s">
        <v>199</v>
      </c>
      <c r="Q21" t="s">
        <v>122</v>
      </c>
      <c r="R21" t="s">
        <v>122</v>
      </c>
      <c r="U21">
        <v>1234</v>
      </c>
      <c r="V21">
        <v>0</v>
      </c>
      <c r="W21" t="s">
        <v>200</v>
      </c>
      <c r="X21" t="s">
        <v>9</v>
      </c>
      <c r="Y21" t="s">
        <v>60</v>
      </c>
      <c r="Z21" t="s">
        <v>122</v>
      </c>
      <c r="AA21" t="s">
        <v>122</v>
      </c>
      <c r="AB21" t="s">
        <v>122</v>
      </c>
      <c r="AC21" t="s">
        <v>122</v>
      </c>
      <c r="AF21">
        <v>680</v>
      </c>
      <c r="AG21">
        <v>100</v>
      </c>
      <c r="AH21" t="s">
        <v>124</v>
      </c>
      <c r="AI21">
        <v>1</v>
      </c>
      <c r="AJ21">
        <v>68000</v>
      </c>
      <c r="AK21">
        <v>68000</v>
      </c>
      <c r="AL21">
        <v>0</v>
      </c>
      <c r="AM21">
        <v>0</v>
      </c>
      <c r="AN21">
        <v>0</v>
      </c>
      <c r="AO21">
        <v>0</v>
      </c>
      <c r="AP21">
        <v>116623.94</v>
      </c>
      <c r="AQ21">
        <v>116623.94</v>
      </c>
      <c r="AR21">
        <v>0</v>
      </c>
      <c r="AS21">
        <v>0</v>
      </c>
      <c r="AT21">
        <v>0</v>
      </c>
      <c r="AU21">
        <v>0</v>
      </c>
      <c r="AV21">
        <f>Table1[[#This Row],[CGST]]+Table1[[#This Row],[IGST]]+Table1[[#This Row],[SGST]]</f>
        <v>116623.94</v>
      </c>
      <c r="AW21">
        <f t="shared" si="1"/>
        <v>172</v>
      </c>
      <c r="AX21">
        <v>0</v>
      </c>
      <c r="AY21">
        <v>764534.74</v>
      </c>
      <c r="AZ21" t="s">
        <v>125</v>
      </c>
      <c r="BA21" t="s">
        <v>10</v>
      </c>
      <c r="BB21" t="s">
        <v>126</v>
      </c>
      <c r="BC21" t="s">
        <v>127</v>
      </c>
      <c r="BD21" t="s">
        <v>128</v>
      </c>
      <c r="BE21" t="s">
        <v>16</v>
      </c>
      <c r="BF21" t="s">
        <v>207</v>
      </c>
      <c r="BH21">
        <v>0</v>
      </c>
    </row>
    <row r="22" spans="1:60" x14ac:dyDescent="0.25">
      <c r="A22" t="s">
        <v>120</v>
      </c>
      <c r="B22" t="s">
        <v>121</v>
      </c>
      <c r="C22">
        <v>1234</v>
      </c>
      <c r="D22" t="s">
        <v>220</v>
      </c>
      <c r="E2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2" t="s">
        <v>8</v>
      </c>
      <c r="G22" t="s">
        <v>220</v>
      </c>
      <c r="H22" t="str">
        <f t="shared" si="0"/>
        <v>SI-2/1900-1770</v>
      </c>
      <c r="I22" t="s">
        <v>122</v>
      </c>
      <c r="J22" t="s">
        <v>122</v>
      </c>
      <c r="K22" t="s">
        <v>122</v>
      </c>
      <c r="L22" t="s">
        <v>122</v>
      </c>
      <c r="M22" s="21">
        <v>44593</v>
      </c>
      <c r="N22" t="s">
        <v>123</v>
      </c>
      <c r="O22" t="s">
        <v>198</v>
      </c>
      <c r="P22" t="s">
        <v>199</v>
      </c>
      <c r="Q22" t="s">
        <v>122</v>
      </c>
      <c r="R22" t="s">
        <v>122</v>
      </c>
      <c r="U22">
        <v>1234</v>
      </c>
      <c r="V22">
        <v>0</v>
      </c>
      <c r="W22" t="s">
        <v>200</v>
      </c>
      <c r="X22" t="s">
        <v>9</v>
      </c>
      <c r="Y22" t="s">
        <v>60</v>
      </c>
      <c r="Z22" t="s">
        <v>122</v>
      </c>
      <c r="AA22" t="s">
        <v>122</v>
      </c>
      <c r="AB22" t="s">
        <v>122</v>
      </c>
      <c r="AC22" t="s">
        <v>122</v>
      </c>
      <c r="AF22">
        <v>650</v>
      </c>
      <c r="AG22">
        <v>100</v>
      </c>
      <c r="AH22" t="s">
        <v>124</v>
      </c>
      <c r="AI22">
        <v>1</v>
      </c>
      <c r="AJ22">
        <v>65000</v>
      </c>
      <c r="AK22">
        <v>65000</v>
      </c>
      <c r="AL22">
        <v>0</v>
      </c>
      <c r="AM22">
        <v>0</v>
      </c>
      <c r="AN22">
        <v>0</v>
      </c>
      <c r="AO22">
        <v>0</v>
      </c>
      <c r="AP22">
        <v>111478.77</v>
      </c>
      <c r="AQ22">
        <v>111478.77</v>
      </c>
      <c r="AR22">
        <v>0</v>
      </c>
      <c r="AS22">
        <v>0</v>
      </c>
      <c r="AT22">
        <v>0</v>
      </c>
      <c r="AU22">
        <v>0</v>
      </c>
      <c r="AV22">
        <f>Table1[[#This Row],[CGST]]+Table1[[#This Row],[IGST]]+Table1[[#This Row],[SGST]]</f>
        <v>111478.77</v>
      </c>
      <c r="AW22">
        <f t="shared" si="1"/>
        <v>172</v>
      </c>
      <c r="AX22">
        <v>0</v>
      </c>
      <c r="AY22">
        <v>730805.27</v>
      </c>
      <c r="AZ22" t="s">
        <v>125</v>
      </c>
      <c r="BA22" t="s">
        <v>10</v>
      </c>
      <c r="BB22" t="s">
        <v>126</v>
      </c>
      <c r="BC22" t="s">
        <v>127</v>
      </c>
      <c r="BD22" t="s">
        <v>128</v>
      </c>
      <c r="BE22" t="s">
        <v>18</v>
      </c>
      <c r="BF22" t="s">
        <v>221</v>
      </c>
      <c r="BH22">
        <v>0</v>
      </c>
    </row>
    <row r="23" spans="1:60" x14ac:dyDescent="0.25">
      <c r="A23" t="s">
        <v>120</v>
      </c>
      <c r="B23" t="s">
        <v>121</v>
      </c>
      <c r="C23">
        <v>1234</v>
      </c>
      <c r="D23" t="s">
        <v>220</v>
      </c>
      <c r="E2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3" t="s">
        <v>8</v>
      </c>
      <c r="G23" t="s">
        <v>220</v>
      </c>
      <c r="H23" t="str">
        <f t="shared" si="0"/>
        <v>SI-2/1900-1770</v>
      </c>
      <c r="I23" t="s">
        <v>122</v>
      </c>
      <c r="J23" t="s">
        <v>122</v>
      </c>
      <c r="K23" t="s">
        <v>122</v>
      </c>
      <c r="L23" t="s">
        <v>122</v>
      </c>
      <c r="M23" s="21">
        <v>44593</v>
      </c>
      <c r="N23" t="s">
        <v>123</v>
      </c>
      <c r="O23" t="s">
        <v>198</v>
      </c>
      <c r="P23" t="s">
        <v>199</v>
      </c>
      <c r="Q23" t="s">
        <v>122</v>
      </c>
      <c r="R23" t="s">
        <v>122</v>
      </c>
      <c r="U23">
        <v>1234</v>
      </c>
      <c r="V23">
        <v>0</v>
      </c>
      <c r="W23" t="s">
        <v>200</v>
      </c>
      <c r="X23" t="s">
        <v>9</v>
      </c>
      <c r="Y23" t="s">
        <v>60</v>
      </c>
      <c r="Z23" t="s">
        <v>122</v>
      </c>
      <c r="AA23" t="s">
        <v>122</v>
      </c>
      <c r="AB23" t="s">
        <v>122</v>
      </c>
      <c r="AC23" t="s">
        <v>122</v>
      </c>
      <c r="AF23">
        <v>50</v>
      </c>
      <c r="AG23">
        <v>100</v>
      </c>
      <c r="AH23" t="s">
        <v>124</v>
      </c>
      <c r="AI23">
        <v>1</v>
      </c>
      <c r="AJ23">
        <v>5000</v>
      </c>
      <c r="AK23">
        <v>5000</v>
      </c>
      <c r="AL23">
        <v>0</v>
      </c>
      <c r="AM23">
        <v>0</v>
      </c>
      <c r="AN23">
        <v>0</v>
      </c>
      <c r="AO23">
        <v>0</v>
      </c>
      <c r="AP23">
        <v>6268.5</v>
      </c>
      <c r="AQ23">
        <v>6268.5</v>
      </c>
      <c r="AR23">
        <v>0</v>
      </c>
      <c r="AS23">
        <v>0</v>
      </c>
      <c r="AT23">
        <v>0</v>
      </c>
      <c r="AU23">
        <v>0</v>
      </c>
      <c r="AV23">
        <f>Table1[[#This Row],[CGST]]+Table1[[#This Row],[IGST]]+Table1[[#This Row],[SGST]]</f>
        <v>6268.5</v>
      </c>
      <c r="AW23">
        <f t="shared" si="1"/>
        <v>125</v>
      </c>
      <c r="AX23">
        <v>0</v>
      </c>
      <c r="AY23">
        <v>41093.5</v>
      </c>
      <c r="AZ23" t="s">
        <v>125</v>
      </c>
      <c r="BA23" t="s">
        <v>10</v>
      </c>
      <c r="BB23" t="s">
        <v>126</v>
      </c>
      <c r="BC23" t="s">
        <v>127</v>
      </c>
      <c r="BD23" t="s">
        <v>128</v>
      </c>
      <c r="BE23" t="s">
        <v>18</v>
      </c>
      <c r="BF23" t="s">
        <v>221</v>
      </c>
      <c r="BH23">
        <v>0</v>
      </c>
    </row>
    <row r="24" spans="1:60" x14ac:dyDescent="0.25">
      <c r="A24" t="s">
        <v>120</v>
      </c>
      <c r="B24" t="s">
        <v>121</v>
      </c>
      <c r="C24">
        <v>1234</v>
      </c>
      <c r="D24" t="s">
        <v>222</v>
      </c>
      <c r="E2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4" t="s">
        <v>8</v>
      </c>
      <c r="G24" t="s">
        <v>222</v>
      </c>
      <c r="H24" t="str">
        <f t="shared" si="0"/>
        <v>SI-2/1900-1771</v>
      </c>
      <c r="I24" t="s">
        <v>122</v>
      </c>
      <c r="J24" t="s">
        <v>122</v>
      </c>
      <c r="K24" t="s">
        <v>122</v>
      </c>
      <c r="L24" t="s">
        <v>122</v>
      </c>
      <c r="M24" s="21">
        <v>44593</v>
      </c>
      <c r="N24" t="s">
        <v>123</v>
      </c>
      <c r="O24" t="s">
        <v>198</v>
      </c>
      <c r="P24" t="s">
        <v>199</v>
      </c>
      <c r="Q24" t="s">
        <v>122</v>
      </c>
      <c r="R24" t="s">
        <v>122</v>
      </c>
      <c r="U24">
        <v>1234</v>
      </c>
      <c r="V24">
        <v>0</v>
      </c>
      <c r="W24" t="s">
        <v>200</v>
      </c>
      <c r="X24" t="s">
        <v>9</v>
      </c>
      <c r="Y24" t="s">
        <v>60</v>
      </c>
      <c r="Z24" t="s">
        <v>122</v>
      </c>
      <c r="AA24" t="s">
        <v>122</v>
      </c>
      <c r="AB24" t="s">
        <v>122</v>
      </c>
      <c r="AC24" t="s">
        <v>122</v>
      </c>
      <c r="AF24">
        <v>200</v>
      </c>
      <c r="AG24">
        <v>100</v>
      </c>
      <c r="AH24" t="s">
        <v>124</v>
      </c>
      <c r="AI24">
        <v>1</v>
      </c>
      <c r="AJ24">
        <v>20000</v>
      </c>
      <c r="AK24">
        <v>20000</v>
      </c>
      <c r="AL24">
        <v>0</v>
      </c>
      <c r="AM24">
        <v>0</v>
      </c>
      <c r="AN24">
        <v>0</v>
      </c>
      <c r="AO24">
        <v>0</v>
      </c>
      <c r="AP24">
        <v>34301.160000000003</v>
      </c>
      <c r="AQ24">
        <v>34301.160000000003</v>
      </c>
      <c r="AR24">
        <v>0</v>
      </c>
      <c r="AS24">
        <v>0</v>
      </c>
      <c r="AT24">
        <v>0</v>
      </c>
      <c r="AU24">
        <v>0</v>
      </c>
      <c r="AV24">
        <f>Table1[[#This Row],[CGST]]+Table1[[#This Row],[IGST]]+Table1[[#This Row],[SGST]]</f>
        <v>34301.160000000003</v>
      </c>
      <c r="AW24">
        <f t="shared" si="1"/>
        <v>172</v>
      </c>
      <c r="AX24">
        <v>0</v>
      </c>
      <c r="AY24">
        <v>224863.16</v>
      </c>
      <c r="AZ24" t="s">
        <v>125</v>
      </c>
      <c r="BA24" t="s">
        <v>10</v>
      </c>
      <c r="BB24" t="s">
        <v>126</v>
      </c>
      <c r="BC24" t="s">
        <v>127</v>
      </c>
      <c r="BD24" t="s">
        <v>128</v>
      </c>
      <c r="BE24" t="s">
        <v>32</v>
      </c>
      <c r="BF24" t="s">
        <v>221</v>
      </c>
      <c r="BH24">
        <v>0</v>
      </c>
    </row>
    <row r="25" spans="1:60" x14ac:dyDescent="0.25">
      <c r="A25" t="s">
        <v>120</v>
      </c>
      <c r="B25" t="s">
        <v>121</v>
      </c>
      <c r="C25">
        <v>1234</v>
      </c>
      <c r="D25" t="s">
        <v>222</v>
      </c>
      <c r="E2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5" t="s">
        <v>8</v>
      </c>
      <c r="G25" t="s">
        <v>222</v>
      </c>
      <c r="H25" t="str">
        <f t="shared" si="0"/>
        <v>SI-2/1900-1771</v>
      </c>
      <c r="I25" t="s">
        <v>122</v>
      </c>
      <c r="J25" t="s">
        <v>122</v>
      </c>
      <c r="K25" t="s">
        <v>122</v>
      </c>
      <c r="L25" t="s">
        <v>122</v>
      </c>
      <c r="M25" s="21">
        <v>44593</v>
      </c>
      <c r="N25" t="s">
        <v>123</v>
      </c>
      <c r="O25" t="s">
        <v>198</v>
      </c>
      <c r="P25" t="s">
        <v>199</v>
      </c>
      <c r="Q25" t="s">
        <v>122</v>
      </c>
      <c r="R25" t="s">
        <v>122</v>
      </c>
      <c r="U25">
        <v>1234</v>
      </c>
      <c r="V25">
        <v>0</v>
      </c>
      <c r="W25" t="s">
        <v>200</v>
      </c>
      <c r="X25" t="s">
        <v>9</v>
      </c>
      <c r="Y25" t="s">
        <v>60</v>
      </c>
      <c r="Z25" t="s">
        <v>122</v>
      </c>
      <c r="AA25" t="s">
        <v>122</v>
      </c>
      <c r="AB25" t="s">
        <v>122</v>
      </c>
      <c r="AC25" t="s">
        <v>122</v>
      </c>
      <c r="AF25">
        <v>180</v>
      </c>
      <c r="AG25">
        <v>100</v>
      </c>
      <c r="AH25" t="s">
        <v>124</v>
      </c>
      <c r="AI25">
        <v>1</v>
      </c>
      <c r="AJ25">
        <v>18000</v>
      </c>
      <c r="AK25">
        <v>18000</v>
      </c>
      <c r="AL25">
        <v>0</v>
      </c>
      <c r="AM25">
        <v>0</v>
      </c>
      <c r="AN25">
        <v>0</v>
      </c>
      <c r="AO25">
        <v>0</v>
      </c>
      <c r="AP25">
        <v>23476.39</v>
      </c>
      <c r="AQ25">
        <v>23476.39</v>
      </c>
      <c r="AR25">
        <v>0</v>
      </c>
      <c r="AS25">
        <v>0</v>
      </c>
      <c r="AT25">
        <v>0</v>
      </c>
      <c r="AU25">
        <v>0</v>
      </c>
      <c r="AV25">
        <f>Table1[[#This Row],[CGST]]+Table1[[#This Row],[IGST]]+Table1[[#This Row],[SGST]]</f>
        <v>23476.39</v>
      </c>
      <c r="AW25">
        <f t="shared" si="1"/>
        <v>130</v>
      </c>
      <c r="AX25">
        <v>0</v>
      </c>
      <c r="AY25">
        <v>153900.79</v>
      </c>
      <c r="AZ25" t="s">
        <v>125</v>
      </c>
      <c r="BA25" t="s">
        <v>10</v>
      </c>
      <c r="BB25" t="s">
        <v>126</v>
      </c>
      <c r="BC25" t="s">
        <v>127</v>
      </c>
      <c r="BD25" t="s">
        <v>128</v>
      </c>
      <c r="BE25" t="s">
        <v>32</v>
      </c>
      <c r="BF25" t="s">
        <v>221</v>
      </c>
      <c r="BH25">
        <v>0</v>
      </c>
    </row>
    <row r="26" spans="1:60" x14ac:dyDescent="0.25">
      <c r="A26" t="s">
        <v>120</v>
      </c>
      <c r="B26" t="s">
        <v>121</v>
      </c>
      <c r="C26">
        <v>1234</v>
      </c>
      <c r="D26" t="s">
        <v>222</v>
      </c>
      <c r="E2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6" t="s">
        <v>8</v>
      </c>
      <c r="G26" t="s">
        <v>222</v>
      </c>
      <c r="H26" t="str">
        <f t="shared" si="0"/>
        <v>SI-2/1900-1771</v>
      </c>
      <c r="I26" t="s">
        <v>122</v>
      </c>
      <c r="J26" t="s">
        <v>122</v>
      </c>
      <c r="K26" t="s">
        <v>122</v>
      </c>
      <c r="L26" t="s">
        <v>122</v>
      </c>
      <c r="M26" s="21">
        <v>44593</v>
      </c>
      <c r="N26" t="s">
        <v>123</v>
      </c>
      <c r="O26" t="s">
        <v>198</v>
      </c>
      <c r="P26" t="s">
        <v>199</v>
      </c>
      <c r="Q26" t="s">
        <v>122</v>
      </c>
      <c r="R26" t="s">
        <v>122</v>
      </c>
      <c r="U26">
        <v>1234</v>
      </c>
      <c r="V26">
        <v>0</v>
      </c>
      <c r="W26" t="s">
        <v>200</v>
      </c>
      <c r="X26" t="s">
        <v>9</v>
      </c>
      <c r="Y26" t="s">
        <v>60</v>
      </c>
      <c r="Z26" t="s">
        <v>122</v>
      </c>
      <c r="AA26" t="s">
        <v>122</v>
      </c>
      <c r="AB26" t="s">
        <v>122</v>
      </c>
      <c r="AC26" t="s">
        <v>122</v>
      </c>
      <c r="AF26">
        <v>100</v>
      </c>
      <c r="AG26">
        <v>100</v>
      </c>
      <c r="AH26" t="s">
        <v>124</v>
      </c>
      <c r="AI26">
        <v>1</v>
      </c>
      <c r="AJ26">
        <v>10000</v>
      </c>
      <c r="AK26">
        <v>10000</v>
      </c>
      <c r="AL26">
        <v>0</v>
      </c>
      <c r="AM26">
        <v>0</v>
      </c>
      <c r="AN26">
        <v>0</v>
      </c>
      <c r="AO26">
        <v>0</v>
      </c>
      <c r="AP26">
        <v>12537</v>
      </c>
      <c r="AQ26">
        <v>12537</v>
      </c>
      <c r="AR26">
        <v>0</v>
      </c>
      <c r="AS26">
        <v>0</v>
      </c>
      <c r="AT26">
        <v>0</v>
      </c>
      <c r="AU26">
        <v>0</v>
      </c>
      <c r="AV26">
        <f>Table1[[#This Row],[CGST]]+Table1[[#This Row],[IGST]]+Table1[[#This Row],[SGST]]</f>
        <v>12537</v>
      </c>
      <c r="AW26">
        <f t="shared" si="1"/>
        <v>125</v>
      </c>
      <c r="AX26">
        <v>0</v>
      </c>
      <c r="AY26">
        <v>82187</v>
      </c>
      <c r="AZ26" t="s">
        <v>125</v>
      </c>
      <c r="BA26" t="s">
        <v>10</v>
      </c>
      <c r="BB26" t="s">
        <v>126</v>
      </c>
      <c r="BC26" t="s">
        <v>127</v>
      </c>
      <c r="BD26" t="s">
        <v>128</v>
      </c>
      <c r="BE26" t="s">
        <v>32</v>
      </c>
      <c r="BF26" t="s">
        <v>211</v>
      </c>
      <c r="BH26">
        <v>0</v>
      </c>
    </row>
    <row r="27" spans="1:60" x14ac:dyDescent="0.25">
      <c r="A27" t="s">
        <v>120</v>
      </c>
      <c r="B27" t="s">
        <v>121</v>
      </c>
      <c r="C27">
        <v>1234</v>
      </c>
      <c r="D27" t="s">
        <v>222</v>
      </c>
      <c r="E2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7" t="s">
        <v>8</v>
      </c>
      <c r="G27" t="s">
        <v>222</v>
      </c>
      <c r="H27" t="str">
        <f t="shared" si="0"/>
        <v>SI-2/1900-1771</v>
      </c>
      <c r="I27" t="s">
        <v>122</v>
      </c>
      <c r="J27" t="s">
        <v>122</v>
      </c>
      <c r="K27" t="s">
        <v>122</v>
      </c>
      <c r="L27" t="s">
        <v>122</v>
      </c>
      <c r="M27" s="21">
        <v>44593</v>
      </c>
      <c r="N27" t="s">
        <v>123</v>
      </c>
      <c r="O27" t="s">
        <v>198</v>
      </c>
      <c r="P27" t="s">
        <v>199</v>
      </c>
      <c r="Q27" t="s">
        <v>122</v>
      </c>
      <c r="R27" t="s">
        <v>122</v>
      </c>
      <c r="U27">
        <v>1234</v>
      </c>
      <c r="V27">
        <v>0</v>
      </c>
      <c r="W27" t="s">
        <v>200</v>
      </c>
      <c r="X27" t="s">
        <v>9</v>
      </c>
      <c r="Y27" t="s">
        <v>60</v>
      </c>
      <c r="Z27" t="s">
        <v>122</v>
      </c>
      <c r="AA27" t="s">
        <v>122</v>
      </c>
      <c r="AB27" t="s">
        <v>122</v>
      </c>
      <c r="AC27" t="s">
        <v>122</v>
      </c>
      <c r="AF27">
        <v>22</v>
      </c>
      <c r="AG27">
        <v>100</v>
      </c>
      <c r="AH27" t="s">
        <v>124</v>
      </c>
      <c r="AI27">
        <v>1</v>
      </c>
      <c r="AJ27">
        <v>2200</v>
      </c>
      <c r="AK27">
        <v>2200</v>
      </c>
      <c r="AL27">
        <v>0</v>
      </c>
      <c r="AM27">
        <v>0</v>
      </c>
      <c r="AN27">
        <v>0</v>
      </c>
      <c r="AO27">
        <v>0</v>
      </c>
      <c r="AP27">
        <v>3846.59</v>
      </c>
      <c r="AQ27">
        <v>3846.59</v>
      </c>
      <c r="AR27">
        <v>0</v>
      </c>
      <c r="AS27">
        <v>0</v>
      </c>
      <c r="AT27">
        <v>0</v>
      </c>
      <c r="AU27">
        <v>0</v>
      </c>
      <c r="AV27">
        <f>Table1[[#This Row],[CGST]]+Table1[[#This Row],[IGST]]+Table1[[#This Row],[SGST]]</f>
        <v>3846.59</v>
      </c>
      <c r="AW27">
        <f t="shared" si="1"/>
        <v>175</v>
      </c>
      <c r="AX27">
        <v>0</v>
      </c>
      <c r="AY27">
        <v>25216.51</v>
      </c>
      <c r="AZ27" t="s">
        <v>125</v>
      </c>
      <c r="BA27" t="s">
        <v>10</v>
      </c>
      <c r="BB27" t="s">
        <v>126</v>
      </c>
      <c r="BC27" t="s">
        <v>127</v>
      </c>
      <c r="BD27" t="s">
        <v>128</v>
      </c>
      <c r="BE27" t="s">
        <v>32</v>
      </c>
      <c r="BF27" t="s">
        <v>211</v>
      </c>
      <c r="BH27">
        <v>0</v>
      </c>
    </row>
    <row r="28" spans="1:60" x14ac:dyDescent="0.25">
      <c r="A28" t="s">
        <v>120</v>
      </c>
      <c r="B28" t="s">
        <v>121</v>
      </c>
      <c r="C28">
        <v>1234</v>
      </c>
      <c r="D28" t="s">
        <v>223</v>
      </c>
      <c r="E2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8" t="s">
        <v>8</v>
      </c>
      <c r="G28" t="s">
        <v>223</v>
      </c>
      <c r="H28" t="str">
        <f t="shared" si="0"/>
        <v>SI-2/1900-1772</v>
      </c>
      <c r="I28" t="s">
        <v>122</v>
      </c>
      <c r="J28" t="s">
        <v>122</v>
      </c>
      <c r="K28" t="s">
        <v>122</v>
      </c>
      <c r="L28" t="s">
        <v>122</v>
      </c>
      <c r="M28" s="21">
        <v>44593</v>
      </c>
      <c r="N28" t="s">
        <v>123</v>
      </c>
      <c r="O28" t="s">
        <v>198</v>
      </c>
      <c r="P28" t="s">
        <v>199</v>
      </c>
      <c r="Q28" t="s">
        <v>122</v>
      </c>
      <c r="R28" t="s">
        <v>122</v>
      </c>
      <c r="U28">
        <v>1234</v>
      </c>
      <c r="V28">
        <v>0</v>
      </c>
      <c r="W28" t="s">
        <v>200</v>
      </c>
      <c r="X28" t="s">
        <v>9</v>
      </c>
      <c r="Y28" t="s">
        <v>60</v>
      </c>
      <c r="Z28" t="s">
        <v>122</v>
      </c>
      <c r="AA28" t="s">
        <v>122</v>
      </c>
      <c r="AB28" t="s">
        <v>122</v>
      </c>
      <c r="AC28" t="s">
        <v>122</v>
      </c>
      <c r="AF28">
        <v>400</v>
      </c>
      <c r="AG28">
        <v>100</v>
      </c>
      <c r="AH28" t="s">
        <v>124</v>
      </c>
      <c r="AI28">
        <v>1</v>
      </c>
      <c r="AJ28">
        <v>40000</v>
      </c>
      <c r="AK28">
        <v>40000</v>
      </c>
      <c r="AL28">
        <v>0</v>
      </c>
      <c r="AM28">
        <v>0</v>
      </c>
      <c r="AN28">
        <v>0</v>
      </c>
      <c r="AO28">
        <v>0</v>
      </c>
      <c r="AP28">
        <v>68602.320000000007</v>
      </c>
      <c r="AQ28">
        <v>68602.320000000007</v>
      </c>
      <c r="AR28">
        <v>0</v>
      </c>
      <c r="AS28">
        <v>0</v>
      </c>
      <c r="AT28">
        <v>0</v>
      </c>
      <c r="AU28">
        <v>0</v>
      </c>
      <c r="AV28">
        <f>Table1[[#This Row],[CGST]]+Table1[[#This Row],[IGST]]+Table1[[#This Row],[SGST]]</f>
        <v>68602.320000000007</v>
      </c>
      <c r="AW28">
        <f t="shared" si="1"/>
        <v>172</v>
      </c>
      <c r="AX28">
        <v>0</v>
      </c>
      <c r="AY28">
        <v>449726.32</v>
      </c>
      <c r="AZ28" t="s">
        <v>125</v>
      </c>
      <c r="BA28" t="s">
        <v>10</v>
      </c>
      <c r="BB28" t="s">
        <v>126</v>
      </c>
      <c r="BC28" t="s">
        <v>127</v>
      </c>
      <c r="BD28" t="s">
        <v>128</v>
      </c>
      <c r="BE28" t="s">
        <v>16</v>
      </c>
      <c r="BF28" t="s">
        <v>211</v>
      </c>
      <c r="BH28">
        <v>0</v>
      </c>
    </row>
    <row r="29" spans="1:60" x14ac:dyDescent="0.25">
      <c r="A29" t="s">
        <v>120</v>
      </c>
      <c r="B29" t="s">
        <v>121</v>
      </c>
      <c r="C29">
        <v>1234</v>
      </c>
      <c r="D29" t="s">
        <v>223</v>
      </c>
      <c r="E2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9" t="s">
        <v>8</v>
      </c>
      <c r="G29" t="s">
        <v>223</v>
      </c>
      <c r="H29" t="str">
        <f t="shared" si="0"/>
        <v>SI-2/1900-1772</v>
      </c>
      <c r="I29" t="s">
        <v>122</v>
      </c>
      <c r="J29" t="s">
        <v>122</v>
      </c>
      <c r="K29" t="s">
        <v>122</v>
      </c>
      <c r="L29" t="s">
        <v>122</v>
      </c>
      <c r="M29" s="21">
        <v>44593</v>
      </c>
      <c r="N29" t="s">
        <v>123</v>
      </c>
      <c r="O29" t="s">
        <v>198</v>
      </c>
      <c r="P29" t="s">
        <v>199</v>
      </c>
      <c r="Q29" t="s">
        <v>122</v>
      </c>
      <c r="R29" t="s">
        <v>122</v>
      </c>
      <c r="U29">
        <v>1234</v>
      </c>
      <c r="V29">
        <v>0</v>
      </c>
      <c r="W29" t="s">
        <v>200</v>
      </c>
      <c r="X29" t="s">
        <v>9</v>
      </c>
      <c r="Y29" t="s">
        <v>60</v>
      </c>
      <c r="Z29" t="s">
        <v>122</v>
      </c>
      <c r="AA29" t="s">
        <v>122</v>
      </c>
      <c r="AB29" t="s">
        <v>122</v>
      </c>
      <c r="AC29" t="s">
        <v>122</v>
      </c>
      <c r="AF29">
        <v>400</v>
      </c>
      <c r="AG29">
        <v>100</v>
      </c>
      <c r="AH29" t="s">
        <v>124</v>
      </c>
      <c r="AI29">
        <v>1</v>
      </c>
      <c r="AJ29">
        <v>40000</v>
      </c>
      <c r="AK29">
        <v>40000</v>
      </c>
      <c r="AL29">
        <v>0</v>
      </c>
      <c r="AM29">
        <v>0</v>
      </c>
      <c r="AN29">
        <v>0</v>
      </c>
      <c r="AO29">
        <v>0</v>
      </c>
      <c r="AP29">
        <v>54095.040000000001</v>
      </c>
      <c r="AQ29">
        <v>54095.040000000001</v>
      </c>
      <c r="AR29">
        <v>0</v>
      </c>
      <c r="AS29">
        <v>0</v>
      </c>
      <c r="AT29">
        <v>0</v>
      </c>
      <c r="AU29">
        <v>0</v>
      </c>
      <c r="AV29">
        <f>Table1[[#This Row],[CGST]]+Table1[[#This Row],[IGST]]+Table1[[#This Row],[SGST]]</f>
        <v>54095.040000000001</v>
      </c>
      <c r="AW29">
        <f t="shared" si="1"/>
        <v>135</v>
      </c>
      <c r="AX29">
        <v>0</v>
      </c>
      <c r="AY29">
        <v>354623.04</v>
      </c>
      <c r="AZ29" t="s">
        <v>125</v>
      </c>
      <c r="BA29" t="s">
        <v>10</v>
      </c>
      <c r="BB29" t="s">
        <v>126</v>
      </c>
      <c r="BC29" t="s">
        <v>127</v>
      </c>
      <c r="BD29" t="s">
        <v>128</v>
      </c>
      <c r="BE29" t="s">
        <v>16</v>
      </c>
      <c r="BF29" t="s">
        <v>205</v>
      </c>
      <c r="BH29">
        <v>0</v>
      </c>
    </row>
    <row r="30" spans="1:60" x14ac:dyDescent="0.25">
      <c r="A30" t="s">
        <v>120</v>
      </c>
      <c r="B30" t="s">
        <v>121</v>
      </c>
      <c r="C30">
        <v>1234</v>
      </c>
      <c r="D30" t="s">
        <v>223</v>
      </c>
      <c r="E3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30" t="s">
        <v>8</v>
      </c>
      <c r="G30" t="s">
        <v>223</v>
      </c>
      <c r="H30" t="str">
        <f t="shared" si="0"/>
        <v>SI-2/1900-1772</v>
      </c>
      <c r="I30" t="s">
        <v>122</v>
      </c>
      <c r="J30" t="s">
        <v>122</v>
      </c>
      <c r="K30" t="s">
        <v>122</v>
      </c>
      <c r="L30" t="s">
        <v>122</v>
      </c>
      <c r="M30" s="21">
        <v>44593</v>
      </c>
      <c r="N30" t="s">
        <v>123</v>
      </c>
      <c r="O30" t="s">
        <v>198</v>
      </c>
      <c r="P30" t="s">
        <v>199</v>
      </c>
      <c r="Q30" t="s">
        <v>122</v>
      </c>
      <c r="R30" t="s">
        <v>122</v>
      </c>
      <c r="U30">
        <v>1234</v>
      </c>
      <c r="V30">
        <v>0</v>
      </c>
      <c r="W30" t="s">
        <v>200</v>
      </c>
      <c r="X30" t="s">
        <v>9</v>
      </c>
      <c r="Y30" t="s">
        <v>60</v>
      </c>
      <c r="Z30" t="s">
        <v>122</v>
      </c>
      <c r="AA30" t="s">
        <v>122</v>
      </c>
      <c r="AB30" t="s">
        <v>122</v>
      </c>
      <c r="AC30" t="s">
        <v>122</v>
      </c>
      <c r="AF30">
        <v>50</v>
      </c>
      <c r="AG30">
        <v>100</v>
      </c>
      <c r="AH30" t="s">
        <v>124</v>
      </c>
      <c r="AI30">
        <v>1</v>
      </c>
      <c r="AJ30">
        <v>5000</v>
      </c>
      <c r="AK30">
        <v>5000</v>
      </c>
      <c r="AL30">
        <v>0</v>
      </c>
      <c r="AM30">
        <v>0</v>
      </c>
      <c r="AN30">
        <v>0</v>
      </c>
      <c r="AO30">
        <v>0</v>
      </c>
      <c r="AP30">
        <v>6268.5</v>
      </c>
      <c r="AQ30">
        <v>6268.5</v>
      </c>
      <c r="AR30">
        <v>0</v>
      </c>
      <c r="AS30">
        <v>0</v>
      </c>
      <c r="AT30">
        <v>0</v>
      </c>
      <c r="AU30">
        <v>0</v>
      </c>
      <c r="AV30">
        <f>Table1[[#This Row],[CGST]]+Table1[[#This Row],[IGST]]+Table1[[#This Row],[SGST]]</f>
        <v>6268.5</v>
      </c>
      <c r="AW30">
        <f t="shared" si="1"/>
        <v>125</v>
      </c>
      <c r="AX30">
        <v>0</v>
      </c>
      <c r="AY30">
        <v>41093.5</v>
      </c>
      <c r="AZ30" t="s">
        <v>125</v>
      </c>
      <c r="BA30" t="s">
        <v>10</v>
      </c>
      <c r="BB30" t="s">
        <v>126</v>
      </c>
      <c r="BC30" t="s">
        <v>127</v>
      </c>
      <c r="BD30" t="s">
        <v>128</v>
      </c>
      <c r="BE30" t="s">
        <v>16</v>
      </c>
      <c r="BF30" t="s">
        <v>205</v>
      </c>
      <c r="BH30">
        <v>0</v>
      </c>
    </row>
    <row r="31" spans="1:60" x14ac:dyDescent="0.25">
      <c r="A31" t="s">
        <v>120</v>
      </c>
      <c r="B31" t="s">
        <v>121</v>
      </c>
      <c r="C31">
        <v>1234</v>
      </c>
      <c r="D31" t="s">
        <v>224</v>
      </c>
      <c r="E3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31" t="s">
        <v>8</v>
      </c>
      <c r="G31" t="s">
        <v>224</v>
      </c>
      <c r="H31" t="str">
        <f t="shared" si="0"/>
        <v>SI-2/1900-1773</v>
      </c>
      <c r="I31" t="s">
        <v>122</v>
      </c>
      <c r="J31" t="s">
        <v>122</v>
      </c>
      <c r="K31" t="s">
        <v>122</v>
      </c>
      <c r="L31" t="s">
        <v>122</v>
      </c>
      <c r="M31" s="21">
        <v>44593</v>
      </c>
      <c r="N31" t="s">
        <v>123</v>
      </c>
      <c r="O31" t="s">
        <v>198</v>
      </c>
      <c r="P31" t="s">
        <v>199</v>
      </c>
      <c r="Q31" t="s">
        <v>122</v>
      </c>
      <c r="R31" t="s">
        <v>122</v>
      </c>
      <c r="U31">
        <v>1234</v>
      </c>
      <c r="V31">
        <v>0</v>
      </c>
      <c r="W31" t="s">
        <v>200</v>
      </c>
      <c r="X31" t="s">
        <v>9</v>
      </c>
      <c r="Y31" t="s">
        <v>60</v>
      </c>
      <c r="Z31" t="s">
        <v>122</v>
      </c>
      <c r="AA31" t="s">
        <v>122</v>
      </c>
      <c r="AB31" t="s">
        <v>122</v>
      </c>
      <c r="AC31" t="s">
        <v>122</v>
      </c>
      <c r="AF31">
        <v>1050</v>
      </c>
      <c r="AG31">
        <v>100</v>
      </c>
      <c r="AH31" t="s">
        <v>124</v>
      </c>
      <c r="AI31">
        <v>1</v>
      </c>
      <c r="AJ31">
        <v>105000</v>
      </c>
      <c r="AK31">
        <v>105000</v>
      </c>
      <c r="AL31">
        <v>0</v>
      </c>
      <c r="AM31">
        <v>0</v>
      </c>
      <c r="AN31">
        <v>0</v>
      </c>
      <c r="AO31">
        <v>0</v>
      </c>
      <c r="AP31">
        <v>136945.62</v>
      </c>
      <c r="AQ31">
        <v>136945.62</v>
      </c>
      <c r="AR31">
        <v>0</v>
      </c>
      <c r="AS31">
        <v>0</v>
      </c>
      <c r="AT31">
        <v>0</v>
      </c>
      <c r="AU31">
        <v>0</v>
      </c>
      <c r="AV31">
        <f>Table1[[#This Row],[CGST]]+Table1[[#This Row],[IGST]]+Table1[[#This Row],[SGST]]</f>
        <v>136945.62</v>
      </c>
      <c r="AW31">
        <f t="shared" si="1"/>
        <v>130</v>
      </c>
      <c r="AX31">
        <v>0</v>
      </c>
      <c r="AY31">
        <v>897754.62</v>
      </c>
      <c r="AZ31" t="s">
        <v>125</v>
      </c>
      <c r="BA31" t="s">
        <v>10</v>
      </c>
      <c r="BB31" t="s">
        <v>126</v>
      </c>
      <c r="BC31" t="s">
        <v>127</v>
      </c>
      <c r="BD31" t="s">
        <v>128</v>
      </c>
      <c r="BE31" t="s">
        <v>13</v>
      </c>
      <c r="BF31" t="s">
        <v>218</v>
      </c>
      <c r="BH31">
        <v>0</v>
      </c>
    </row>
    <row r="32" spans="1:60" x14ac:dyDescent="0.25">
      <c r="A32" t="s">
        <v>120</v>
      </c>
      <c r="B32" t="s">
        <v>121</v>
      </c>
      <c r="C32">
        <v>1234</v>
      </c>
      <c r="D32" t="s">
        <v>224</v>
      </c>
      <c r="E3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32" t="s">
        <v>8</v>
      </c>
      <c r="G32" t="s">
        <v>224</v>
      </c>
      <c r="H32" t="str">
        <f t="shared" si="0"/>
        <v>SI-2/1900-1773</v>
      </c>
      <c r="I32" t="s">
        <v>122</v>
      </c>
      <c r="J32" t="s">
        <v>122</v>
      </c>
      <c r="K32" t="s">
        <v>122</v>
      </c>
      <c r="L32" t="s">
        <v>122</v>
      </c>
      <c r="M32" s="21">
        <v>44593</v>
      </c>
      <c r="N32" t="s">
        <v>123</v>
      </c>
      <c r="O32" t="s">
        <v>198</v>
      </c>
      <c r="P32" t="s">
        <v>199</v>
      </c>
      <c r="Q32" t="s">
        <v>122</v>
      </c>
      <c r="R32" t="s">
        <v>122</v>
      </c>
      <c r="U32">
        <v>1234</v>
      </c>
      <c r="V32">
        <v>0</v>
      </c>
      <c r="W32" t="s">
        <v>200</v>
      </c>
      <c r="X32" t="s">
        <v>9</v>
      </c>
      <c r="Y32" t="s">
        <v>60</v>
      </c>
      <c r="Z32" t="s">
        <v>122</v>
      </c>
      <c r="AA32" t="s">
        <v>122</v>
      </c>
      <c r="AB32" t="s">
        <v>122</v>
      </c>
      <c r="AC32" t="s">
        <v>122</v>
      </c>
      <c r="AF32">
        <v>50</v>
      </c>
      <c r="AG32">
        <v>100</v>
      </c>
      <c r="AH32" t="s">
        <v>124</v>
      </c>
      <c r="AI32">
        <v>1</v>
      </c>
      <c r="AJ32">
        <v>5000</v>
      </c>
      <c r="AK32">
        <v>5000</v>
      </c>
      <c r="AL32">
        <v>0</v>
      </c>
      <c r="AM32">
        <v>0</v>
      </c>
      <c r="AN32">
        <v>0</v>
      </c>
      <c r="AO32">
        <v>0</v>
      </c>
      <c r="AP32">
        <v>6268.5</v>
      </c>
      <c r="AQ32">
        <v>6268.5</v>
      </c>
      <c r="AR32">
        <v>0</v>
      </c>
      <c r="AS32">
        <v>0</v>
      </c>
      <c r="AT32">
        <v>0</v>
      </c>
      <c r="AU32">
        <v>0</v>
      </c>
      <c r="AV32">
        <f>Table1[[#This Row],[CGST]]+Table1[[#This Row],[IGST]]+Table1[[#This Row],[SGST]]</f>
        <v>6268.5</v>
      </c>
      <c r="AW32">
        <f t="shared" si="1"/>
        <v>125</v>
      </c>
      <c r="AX32">
        <v>0</v>
      </c>
      <c r="AY32">
        <v>41093.5</v>
      </c>
      <c r="AZ32" t="s">
        <v>125</v>
      </c>
      <c r="BA32" t="s">
        <v>10</v>
      </c>
      <c r="BB32" t="s">
        <v>126</v>
      </c>
      <c r="BC32" t="s">
        <v>127</v>
      </c>
      <c r="BD32" t="s">
        <v>128</v>
      </c>
      <c r="BE32" t="s">
        <v>13</v>
      </c>
      <c r="BF32" t="s">
        <v>218</v>
      </c>
      <c r="BH32">
        <v>0</v>
      </c>
    </row>
    <row r="33" spans="1:60" x14ac:dyDescent="0.25">
      <c r="A33" t="s">
        <v>120</v>
      </c>
      <c r="B33" t="s">
        <v>121</v>
      </c>
      <c r="C33">
        <v>1234</v>
      </c>
      <c r="D33" t="s">
        <v>225</v>
      </c>
      <c r="E3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33" t="s">
        <v>8</v>
      </c>
      <c r="G33" t="s">
        <v>225</v>
      </c>
      <c r="H33" t="str">
        <f t="shared" si="0"/>
        <v>SI-2/1900-1774</v>
      </c>
      <c r="I33" t="s">
        <v>122</v>
      </c>
      <c r="J33" t="s">
        <v>122</v>
      </c>
      <c r="K33" t="s">
        <v>122</v>
      </c>
      <c r="L33" t="s">
        <v>122</v>
      </c>
      <c r="M33" s="21">
        <v>44593</v>
      </c>
      <c r="N33" t="s">
        <v>123</v>
      </c>
      <c r="O33" t="s">
        <v>198</v>
      </c>
      <c r="P33" t="s">
        <v>199</v>
      </c>
      <c r="Q33" t="s">
        <v>122</v>
      </c>
      <c r="R33" t="s">
        <v>122</v>
      </c>
      <c r="U33">
        <v>1234</v>
      </c>
      <c r="V33">
        <v>0</v>
      </c>
      <c r="W33" t="s">
        <v>200</v>
      </c>
      <c r="X33" t="s">
        <v>9</v>
      </c>
      <c r="Y33" t="s">
        <v>60</v>
      </c>
      <c r="Z33" t="s">
        <v>122</v>
      </c>
      <c r="AA33" t="s">
        <v>122</v>
      </c>
      <c r="AB33" t="s">
        <v>122</v>
      </c>
      <c r="AC33" t="s">
        <v>122</v>
      </c>
      <c r="AF33">
        <v>500</v>
      </c>
      <c r="AG33">
        <v>100</v>
      </c>
      <c r="AH33" t="s">
        <v>124</v>
      </c>
      <c r="AI33">
        <v>1</v>
      </c>
      <c r="AJ33">
        <v>50000</v>
      </c>
      <c r="AK33">
        <v>50000</v>
      </c>
      <c r="AL33">
        <v>0</v>
      </c>
      <c r="AM33">
        <v>0</v>
      </c>
      <c r="AN33">
        <v>0</v>
      </c>
      <c r="AO33">
        <v>0</v>
      </c>
      <c r="AP33">
        <v>85752.9</v>
      </c>
      <c r="AQ33">
        <v>85752.9</v>
      </c>
      <c r="AR33">
        <v>0</v>
      </c>
      <c r="AS33">
        <v>0</v>
      </c>
      <c r="AT33">
        <v>0</v>
      </c>
      <c r="AU33">
        <v>0</v>
      </c>
      <c r="AV33">
        <f>Table1[[#This Row],[CGST]]+Table1[[#This Row],[IGST]]+Table1[[#This Row],[SGST]]</f>
        <v>85752.9</v>
      </c>
      <c r="AW33">
        <f t="shared" si="1"/>
        <v>172</v>
      </c>
      <c r="AX33">
        <v>0</v>
      </c>
      <c r="AY33">
        <v>562157.9</v>
      </c>
      <c r="AZ33" t="s">
        <v>125</v>
      </c>
      <c r="BA33" t="s">
        <v>10</v>
      </c>
      <c r="BB33" t="s">
        <v>126</v>
      </c>
      <c r="BC33" t="s">
        <v>127</v>
      </c>
      <c r="BD33" t="s">
        <v>128</v>
      </c>
      <c r="BE33" t="s">
        <v>16</v>
      </c>
      <c r="BF33" t="s">
        <v>207</v>
      </c>
      <c r="BH33">
        <v>0</v>
      </c>
    </row>
    <row r="34" spans="1:60" x14ac:dyDescent="0.25">
      <c r="A34" t="s">
        <v>120</v>
      </c>
      <c r="B34" t="s">
        <v>121</v>
      </c>
      <c r="C34">
        <v>1234</v>
      </c>
      <c r="D34" t="s">
        <v>225</v>
      </c>
      <c r="E3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34" t="s">
        <v>8</v>
      </c>
      <c r="G34" t="s">
        <v>225</v>
      </c>
      <c r="H34" t="str">
        <f t="shared" si="0"/>
        <v>SI-2/1900-1774</v>
      </c>
      <c r="I34" t="s">
        <v>122</v>
      </c>
      <c r="J34" t="s">
        <v>122</v>
      </c>
      <c r="K34" t="s">
        <v>122</v>
      </c>
      <c r="L34" t="s">
        <v>122</v>
      </c>
      <c r="M34" s="21">
        <v>44593</v>
      </c>
      <c r="N34" t="s">
        <v>123</v>
      </c>
      <c r="O34" t="s">
        <v>198</v>
      </c>
      <c r="P34" t="s">
        <v>199</v>
      </c>
      <c r="Q34" t="s">
        <v>122</v>
      </c>
      <c r="R34" t="s">
        <v>122</v>
      </c>
      <c r="U34">
        <v>1234</v>
      </c>
      <c r="V34">
        <v>0</v>
      </c>
      <c r="W34" t="s">
        <v>200</v>
      </c>
      <c r="X34" t="s">
        <v>9</v>
      </c>
      <c r="Y34" t="s">
        <v>60</v>
      </c>
      <c r="Z34" t="s">
        <v>122</v>
      </c>
      <c r="AA34" t="s">
        <v>122</v>
      </c>
      <c r="AB34" t="s">
        <v>122</v>
      </c>
      <c r="AC34" t="s">
        <v>122</v>
      </c>
      <c r="AF34">
        <v>300</v>
      </c>
      <c r="AG34">
        <v>100</v>
      </c>
      <c r="AH34" t="s">
        <v>124</v>
      </c>
      <c r="AI34">
        <v>1</v>
      </c>
      <c r="AJ34">
        <v>30000</v>
      </c>
      <c r="AK34">
        <v>30000</v>
      </c>
      <c r="AL34">
        <v>0</v>
      </c>
      <c r="AM34">
        <v>0</v>
      </c>
      <c r="AN34">
        <v>0</v>
      </c>
      <c r="AO34">
        <v>0</v>
      </c>
      <c r="AP34">
        <v>40571.279999999999</v>
      </c>
      <c r="AQ34">
        <v>40571.279999999999</v>
      </c>
      <c r="AR34">
        <v>0</v>
      </c>
      <c r="AS34">
        <v>0</v>
      </c>
      <c r="AT34">
        <v>0</v>
      </c>
      <c r="AU34">
        <v>0</v>
      </c>
      <c r="AV34">
        <f>Table1[[#This Row],[CGST]]+Table1[[#This Row],[IGST]]+Table1[[#This Row],[SGST]]</f>
        <v>40571.279999999999</v>
      </c>
      <c r="AW34">
        <f t="shared" si="1"/>
        <v>135</v>
      </c>
      <c r="AX34">
        <v>0</v>
      </c>
      <c r="AY34">
        <v>265967.28000000003</v>
      </c>
      <c r="AZ34" t="s">
        <v>125</v>
      </c>
      <c r="BA34" t="s">
        <v>10</v>
      </c>
      <c r="BB34" t="s">
        <v>126</v>
      </c>
      <c r="BC34" t="s">
        <v>127</v>
      </c>
      <c r="BD34" t="s">
        <v>128</v>
      </c>
      <c r="BE34" t="s">
        <v>16</v>
      </c>
      <c r="BF34" t="s">
        <v>226</v>
      </c>
      <c r="BH34">
        <v>0</v>
      </c>
    </row>
    <row r="35" spans="1:60" x14ac:dyDescent="0.25">
      <c r="A35" t="s">
        <v>120</v>
      </c>
      <c r="B35" t="s">
        <v>121</v>
      </c>
      <c r="C35">
        <v>1234</v>
      </c>
      <c r="D35" t="s">
        <v>227</v>
      </c>
      <c r="E3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35" t="s">
        <v>8</v>
      </c>
      <c r="G35" t="s">
        <v>227</v>
      </c>
      <c r="H35" t="str">
        <f t="shared" si="0"/>
        <v>SI-2/1900-1776</v>
      </c>
      <c r="I35" t="s">
        <v>122</v>
      </c>
      <c r="J35" t="s">
        <v>122</v>
      </c>
      <c r="K35" t="s">
        <v>122</v>
      </c>
      <c r="L35" t="s">
        <v>122</v>
      </c>
      <c r="M35" s="21">
        <v>44593</v>
      </c>
      <c r="N35" t="s">
        <v>123</v>
      </c>
      <c r="O35" t="s">
        <v>198</v>
      </c>
      <c r="P35" t="s">
        <v>199</v>
      </c>
      <c r="Q35" t="s">
        <v>122</v>
      </c>
      <c r="R35" t="s">
        <v>122</v>
      </c>
      <c r="U35">
        <v>1234</v>
      </c>
      <c r="V35">
        <v>0</v>
      </c>
      <c r="W35" t="s">
        <v>200</v>
      </c>
      <c r="X35" t="s">
        <v>9</v>
      </c>
      <c r="Y35" t="s">
        <v>60</v>
      </c>
      <c r="Z35" t="s">
        <v>122</v>
      </c>
      <c r="AA35" t="s">
        <v>122</v>
      </c>
      <c r="AB35" t="s">
        <v>122</v>
      </c>
      <c r="AC35" t="s">
        <v>122</v>
      </c>
      <c r="AF35">
        <v>370</v>
      </c>
      <c r="AG35">
        <v>100</v>
      </c>
      <c r="AH35" t="s">
        <v>124</v>
      </c>
      <c r="AI35">
        <v>1</v>
      </c>
      <c r="AJ35">
        <v>37000</v>
      </c>
      <c r="AK35">
        <v>37000</v>
      </c>
      <c r="AL35">
        <v>0</v>
      </c>
      <c r="AM35">
        <v>0</v>
      </c>
      <c r="AN35">
        <v>0</v>
      </c>
      <c r="AO35">
        <v>0</v>
      </c>
      <c r="AP35">
        <v>63457.15</v>
      </c>
      <c r="AQ35">
        <v>63457.15</v>
      </c>
      <c r="AR35">
        <v>0</v>
      </c>
      <c r="AS35">
        <v>0</v>
      </c>
      <c r="AT35">
        <v>0</v>
      </c>
      <c r="AU35">
        <v>0</v>
      </c>
      <c r="AV35">
        <f>Table1[[#This Row],[CGST]]+Table1[[#This Row],[IGST]]+Table1[[#This Row],[SGST]]</f>
        <v>63457.15</v>
      </c>
      <c r="AW35">
        <f t="shared" si="1"/>
        <v>172</v>
      </c>
      <c r="AX35">
        <v>0</v>
      </c>
      <c r="AY35">
        <v>415996.85</v>
      </c>
      <c r="AZ35" t="s">
        <v>125</v>
      </c>
      <c r="BA35" t="s">
        <v>10</v>
      </c>
      <c r="BB35" t="s">
        <v>126</v>
      </c>
      <c r="BC35" t="s">
        <v>127</v>
      </c>
      <c r="BD35" t="s">
        <v>128</v>
      </c>
      <c r="BE35" t="s">
        <v>18</v>
      </c>
      <c r="BF35" t="s">
        <v>226</v>
      </c>
      <c r="BH35">
        <v>0</v>
      </c>
    </row>
    <row r="36" spans="1:60" x14ac:dyDescent="0.25">
      <c r="A36" t="s">
        <v>120</v>
      </c>
      <c r="B36" t="s">
        <v>121</v>
      </c>
      <c r="C36">
        <v>1234</v>
      </c>
      <c r="D36" t="s">
        <v>228</v>
      </c>
      <c r="E3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36" t="s">
        <v>8</v>
      </c>
      <c r="G36" t="s">
        <v>228</v>
      </c>
      <c r="H36" t="str">
        <f t="shared" si="0"/>
        <v>SI-2/1900-1777</v>
      </c>
      <c r="I36" t="s">
        <v>122</v>
      </c>
      <c r="J36" t="s">
        <v>122</v>
      </c>
      <c r="K36" t="s">
        <v>122</v>
      </c>
      <c r="L36" t="s">
        <v>122</v>
      </c>
      <c r="M36" s="21">
        <v>44593</v>
      </c>
      <c r="N36" t="s">
        <v>123</v>
      </c>
      <c r="O36" t="s">
        <v>198</v>
      </c>
      <c r="P36" t="s">
        <v>199</v>
      </c>
      <c r="Q36" t="s">
        <v>122</v>
      </c>
      <c r="R36" t="s">
        <v>122</v>
      </c>
      <c r="U36">
        <v>1234</v>
      </c>
      <c r="V36">
        <v>0</v>
      </c>
      <c r="W36" t="s">
        <v>200</v>
      </c>
      <c r="X36" t="s">
        <v>9</v>
      </c>
      <c r="Y36" t="s">
        <v>60</v>
      </c>
      <c r="Z36" t="s">
        <v>122</v>
      </c>
      <c r="AA36" t="s">
        <v>122</v>
      </c>
      <c r="AB36" t="s">
        <v>122</v>
      </c>
      <c r="AC36" t="s">
        <v>122</v>
      </c>
      <c r="AF36">
        <v>900</v>
      </c>
      <c r="AG36">
        <v>100</v>
      </c>
      <c r="AH36" t="s">
        <v>124</v>
      </c>
      <c r="AI36">
        <v>1</v>
      </c>
      <c r="AJ36">
        <v>90000</v>
      </c>
      <c r="AK36">
        <v>90000</v>
      </c>
      <c r="AL36">
        <v>0</v>
      </c>
      <c r="AM36">
        <v>0</v>
      </c>
      <c r="AN36">
        <v>0</v>
      </c>
      <c r="AO36">
        <v>0</v>
      </c>
      <c r="AP36">
        <v>117381.96</v>
      </c>
      <c r="AQ36">
        <v>117381.96</v>
      </c>
      <c r="AR36">
        <v>0</v>
      </c>
      <c r="AS36">
        <v>0</v>
      </c>
      <c r="AT36">
        <v>0</v>
      </c>
      <c r="AU36">
        <v>0</v>
      </c>
      <c r="AV36">
        <f>Table1[[#This Row],[CGST]]+Table1[[#This Row],[IGST]]+Table1[[#This Row],[SGST]]</f>
        <v>117381.96</v>
      </c>
      <c r="AW36">
        <f t="shared" si="1"/>
        <v>130</v>
      </c>
      <c r="AX36">
        <v>0</v>
      </c>
      <c r="AY36">
        <v>769503.96</v>
      </c>
      <c r="AZ36" t="s">
        <v>125</v>
      </c>
      <c r="BA36" t="s">
        <v>10</v>
      </c>
      <c r="BB36" t="s">
        <v>126</v>
      </c>
      <c r="BC36" t="s">
        <v>127</v>
      </c>
      <c r="BD36" t="s">
        <v>128</v>
      </c>
      <c r="BE36" t="s">
        <v>19</v>
      </c>
      <c r="BF36" t="s">
        <v>203</v>
      </c>
      <c r="BH36">
        <v>0</v>
      </c>
    </row>
    <row r="37" spans="1:60" x14ac:dyDescent="0.25">
      <c r="A37" t="s">
        <v>120</v>
      </c>
      <c r="B37" t="s">
        <v>121</v>
      </c>
      <c r="C37">
        <v>1234</v>
      </c>
      <c r="D37" t="s">
        <v>228</v>
      </c>
      <c r="E3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37" t="s">
        <v>8</v>
      </c>
      <c r="G37" t="s">
        <v>228</v>
      </c>
      <c r="H37" t="str">
        <f t="shared" si="0"/>
        <v>SI-2/1900-1777</v>
      </c>
      <c r="I37" t="s">
        <v>122</v>
      </c>
      <c r="J37" t="s">
        <v>122</v>
      </c>
      <c r="K37" t="s">
        <v>122</v>
      </c>
      <c r="L37" t="s">
        <v>122</v>
      </c>
      <c r="M37" s="21">
        <v>44593</v>
      </c>
      <c r="N37" t="s">
        <v>123</v>
      </c>
      <c r="O37" t="s">
        <v>198</v>
      </c>
      <c r="P37" t="s">
        <v>199</v>
      </c>
      <c r="Q37" t="s">
        <v>122</v>
      </c>
      <c r="R37" t="s">
        <v>122</v>
      </c>
      <c r="U37">
        <v>1234</v>
      </c>
      <c r="V37">
        <v>0</v>
      </c>
      <c r="W37" t="s">
        <v>200</v>
      </c>
      <c r="X37" t="s">
        <v>9</v>
      </c>
      <c r="Y37" t="s">
        <v>60</v>
      </c>
      <c r="Z37" t="s">
        <v>122</v>
      </c>
      <c r="AA37" t="s">
        <v>122</v>
      </c>
      <c r="AB37" t="s">
        <v>122</v>
      </c>
      <c r="AC37" t="s">
        <v>122</v>
      </c>
      <c r="AF37">
        <v>50</v>
      </c>
      <c r="AG37">
        <v>100</v>
      </c>
      <c r="AH37" t="s">
        <v>124</v>
      </c>
      <c r="AI37">
        <v>1</v>
      </c>
      <c r="AJ37">
        <v>5000</v>
      </c>
      <c r="AK37">
        <v>5000</v>
      </c>
      <c r="AL37">
        <v>0</v>
      </c>
      <c r="AM37">
        <v>0</v>
      </c>
      <c r="AN37">
        <v>0</v>
      </c>
      <c r="AO37">
        <v>0</v>
      </c>
      <c r="AP37">
        <v>6268.5</v>
      </c>
      <c r="AQ37">
        <v>6268.5</v>
      </c>
      <c r="AR37">
        <v>0</v>
      </c>
      <c r="AS37">
        <v>0</v>
      </c>
      <c r="AT37">
        <v>0</v>
      </c>
      <c r="AU37">
        <v>0</v>
      </c>
      <c r="AV37">
        <f>Table1[[#This Row],[CGST]]+Table1[[#This Row],[IGST]]+Table1[[#This Row],[SGST]]</f>
        <v>6268.5</v>
      </c>
      <c r="AW37">
        <f t="shared" si="1"/>
        <v>125</v>
      </c>
      <c r="AX37">
        <v>0</v>
      </c>
      <c r="AY37">
        <v>41093.5</v>
      </c>
      <c r="AZ37" t="s">
        <v>125</v>
      </c>
      <c r="BA37" t="s">
        <v>10</v>
      </c>
      <c r="BB37" t="s">
        <v>126</v>
      </c>
      <c r="BC37" t="s">
        <v>127</v>
      </c>
      <c r="BD37" t="s">
        <v>128</v>
      </c>
      <c r="BE37" t="s">
        <v>19</v>
      </c>
      <c r="BF37" t="s">
        <v>203</v>
      </c>
      <c r="BH37">
        <v>0</v>
      </c>
    </row>
    <row r="38" spans="1:60" x14ac:dyDescent="0.25">
      <c r="A38" t="s">
        <v>120</v>
      </c>
      <c r="B38" t="s">
        <v>121</v>
      </c>
      <c r="C38">
        <v>1234</v>
      </c>
      <c r="D38" t="s">
        <v>229</v>
      </c>
      <c r="E3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38" t="s">
        <v>8</v>
      </c>
      <c r="G38" t="s">
        <v>229</v>
      </c>
      <c r="H38" t="str">
        <f t="shared" si="0"/>
        <v>SI-2/1900-1778</v>
      </c>
      <c r="I38" t="s">
        <v>122</v>
      </c>
      <c r="J38" t="s">
        <v>122</v>
      </c>
      <c r="K38" t="s">
        <v>122</v>
      </c>
      <c r="L38" t="s">
        <v>122</v>
      </c>
      <c r="M38" s="21">
        <v>44593</v>
      </c>
      <c r="N38" t="s">
        <v>123</v>
      </c>
      <c r="O38" t="s">
        <v>198</v>
      </c>
      <c r="P38" t="s">
        <v>199</v>
      </c>
      <c r="Q38" t="s">
        <v>122</v>
      </c>
      <c r="R38" t="s">
        <v>122</v>
      </c>
      <c r="U38">
        <v>1234</v>
      </c>
      <c r="V38">
        <v>0</v>
      </c>
      <c r="W38" t="s">
        <v>200</v>
      </c>
      <c r="X38" t="s">
        <v>9</v>
      </c>
      <c r="Y38" t="s">
        <v>60</v>
      </c>
      <c r="Z38" t="s">
        <v>122</v>
      </c>
      <c r="AA38" t="s">
        <v>122</v>
      </c>
      <c r="AB38" t="s">
        <v>122</v>
      </c>
      <c r="AC38" t="s">
        <v>122</v>
      </c>
      <c r="AF38">
        <v>400</v>
      </c>
      <c r="AG38">
        <v>100</v>
      </c>
      <c r="AH38" t="s">
        <v>124</v>
      </c>
      <c r="AI38">
        <v>1</v>
      </c>
      <c r="AJ38">
        <v>40000</v>
      </c>
      <c r="AK38">
        <v>40000</v>
      </c>
      <c r="AL38">
        <v>0</v>
      </c>
      <c r="AM38">
        <v>0</v>
      </c>
      <c r="AN38">
        <v>0</v>
      </c>
      <c r="AO38">
        <v>0</v>
      </c>
      <c r="AP38">
        <v>54095.040000000001</v>
      </c>
      <c r="AQ38">
        <v>54095.040000000001</v>
      </c>
      <c r="AR38">
        <v>0</v>
      </c>
      <c r="AS38">
        <v>0</v>
      </c>
      <c r="AT38">
        <v>0</v>
      </c>
      <c r="AU38">
        <v>0</v>
      </c>
      <c r="AV38">
        <f>Table1[[#This Row],[CGST]]+Table1[[#This Row],[IGST]]+Table1[[#This Row],[SGST]]</f>
        <v>54095.040000000001</v>
      </c>
      <c r="AW38">
        <f t="shared" si="1"/>
        <v>135</v>
      </c>
      <c r="AX38">
        <v>0</v>
      </c>
      <c r="AY38">
        <v>354623.04</v>
      </c>
      <c r="AZ38" t="s">
        <v>125</v>
      </c>
      <c r="BA38" t="s">
        <v>10</v>
      </c>
      <c r="BB38" t="s">
        <v>126</v>
      </c>
      <c r="BC38" t="s">
        <v>127</v>
      </c>
      <c r="BD38" t="s">
        <v>128</v>
      </c>
      <c r="BE38" t="s">
        <v>15</v>
      </c>
      <c r="BF38" t="s">
        <v>203</v>
      </c>
      <c r="BH38">
        <v>0</v>
      </c>
    </row>
    <row r="39" spans="1:60" x14ac:dyDescent="0.25">
      <c r="A39" t="s">
        <v>120</v>
      </c>
      <c r="B39" t="s">
        <v>121</v>
      </c>
      <c r="C39">
        <v>1234</v>
      </c>
      <c r="D39" t="s">
        <v>229</v>
      </c>
      <c r="E3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39" t="s">
        <v>8</v>
      </c>
      <c r="G39" t="s">
        <v>229</v>
      </c>
      <c r="H39" t="str">
        <f t="shared" si="0"/>
        <v>SI-2/1900-1778</v>
      </c>
      <c r="I39" t="s">
        <v>122</v>
      </c>
      <c r="J39" t="s">
        <v>122</v>
      </c>
      <c r="K39" t="s">
        <v>122</v>
      </c>
      <c r="L39" t="s">
        <v>122</v>
      </c>
      <c r="M39" s="21">
        <v>44593</v>
      </c>
      <c r="N39" t="s">
        <v>123</v>
      </c>
      <c r="O39" t="s">
        <v>198</v>
      </c>
      <c r="P39" t="s">
        <v>199</v>
      </c>
      <c r="Q39" t="s">
        <v>122</v>
      </c>
      <c r="R39" t="s">
        <v>122</v>
      </c>
      <c r="U39">
        <v>1234</v>
      </c>
      <c r="V39">
        <v>0</v>
      </c>
      <c r="W39" t="s">
        <v>200</v>
      </c>
      <c r="X39" t="s">
        <v>9</v>
      </c>
      <c r="Y39" t="s">
        <v>60</v>
      </c>
      <c r="Z39" t="s">
        <v>122</v>
      </c>
      <c r="AA39" t="s">
        <v>122</v>
      </c>
      <c r="AB39" t="s">
        <v>122</v>
      </c>
      <c r="AC39" t="s">
        <v>122</v>
      </c>
      <c r="AF39">
        <v>25</v>
      </c>
      <c r="AG39">
        <v>100</v>
      </c>
      <c r="AH39" t="s">
        <v>124</v>
      </c>
      <c r="AI39">
        <v>1</v>
      </c>
      <c r="AJ39">
        <v>2500</v>
      </c>
      <c r="AK39">
        <v>2500</v>
      </c>
      <c r="AL39">
        <v>0</v>
      </c>
      <c r="AM39">
        <v>0</v>
      </c>
      <c r="AN39">
        <v>0</v>
      </c>
      <c r="AO39">
        <v>0</v>
      </c>
      <c r="AP39">
        <v>3134.25</v>
      </c>
      <c r="AQ39">
        <v>3134.25</v>
      </c>
      <c r="AR39">
        <v>0</v>
      </c>
      <c r="AS39">
        <v>0</v>
      </c>
      <c r="AT39">
        <v>0</v>
      </c>
      <c r="AU39">
        <v>0</v>
      </c>
      <c r="AV39">
        <f>Table1[[#This Row],[CGST]]+Table1[[#This Row],[IGST]]+Table1[[#This Row],[SGST]]</f>
        <v>3134.25</v>
      </c>
      <c r="AW39">
        <f t="shared" si="1"/>
        <v>125</v>
      </c>
      <c r="AX39">
        <v>0</v>
      </c>
      <c r="AY39">
        <v>20546.75</v>
      </c>
      <c r="AZ39" t="s">
        <v>125</v>
      </c>
      <c r="BA39" t="s">
        <v>10</v>
      </c>
      <c r="BB39" t="s">
        <v>126</v>
      </c>
      <c r="BC39" t="s">
        <v>127</v>
      </c>
      <c r="BD39" t="s">
        <v>128</v>
      </c>
      <c r="BE39" t="s">
        <v>15</v>
      </c>
      <c r="BF39" t="s">
        <v>203</v>
      </c>
      <c r="BH39">
        <v>0</v>
      </c>
    </row>
    <row r="40" spans="1:60" x14ac:dyDescent="0.25">
      <c r="A40" t="s">
        <v>120</v>
      </c>
      <c r="B40" t="s">
        <v>121</v>
      </c>
      <c r="C40">
        <v>1234</v>
      </c>
      <c r="D40" t="s">
        <v>229</v>
      </c>
      <c r="E4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40" t="s">
        <v>8</v>
      </c>
      <c r="G40" t="s">
        <v>229</v>
      </c>
      <c r="H40" t="str">
        <f t="shared" si="0"/>
        <v>SI-2/1900-1778</v>
      </c>
      <c r="I40" t="s">
        <v>122</v>
      </c>
      <c r="J40" t="s">
        <v>122</v>
      </c>
      <c r="K40" t="s">
        <v>122</v>
      </c>
      <c r="L40" t="s">
        <v>122</v>
      </c>
      <c r="M40" s="21">
        <v>44593</v>
      </c>
      <c r="N40" t="s">
        <v>123</v>
      </c>
      <c r="O40" t="s">
        <v>198</v>
      </c>
      <c r="P40" t="s">
        <v>199</v>
      </c>
      <c r="Q40" t="s">
        <v>122</v>
      </c>
      <c r="R40" t="s">
        <v>122</v>
      </c>
      <c r="U40">
        <v>1234</v>
      </c>
      <c r="V40">
        <v>0</v>
      </c>
      <c r="W40" t="s">
        <v>200</v>
      </c>
      <c r="X40" t="s">
        <v>9</v>
      </c>
      <c r="Y40" t="s">
        <v>60</v>
      </c>
      <c r="Z40" t="s">
        <v>122</v>
      </c>
      <c r="AA40" t="s">
        <v>122</v>
      </c>
      <c r="AB40" t="s">
        <v>122</v>
      </c>
      <c r="AC40" t="s">
        <v>122</v>
      </c>
      <c r="AF40">
        <v>100</v>
      </c>
      <c r="AG40">
        <v>100</v>
      </c>
      <c r="AH40" t="s">
        <v>124</v>
      </c>
      <c r="AI40">
        <v>1</v>
      </c>
      <c r="AJ40">
        <v>10000</v>
      </c>
      <c r="AK40">
        <v>10000</v>
      </c>
      <c r="AL40">
        <v>0</v>
      </c>
      <c r="AM40">
        <v>0</v>
      </c>
      <c r="AN40">
        <v>0</v>
      </c>
      <c r="AO40">
        <v>0</v>
      </c>
      <c r="AP40">
        <v>19522.8</v>
      </c>
      <c r="AQ40">
        <v>19522.8</v>
      </c>
      <c r="AR40">
        <v>0</v>
      </c>
      <c r="AS40">
        <v>0</v>
      </c>
      <c r="AT40">
        <v>0</v>
      </c>
      <c r="AU40">
        <v>0</v>
      </c>
      <c r="AV40">
        <f>Table1[[#This Row],[CGST]]+Table1[[#This Row],[IGST]]+Table1[[#This Row],[SGST]]</f>
        <v>19522.8</v>
      </c>
      <c r="AW40">
        <f t="shared" si="1"/>
        <v>195</v>
      </c>
      <c r="AX40">
        <v>0</v>
      </c>
      <c r="AY40">
        <v>127982.8</v>
      </c>
      <c r="AZ40" t="s">
        <v>125</v>
      </c>
      <c r="BA40" t="s">
        <v>10</v>
      </c>
      <c r="BB40" t="s">
        <v>126</v>
      </c>
      <c r="BC40" t="s">
        <v>127</v>
      </c>
      <c r="BD40" t="s">
        <v>128</v>
      </c>
      <c r="BE40" t="s">
        <v>15</v>
      </c>
      <c r="BF40" t="s">
        <v>207</v>
      </c>
      <c r="BH40">
        <v>0</v>
      </c>
    </row>
    <row r="41" spans="1:60" x14ac:dyDescent="0.25">
      <c r="A41" t="s">
        <v>120</v>
      </c>
      <c r="B41" t="s">
        <v>121</v>
      </c>
      <c r="C41">
        <v>1234</v>
      </c>
      <c r="D41" t="s">
        <v>229</v>
      </c>
      <c r="E4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41" t="s">
        <v>8</v>
      </c>
      <c r="G41" t="s">
        <v>229</v>
      </c>
      <c r="H41" t="str">
        <f t="shared" si="0"/>
        <v>SI-2/1900-1778</v>
      </c>
      <c r="I41" t="s">
        <v>122</v>
      </c>
      <c r="J41" t="s">
        <v>122</v>
      </c>
      <c r="K41" t="s">
        <v>122</v>
      </c>
      <c r="L41" t="s">
        <v>122</v>
      </c>
      <c r="M41" s="21">
        <v>44593</v>
      </c>
      <c r="N41" t="s">
        <v>123</v>
      </c>
      <c r="O41" t="s">
        <v>198</v>
      </c>
      <c r="P41" t="s">
        <v>199</v>
      </c>
      <c r="Q41" t="s">
        <v>122</v>
      </c>
      <c r="R41" t="s">
        <v>122</v>
      </c>
      <c r="U41">
        <v>1234</v>
      </c>
      <c r="V41">
        <v>0</v>
      </c>
      <c r="W41" t="s">
        <v>200</v>
      </c>
      <c r="X41" t="s">
        <v>9</v>
      </c>
      <c r="Y41" t="s">
        <v>60</v>
      </c>
      <c r="Z41" t="s">
        <v>122</v>
      </c>
      <c r="AA41" t="s">
        <v>122</v>
      </c>
      <c r="AB41" t="s">
        <v>122</v>
      </c>
      <c r="AC41" t="s">
        <v>122</v>
      </c>
      <c r="AF41">
        <v>120</v>
      </c>
      <c r="AG41">
        <v>100</v>
      </c>
      <c r="AH41" t="s">
        <v>124</v>
      </c>
      <c r="AI41">
        <v>1</v>
      </c>
      <c r="AJ41">
        <v>12000</v>
      </c>
      <c r="AK41">
        <v>12000</v>
      </c>
      <c r="AL41">
        <v>0</v>
      </c>
      <c r="AM41">
        <v>0</v>
      </c>
      <c r="AN41">
        <v>0</v>
      </c>
      <c r="AO41">
        <v>0</v>
      </c>
      <c r="AP41">
        <v>19612.8</v>
      </c>
      <c r="AQ41">
        <v>19612.8</v>
      </c>
      <c r="AR41">
        <v>0</v>
      </c>
      <c r="AS41">
        <v>0</v>
      </c>
      <c r="AT41">
        <v>0</v>
      </c>
      <c r="AU41">
        <v>0</v>
      </c>
      <c r="AV41">
        <f>Table1[[#This Row],[CGST]]+Table1[[#This Row],[IGST]]+Table1[[#This Row],[SGST]]</f>
        <v>19612.8</v>
      </c>
      <c r="AW41">
        <f t="shared" si="1"/>
        <v>163</v>
      </c>
      <c r="AX41">
        <v>0</v>
      </c>
      <c r="AY41">
        <v>128572.8</v>
      </c>
      <c r="AZ41" t="s">
        <v>125</v>
      </c>
      <c r="BA41" t="s">
        <v>10</v>
      </c>
      <c r="BB41" t="s">
        <v>126</v>
      </c>
      <c r="BC41" t="s">
        <v>127</v>
      </c>
      <c r="BD41" t="s">
        <v>128</v>
      </c>
      <c r="BE41" t="s">
        <v>15</v>
      </c>
      <c r="BF41" t="s">
        <v>218</v>
      </c>
      <c r="BH41">
        <v>0</v>
      </c>
    </row>
    <row r="42" spans="1:60" x14ac:dyDescent="0.25">
      <c r="A42" t="s">
        <v>120</v>
      </c>
      <c r="B42" t="s">
        <v>121</v>
      </c>
      <c r="C42">
        <v>1234</v>
      </c>
      <c r="D42" t="s">
        <v>230</v>
      </c>
      <c r="E4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42" t="s">
        <v>8</v>
      </c>
      <c r="G42" t="s">
        <v>230</v>
      </c>
      <c r="H42" t="str">
        <f t="shared" si="0"/>
        <v>SI-2/1900-1779</v>
      </c>
      <c r="I42" t="s">
        <v>122</v>
      </c>
      <c r="J42" t="s">
        <v>122</v>
      </c>
      <c r="K42" t="s">
        <v>122</v>
      </c>
      <c r="L42" t="s">
        <v>122</v>
      </c>
      <c r="M42" s="21">
        <v>44593</v>
      </c>
      <c r="N42" t="s">
        <v>123</v>
      </c>
      <c r="O42" t="s">
        <v>198</v>
      </c>
      <c r="P42" t="s">
        <v>199</v>
      </c>
      <c r="Q42" t="s">
        <v>122</v>
      </c>
      <c r="R42" t="s">
        <v>122</v>
      </c>
      <c r="U42">
        <v>1234</v>
      </c>
      <c r="V42">
        <v>0</v>
      </c>
      <c r="W42" t="s">
        <v>200</v>
      </c>
      <c r="X42" t="s">
        <v>9</v>
      </c>
      <c r="Y42" t="s">
        <v>60</v>
      </c>
      <c r="Z42" t="s">
        <v>122</v>
      </c>
      <c r="AA42" t="s">
        <v>122</v>
      </c>
      <c r="AB42" t="s">
        <v>122</v>
      </c>
      <c r="AC42" t="s">
        <v>122</v>
      </c>
      <c r="AF42">
        <v>450</v>
      </c>
      <c r="AG42">
        <v>100</v>
      </c>
      <c r="AH42" t="s">
        <v>124</v>
      </c>
      <c r="AI42">
        <v>1</v>
      </c>
      <c r="AJ42">
        <v>45000</v>
      </c>
      <c r="AK42">
        <v>45000</v>
      </c>
      <c r="AL42">
        <v>0</v>
      </c>
      <c r="AM42">
        <v>0</v>
      </c>
      <c r="AN42">
        <v>0</v>
      </c>
      <c r="AO42">
        <v>0</v>
      </c>
      <c r="AP42">
        <v>77177.61</v>
      </c>
      <c r="AQ42">
        <v>77177.61</v>
      </c>
      <c r="AR42">
        <v>0</v>
      </c>
      <c r="AS42">
        <v>0</v>
      </c>
      <c r="AT42">
        <v>0</v>
      </c>
      <c r="AU42">
        <v>0</v>
      </c>
      <c r="AV42">
        <f>Table1[[#This Row],[CGST]]+Table1[[#This Row],[IGST]]+Table1[[#This Row],[SGST]]</f>
        <v>77177.61</v>
      </c>
      <c r="AW42">
        <f t="shared" si="1"/>
        <v>172</v>
      </c>
      <c r="AX42">
        <v>0</v>
      </c>
      <c r="AY42">
        <v>505942.11</v>
      </c>
      <c r="AZ42" t="s">
        <v>125</v>
      </c>
      <c r="BA42" t="s">
        <v>10</v>
      </c>
      <c r="BB42" t="s">
        <v>126</v>
      </c>
      <c r="BC42" t="s">
        <v>127</v>
      </c>
      <c r="BD42" t="s">
        <v>128</v>
      </c>
      <c r="BE42" t="s">
        <v>18</v>
      </c>
      <c r="BF42" t="s">
        <v>213</v>
      </c>
      <c r="BH42">
        <v>0</v>
      </c>
    </row>
    <row r="43" spans="1:60" x14ac:dyDescent="0.25">
      <c r="A43" t="s">
        <v>120</v>
      </c>
      <c r="B43" t="s">
        <v>21</v>
      </c>
      <c r="C43">
        <v>1234</v>
      </c>
      <c r="D43" t="s">
        <v>231</v>
      </c>
      <c r="E43" t="str">
        <f>IF(Table1[[#This Row],[Inv. Pfx.]]="SI-2","Invoices for outward supply",IF(Table1[[#This Row],[Inv. Pfx.]]="DN2","Debit Note",IF(Table1[[#This Row],[Inv. Pfx.]]="CN2","Credit Note","Please update")))</f>
        <v>Debit Note</v>
      </c>
      <c r="F43" t="s">
        <v>31</v>
      </c>
      <c r="G43" t="s">
        <v>231</v>
      </c>
      <c r="H43" t="str">
        <f t="shared" si="0"/>
        <v>DN2/1900-0089</v>
      </c>
      <c r="I43" t="s">
        <v>122</v>
      </c>
      <c r="J43" t="s">
        <v>122</v>
      </c>
      <c r="K43" t="s">
        <v>122</v>
      </c>
      <c r="L43" t="s">
        <v>122</v>
      </c>
      <c r="M43" s="21">
        <v>44593</v>
      </c>
      <c r="N43" t="s">
        <v>123</v>
      </c>
      <c r="O43" t="s">
        <v>198</v>
      </c>
      <c r="P43" t="s">
        <v>199</v>
      </c>
      <c r="Q43" t="s">
        <v>122</v>
      </c>
      <c r="R43" t="s">
        <v>122</v>
      </c>
      <c r="U43">
        <v>1234</v>
      </c>
      <c r="V43">
        <v>0</v>
      </c>
      <c r="W43" t="s">
        <v>200</v>
      </c>
      <c r="X43" t="s">
        <v>28</v>
      </c>
      <c r="Y43" t="s">
        <v>61</v>
      </c>
      <c r="Z43" t="s">
        <v>122</v>
      </c>
      <c r="AA43" t="s">
        <v>122</v>
      </c>
      <c r="AB43" t="s">
        <v>122</v>
      </c>
      <c r="AC43" t="s">
        <v>122</v>
      </c>
      <c r="AF43">
        <v>1</v>
      </c>
      <c r="AG43">
        <v>100</v>
      </c>
      <c r="AH43" t="s">
        <v>124</v>
      </c>
      <c r="AI43">
        <v>1</v>
      </c>
      <c r="AJ43">
        <v>100</v>
      </c>
      <c r="AK43">
        <v>100</v>
      </c>
      <c r="AL43">
        <v>0</v>
      </c>
      <c r="AM43">
        <v>450</v>
      </c>
      <c r="AN43">
        <v>0</v>
      </c>
      <c r="AO43">
        <v>450</v>
      </c>
      <c r="AP43">
        <v>0</v>
      </c>
      <c r="AQ43">
        <v>0</v>
      </c>
      <c r="AR43">
        <v>0</v>
      </c>
      <c r="AS43">
        <v>450</v>
      </c>
      <c r="AT43">
        <v>0</v>
      </c>
      <c r="AU43">
        <v>450</v>
      </c>
      <c r="AV43">
        <f>Table1[[#This Row],[CGST]]+Table1[[#This Row],[IGST]]+Table1[[#This Row],[SGST]]</f>
        <v>900</v>
      </c>
      <c r="AW43">
        <f t="shared" si="1"/>
        <v>900</v>
      </c>
      <c r="AX43">
        <v>0</v>
      </c>
      <c r="AY43">
        <v>5900</v>
      </c>
      <c r="AZ43" t="s">
        <v>129</v>
      </c>
      <c r="BA43" t="s">
        <v>10</v>
      </c>
      <c r="BB43" t="s">
        <v>126</v>
      </c>
      <c r="BC43" t="s">
        <v>127</v>
      </c>
      <c r="BD43" t="s">
        <v>128</v>
      </c>
      <c r="BE43" t="s">
        <v>12</v>
      </c>
      <c r="BF43" t="s">
        <v>207</v>
      </c>
      <c r="BH43">
        <v>0</v>
      </c>
    </row>
    <row r="44" spans="1:60" x14ac:dyDescent="0.25">
      <c r="A44" t="s">
        <v>120</v>
      </c>
      <c r="B44" t="s">
        <v>121</v>
      </c>
      <c r="C44">
        <v>1234</v>
      </c>
      <c r="D44" t="s">
        <v>232</v>
      </c>
      <c r="E4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44" t="s">
        <v>8</v>
      </c>
      <c r="G44" t="s">
        <v>232</v>
      </c>
      <c r="H44" t="str">
        <f t="shared" si="0"/>
        <v>SI-2/1900-1780</v>
      </c>
      <c r="I44" t="s">
        <v>122</v>
      </c>
      <c r="J44" t="s">
        <v>122</v>
      </c>
      <c r="K44" t="s">
        <v>122</v>
      </c>
      <c r="L44" t="s">
        <v>122</v>
      </c>
      <c r="M44" s="21">
        <v>44593</v>
      </c>
      <c r="N44" t="s">
        <v>123</v>
      </c>
      <c r="O44" t="s">
        <v>198</v>
      </c>
      <c r="P44" t="s">
        <v>199</v>
      </c>
      <c r="Q44" t="s">
        <v>122</v>
      </c>
      <c r="R44" t="s">
        <v>122</v>
      </c>
      <c r="U44">
        <v>1234</v>
      </c>
      <c r="V44">
        <v>0</v>
      </c>
      <c r="W44" t="s">
        <v>200</v>
      </c>
      <c r="X44" t="s">
        <v>9</v>
      </c>
      <c r="Y44" t="s">
        <v>60</v>
      </c>
      <c r="Z44" t="s">
        <v>122</v>
      </c>
      <c r="AA44" t="s">
        <v>122</v>
      </c>
      <c r="AB44" t="s">
        <v>122</v>
      </c>
      <c r="AC44" t="s">
        <v>122</v>
      </c>
      <c r="AF44">
        <v>1800</v>
      </c>
      <c r="AG44">
        <v>100</v>
      </c>
      <c r="AH44" t="s">
        <v>124</v>
      </c>
      <c r="AI44">
        <v>1</v>
      </c>
      <c r="AJ44">
        <v>180000</v>
      </c>
      <c r="AK44">
        <v>180000</v>
      </c>
      <c r="AL44">
        <v>0</v>
      </c>
      <c r="AM44">
        <v>0</v>
      </c>
      <c r="AN44">
        <v>0</v>
      </c>
      <c r="AO44">
        <v>0</v>
      </c>
      <c r="AP44">
        <v>154159.20000000001</v>
      </c>
      <c r="AQ44">
        <v>154159.20000000001</v>
      </c>
      <c r="AR44">
        <v>0</v>
      </c>
      <c r="AS44">
        <v>0</v>
      </c>
      <c r="AT44">
        <v>0</v>
      </c>
      <c r="AU44">
        <v>0</v>
      </c>
      <c r="AV44">
        <f>Table1[[#This Row],[CGST]]+Table1[[#This Row],[IGST]]+Table1[[#This Row],[SGST]]</f>
        <v>154159.20000000001</v>
      </c>
      <c r="AW44">
        <f t="shared" si="1"/>
        <v>86</v>
      </c>
      <c r="AX44">
        <v>0</v>
      </c>
      <c r="AY44">
        <v>1010599.2</v>
      </c>
      <c r="AZ44" t="s">
        <v>125</v>
      </c>
      <c r="BA44" t="s">
        <v>10</v>
      </c>
      <c r="BB44" t="s">
        <v>126</v>
      </c>
      <c r="BC44" t="s">
        <v>127</v>
      </c>
      <c r="BD44" t="s">
        <v>128</v>
      </c>
      <c r="BE44" t="s">
        <v>16</v>
      </c>
      <c r="BF44" t="s">
        <v>207</v>
      </c>
      <c r="BH44">
        <v>0</v>
      </c>
    </row>
    <row r="45" spans="1:60" x14ac:dyDescent="0.25">
      <c r="A45" t="s">
        <v>120</v>
      </c>
      <c r="B45" t="s">
        <v>121</v>
      </c>
      <c r="C45">
        <v>1234</v>
      </c>
      <c r="D45" t="s">
        <v>233</v>
      </c>
      <c r="E4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45" t="s">
        <v>8</v>
      </c>
      <c r="G45" t="s">
        <v>233</v>
      </c>
      <c r="H45" t="str">
        <f t="shared" si="0"/>
        <v>SI-2/1900-1781</v>
      </c>
      <c r="I45" t="s">
        <v>122</v>
      </c>
      <c r="J45" t="s">
        <v>122</v>
      </c>
      <c r="K45" t="s">
        <v>122</v>
      </c>
      <c r="L45" t="s">
        <v>122</v>
      </c>
      <c r="M45" s="21">
        <v>44593</v>
      </c>
      <c r="N45" t="s">
        <v>123</v>
      </c>
      <c r="O45" t="s">
        <v>198</v>
      </c>
      <c r="P45" t="s">
        <v>199</v>
      </c>
      <c r="Q45" t="s">
        <v>122</v>
      </c>
      <c r="R45" t="s">
        <v>122</v>
      </c>
      <c r="U45">
        <v>1234</v>
      </c>
      <c r="V45">
        <v>0</v>
      </c>
      <c r="W45" t="s">
        <v>200</v>
      </c>
      <c r="X45" t="s">
        <v>9</v>
      </c>
      <c r="Y45" t="s">
        <v>60</v>
      </c>
      <c r="Z45" t="s">
        <v>122</v>
      </c>
      <c r="AA45" t="s">
        <v>122</v>
      </c>
      <c r="AB45" t="s">
        <v>122</v>
      </c>
      <c r="AC45" t="s">
        <v>122</v>
      </c>
      <c r="AF45">
        <v>200</v>
      </c>
      <c r="AG45">
        <v>100</v>
      </c>
      <c r="AH45" t="s">
        <v>124</v>
      </c>
      <c r="AI45">
        <v>1</v>
      </c>
      <c r="AJ45">
        <v>20000</v>
      </c>
      <c r="AK45">
        <v>20000</v>
      </c>
      <c r="AL45">
        <v>0</v>
      </c>
      <c r="AM45">
        <v>0</v>
      </c>
      <c r="AN45">
        <v>0</v>
      </c>
      <c r="AO45">
        <v>0</v>
      </c>
      <c r="AP45">
        <v>34301.160000000003</v>
      </c>
      <c r="AQ45">
        <v>34301.160000000003</v>
      </c>
      <c r="AR45">
        <v>0</v>
      </c>
      <c r="AS45">
        <v>0</v>
      </c>
      <c r="AT45">
        <v>0</v>
      </c>
      <c r="AU45">
        <v>0</v>
      </c>
      <c r="AV45">
        <f>Table1[[#This Row],[CGST]]+Table1[[#This Row],[IGST]]+Table1[[#This Row],[SGST]]</f>
        <v>34301.160000000003</v>
      </c>
      <c r="AW45">
        <f t="shared" si="1"/>
        <v>172</v>
      </c>
      <c r="AX45">
        <v>0</v>
      </c>
      <c r="AY45">
        <v>224863.16</v>
      </c>
      <c r="AZ45" t="s">
        <v>125</v>
      </c>
      <c r="BA45" t="s">
        <v>10</v>
      </c>
      <c r="BB45" t="s">
        <v>126</v>
      </c>
      <c r="BC45" t="s">
        <v>127</v>
      </c>
      <c r="BD45" t="s">
        <v>128</v>
      </c>
      <c r="BE45" t="s">
        <v>18</v>
      </c>
      <c r="BF45" t="s">
        <v>207</v>
      </c>
      <c r="BH45">
        <v>0</v>
      </c>
    </row>
    <row r="46" spans="1:60" x14ac:dyDescent="0.25">
      <c r="A46" t="s">
        <v>120</v>
      </c>
      <c r="B46" t="s">
        <v>121</v>
      </c>
      <c r="C46">
        <v>1234</v>
      </c>
      <c r="D46" t="s">
        <v>233</v>
      </c>
      <c r="E4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46" t="s">
        <v>8</v>
      </c>
      <c r="G46" t="s">
        <v>233</v>
      </c>
      <c r="H46" t="str">
        <f t="shared" si="0"/>
        <v>SI-2/1900-1781</v>
      </c>
      <c r="I46" t="s">
        <v>122</v>
      </c>
      <c r="J46" t="s">
        <v>122</v>
      </c>
      <c r="K46" t="s">
        <v>122</v>
      </c>
      <c r="L46" t="s">
        <v>122</v>
      </c>
      <c r="M46" s="21">
        <v>44593</v>
      </c>
      <c r="N46" t="s">
        <v>123</v>
      </c>
      <c r="O46" t="s">
        <v>198</v>
      </c>
      <c r="P46" t="s">
        <v>199</v>
      </c>
      <c r="Q46" t="s">
        <v>122</v>
      </c>
      <c r="R46" t="s">
        <v>122</v>
      </c>
      <c r="U46">
        <v>1234</v>
      </c>
      <c r="V46">
        <v>0</v>
      </c>
      <c r="W46" t="s">
        <v>200</v>
      </c>
      <c r="X46" t="s">
        <v>9</v>
      </c>
      <c r="Y46" t="s">
        <v>60</v>
      </c>
      <c r="Z46" t="s">
        <v>122</v>
      </c>
      <c r="AA46" t="s">
        <v>122</v>
      </c>
      <c r="AB46" t="s">
        <v>122</v>
      </c>
      <c r="AC46" t="s">
        <v>122</v>
      </c>
      <c r="AF46">
        <v>550</v>
      </c>
      <c r="AG46">
        <v>100</v>
      </c>
      <c r="AH46" t="s">
        <v>124</v>
      </c>
      <c r="AI46">
        <v>1</v>
      </c>
      <c r="AJ46">
        <v>55000</v>
      </c>
      <c r="AK46">
        <v>55000</v>
      </c>
      <c r="AL46">
        <v>0</v>
      </c>
      <c r="AM46">
        <v>0</v>
      </c>
      <c r="AN46">
        <v>0</v>
      </c>
      <c r="AO46">
        <v>0</v>
      </c>
      <c r="AP46">
        <v>74380.679999999993</v>
      </c>
      <c r="AQ46">
        <v>74380.679999999993</v>
      </c>
      <c r="AR46">
        <v>0</v>
      </c>
      <c r="AS46">
        <v>0</v>
      </c>
      <c r="AT46">
        <v>0</v>
      </c>
      <c r="AU46">
        <v>0</v>
      </c>
      <c r="AV46">
        <f>Table1[[#This Row],[CGST]]+Table1[[#This Row],[IGST]]+Table1[[#This Row],[SGST]]</f>
        <v>74380.679999999993</v>
      </c>
      <c r="AW46">
        <f t="shared" si="1"/>
        <v>135</v>
      </c>
      <c r="AX46">
        <v>0</v>
      </c>
      <c r="AY46">
        <v>487606.68</v>
      </c>
      <c r="AZ46" t="s">
        <v>125</v>
      </c>
      <c r="BA46" t="s">
        <v>10</v>
      </c>
      <c r="BB46" t="s">
        <v>126</v>
      </c>
      <c r="BC46" t="s">
        <v>127</v>
      </c>
      <c r="BD46" t="s">
        <v>128</v>
      </c>
      <c r="BE46" t="s">
        <v>18</v>
      </c>
      <c r="BF46" t="s">
        <v>207</v>
      </c>
      <c r="BH46">
        <v>0</v>
      </c>
    </row>
    <row r="47" spans="1:60" x14ac:dyDescent="0.25">
      <c r="A47" t="s">
        <v>120</v>
      </c>
      <c r="B47" t="s">
        <v>121</v>
      </c>
      <c r="C47">
        <v>1234</v>
      </c>
      <c r="D47" t="s">
        <v>233</v>
      </c>
      <c r="E4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47" t="s">
        <v>8</v>
      </c>
      <c r="G47" t="s">
        <v>233</v>
      </c>
      <c r="H47" t="str">
        <f t="shared" si="0"/>
        <v>SI-2/1900-1781</v>
      </c>
      <c r="I47" t="s">
        <v>122</v>
      </c>
      <c r="J47" t="s">
        <v>122</v>
      </c>
      <c r="K47" t="s">
        <v>122</v>
      </c>
      <c r="L47" t="s">
        <v>122</v>
      </c>
      <c r="M47" s="21">
        <v>44593</v>
      </c>
      <c r="N47" t="s">
        <v>123</v>
      </c>
      <c r="O47" t="s">
        <v>198</v>
      </c>
      <c r="P47" t="s">
        <v>199</v>
      </c>
      <c r="Q47" t="s">
        <v>122</v>
      </c>
      <c r="R47" t="s">
        <v>122</v>
      </c>
      <c r="U47">
        <v>1234</v>
      </c>
      <c r="V47">
        <v>0</v>
      </c>
      <c r="W47" t="s">
        <v>200</v>
      </c>
      <c r="X47" t="s">
        <v>9</v>
      </c>
      <c r="Y47" t="s">
        <v>60</v>
      </c>
      <c r="Z47" t="s">
        <v>122</v>
      </c>
      <c r="AA47" t="s">
        <v>122</v>
      </c>
      <c r="AB47" t="s">
        <v>122</v>
      </c>
      <c r="AC47" t="s">
        <v>122</v>
      </c>
      <c r="AF47">
        <v>10</v>
      </c>
      <c r="AG47">
        <v>100</v>
      </c>
      <c r="AH47" t="s">
        <v>124</v>
      </c>
      <c r="AI47">
        <v>1</v>
      </c>
      <c r="AJ47">
        <v>1000</v>
      </c>
      <c r="AK47">
        <v>1000</v>
      </c>
      <c r="AL47">
        <v>0</v>
      </c>
      <c r="AM47">
        <v>0</v>
      </c>
      <c r="AN47">
        <v>0</v>
      </c>
      <c r="AO47">
        <v>0</v>
      </c>
      <c r="AP47">
        <v>1530.54</v>
      </c>
      <c r="AQ47">
        <v>1530.54</v>
      </c>
      <c r="AR47">
        <v>0</v>
      </c>
      <c r="AS47">
        <v>0</v>
      </c>
      <c r="AT47">
        <v>0</v>
      </c>
      <c r="AU47">
        <v>0</v>
      </c>
      <c r="AV47">
        <f>Table1[[#This Row],[CGST]]+Table1[[#This Row],[IGST]]+Table1[[#This Row],[SGST]]</f>
        <v>1530.54</v>
      </c>
      <c r="AW47">
        <f t="shared" si="1"/>
        <v>153</v>
      </c>
      <c r="AX47">
        <v>0</v>
      </c>
      <c r="AY47">
        <v>10033.540000000001</v>
      </c>
      <c r="AZ47" t="s">
        <v>125</v>
      </c>
      <c r="BA47" t="s">
        <v>10</v>
      </c>
      <c r="BB47" t="s">
        <v>126</v>
      </c>
      <c r="BC47" t="s">
        <v>127</v>
      </c>
      <c r="BD47" t="s">
        <v>128</v>
      </c>
      <c r="BE47" t="s">
        <v>18</v>
      </c>
      <c r="BF47" t="s">
        <v>205</v>
      </c>
      <c r="BH47">
        <v>0</v>
      </c>
    </row>
    <row r="48" spans="1:60" x14ac:dyDescent="0.25">
      <c r="A48" t="s">
        <v>120</v>
      </c>
      <c r="B48" t="s">
        <v>121</v>
      </c>
      <c r="C48">
        <v>1234</v>
      </c>
      <c r="D48" t="s">
        <v>233</v>
      </c>
      <c r="E4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48" t="s">
        <v>8</v>
      </c>
      <c r="G48" t="s">
        <v>233</v>
      </c>
      <c r="H48" t="str">
        <f t="shared" si="0"/>
        <v>SI-2/1900-1781</v>
      </c>
      <c r="I48" t="s">
        <v>122</v>
      </c>
      <c r="J48" t="s">
        <v>122</v>
      </c>
      <c r="K48" t="s">
        <v>122</v>
      </c>
      <c r="L48" t="s">
        <v>122</v>
      </c>
      <c r="M48" s="21">
        <v>44593</v>
      </c>
      <c r="N48" t="s">
        <v>123</v>
      </c>
      <c r="O48" t="s">
        <v>198</v>
      </c>
      <c r="P48" t="s">
        <v>199</v>
      </c>
      <c r="Q48" t="s">
        <v>122</v>
      </c>
      <c r="R48" t="s">
        <v>122</v>
      </c>
      <c r="U48">
        <v>1234</v>
      </c>
      <c r="V48">
        <v>0</v>
      </c>
      <c r="W48" t="s">
        <v>200</v>
      </c>
      <c r="X48" t="s">
        <v>9</v>
      </c>
      <c r="Y48" t="s">
        <v>60</v>
      </c>
      <c r="Z48" t="s">
        <v>122</v>
      </c>
      <c r="AA48" t="s">
        <v>122</v>
      </c>
      <c r="AB48" t="s">
        <v>122</v>
      </c>
      <c r="AC48" t="s">
        <v>122</v>
      </c>
      <c r="AF48">
        <v>256</v>
      </c>
      <c r="AG48">
        <v>100</v>
      </c>
      <c r="AH48" t="s">
        <v>124</v>
      </c>
      <c r="AI48">
        <v>1</v>
      </c>
      <c r="AJ48">
        <v>25600</v>
      </c>
      <c r="AK48">
        <v>25600</v>
      </c>
      <c r="AL48">
        <v>0</v>
      </c>
      <c r="AM48">
        <v>0</v>
      </c>
      <c r="AN48">
        <v>0</v>
      </c>
      <c r="AO48">
        <v>0</v>
      </c>
      <c r="AP48">
        <v>44760.27</v>
      </c>
      <c r="AQ48">
        <v>44760.27</v>
      </c>
      <c r="AR48">
        <v>0</v>
      </c>
      <c r="AS48">
        <v>0</v>
      </c>
      <c r="AT48">
        <v>0</v>
      </c>
      <c r="AU48">
        <v>0</v>
      </c>
      <c r="AV48">
        <f>Table1[[#This Row],[CGST]]+Table1[[#This Row],[IGST]]+Table1[[#This Row],[SGST]]</f>
        <v>44760.27</v>
      </c>
      <c r="AW48">
        <f t="shared" si="1"/>
        <v>175</v>
      </c>
      <c r="AX48">
        <v>0</v>
      </c>
      <c r="AY48">
        <v>293428.43</v>
      </c>
      <c r="AZ48" t="s">
        <v>125</v>
      </c>
      <c r="BA48" t="s">
        <v>10</v>
      </c>
      <c r="BB48" t="s">
        <v>126</v>
      </c>
      <c r="BC48" t="s">
        <v>127</v>
      </c>
      <c r="BD48" t="s">
        <v>128</v>
      </c>
      <c r="BE48" t="s">
        <v>18</v>
      </c>
      <c r="BF48" t="s">
        <v>205</v>
      </c>
      <c r="BH48">
        <v>0</v>
      </c>
    </row>
    <row r="49" spans="1:60" x14ac:dyDescent="0.25">
      <c r="A49" t="s">
        <v>120</v>
      </c>
      <c r="B49" t="s">
        <v>121</v>
      </c>
      <c r="C49">
        <v>1234</v>
      </c>
      <c r="D49" t="s">
        <v>234</v>
      </c>
      <c r="E4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49" t="s">
        <v>8</v>
      </c>
      <c r="G49" t="s">
        <v>234</v>
      </c>
      <c r="H49" t="str">
        <f t="shared" si="0"/>
        <v>SI-2/1900-1782</v>
      </c>
      <c r="I49" t="s">
        <v>122</v>
      </c>
      <c r="J49" t="s">
        <v>122</v>
      </c>
      <c r="K49" t="s">
        <v>122</v>
      </c>
      <c r="L49" t="s">
        <v>122</v>
      </c>
      <c r="M49" s="21">
        <v>44593</v>
      </c>
      <c r="N49" t="s">
        <v>123</v>
      </c>
      <c r="O49" t="s">
        <v>198</v>
      </c>
      <c r="P49" t="s">
        <v>199</v>
      </c>
      <c r="Q49" t="s">
        <v>122</v>
      </c>
      <c r="R49" t="s">
        <v>122</v>
      </c>
      <c r="U49">
        <v>1234</v>
      </c>
      <c r="V49">
        <v>0</v>
      </c>
      <c r="W49" t="s">
        <v>200</v>
      </c>
      <c r="X49" t="s">
        <v>9</v>
      </c>
      <c r="Y49" t="s">
        <v>60</v>
      </c>
      <c r="Z49" t="s">
        <v>122</v>
      </c>
      <c r="AA49" t="s">
        <v>122</v>
      </c>
      <c r="AB49" t="s">
        <v>122</v>
      </c>
      <c r="AC49" t="s">
        <v>122</v>
      </c>
      <c r="AF49">
        <v>1100</v>
      </c>
      <c r="AG49">
        <v>100</v>
      </c>
      <c r="AH49" t="s">
        <v>124</v>
      </c>
      <c r="AI49">
        <v>1</v>
      </c>
      <c r="AJ49">
        <v>110000</v>
      </c>
      <c r="AK49">
        <v>110000</v>
      </c>
      <c r="AL49">
        <v>0</v>
      </c>
      <c r="AM49">
        <v>0</v>
      </c>
      <c r="AN49">
        <v>0</v>
      </c>
      <c r="AO49">
        <v>0</v>
      </c>
      <c r="AP49">
        <v>143466.84</v>
      </c>
      <c r="AQ49">
        <v>143466.84</v>
      </c>
      <c r="AR49">
        <v>0</v>
      </c>
      <c r="AS49">
        <v>0</v>
      </c>
      <c r="AT49">
        <v>0</v>
      </c>
      <c r="AU49">
        <v>0</v>
      </c>
      <c r="AV49">
        <f>Table1[[#This Row],[CGST]]+Table1[[#This Row],[IGST]]+Table1[[#This Row],[SGST]]</f>
        <v>143466.84</v>
      </c>
      <c r="AW49">
        <f t="shared" si="1"/>
        <v>130</v>
      </c>
      <c r="AX49">
        <v>0</v>
      </c>
      <c r="AY49">
        <v>940504.84</v>
      </c>
      <c r="AZ49" t="s">
        <v>125</v>
      </c>
      <c r="BA49" t="s">
        <v>10</v>
      </c>
      <c r="BB49" t="s">
        <v>126</v>
      </c>
      <c r="BC49" t="s">
        <v>127</v>
      </c>
      <c r="BD49" t="s">
        <v>128</v>
      </c>
      <c r="BE49" t="s">
        <v>13</v>
      </c>
      <c r="BF49" t="s">
        <v>207</v>
      </c>
      <c r="BH49">
        <v>0</v>
      </c>
    </row>
    <row r="50" spans="1:60" x14ac:dyDescent="0.25">
      <c r="A50" t="s">
        <v>120</v>
      </c>
      <c r="B50" t="s">
        <v>121</v>
      </c>
      <c r="C50">
        <v>1234</v>
      </c>
      <c r="D50" t="s">
        <v>234</v>
      </c>
      <c r="E5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50" t="s">
        <v>8</v>
      </c>
      <c r="G50" t="s">
        <v>234</v>
      </c>
      <c r="H50" t="str">
        <f t="shared" si="0"/>
        <v>SI-2/1900-1782</v>
      </c>
      <c r="I50" t="s">
        <v>122</v>
      </c>
      <c r="J50" t="s">
        <v>122</v>
      </c>
      <c r="K50" t="s">
        <v>122</v>
      </c>
      <c r="L50" t="s">
        <v>122</v>
      </c>
      <c r="M50" s="21">
        <v>44593</v>
      </c>
      <c r="N50" t="s">
        <v>123</v>
      </c>
      <c r="O50" t="s">
        <v>198</v>
      </c>
      <c r="P50" t="s">
        <v>199</v>
      </c>
      <c r="Q50" t="s">
        <v>122</v>
      </c>
      <c r="R50" t="s">
        <v>122</v>
      </c>
      <c r="U50">
        <v>1234</v>
      </c>
      <c r="V50">
        <v>0</v>
      </c>
      <c r="W50" t="s">
        <v>200</v>
      </c>
      <c r="X50" t="s">
        <v>9</v>
      </c>
      <c r="Y50" t="s">
        <v>60</v>
      </c>
      <c r="Z50" t="s">
        <v>122</v>
      </c>
      <c r="AA50" t="s">
        <v>122</v>
      </c>
      <c r="AB50" t="s">
        <v>122</v>
      </c>
      <c r="AC50" t="s">
        <v>122</v>
      </c>
      <c r="AF50">
        <v>15</v>
      </c>
      <c r="AG50">
        <v>100</v>
      </c>
      <c r="AH50" t="s">
        <v>124</v>
      </c>
      <c r="AI50">
        <v>1</v>
      </c>
      <c r="AJ50">
        <v>1500</v>
      </c>
      <c r="AK50">
        <v>1500</v>
      </c>
      <c r="AL50">
        <v>0</v>
      </c>
      <c r="AM50">
        <v>0</v>
      </c>
      <c r="AN50">
        <v>0</v>
      </c>
      <c r="AO50">
        <v>0</v>
      </c>
      <c r="AP50">
        <v>2295.81</v>
      </c>
      <c r="AQ50">
        <v>2295.81</v>
      </c>
      <c r="AR50">
        <v>0</v>
      </c>
      <c r="AS50">
        <v>0</v>
      </c>
      <c r="AT50">
        <v>0</v>
      </c>
      <c r="AU50">
        <v>0</v>
      </c>
      <c r="AV50">
        <f>Table1[[#This Row],[CGST]]+Table1[[#This Row],[IGST]]+Table1[[#This Row],[SGST]]</f>
        <v>2295.81</v>
      </c>
      <c r="AW50">
        <f t="shared" si="1"/>
        <v>153</v>
      </c>
      <c r="AX50">
        <v>0</v>
      </c>
      <c r="AY50">
        <v>15050.31</v>
      </c>
      <c r="AZ50" t="s">
        <v>125</v>
      </c>
      <c r="BA50" t="s">
        <v>10</v>
      </c>
      <c r="BB50" t="s">
        <v>126</v>
      </c>
      <c r="BC50" t="s">
        <v>127</v>
      </c>
      <c r="BD50" t="s">
        <v>128</v>
      </c>
      <c r="BE50" t="s">
        <v>13</v>
      </c>
      <c r="BF50" t="s">
        <v>226</v>
      </c>
      <c r="BH50">
        <v>0</v>
      </c>
    </row>
    <row r="51" spans="1:60" x14ac:dyDescent="0.25">
      <c r="A51" t="s">
        <v>120</v>
      </c>
      <c r="B51" t="s">
        <v>121</v>
      </c>
      <c r="C51">
        <v>1234</v>
      </c>
      <c r="D51" t="s">
        <v>235</v>
      </c>
      <c r="E5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51" t="s">
        <v>8</v>
      </c>
      <c r="G51" t="s">
        <v>235</v>
      </c>
      <c r="H51" t="str">
        <f t="shared" si="0"/>
        <v>SI-2/1900-1783</v>
      </c>
      <c r="I51" t="s">
        <v>122</v>
      </c>
      <c r="J51" t="s">
        <v>122</v>
      </c>
      <c r="K51" t="s">
        <v>122</v>
      </c>
      <c r="L51" t="s">
        <v>122</v>
      </c>
      <c r="M51" s="21">
        <v>44593</v>
      </c>
      <c r="N51" t="s">
        <v>123</v>
      </c>
      <c r="O51" t="s">
        <v>198</v>
      </c>
      <c r="P51" t="s">
        <v>199</v>
      </c>
      <c r="Q51" t="s">
        <v>122</v>
      </c>
      <c r="R51" t="s">
        <v>122</v>
      </c>
      <c r="U51">
        <v>1234</v>
      </c>
      <c r="V51">
        <v>0</v>
      </c>
      <c r="W51" t="s">
        <v>200</v>
      </c>
      <c r="X51" t="s">
        <v>9</v>
      </c>
      <c r="Y51" t="s">
        <v>60</v>
      </c>
      <c r="Z51" t="s">
        <v>122</v>
      </c>
      <c r="AA51" t="s">
        <v>122</v>
      </c>
      <c r="AB51" t="s">
        <v>122</v>
      </c>
      <c r="AC51" t="s">
        <v>122</v>
      </c>
      <c r="AF51">
        <v>680</v>
      </c>
      <c r="AG51">
        <v>100</v>
      </c>
      <c r="AH51" t="s">
        <v>124</v>
      </c>
      <c r="AI51">
        <v>1</v>
      </c>
      <c r="AJ51">
        <v>68000</v>
      </c>
      <c r="AK51">
        <v>68000</v>
      </c>
      <c r="AL51">
        <v>0</v>
      </c>
      <c r="AM51">
        <v>0</v>
      </c>
      <c r="AN51">
        <v>0</v>
      </c>
      <c r="AO51">
        <v>0</v>
      </c>
      <c r="AP51">
        <v>116623.94</v>
      </c>
      <c r="AQ51">
        <v>116623.94</v>
      </c>
      <c r="AR51">
        <v>0</v>
      </c>
      <c r="AS51">
        <v>0</v>
      </c>
      <c r="AT51">
        <v>0</v>
      </c>
      <c r="AU51">
        <v>0</v>
      </c>
      <c r="AV51">
        <f>Table1[[#This Row],[CGST]]+Table1[[#This Row],[IGST]]+Table1[[#This Row],[SGST]]</f>
        <v>116623.94</v>
      </c>
      <c r="AW51">
        <f t="shared" si="1"/>
        <v>172</v>
      </c>
      <c r="AX51">
        <v>0</v>
      </c>
      <c r="AY51">
        <v>764534.74</v>
      </c>
      <c r="AZ51" t="s">
        <v>125</v>
      </c>
      <c r="BA51" t="s">
        <v>10</v>
      </c>
      <c r="BB51" t="s">
        <v>126</v>
      </c>
      <c r="BC51" t="s">
        <v>127</v>
      </c>
      <c r="BD51" t="s">
        <v>128</v>
      </c>
      <c r="BE51" t="s">
        <v>18</v>
      </c>
      <c r="BF51" t="s">
        <v>226</v>
      </c>
      <c r="BH51">
        <v>0</v>
      </c>
    </row>
    <row r="52" spans="1:60" x14ac:dyDescent="0.25">
      <c r="A52" t="s">
        <v>120</v>
      </c>
      <c r="B52" t="s">
        <v>121</v>
      </c>
      <c r="C52">
        <v>1234</v>
      </c>
      <c r="D52" t="s">
        <v>236</v>
      </c>
      <c r="E5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52" t="s">
        <v>8</v>
      </c>
      <c r="G52" t="s">
        <v>236</v>
      </c>
      <c r="H52" t="str">
        <f t="shared" si="0"/>
        <v>SI-2/1900-1784</v>
      </c>
      <c r="I52" t="s">
        <v>122</v>
      </c>
      <c r="J52" t="s">
        <v>122</v>
      </c>
      <c r="K52" t="s">
        <v>122</v>
      </c>
      <c r="L52" t="s">
        <v>122</v>
      </c>
      <c r="M52" s="21">
        <v>44593</v>
      </c>
      <c r="N52" t="s">
        <v>123</v>
      </c>
      <c r="O52" t="s">
        <v>198</v>
      </c>
      <c r="P52" t="s">
        <v>199</v>
      </c>
      <c r="Q52" t="s">
        <v>122</v>
      </c>
      <c r="R52" t="s">
        <v>122</v>
      </c>
      <c r="U52">
        <v>1234</v>
      </c>
      <c r="V52">
        <v>0</v>
      </c>
      <c r="W52" t="s">
        <v>200</v>
      </c>
      <c r="X52" t="s">
        <v>9</v>
      </c>
      <c r="Y52" t="s">
        <v>60</v>
      </c>
      <c r="Z52" t="s">
        <v>122</v>
      </c>
      <c r="AA52" t="s">
        <v>122</v>
      </c>
      <c r="AB52" t="s">
        <v>122</v>
      </c>
      <c r="AC52" t="s">
        <v>122</v>
      </c>
      <c r="AF52">
        <v>920</v>
      </c>
      <c r="AG52">
        <v>100</v>
      </c>
      <c r="AH52" t="s">
        <v>124</v>
      </c>
      <c r="AI52">
        <v>1</v>
      </c>
      <c r="AJ52">
        <v>92000</v>
      </c>
      <c r="AK52">
        <v>92000</v>
      </c>
      <c r="AL52">
        <v>0</v>
      </c>
      <c r="AM52">
        <v>0</v>
      </c>
      <c r="AN52">
        <v>0</v>
      </c>
      <c r="AO52">
        <v>0</v>
      </c>
      <c r="AP52">
        <v>119990.45</v>
      </c>
      <c r="AQ52">
        <v>119990.45</v>
      </c>
      <c r="AR52">
        <v>0</v>
      </c>
      <c r="AS52">
        <v>0</v>
      </c>
      <c r="AT52">
        <v>0</v>
      </c>
      <c r="AU52">
        <v>0</v>
      </c>
      <c r="AV52">
        <f>Table1[[#This Row],[CGST]]+Table1[[#This Row],[IGST]]+Table1[[#This Row],[SGST]]</f>
        <v>119990.45</v>
      </c>
      <c r="AW52">
        <f t="shared" si="1"/>
        <v>130</v>
      </c>
      <c r="AX52">
        <v>0</v>
      </c>
      <c r="AY52">
        <v>786604.05</v>
      </c>
      <c r="AZ52" t="s">
        <v>125</v>
      </c>
      <c r="BA52" t="s">
        <v>10</v>
      </c>
      <c r="BB52" t="s">
        <v>126</v>
      </c>
      <c r="BC52" t="s">
        <v>127</v>
      </c>
      <c r="BD52" t="s">
        <v>128</v>
      </c>
      <c r="BE52" t="s">
        <v>19</v>
      </c>
      <c r="BF52" t="s">
        <v>226</v>
      </c>
      <c r="BH52">
        <v>0</v>
      </c>
    </row>
    <row r="53" spans="1:60" x14ac:dyDescent="0.25">
      <c r="A53" t="s">
        <v>120</v>
      </c>
      <c r="B53" t="s">
        <v>121</v>
      </c>
      <c r="C53">
        <v>1234</v>
      </c>
      <c r="D53" t="s">
        <v>236</v>
      </c>
      <c r="E5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53" t="s">
        <v>8</v>
      </c>
      <c r="G53" t="s">
        <v>236</v>
      </c>
      <c r="H53" t="str">
        <f t="shared" si="0"/>
        <v>SI-2/1900-1784</v>
      </c>
      <c r="I53" t="s">
        <v>122</v>
      </c>
      <c r="J53" t="s">
        <v>122</v>
      </c>
      <c r="K53" t="s">
        <v>122</v>
      </c>
      <c r="L53" t="s">
        <v>122</v>
      </c>
      <c r="M53" s="21">
        <v>44593</v>
      </c>
      <c r="N53" t="s">
        <v>123</v>
      </c>
      <c r="O53" t="s">
        <v>198</v>
      </c>
      <c r="P53" t="s">
        <v>199</v>
      </c>
      <c r="Q53" t="s">
        <v>122</v>
      </c>
      <c r="R53" t="s">
        <v>122</v>
      </c>
      <c r="U53">
        <v>1234</v>
      </c>
      <c r="V53">
        <v>0</v>
      </c>
      <c r="W53" t="s">
        <v>200</v>
      </c>
      <c r="X53" t="s">
        <v>9</v>
      </c>
      <c r="Y53" t="s">
        <v>60</v>
      </c>
      <c r="Z53" t="s">
        <v>122</v>
      </c>
      <c r="AA53" t="s">
        <v>122</v>
      </c>
      <c r="AB53" t="s">
        <v>122</v>
      </c>
      <c r="AC53" t="s">
        <v>122</v>
      </c>
      <c r="AF53">
        <v>10</v>
      </c>
      <c r="AG53">
        <v>100</v>
      </c>
      <c r="AH53" t="s">
        <v>124</v>
      </c>
      <c r="AI53">
        <v>1</v>
      </c>
      <c r="AJ53">
        <v>1000</v>
      </c>
      <c r="AK53">
        <v>1000</v>
      </c>
      <c r="AL53">
        <v>0</v>
      </c>
      <c r="AM53">
        <v>0</v>
      </c>
      <c r="AN53">
        <v>0</v>
      </c>
      <c r="AO53">
        <v>0</v>
      </c>
      <c r="AP53">
        <v>1530.54</v>
      </c>
      <c r="AQ53">
        <v>1530.54</v>
      </c>
      <c r="AR53">
        <v>0</v>
      </c>
      <c r="AS53">
        <v>0</v>
      </c>
      <c r="AT53">
        <v>0</v>
      </c>
      <c r="AU53">
        <v>0</v>
      </c>
      <c r="AV53">
        <f>Table1[[#This Row],[CGST]]+Table1[[#This Row],[IGST]]+Table1[[#This Row],[SGST]]</f>
        <v>1530.54</v>
      </c>
      <c r="AW53">
        <f t="shared" si="1"/>
        <v>153</v>
      </c>
      <c r="AX53">
        <v>0</v>
      </c>
      <c r="AY53">
        <v>10033.540000000001</v>
      </c>
      <c r="AZ53" t="s">
        <v>125</v>
      </c>
      <c r="BA53" t="s">
        <v>10</v>
      </c>
      <c r="BB53" t="s">
        <v>126</v>
      </c>
      <c r="BC53" t="s">
        <v>127</v>
      </c>
      <c r="BD53" t="s">
        <v>128</v>
      </c>
      <c r="BE53" t="s">
        <v>19</v>
      </c>
      <c r="BF53" t="s">
        <v>213</v>
      </c>
      <c r="BH53">
        <v>0</v>
      </c>
    </row>
    <row r="54" spans="1:60" x14ac:dyDescent="0.25">
      <c r="A54" t="s">
        <v>120</v>
      </c>
      <c r="B54" t="s">
        <v>121</v>
      </c>
      <c r="C54">
        <v>1234</v>
      </c>
      <c r="D54" t="s">
        <v>236</v>
      </c>
      <c r="E5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54" t="s">
        <v>8</v>
      </c>
      <c r="G54" t="s">
        <v>236</v>
      </c>
      <c r="H54" t="str">
        <f t="shared" si="0"/>
        <v>SI-2/1900-1784</v>
      </c>
      <c r="I54" t="s">
        <v>122</v>
      </c>
      <c r="J54" t="s">
        <v>122</v>
      </c>
      <c r="K54" t="s">
        <v>122</v>
      </c>
      <c r="L54" t="s">
        <v>122</v>
      </c>
      <c r="M54" s="21">
        <v>44593</v>
      </c>
      <c r="N54" t="s">
        <v>123</v>
      </c>
      <c r="O54" t="s">
        <v>198</v>
      </c>
      <c r="P54" t="s">
        <v>199</v>
      </c>
      <c r="Q54" t="s">
        <v>122</v>
      </c>
      <c r="R54" t="s">
        <v>122</v>
      </c>
      <c r="U54">
        <v>1234</v>
      </c>
      <c r="V54">
        <v>0</v>
      </c>
      <c r="W54" t="s">
        <v>200</v>
      </c>
      <c r="X54" t="s">
        <v>9</v>
      </c>
      <c r="Y54" t="s">
        <v>60</v>
      </c>
      <c r="Z54" t="s">
        <v>122</v>
      </c>
      <c r="AA54" t="s">
        <v>122</v>
      </c>
      <c r="AB54" t="s">
        <v>122</v>
      </c>
      <c r="AC54" t="s">
        <v>122</v>
      </c>
      <c r="AF54">
        <v>100</v>
      </c>
      <c r="AG54">
        <v>100</v>
      </c>
      <c r="AH54" t="s">
        <v>124</v>
      </c>
      <c r="AI54">
        <v>1</v>
      </c>
      <c r="AJ54">
        <v>10000</v>
      </c>
      <c r="AK54">
        <v>10000</v>
      </c>
      <c r="AL54">
        <v>0</v>
      </c>
      <c r="AM54">
        <v>0</v>
      </c>
      <c r="AN54">
        <v>0</v>
      </c>
      <c r="AO54">
        <v>0</v>
      </c>
      <c r="AP54">
        <v>18799.2</v>
      </c>
      <c r="AQ54">
        <v>18799.2</v>
      </c>
      <c r="AR54">
        <v>0</v>
      </c>
      <c r="AS54">
        <v>0</v>
      </c>
      <c r="AT54">
        <v>0</v>
      </c>
      <c r="AU54">
        <v>0</v>
      </c>
      <c r="AV54">
        <f>Table1[[#This Row],[CGST]]+Table1[[#This Row],[IGST]]+Table1[[#This Row],[SGST]]</f>
        <v>18799.2</v>
      </c>
      <c r="AW54">
        <f t="shared" si="1"/>
        <v>188</v>
      </c>
      <c r="AX54">
        <v>0</v>
      </c>
      <c r="AY54">
        <v>123239.2</v>
      </c>
      <c r="AZ54" t="s">
        <v>125</v>
      </c>
      <c r="BA54" t="s">
        <v>10</v>
      </c>
      <c r="BB54" t="s">
        <v>126</v>
      </c>
      <c r="BC54" t="s">
        <v>127</v>
      </c>
      <c r="BD54" t="s">
        <v>128</v>
      </c>
      <c r="BE54" t="s">
        <v>19</v>
      </c>
      <c r="BF54" t="s">
        <v>237</v>
      </c>
      <c r="BH54">
        <v>0</v>
      </c>
    </row>
    <row r="55" spans="1:60" x14ac:dyDescent="0.25">
      <c r="A55" t="s">
        <v>120</v>
      </c>
      <c r="B55" t="s">
        <v>121</v>
      </c>
      <c r="C55">
        <v>1234</v>
      </c>
      <c r="D55" t="s">
        <v>238</v>
      </c>
      <c r="E5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55" t="s">
        <v>8</v>
      </c>
      <c r="G55" t="s">
        <v>238</v>
      </c>
      <c r="H55" t="str">
        <f t="shared" si="0"/>
        <v>SI-2/1900-1785</v>
      </c>
      <c r="I55" t="s">
        <v>122</v>
      </c>
      <c r="J55" t="s">
        <v>122</v>
      </c>
      <c r="K55" t="s">
        <v>122</v>
      </c>
      <c r="L55" t="s">
        <v>122</v>
      </c>
      <c r="M55" s="21">
        <v>44593</v>
      </c>
      <c r="N55" t="s">
        <v>123</v>
      </c>
      <c r="O55" t="s">
        <v>198</v>
      </c>
      <c r="P55" t="s">
        <v>199</v>
      </c>
      <c r="Q55" t="s">
        <v>122</v>
      </c>
      <c r="R55" t="s">
        <v>122</v>
      </c>
      <c r="U55">
        <v>1234</v>
      </c>
      <c r="V55">
        <v>0</v>
      </c>
      <c r="W55" t="s">
        <v>200</v>
      </c>
      <c r="X55" t="s">
        <v>9</v>
      </c>
      <c r="Y55" t="s">
        <v>60</v>
      </c>
      <c r="Z55" t="s">
        <v>122</v>
      </c>
      <c r="AA55" t="s">
        <v>122</v>
      </c>
      <c r="AB55" t="s">
        <v>122</v>
      </c>
      <c r="AC55" t="s">
        <v>122</v>
      </c>
      <c r="AF55">
        <v>1800</v>
      </c>
      <c r="AG55">
        <v>100</v>
      </c>
      <c r="AH55" t="s">
        <v>124</v>
      </c>
      <c r="AI55">
        <v>1</v>
      </c>
      <c r="AJ55">
        <v>180000</v>
      </c>
      <c r="AK55">
        <v>180000</v>
      </c>
      <c r="AL55">
        <v>0</v>
      </c>
      <c r="AM55">
        <v>0</v>
      </c>
      <c r="AN55">
        <v>0</v>
      </c>
      <c r="AO55">
        <v>0</v>
      </c>
      <c r="AP55">
        <v>154159.20000000001</v>
      </c>
      <c r="AQ55">
        <v>154159.20000000001</v>
      </c>
      <c r="AR55">
        <v>0</v>
      </c>
      <c r="AS55">
        <v>0</v>
      </c>
      <c r="AT55">
        <v>0</v>
      </c>
      <c r="AU55">
        <v>0</v>
      </c>
      <c r="AV55">
        <f>Table1[[#This Row],[CGST]]+Table1[[#This Row],[IGST]]+Table1[[#This Row],[SGST]]</f>
        <v>154159.20000000001</v>
      </c>
      <c r="AW55">
        <f t="shared" si="1"/>
        <v>86</v>
      </c>
      <c r="AX55">
        <v>0</v>
      </c>
      <c r="AY55">
        <v>1010599.2</v>
      </c>
      <c r="AZ55" t="s">
        <v>125</v>
      </c>
      <c r="BA55" t="s">
        <v>10</v>
      </c>
      <c r="BB55" t="s">
        <v>126</v>
      </c>
      <c r="BC55" t="s">
        <v>127</v>
      </c>
      <c r="BD55" t="s">
        <v>128</v>
      </c>
      <c r="BE55" t="s">
        <v>16</v>
      </c>
      <c r="BF55" t="s">
        <v>237</v>
      </c>
      <c r="BH55">
        <v>0</v>
      </c>
    </row>
    <row r="56" spans="1:60" x14ac:dyDescent="0.25">
      <c r="A56" t="s">
        <v>120</v>
      </c>
      <c r="B56" t="s">
        <v>121</v>
      </c>
      <c r="C56">
        <v>1234</v>
      </c>
      <c r="D56" t="s">
        <v>239</v>
      </c>
      <c r="E5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56" t="s">
        <v>8</v>
      </c>
      <c r="G56" t="s">
        <v>239</v>
      </c>
      <c r="H56" t="str">
        <f t="shared" si="0"/>
        <v>SI-2/1900-1786</v>
      </c>
      <c r="I56" t="s">
        <v>122</v>
      </c>
      <c r="J56" t="s">
        <v>122</v>
      </c>
      <c r="K56" t="s">
        <v>122</v>
      </c>
      <c r="L56" t="s">
        <v>122</v>
      </c>
      <c r="M56" s="21">
        <v>44593</v>
      </c>
      <c r="N56" t="s">
        <v>123</v>
      </c>
      <c r="O56" t="s">
        <v>198</v>
      </c>
      <c r="P56" t="s">
        <v>199</v>
      </c>
      <c r="Q56" t="s">
        <v>122</v>
      </c>
      <c r="R56" t="s">
        <v>122</v>
      </c>
      <c r="U56">
        <v>1234</v>
      </c>
      <c r="V56">
        <v>0</v>
      </c>
      <c r="W56" t="s">
        <v>200</v>
      </c>
      <c r="X56" t="s">
        <v>9</v>
      </c>
      <c r="Y56" t="s">
        <v>60</v>
      </c>
      <c r="Z56" t="s">
        <v>122</v>
      </c>
      <c r="AA56" t="s">
        <v>122</v>
      </c>
      <c r="AB56" t="s">
        <v>122</v>
      </c>
      <c r="AC56" t="s">
        <v>122</v>
      </c>
      <c r="AF56">
        <v>25</v>
      </c>
      <c r="AG56">
        <v>100</v>
      </c>
      <c r="AH56" t="s">
        <v>124</v>
      </c>
      <c r="AI56">
        <v>1</v>
      </c>
      <c r="AJ56">
        <v>2500</v>
      </c>
      <c r="AK56">
        <v>2500</v>
      </c>
      <c r="AL56">
        <v>0</v>
      </c>
      <c r="AM56">
        <v>0</v>
      </c>
      <c r="AN56">
        <v>0</v>
      </c>
      <c r="AO56">
        <v>0</v>
      </c>
      <c r="AP56">
        <v>3134.25</v>
      </c>
      <c r="AQ56">
        <v>3134.25</v>
      </c>
      <c r="AR56">
        <v>0</v>
      </c>
      <c r="AS56">
        <v>0</v>
      </c>
      <c r="AT56">
        <v>0</v>
      </c>
      <c r="AU56">
        <v>0</v>
      </c>
      <c r="AV56">
        <f>Table1[[#This Row],[CGST]]+Table1[[#This Row],[IGST]]+Table1[[#This Row],[SGST]]</f>
        <v>3134.25</v>
      </c>
      <c r="AW56">
        <f t="shared" si="1"/>
        <v>125</v>
      </c>
      <c r="AX56">
        <v>0</v>
      </c>
      <c r="AY56">
        <v>20546.75</v>
      </c>
      <c r="AZ56" t="s">
        <v>125</v>
      </c>
      <c r="BA56" t="s">
        <v>10</v>
      </c>
      <c r="BB56" t="s">
        <v>126</v>
      </c>
      <c r="BC56" t="s">
        <v>127</v>
      </c>
      <c r="BD56" t="s">
        <v>128</v>
      </c>
      <c r="BE56" t="s">
        <v>14</v>
      </c>
      <c r="BF56" t="s">
        <v>237</v>
      </c>
      <c r="BH56">
        <v>0</v>
      </c>
    </row>
    <row r="57" spans="1:60" x14ac:dyDescent="0.25">
      <c r="A57" t="s">
        <v>120</v>
      </c>
      <c r="B57" t="s">
        <v>121</v>
      </c>
      <c r="C57">
        <v>1234</v>
      </c>
      <c r="D57" t="s">
        <v>239</v>
      </c>
      <c r="E5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57" t="s">
        <v>8</v>
      </c>
      <c r="G57" t="s">
        <v>239</v>
      </c>
      <c r="H57" t="str">
        <f t="shared" si="0"/>
        <v>SI-2/1900-1786</v>
      </c>
      <c r="I57" t="s">
        <v>122</v>
      </c>
      <c r="J57" t="s">
        <v>122</v>
      </c>
      <c r="K57" t="s">
        <v>122</v>
      </c>
      <c r="L57" t="s">
        <v>122</v>
      </c>
      <c r="M57" s="21">
        <v>44593</v>
      </c>
      <c r="N57" t="s">
        <v>123</v>
      </c>
      <c r="O57" t="s">
        <v>198</v>
      </c>
      <c r="P57" t="s">
        <v>199</v>
      </c>
      <c r="Q57" t="s">
        <v>122</v>
      </c>
      <c r="R57" t="s">
        <v>122</v>
      </c>
      <c r="U57">
        <v>1234</v>
      </c>
      <c r="V57">
        <v>0</v>
      </c>
      <c r="W57" t="s">
        <v>200</v>
      </c>
      <c r="X57" t="s">
        <v>9</v>
      </c>
      <c r="Y57" t="s">
        <v>60</v>
      </c>
      <c r="Z57" t="s">
        <v>122</v>
      </c>
      <c r="AA57" t="s">
        <v>122</v>
      </c>
      <c r="AB57" t="s">
        <v>122</v>
      </c>
      <c r="AC57" t="s">
        <v>122</v>
      </c>
      <c r="AF57">
        <v>50</v>
      </c>
      <c r="AG57">
        <v>100</v>
      </c>
      <c r="AH57" t="s">
        <v>124</v>
      </c>
      <c r="AI57">
        <v>1</v>
      </c>
      <c r="AJ57">
        <v>5000</v>
      </c>
      <c r="AK57">
        <v>5000</v>
      </c>
      <c r="AL57">
        <v>0</v>
      </c>
      <c r="AM57">
        <v>0</v>
      </c>
      <c r="AN57">
        <v>0</v>
      </c>
      <c r="AO57">
        <v>0</v>
      </c>
      <c r="AP57">
        <v>7652.7</v>
      </c>
      <c r="AQ57">
        <v>7652.7</v>
      </c>
      <c r="AR57">
        <v>0</v>
      </c>
      <c r="AS57">
        <v>0</v>
      </c>
      <c r="AT57">
        <v>0</v>
      </c>
      <c r="AU57">
        <v>0</v>
      </c>
      <c r="AV57">
        <f>Table1[[#This Row],[CGST]]+Table1[[#This Row],[IGST]]+Table1[[#This Row],[SGST]]</f>
        <v>7652.7</v>
      </c>
      <c r="AW57">
        <f t="shared" si="1"/>
        <v>153</v>
      </c>
      <c r="AX57">
        <v>0</v>
      </c>
      <c r="AY57">
        <v>50167.7</v>
      </c>
      <c r="AZ57" t="s">
        <v>125</v>
      </c>
      <c r="BA57" t="s">
        <v>10</v>
      </c>
      <c r="BB57" t="s">
        <v>126</v>
      </c>
      <c r="BC57" t="s">
        <v>127</v>
      </c>
      <c r="BD57" t="s">
        <v>128</v>
      </c>
      <c r="BE57" t="s">
        <v>14</v>
      </c>
      <c r="BF57" t="s">
        <v>237</v>
      </c>
      <c r="BH57">
        <v>0</v>
      </c>
    </row>
    <row r="58" spans="1:60" x14ac:dyDescent="0.25">
      <c r="A58" t="s">
        <v>120</v>
      </c>
      <c r="B58" t="s">
        <v>121</v>
      </c>
      <c r="C58">
        <v>1234</v>
      </c>
      <c r="D58" t="s">
        <v>239</v>
      </c>
      <c r="E5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58" t="s">
        <v>8</v>
      </c>
      <c r="G58" t="s">
        <v>239</v>
      </c>
      <c r="H58" t="str">
        <f t="shared" si="0"/>
        <v>SI-2/1900-1786</v>
      </c>
      <c r="I58" t="s">
        <v>122</v>
      </c>
      <c r="J58" t="s">
        <v>122</v>
      </c>
      <c r="K58" t="s">
        <v>122</v>
      </c>
      <c r="L58" t="s">
        <v>122</v>
      </c>
      <c r="M58" s="21">
        <v>44593</v>
      </c>
      <c r="N58" t="s">
        <v>123</v>
      </c>
      <c r="O58" t="s">
        <v>198</v>
      </c>
      <c r="P58" t="s">
        <v>199</v>
      </c>
      <c r="Q58" t="s">
        <v>122</v>
      </c>
      <c r="R58" t="s">
        <v>122</v>
      </c>
      <c r="U58">
        <v>1234</v>
      </c>
      <c r="V58">
        <v>0</v>
      </c>
      <c r="W58" t="s">
        <v>200</v>
      </c>
      <c r="X58" t="s">
        <v>9</v>
      </c>
      <c r="Y58" t="s">
        <v>60</v>
      </c>
      <c r="Z58" t="s">
        <v>122</v>
      </c>
      <c r="AA58" t="s">
        <v>122</v>
      </c>
      <c r="AB58" t="s">
        <v>122</v>
      </c>
      <c r="AC58" t="s">
        <v>122</v>
      </c>
      <c r="AF58">
        <v>50</v>
      </c>
      <c r="AG58">
        <v>100</v>
      </c>
      <c r="AH58" t="s">
        <v>124</v>
      </c>
      <c r="AI58">
        <v>1</v>
      </c>
      <c r="AJ58">
        <v>5000</v>
      </c>
      <c r="AK58">
        <v>5000</v>
      </c>
      <c r="AL58">
        <v>0</v>
      </c>
      <c r="AM58">
        <v>0</v>
      </c>
      <c r="AN58">
        <v>0</v>
      </c>
      <c r="AO58">
        <v>0</v>
      </c>
      <c r="AP58">
        <v>8937</v>
      </c>
      <c r="AQ58">
        <v>8937</v>
      </c>
      <c r="AR58">
        <v>0</v>
      </c>
      <c r="AS58">
        <v>0</v>
      </c>
      <c r="AT58">
        <v>0</v>
      </c>
      <c r="AU58">
        <v>0</v>
      </c>
      <c r="AV58">
        <f>Table1[[#This Row],[CGST]]+Table1[[#This Row],[IGST]]+Table1[[#This Row],[SGST]]</f>
        <v>8937</v>
      </c>
      <c r="AW58">
        <f t="shared" si="1"/>
        <v>179</v>
      </c>
      <c r="AX58">
        <v>0</v>
      </c>
      <c r="AY58">
        <v>58587</v>
      </c>
      <c r="AZ58" t="s">
        <v>125</v>
      </c>
      <c r="BA58" t="s">
        <v>10</v>
      </c>
      <c r="BB58" t="s">
        <v>126</v>
      </c>
      <c r="BC58" t="s">
        <v>127</v>
      </c>
      <c r="BD58" t="s">
        <v>128</v>
      </c>
      <c r="BE58" t="s">
        <v>14</v>
      </c>
      <c r="BF58" t="s">
        <v>201</v>
      </c>
      <c r="BH58">
        <v>0</v>
      </c>
    </row>
    <row r="59" spans="1:60" x14ac:dyDescent="0.25">
      <c r="A59" t="s">
        <v>120</v>
      </c>
      <c r="B59" t="s">
        <v>121</v>
      </c>
      <c r="C59">
        <v>1234</v>
      </c>
      <c r="D59" t="s">
        <v>239</v>
      </c>
      <c r="E5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59" t="s">
        <v>8</v>
      </c>
      <c r="G59" t="s">
        <v>239</v>
      </c>
      <c r="H59" t="str">
        <f t="shared" si="0"/>
        <v>SI-2/1900-1786</v>
      </c>
      <c r="I59" t="s">
        <v>122</v>
      </c>
      <c r="J59" t="s">
        <v>122</v>
      </c>
      <c r="K59" t="s">
        <v>122</v>
      </c>
      <c r="L59" t="s">
        <v>122</v>
      </c>
      <c r="M59" s="21">
        <v>44593</v>
      </c>
      <c r="N59" t="s">
        <v>123</v>
      </c>
      <c r="O59" t="s">
        <v>198</v>
      </c>
      <c r="P59" t="s">
        <v>199</v>
      </c>
      <c r="Q59" t="s">
        <v>122</v>
      </c>
      <c r="R59" t="s">
        <v>122</v>
      </c>
      <c r="U59">
        <v>1234</v>
      </c>
      <c r="V59">
        <v>0</v>
      </c>
      <c r="W59" t="s">
        <v>200</v>
      </c>
      <c r="X59" t="s">
        <v>9</v>
      </c>
      <c r="Y59" t="s">
        <v>60</v>
      </c>
      <c r="Z59" t="s">
        <v>122</v>
      </c>
      <c r="AA59" t="s">
        <v>122</v>
      </c>
      <c r="AB59" t="s">
        <v>122</v>
      </c>
      <c r="AC59" t="s">
        <v>122</v>
      </c>
      <c r="AF59">
        <v>180</v>
      </c>
      <c r="AG59">
        <v>100</v>
      </c>
      <c r="AH59" t="s">
        <v>124</v>
      </c>
      <c r="AI59">
        <v>1</v>
      </c>
      <c r="AJ59">
        <v>18000</v>
      </c>
      <c r="AK59">
        <v>18000</v>
      </c>
      <c r="AL59">
        <v>0</v>
      </c>
      <c r="AM59">
        <v>0</v>
      </c>
      <c r="AN59">
        <v>0</v>
      </c>
      <c r="AO59">
        <v>0</v>
      </c>
      <c r="AP59">
        <v>25997.759999999998</v>
      </c>
      <c r="AQ59">
        <v>25997.759999999998</v>
      </c>
      <c r="AR59">
        <v>0</v>
      </c>
      <c r="AS59">
        <v>0</v>
      </c>
      <c r="AT59">
        <v>0</v>
      </c>
      <c r="AU59">
        <v>0</v>
      </c>
      <c r="AV59">
        <f>Table1[[#This Row],[CGST]]+Table1[[#This Row],[IGST]]+Table1[[#This Row],[SGST]]</f>
        <v>25997.759999999998</v>
      </c>
      <c r="AW59">
        <f t="shared" si="1"/>
        <v>144</v>
      </c>
      <c r="AX59">
        <v>0</v>
      </c>
      <c r="AY59">
        <v>170429.76</v>
      </c>
      <c r="AZ59" t="s">
        <v>125</v>
      </c>
      <c r="BA59" t="s">
        <v>10</v>
      </c>
      <c r="BB59" t="s">
        <v>126</v>
      </c>
      <c r="BC59" t="s">
        <v>127</v>
      </c>
      <c r="BD59" t="s">
        <v>128</v>
      </c>
      <c r="BE59" t="s">
        <v>14</v>
      </c>
      <c r="BF59" t="s">
        <v>201</v>
      </c>
      <c r="BH59">
        <v>0</v>
      </c>
    </row>
    <row r="60" spans="1:60" x14ac:dyDescent="0.25">
      <c r="A60" t="s">
        <v>120</v>
      </c>
      <c r="B60" t="s">
        <v>121</v>
      </c>
      <c r="C60">
        <v>1234</v>
      </c>
      <c r="D60" t="s">
        <v>240</v>
      </c>
      <c r="E6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60" t="s">
        <v>8</v>
      </c>
      <c r="G60" t="s">
        <v>240</v>
      </c>
      <c r="H60" t="str">
        <f t="shared" si="0"/>
        <v>SI-2/1900-1787</v>
      </c>
      <c r="I60" t="s">
        <v>122</v>
      </c>
      <c r="J60" t="s">
        <v>122</v>
      </c>
      <c r="K60" t="s">
        <v>122</v>
      </c>
      <c r="L60" t="s">
        <v>122</v>
      </c>
      <c r="M60" s="21">
        <v>44593</v>
      </c>
      <c r="N60" t="s">
        <v>123</v>
      </c>
      <c r="O60" t="s">
        <v>198</v>
      </c>
      <c r="P60" t="s">
        <v>199</v>
      </c>
      <c r="Q60" t="s">
        <v>122</v>
      </c>
      <c r="R60" t="s">
        <v>122</v>
      </c>
      <c r="U60">
        <v>1234</v>
      </c>
      <c r="V60">
        <v>0</v>
      </c>
      <c r="W60" t="s">
        <v>200</v>
      </c>
      <c r="X60" t="s">
        <v>9</v>
      </c>
      <c r="Y60" t="s">
        <v>60</v>
      </c>
      <c r="Z60" t="s">
        <v>122</v>
      </c>
      <c r="AA60" t="s">
        <v>122</v>
      </c>
      <c r="AB60" t="s">
        <v>122</v>
      </c>
      <c r="AC60" t="s">
        <v>122</v>
      </c>
      <c r="AF60">
        <v>500</v>
      </c>
      <c r="AG60">
        <v>100</v>
      </c>
      <c r="AH60" t="s">
        <v>124</v>
      </c>
      <c r="AI60">
        <v>1</v>
      </c>
      <c r="AJ60">
        <v>50000</v>
      </c>
      <c r="AK60">
        <v>50000</v>
      </c>
      <c r="AL60">
        <v>0</v>
      </c>
      <c r="AM60">
        <v>0</v>
      </c>
      <c r="AN60">
        <v>0</v>
      </c>
      <c r="AO60">
        <v>0</v>
      </c>
      <c r="AP60">
        <v>67618.8</v>
      </c>
      <c r="AQ60">
        <v>67618.8</v>
      </c>
      <c r="AR60">
        <v>0</v>
      </c>
      <c r="AS60">
        <v>0</v>
      </c>
      <c r="AT60">
        <v>0</v>
      </c>
      <c r="AU60">
        <v>0</v>
      </c>
      <c r="AV60">
        <f>Table1[[#This Row],[CGST]]+Table1[[#This Row],[IGST]]+Table1[[#This Row],[SGST]]</f>
        <v>67618.8</v>
      </c>
      <c r="AW60">
        <f t="shared" si="1"/>
        <v>135</v>
      </c>
      <c r="AX60">
        <v>0</v>
      </c>
      <c r="AY60">
        <v>443278.8</v>
      </c>
      <c r="AZ60" t="s">
        <v>125</v>
      </c>
      <c r="BA60" t="s">
        <v>10</v>
      </c>
      <c r="BB60" t="s">
        <v>126</v>
      </c>
      <c r="BC60" t="s">
        <v>127</v>
      </c>
      <c r="BD60" t="s">
        <v>128</v>
      </c>
      <c r="BE60" t="s">
        <v>11</v>
      </c>
      <c r="BF60" t="s">
        <v>201</v>
      </c>
      <c r="BH60">
        <v>0</v>
      </c>
    </row>
    <row r="61" spans="1:60" x14ac:dyDescent="0.25">
      <c r="A61" t="s">
        <v>120</v>
      </c>
      <c r="B61" t="s">
        <v>121</v>
      </c>
      <c r="C61">
        <v>1234</v>
      </c>
      <c r="D61" t="s">
        <v>240</v>
      </c>
      <c r="E6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61" t="s">
        <v>8</v>
      </c>
      <c r="G61" t="s">
        <v>240</v>
      </c>
      <c r="H61" t="str">
        <f t="shared" si="0"/>
        <v>SI-2/1900-1787</v>
      </c>
      <c r="I61" t="s">
        <v>122</v>
      </c>
      <c r="J61" t="s">
        <v>122</v>
      </c>
      <c r="K61" t="s">
        <v>122</v>
      </c>
      <c r="L61" t="s">
        <v>122</v>
      </c>
      <c r="M61" s="21">
        <v>44593</v>
      </c>
      <c r="N61" t="s">
        <v>123</v>
      </c>
      <c r="O61" t="s">
        <v>198</v>
      </c>
      <c r="P61" t="s">
        <v>199</v>
      </c>
      <c r="Q61" t="s">
        <v>122</v>
      </c>
      <c r="R61" t="s">
        <v>122</v>
      </c>
      <c r="U61">
        <v>1234</v>
      </c>
      <c r="V61">
        <v>0</v>
      </c>
      <c r="W61" t="s">
        <v>200</v>
      </c>
      <c r="X61" t="s">
        <v>9</v>
      </c>
      <c r="Y61" t="s">
        <v>60</v>
      </c>
      <c r="Z61" t="s">
        <v>122</v>
      </c>
      <c r="AA61" t="s">
        <v>122</v>
      </c>
      <c r="AB61" t="s">
        <v>122</v>
      </c>
      <c r="AC61" t="s">
        <v>122</v>
      </c>
      <c r="AF61">
        <v>450</v>
      </c>
      <c r="AG61">
        <v>100</v>
      </c>
      <c r="AH61" t="s">
        <v>124</v>
      </c>
      <c r="AI61">
        <v>1</v>
      </c>
      <c r="AJ61">
        <v>45000</v>
      </c>
      <c r="AK61">
        <v>45000</v>
      </c>
      <c r="AL61">
        <v>0</v>
      </c>
      <c r="AM61">
        <v>0</v>
      </c>
      <c r="AN61">
        <v>0</v>
      </c>
      <c r="AO61">
        <v>0</v>
      </c>
      <c r="AP61">
        <v>58690.98</v>
      </c>
      <c r="AQ61">
        <v>58690.98</v>
      </c>
      <c r="AR61">
        <v>0</v>
      </c>
      <c r="AS61">
        <v>0</v>
      </c>
      <c r="AT61">
        <v>0</v>
      </c>
      <c r="AU61">
        <v>0</v>
      </c>
      <c r="AV61">
        <f>Table1[[#This Row],[CGST]]+Table1[[#This Row],[IGST]]+Table1[[#This Row],[SGST]]</f>
        <v>58690.98</v>
      </c>
      <c r="AW61">
        <f t="shared" si="1"/>
        <v>130</v>
      </c>
      <c r="AX61">
        <v>0</v>
      </c>
      <c r="AY61">
        <v>384751.98</v>
      </c>
      <c r="AZ61" t="s">
        <v>125</v>
      </c>
      <c r="BA61" t="s">
        <v>10</v>
      </c>
      <c r="BB61" t="s">
        <v>126</v>
      </c>
      <c r="BC61" t="s">
        <v>127</v>
      </c>
      <c r="BD61" t="s">
        <v>128</v>
      </c>
      <c r="BE61" t="s">
        <v>11</v>
      </c>
      <c r="BF61" t="s">
        <v>201</v>
      </c>
      <c r="BH61">
        <v>0</v>
      </c>
    </row>
    <row r="62" spans="1:60" x14ac:dyDescent="0.25">
      <c r="A62" t="s">
        <v>120</v>
      </c>
      <c r="B62" t="s">
        <v>121</v>
      </c>
      <c r="C62">
        <v>1234</v>
      </c>
      <c r="D62" t="s">
        <v>240</v>
      </c>
      <c r="E6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62" t="s">
        <v>8</v>
      </c>
      <c r="G62" t="s">
        <v>240</v>
      </c>
      <c r="H62" t="str">
        <f t="shared" si="0"/>
        <v>SI-2/1900-1787</v>
      </c>
      <c r="I62" t="s">
        <v>122</v>
      </c>
      <c r="J62" t="s">
        <v>122</v>
      </c>
      <c r="K62" t="s">
        <v>122</v>
      </c>
      <c r="L62" t="s">
        <v>122</v>
      </c>
      <c r="M62" s="21">
        <v>44593</v>
      </c>
      <c r="N62" t="s">
        <v>123</v>
      </c>
      <c r="O62" t="s">
        <v>198</v>
      </c>
      <c r="P62" t="s">
        <v>199</v>
      </c>
      <c r="Q62" t="s">
        <v>122</v>
      </c>
      <c r="R62" t="s">
        <v>122</v>
      </c>
      <c r="U62">
        <v>1234</v>
      </c>
      <c r="V62">
        <v>0</v>
      </c>
      <c r="W62" t="s">
        <v>200</v>
      </c>
      <c r="X62" t="s">
        <v>9</v>
      </c>
      <c r="Y62" t="s">
        <v>60</v>
      </c>
      <c r="Z62" t="s">
        <v>122</v>
      </c>
      <c r="AA62" t="s">
        <v>122</v>
      </c>
      <c r="AB62" t="s">
        <v>122</v>
      </c>
      <c r="AC62" t="s">
        <v>122</v>
      </c>
      <c r="AF62">
        <v>10</v>
      </c>
      <c r="AG62">
        <v>100</v>
      </c>
      <c r="AH62" t="s">
        <v>124</v>
      </c>
      <c r="AI62">
        <v>1</v>
      </c>
      <c r="AJ62">
        <v>1000</v>
      </c>
      <c r="AK62">
        <v>1000</v>
      </c>
      <c r="AL62">
        <v>0</v>
      </c>
      <c r="AM62">
        <v>0</v>
      </c>
      <c r="AN62">
        <v>0</v>
      </c>
      <c r="AO62">
        <v>0</v>
      </c>
      <c r="AP62">
        <v>1530.54</v>
      </c>
      <c r="AQ62">
        <v>1530.54</v>
      </c>
      <c r="AR62">
        <v>0</v>
      </c>
      <c r="AS62">
        <v>0</v>
      </c>
      <c r="AT62">
        <v>0</v>
      </c>
      <c r="AU62">
        <v>0</v>
      </c>
      <c r="AV62">
        <f>Table1[[#This Row],[CGST]]+Table1[[#This Row],[IGST]]+Table1[[#This Row],[SGST]]</f>
        <v>1530.54</v>
      </c>
      <c r="AW62">
        <f t="shared" si="1"/>
        <v>153</v>
      </c>
      <c r="AX62">
        <v>0</v>
      </c>
      <c r="AY62">
        <v>10033.540000000001</v>
      </c>
      <c r="AZ62" t="s">
        <v>125</v>
      </c>
      <c r="BA62" t="s">
        <v>10</v>
      </c>
      <c r="BB62" t="s">
        <v>126</v>
      </c>
      <c r="BC62" t="s">
        <v>127</v>
      </c>
      <c r="BD62" t="s">
        <v>128</v>
      </c>
      <c r="BE62" t="s">
        <v>11</v>
      </c>
      <c r="BF62" t="s">
        <v>218</v>
      </c>
      <c r="BH62">
        <v>0</v>
      </c>
    </row>
    <row r="63" spans="1:60" x14ac:dyDescent="0.25">
      <c r="A63" t="s">
        <v>120</v>
      </c>
      <c r="B63" t="s">
        <v>121</v>
      </c>
      <c r="C63">
        <v>1234</v>
      </c>
      <c r="D63" t="s">
        <v>240</v>
      </c>
      <c r="E6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63" t="s">
        <v>8</v>
      </c>
      <c r="G63" t="s">
        <v>240</v>
      </c>
      <c r="H63" t="str">
        <f t="shared" si="0"/>
        <v>SI-2/1900-1787</v>
      </c>
      <c r="I63" t="s">
        <v>122</v>
      </c>
      <c r="J63" t="s">
        <v>122</v>
      </c>
      <c r="K63" t="s">
        <v>122</v>
      </c>
      <c r="L63" t="s">
        <v>122</v>
      </c>
      <c r="M63" s="21">
        <v>44593</v>
      </c>
      <c r="N63" t="s">
        <v>123</v>
      </c>
      <c r="O63" t="s">
        <v>198</v>
      </c>
      <c r="P63" t="s">
        <v>199</v>
      </c>
      <c r="Q63" t="s">
        <v>122</v>
      </c>
      <c r="R63" t="s">
        <v>122</v>
      </c>
      <c r="U63">
        <v>1234</v>
      </c>
      <c r="V63">
        <v>0</v>
      </c>
      <c r="W63" t="s">
        <v>200</v>
      </c>
      <c r="X63" t="s">
        <v>9</v>
      </c>
      <c r="Y63" t="s">
        <v>60</v>
      </c>
      <c r="Z63" t="s">
        <v>122</v>
      </c>
      <c r="AA63" t="s">
        <v>122</v>
      </c>
      <c r="AB63" t="s">
        <v>122</v>
      </c>
      <c r="AC63" t="s">
        <v>122</v>
      </c>
      <c r="AF63">
        <v>98</v>
      </c>
      <c r="AG63">
        <v>100</v>
      </c>
      <c r="AH63" t="s">
        <v>124</v>
      </c>
      <c r="AI63">
        <v>1</v>
      </c>
      <c r="AJ63">
        <v>9800</v>
      </c>
      <c r="AK63">
        <v>9800</v>
      </c>
      <c r="AL63">
        <v>0</v>
      </c>
      <c r="AM63">
        <v>0</v>
      </c>
      <c r="AN63">
        <v>0</v>
      </c>
      <c r="AO63">
        <v>0</v>
      </c>
      <c r="AP63">
        <v>17134.79</v>
      </c>
      <c r="AQ63">
        <v>17134.79</v>
      </c>
      <c r="AR63">
        <v>0</v>
      </c>
      <c r="AS63">
        <v>0</v>
      </c>
      <c r="AT63">
        <v>0</v>
      </c>
      <c r="AU63">
        <v>0</v>
      </c>
      <c r="AV63">
        <f>Table1[[#This Row],[CGST]]+Table1[[#This Row],[IGST]]+Table1[[#This Row],[SGST]]</f>
        <v>17134.79</v>
      </c>
      <c r="AW63">
        <f t="shared" si="1"/>
        <v>175</v>
      </c>
      <c r="AX63">
        <v>0</v>
      </c>
      <c r="AY63">
        <v>112328.07</v>
      </c>
      <c r="AZ63" t="s">
        <v>125</v>
      </c>
      <c r="BA63" t="s">
        <v>10</v>
      </c>
      <c r="BB63" t="s">
        <v>126</v>
      </c>
      <c r="BC63" t="s">
        <v>127</v>
      </c>
      <c r="BD63" t="s">
        <v>128</v>
      </c>
      <c r="BE63" t="s">
        <v>11</v>
      </c>
      <c r="BF63" t="s">
        <v>218</v>
      </c>
      <c r="BH63">
        <v>0</v>
      </c>
    </row>
    <row r="64" spans="1:60" x14ac:dyDescent="0.25">
      <c r="A64" t="s">
        <v>120</v>
      </c>
      <c r="B64" t="s">
        <v>121</v>
      </c>
      <c r="C64">
        <v>1234</v>
      </c>
      <c r="D64" t="s">
        <v>241</v>
      </c>
      <c r="E6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64" t="s">
        <v>8</v>
      </c>
      <c r="G64" t="s">
        <v>241</v>
      </c>
      <c r="H64" t="str">
        <f t="shared" si="0"/>
        <v>SI-2/1900-1789</v>
      </c>
      <c r="I64" t="s">
        <v>122</v>
      </c>
      <c r="J64" t="s">
        <v>122</v>
      </c>
      <c r="K64" t="s">
        <v>122</v>
      </c>
      <c r="L64" t="s">
        <v>122</v>
      </c>
      <c r="M64" s="21">
        <v>44593</v>
      </c>
      <c r="N64" t="s">
        <v>123</v>
      </c>
      <c r="O64" t="s">
        <v>198</v>
      </c>
      <c r="P64" t="s">
        <v>199</v>
      </c>
      <c r="Q64" t="s">
        <v>122</v>
      </c>
      <c r="R64" t="s">
        <v>122</v>
      </c>
      <c r="U64">
        <v>1234</v>
      </c>
      <c r="V64">
        <v>0</v>
      </c>
      <c r="W64" t="s">
        <v>200</v>
      </c>
      <c r="X64" t="s">
        <v>9</v>
      </c>
      <c r="Y64" t="s">
        <v>60</v>
      </c>
      <c r="Z64" t="s">
        <v>122</v>
      </c>
      <c r="AA64" t="s">
        <v>122</v>
      </c>
      <c r="AB64" t="s">
        <v>122</v>
      </c>
      <c r="AC64" t="s">
        <v>122</v>
      </c>
      <c r="AF64">
        <v>680</v>
      </c>
      <c r="AG64">
        <v>100</v>
      </c>
      <c r="AH64" t="s">
        <v>124</v>
      </c>
      <c r="AI64">
        <v>1</v>
      </c>
      <c r="AJ64">
        <v>68000</v>
      </c>
      <c r="AK64">
        <v>68000</v>
      </c>
      <c r="AL64">
        <v>0</v>
      </c>
      <c r="AM64">
        <v>0</v>
      </c>
      <c r="AN64">
        <v>0</v>
      </c>
      <c r="AO64">
        <v>0</v>
      </c>
      <c r="AP64">
        <v>116623.94</v>
      </c>
      <c r="AQ64">
        <v>116623.94</v>
      </c>
      <c r="AR64">
        <v>0</v>
      </c>
      <c r="AS64">
        <v>0</v>
      </c>
      <c r="AT64">
        <v>0</v>
      </c>
      <c r="AU64">
        <v>0</v>
      </c>
      <c r="AV64">
        <f>Table1[[#This Row],[CGST]]+Table1[[#This Row],[IGST]]+Table1[[#This Row],[SGST]]</f>
        <v>116623.94</v>
      </c>
      <c r="AW64">
        <f t="shared" si="1"/>
        <v>172</v>
      </c>
      <c r="AX64">
        <v>0</v>
      </c>
      <c r="AY64">
        <v>764534.74</v>
      </c>
      <c r="AZ64" t="s">
        <v>125</v>
      </c>
      <c r="BA64" t="s">
        <v>10</v>
      </c>
      <c r="BB64" t="s">
        <v>126</v>
      </c>
      <c r="BC64" t="s">
        <v>127</v>
      </c>
      <c r="BD64" t="s">
        <v>128</v>
      </c>
      <c r="BE64" t="s">
        <v>18</v>
      </c>
      <c r="BF64" t="s">
        <v>205</v>
      </c>
      <c r="BH64">
        <v>0</v>
      </c>
    </row>
    <row r="65" spans="1:60" x14ac:dyDescent="0.25">
      <c r="A65" t="s">
        <v>120</v>
      </c>
      <c r="B65" t="s">
        <v>121</v>
      </c>
      <c r="C65">
        <v>1234</v>
      </c>
      <c r="D65" t="s">
        <v>242</v>
      </c>
      <c r="E6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65" t="s">
        <v>8</v>
      </c>
      <c r="G65" t="s">
        <v>242</v>
      </c>
      <c r="H65" t="str">
        <f t="shared" ref="H65:H128" si="2">F65 &amp; "/"&amp; G65</f>
        <v>SI-2/1900-1790</v>
      </c>
      <c r="I65" t="s">
        <v>122</v>
      </c>
      <c r="J65" t="s">
        <v>122</v>
      </c>
      <c r="K65" t="s">
        <v>122</v>
      </c>
      <c r="L65" t="s">
        <v>122</v>
      </c>
      <c r="M65" s="21">
        <v>44593</v>
      </c>
      <c r="N65" t="s">
        <v>123</v>
      </c>
      <c r="O65" t="s">
        <v>198</v>
      </c>
      <c r="P65" t="s">
        <v>199</v>
      </c>
      <c r="Q65" t="s">
        <v>122</v>
      </c>
      <c r="R65" t="s">
        <v>122</v>
      </c>
      <c r="U65">
        <v>1234</v>
      </c>
      <c r="V65">
        <v>0</v>
      </c>
      <c r="W65" t="s">
        <v>200</v>
      </c>
      <c r="X65" t="s">
        <v>9</v>
      </c>
      <c r="Y65" t="s">
        <v>60</v>
      </c>
      <c r="Z65" t="s">
        <v>122</v>
      </c>
      <c r="AA65" t="s">
        <v>122</v>
      </c>
      <c r="AB65" t="s">
        <v>122</v>
      </c>
      <c r="AC65" t="s">
        <v>122</v>
      </c>
      <c r="AF65">
        <v>680</v>
      </c>
      <c r="AG65">
        <v>100</v>
      </c>
      <c r="AH65" t="s">
        <v>124</v>
      </c>
      <c r="AI65">
        <v>1</v>
      </c>
      <c r="AJ65">
        <v>68000</v>
      </c>
      <c r="AK65">
        <v>68000</v>
      </c>
      <c r="AL65">
        <v>0</v>
      </c>
      <c r="AM65">
        <v>0</v>
      </c>
      <c r="AN65">
        <v>0</v>
      </c>
      <c r="AO65">
        <v>0</v>
      </c>
      <c r="AP65">
        <v>116623.94</v>
      </c>
      <c r="AQ65">
        <v>116623.94</v>
      </c>
      <c r="AR65">
        <v>0</v>
      </c>
      <c r="AS65">
        <v>0</v>
      </c>
      <c r="AT65">
        <v>0</v>
      </c>
      <c r="AU65">
        <v>0</v>
      </c>
      <c r="AV65">
        <f>Table1[[#This Row],[CGST]]+Table1[[#This Row],[IGST]]+Table1[[#This Row],[SGST]]</f>
        <v>116623.94</v>
      </c>
      <c r="AW65">
        <f t="shared" si="1"/>
        <v>172</v>
      </c>
      <c r="AX65">
        <v>0</v>
      </c>
      <c r="AY65">
        <v>764534.74</v>
      </c>
      <c r="AZ65" t="s">
        <v>125</v>
      </c>
      <c r="BA65" t="s">
        <v>10</v>
      </c>
      <c r="BB65" t="s">
        <v>126</v>
      </c>
      <c r="BC65" t="s">
        <v>127</v>
      </c>
      <c r="BD65" t="s">
        <v>128</v>
      </c>
      <c r="BE65" t="s">
        <v>16</v>
      </c>
      <c r="BF65" t="s">
        <v>205</v>
      </c>
      <c r="BH65">
        <v>0</v>
      </c>
    </row>
    <row r="66" spans="1:60" x14ac:dyDescent="0.25">
      <c r="A66" t="s">
        <v>120</v>
      </c>
      <c r="B66" t="s">
        <v>121</v>
      </c>
      <c r="C66">
        <v>1234</v>
      </c>
      <c r="D66" t="s">
        <v>243</v>
      </c>
      <c r="E6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66" t="s">
        <v>8</v>
      </c>
      <c r="G66" t="s">
        <v>243</v>
      </c>
      <c r="H66" t="str">
        <f t="shared" si="2"/>
        <v>SI-2/1900-1791</v>
      </c>
      <c r="I66" t="s">
        <v>122</v>
      </c>
      <c r="J66" t="s">
        <v>122</v>
      </c>
      <c r="K66" t="s">
        <v>122</v>
      </c>
      <c r="L66" t="s">
        <v>122</v>
      </c>
      <c r="M66" s="21">
        <v>44593</v>
      </c>
      <c r="N66" t="s">
        <v>123</v>
      </c>
      <c r="O66" t="s">
        <v>198</v>
      </c>
      <c r="P66" t="s">
        <v>199</v>
      </c>
      <c r="Q66" t="s">
        <v>122</v>
      </c>
      <c r="R66" t="s">
        <v>122</v>
      </c>
      <c r="U66">
        <v>1234</v>
      </c>
      <c r="V66">
        <v>0</v>
      </c>
      <c r="W66" t="s">
        <v>200</v>
      </c>
      <c r="X66" t="s">
        <v>9</v>
      </c>
      <c r="Y66" t="s">
        <v>60</v>
      </c>
      <c r="Z66" t="s">
        <v>122</v>
      </c>
      <c r="AA66" t="s">
        <v>122</v>
      </c>
      <c r="AB66" t="s">
        <v>122</v>
      </c>
      <c r="AC66" t="s">
        <v>122</v>
      </c>
      <c r="AF66">
        <v>300</v>
      </c>
      <c r="AG66">
        <v>100</v>
      </c>
      <c r="AH66" t="s">
        <v>124</v>
      </c>
      <c r="AI66">
        <v>1</v>
      </c>
      <c r="AJ66">
        <v>30000</v>
      </c>
      <c r="AK66">
        <v>30000</v>
      </c>
      <c r="AL66">
        <v>0</v>
      </c>
      <c r="AM66">
        <v>0</v>
      </c>
      <c r="AN66">
        <v>0</v>
      </c>
      <c r="AO66">
        <v>0</v>
      </c>
      <c r="AP66">
        <v>51451.74</v>
      </c>
      <c r="AQ66">
        <v>51451.74</v>
      </c>
      <c r="AR66">
        <v>0</v>
      </c>
      <c r="AS66">
        <v>0</v>
      </c>
      <c r="AT66">
        <v>0</v>
      </c>
      <c r="AU66">
        <v>0</v>
      </c>
      <c r="AV66">
        <f>Table1[[#This Row],[CGST]]+Table1[[#This Row],[IGST]]+Table1[[#This Row],[SGST]]</f>
        <v>51451.74</v>
      </c>
      <c r="AW66">
        <f t="shared" ref="AW66:AW129" si="3">ROUND((AV66/AJ66)*100,0.5)</f>
        <v>172</v>
      </c>
      <c r="AX66">
        <v>0</v>
      </c>
      <c r="AY66">
        <v>337294.74</v>
      </c>
      <c r="AZ66" t="s">
        <v>125</v>
      </c>
      <c r="BA66" t="s">
        <v>10</v>
      </c>
      <c r="BB66" t="s">
        <v>126</v>
      </c>
      <c r="BC66" t="s">
        <v>127</v>
      </c>
      <c r="BD66" t="s">
        <v>128</v>
      </c>
      <c r="BE66" t="s">
        <v>13</v>
      </c>
      <c r="BF66" t="s">
        <v>207</v>
      </c>
      <c r="BH66">
        <v>0</v>
      </c>
    </row>
    <row r="67" spans="1:60" x14ac:dyDescent="0.25">
      <c r="A67" t="s">
        <v>120</v>
      </c>
      <c r="B67" t="s">
        <v>121</v>
      </c>
      <c r="C67">
        <v>1234</v>
      </c>
      <c r="D67" t="s">
        <v>243</v>
      </c>
      <c r="E6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67" t="s">
        <v>8</v>
      </c>
      <c r="G67" t="s">
        <v>243</v>
      </c>
      <c r="H67" t="str">
        <f t="shared" si="2"/>
        <v>SI-2/1900-1791</v>
      </c>
      <c r="I67" t="s">
        <v>122</v>
      </c>
      <c r="J67" t="s">
        <v>122</v>
      </c>
      <c r="K67" t="s">
        <v>122</v>
      </c>
      <c r="L67" t="s">
        <v>122</v>
      </c>
      <c r="M67" s="21">
        <v>44593</v>
      </c>
      <c r="N67" t="s">
        <v>123</v>
      </c>
      <c r="O67" t="s">
        <v>198</v>
      </c>
      <c r="P67" t="s">
        <v>199</v>
      </c>
      <c r="Q67" t="s">
        <v>122</v>
      </c>
      <c r="R67" t="s">
        <v>122</v>
      </c>
      <c r="U67">
        <v>1234</v>
      </c>
      <c r="V67">
        <v>0</v>
      </c>
      <c r="W67" t="s">
        <v>200</v>
      </c>
      <c r="X67" t="s">
        <v>9</v>
      </c>
      <c r="Y67" t="s">
        <v>60</v>
      </c>
      <c r="Z67" t="s">
        <v>122</v>
      </c>
      <c r="AA67" t="s">
        <v>122</v>
      </c>
      <c r="AB67" t="s">
        <v>122</v>
      </c>
      <c r="AC67" t="s">
        <v>122</v>
      </c>
      <c r="AF67">
        <v>630</v>
      </c>
      <c r="AG67">
        <v>100</v>
      </c>
      <c r="AH67" t="s">
        <v>124</v>
      </c>
      <c r="AI67">
        <v>1</v>
      </c>
      <c r="AJ67">
        <v>63000</v>
      </c>
      <c r="AK67">
        <v>63000</v>
      </c>
      <c r="AL67">
        <v>0</v>
      </c>
      <c r="AM67">
        <v>0</v>
      </c>
      <c r="AN67">
        <v>0</v>
      </c>
      <c r="AO67">
        <v>0</v>
      </c>
      <c r="AP67">
        <v>82167.37</v>
      </c>
      <c r="AQ67">
        <v>82167.37</v>
      </c>
      <c r="AR67">
        <v>0</v>
      </c>
      <c r="AS67">
        <v>0</v>
      </c>
      <c r="AT67">
        <v>0</v>
      </c>
      <c r="AU67">
        <v>0</v>
      </c>
      <c r="AV67">
        <f>Table1[[#This Row],[CGST]]+Table1[[#This Row],[IGST]]+Table1[[#This Row],[SGST]]</f>
        <v>82167.37</v>
      </c>
      <c r="AW67">
        <f t="shared" si="3"/>
        <v>130</v>
      </c>
      <c r="AX67">
        <v>0</v>
      </c>
      <c r="AY67">
        <v>538652.77</v>
      </c>
      <c r="AZ67" t="s">
        <v>125</v>
      </c>
      <c r="BA67" t="s">
        <v>10</v>
      </c>
      <c r="BB67" t="s">
        <v>126</v>
      </c>
      <c r="BC67" t="s">
        <v>127</v>
      </c>
      <c r="BD67" t="s">
        <v>128</v>
      </c>
      <c r="BE67" t="s">
        <v>13</v>
      </c>
      <c r="BF67" t="s">
        <v>207</v>
      </c>
      <c r="BH67">
        <v>0</v>
      </c>
    </row>
    <row r="68" spans="1:60" x14ac:dyDescent="0.25">
      <c r="A68" t="s">
        <v>120</v>
      </c>
      <c r="B68" t="s">
        <v>121</v>
      </c>
      <c r="C68">
        <v>1234</v>
      </c>
      <c r="D68" t="s">
        <v>244</v>
      </c>
      <c r="E6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68" t="s">
        <v>8</v>
      </c>
      <c r="G68" t="s">
        <v>244</v>
      </c>
      <c r="H68" t="str">
        <f t="shared" si="2"/>
        <v>SI-2/1900-1792</v>
      </c>
      <c r="I68" t="s">
        <v>122</v>
      </c>
      <c r="J68" t="s">
        <v>122</v>
      </c>
      <c r="K68" t="s">
        <v>122</v>
      </c>
      <c r="L68" t="s">
        <v>122</v>
      </c>
      <c r="M68" s="21">
        <v>44593</v>
      </c>
      <c r="N68" t="s">
        <v>123</v>
      </c>
      <c r="O68" t="s">
        <v>198</v>
      </c>
      <c r="P68" t="s">
        <v>199</v>
      </c>
      <c r="Q68" t="s">
        <v>122</v>
      </c>
      <c r="R68" t="s">
        <v>122</v>
      </c>
      <c r="U68">
        <v>1234</v>
      </c>
      <c r="V68">
        <v>0</v>
      </c>
      <c r="W68" t="s">
        <v>200</v>
      </c>
      <c r="X68" t="s">
        <v>9</v>
      </c>
      <c r="Y68" t="s">
        <v>60</v>
      </c>
      <c r="Z68" t="s">
        <v>122</v>
      </c>
      <c r="AA68" t="s">
        <v>122</v>
      </c>
      <c r="AB68" t="s">
        <v>122</v>
      </c>
      <c r="AC68" t="s">
        <v>122</v>
      </c>
      <c r="AF68">
        <v>660</v>
      </c>
      <c r="AG68">
        <v>100</v>
      </c>
      <c r="AH68" t="s">
        <v>124</v>
      </c>
      <c r="AI68">
        <v>1</v>
      </c>
      <c r="AJ68">
        <v>66000</v>
      </c>
      <c r="AK68">
        <v>66000</v>
      </c>
      <c r="AL68">
        <v>0</v>
      </c>
      <c r="AM68">
        <v>0</v>
      </c>
      <c r="AN68">
        <v>0</v>
      </c>
      <c r="AO68">
        <v>0</v>
      </c>
      <c r="AP68">
        <v>113193.83</v>
      </c>
      <c r="AQ68">
        <v>113193.83</v>
      </c>
      <c r="AR68">
        <v>0</v>
      </c>
      <c r="AS68">
        <v>0</v>
      </c>
      <c r="AT68">
        <v>0</v>
      </c>
      <c r="AU68">
        <v>0</v>
      </c>
      <c r="AV68">
        <f>Table1[[#This Row],[CGST]]+Table1[[#This Row],[IGST]]+Table1[[#This Row],[SGST]]</f>
        <v>113193.83</v>
      </c>
      <c r="AW68">
        <f t="shared" si="3"/>
        <v>172</v>
      </c>
      <c r="AX68">
        <v>0</v>
      </c>
      <c r="AY68">
        <v>742048.43</v>
      </c>
      <c r="AZ68" t="s">
        <v>125</v>
      </c>
      <c r="BA68" t="s">
        <v>10</v>
      </c>
      <c r="BB68" t="s">
        <v>126</v>
      </c>
      <c r="BC68" t="s">
        <v>127</v>
      </c>
      <c r="BD68" t="s">
        <v>128</v>
      </c>
      <c r="BE68" t="s">
        <v>18</v>
      </c>
      <c r="BF68" t="s">
        <v>205</v>
      </c>
      <c r="BH68">
        <v>0</v>
      </c>
    </row>
    <row r="69" spans="1:60" x14ac:dyDescent="0.25">
      <c r="A69" t="s">
        <v>120</v>
      </c>
      <c r="B69" t="s">
        <v>121</v>
      </c>
      <c r="C69">
        <v>1234</v>
      </c>
      <c r="D69" t="s">
        <v>244</v>
      </c>
      <c r="E6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69" t="s">
        <v>8</v>
      </c>
      <c r="G69" t="s">
        <v>244</v>
      </c>
      <c r="H69" t="str">
        <f t="shared" si="2"/>
        <v>SI-2/1900-1792</v>
      </c>
      <c r="I69" t="s">
        <v>122</v>
      </c>
      <c r="J69" t="s">
        <v>122</v>
      </c>
      <c r="K69" t="s">
        <v>122</v>
      </c>
      <c r="L69" t="s">
        <v>122</v>
      </c>
      <c r="M69" s="21">
        <v>44593</v>
      </c>
      <c r="N69" t="s">
        <v>123</v>
      </c>
      <c r="O69" t="s">
        <v>198</v>
      </c>
      <c r="P69" t="s">
        <v>199</v>
      </c>
      <c r="Q69" t="s">
        <v>122</v>
      </c>
      <c r="R69" t="s">
        <v>122</v>
      </c>
      <c r="U69">
        <v>1234</v>
      </c>
      <c r="V69">
        <v>0</v>
      </c>
      <c r="W69" t="s">
        <v>200</v>
      </c>
      <c r="X69" t="s">
        <v>9</v>
      </c>
      <c r="Y69" t="s">
        <v>60</v>
      </c>
      <c r="Z69" t="s">
        <v>122</v>
      </c>
      <c r="AA69" t="s">
        <v>122</v>
      </c>
      <c r="AB69" t="s">
        <v>122</v>
      </c>
      <c r="AC69" t="s">
        <v>122</v>
      </c>
      <c r="AF69">
        <v>25</v>
      </c>
      <c r="AG69">
        <v>100</v>
      </c>
      <c r="AH69" t="s">
        <v>124</v>
      </c>
      <c r="AI69">
        <v>1</v>
      </c>
      <c r="AJ69">
        <v>2500</v>
      </c>
      <c r="AK69">
        <v>2500</v>
      </c>
      <c r="AL69">
        <v>0</v>
      </c>
      <c r="AM69">
        <v>0</v>
      </c>
      <c r="AN69">
        <v>0</v>
      </c>
      <c r="AO69">
        <v>0</v>
      </c>
      <c r="AP69">
        <v>3134.25</v>
      </c>
      <c r="AQ69">
        <v>3134.25</v>
      </c>
      <c r="AR69">
        <v>0</v>
      </c>
      <c r="AS69">
        <v>0</v>
      </c>
      <c r="AT69">
        <v>0</v>
      </c>
      <c r="AU69">
        <v>0</v>
      </c>
      <c r="AV69">
        <f>Table1[[#This Row],[CGST]]+Table1[[#This Row],[IGST]]+Table1[[#This Row],[SGST]]</f>
        <v>3134.25</v>
      </c>
      <c r="AW69">
        <f t="shared" si="3"/>
        <v>125</v>
      </c>
      <c r="AX69">
        <v>0</v>
      </c>
      <c r="AY69">
        <v>20546.75</v>
      </c>
      <c r="AZ69" t="s">
        <v>125</v>
      </c>
      <c r="BA69" t="s">
        <v>10</v>
      </c>
      <c r="BB69" t="s">
        <v>126</v>
      </c>
      <c r="BC69" t="s">
        <v>127</v>
      </c>
      <c r="BD69" t="s">
        <v>128</v>
      </c>
      <c r="BE69" t="s">
        <v>18</v>
      </c>
      <c r="BF69" t="s">
        <v>205</v>
      </c>
      <c r="BH69">
        <v>0</v>
      </c>
    </row>
    <row r="70" spans="1:60" x14ac:dyDescent="0.25">
      <c r="A70" t="s">
        <v>120</v>
      </c>
      <c r="B70" t="s">
        <v>121</v>
      </c>
      <c r="C70">
        <v>1234</v>
      </c>
      <c r="D70" t="s">
        <v>245</v>
      </c>
      <c r="E7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70" t="s">
        <v>8</v>
      </c>
      <c r="G70" t="s">
        <v>245</v>
      </c>
      <c r="H70" t="str">
        <f t="shared" si="2"/>
        <v>SI-2/1900-1793</v>
      </c>
      <c r="I70" t="s">
        <v>122</v>
      </c>
      <c r="J70" t="s">
        <v>122</v>
      </c>
      <c r="K70" t="s">
        <v>122</v>
      </c>
      <c r="L70" t="s">
        <v>122</v>
      </c>
      <c r="M70" s="21">
        <v>44593</v>
      </c>
      <c r="N70" t="s">
        <v>123</v>
      </c>
      <c r="O70" t="s">
        <v>198</v>
      </c>
      <c r="P70" t="s">
        <v>199</v>
      </c>
      <c r="Q70" t="s">
        <v>122</v>
      </c>
      <c r="R70" t="s">
        <v>122</v>
      </c>
      <c r="U70">
        <v>1234</v>
      </c>
      <c r="V70">
        <v>0</v>
      </c>
      <c r="W70" t="s">
        <v>200</v>
      </c>
      <c r="X70" t="s">
        <v>9</v>
      </c>
      <c r="Y70" t="s">
        <v>60</v>
      </c>
      <c r="Z70" t="s">
        <v>122</v>
      </c>
      <c r="AA70" t="s">
        <v>122</v>
      </c>
      <c r="AB70" t="s">
        <v>122</v>
      </c>
      <c r="AC70" t="s">
        <v>122</v>
      </c>
      <c r="AF70">
        <v>200</v>
      </c>
      <c r="AG70">
        <v>100</v>
      </c>
      <c r="AH70" t="s">
        <v>124</v>
      </c>
      <c r="AI70">
        <v>1</v>
      </c>
      <c r="AJ70">
        <v>20000</v>
      </c>
      <c r="AK70">
        <v>20000</v>
      </c>
      <c r="AL70">
        <v>0</v>
      </c>
      <c r="AM70">
        <v>0</v>
      </c>
      <c r="AN70">
        <v>0</v>
      </c>
      <c r="AO70">
        <v>0</v>
      </c>
      <c r="AP70">
        <v>34301.160000000003</v>
      </c>
      <c r="AQ70">
        <v>34301.160000000003</v>
      </c>
      <c r="AR70">
        <v>0</v>
      </c>
      <c r="AS70">
        <v>0</v>
      </c>
      <c r="AT70">
        <v>0</v>
      </c>
      <c r="AU70">
        <v>0</v>
      </c>
      <c r="AV70">
        <f>Table1[[#This Row],[CGST]]+Table1[[#This Row],[IGST]]+Table1[[#This Row],[SGST]]</f>
        <v>34301.160000000003</v>
      </c>
      <c r="AW70">
        <f t="shared" si="3"/>
        <v>172</v>
      </c>
      <c r="AX70">
        <v>0</v>
      </c>
      <c r="AY70">
        <v>224863.16</v>
      </c>
      <c r="AZ70" t="s">
        <v>125</v>
      </c>
      <c r="BA70" t="s">
        <v>10</v>
      </c>
      <c r="BB70" t="s">
        <v>126</v>
      </c>
      <c r="BC70" t="s">
        <v>127</v>
      </c>
      <c r="BD70" t="s">
        <v>128</v>
      </c>
      <c r="BE70" t="s">
        <v>13</v>
      </c>
      <c r="BF70" t="s">
        <v>211</v>
      </c>
      <c r="BH70">
        <v>0</v>
      </c>
    </row>
    <row r="71" spans="1:60" x14ac:dyDescent="0.25">
      <c r="A71" t="s">
        <v>120</v>
      </c>
      <c r="B71" t="s">
        <v>121</v>
      </c>
      <c r="C71">
        <v>1234</v>
      </c>
      <c r="D71" t="s">
        <v>245</v>
      </c>
      <c r="E7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71" t="s">
        <v>8</v>
      </c>
      <c r="G71" t="s">
        <v>245</v>
      </c>
      <c r="H71" t="str">
        <f t="shared" si="2"/>
        <v>SI-2/1900-1793</v>
      </c>
      <c r="I71" t="s">
        <v>122</v>
      </c>
      <c r="J71" t="s">
        <v>122</v>
      </c>
      <c r="K71" t="s">
        <v>122</v>
      </c>
      <c r="L71" t="s">
        <v>122</v>
      </c>
      <c r="M71" s="21">
        <v>44593</v>
      </c>
      <c r="N71" t="s">
        <v>123</v>
      </c>
      <c r="O71" t="s">
        <v>198</v>
      </c>
      <c r="P71" t="s">
        <v>199</v>
      </c>
      <c r="Q71" t="s">
        <v>122</v>
      </c>
      <c r="R71" t="s">
        <v>122</v>
      </c>
      <c r="U71">
        <v>1234</v>
      </c>
      <c r="V71">
        <v>0</v>
      </c>
      <c r="W71" t="s">
        <v>200</v>
      </c>
      <c r="X71" t="s">
        <v>9</v>
      </c>
      <c r="Y71" t="s">
        <v>60</v>
      </c>
      <c r="Z71" t="s">
        <v>122</v>
      </c>
      <c r="AA71" t="s">
        <v>122</v>
      </c>
      <c r="AB71" t="s">
        <v>122</v>
      </c>
      <c r="AC71" t="s">
        <v>122</v>
      </c>
      <c r="AF71">
        <v>810</v>
      </c>
      <c r="AG71">
        <v>100</v>
      </c>
      <c r="AH71" t="s">
        <v>124</v>
      </c>
      <c r="AI71">
        <v>1</v>
      </c>
      <c r="AJ71">
        <v>81000</v>
      </c>
      <c r="AK71">
        <v>81000</v>
      </c>
      <c r="AL71">
        <v>0</v>
      </c>
      <c r="AM71">
        <v>0</v>
      </c>
      <c r="AN71">
        <v>0</v>
      </c>
      <c r="AO71">
        <v>0</v>
      </c>
      <c r="AP71">
        <v>105643.76</v>
      </c>
      <c r="AQ71">
        <v>105643.76</v>
      </c>
      <c r="AR71">
        <v>0</v>
      </c>
      <c r="AS71">
        <v>0</v>
      </c>
      <c r="AT71">
        <v>0</v>
      </c>
      <c r="AU71">
        <v>0</v>
      </c>
      <c r="AV71">
        <f>Table1[[#This Row],[CGST]]+Table1[[#This Row],[IGST]]+Table1[[#This Row],[SGST]]</f>
        <v>105643.76</v>
      </c>
      <c r="AW71">
        <f t="shared" si="3"/>
        <v>130</v>
      </c>
      <c r="AX71">
        <v>0</v>
      </c>
      <c r="AY71">
        <v>692553.56</v>
      </c>
      <c r="AZ71" t="s">
        <v>125</v>
      </c>
      <c r="BA71" t="s">
        <v>10</v>
      </c>
      <c r="BB71" t="s">
        <v>126</v>
      </c>
      <c r="BC71" t="s">
        <v>127</v>
      </c>
      <c r="BD71" t="s">
        <v>128</v>
      </c>
      <c r="BE71" t="s">
        <v>13</v>
      </c>
      <c r="BF71" t="s">
        <v>211</v>
      </c>
      <c r="BH71">
        <v>0</v>
      </c>
    </row>
    <row r="72" spans="1:60" x14ac:dyDescent="0.25">
      <c r="A72" t="s">
        <v>120</v>
      </c>
      <c r="B72" t="s">
        <v>121</v>
      </c>
      <c r="C72">
        <v>1234</v>
      </c>
      <c r="D72" t="s">
        <v>246</v>
      </c>
      <c r="E7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72" t="s">
        <v>8</v>
      </c>
      <c r="G72" t="s">
        <v>246</v>
      </c>
      <c r="H72" t="str">
        <f t="shared" si="2"/>
        <v>SI-2/1900-1794</v>
      </c>
      <c r="I72" t="s">
        <v>122</v>
      </c>
      <c r="J72" t="s">
        <v>122</v>
      </c>
      <c r="K72" t="s">
        <v>122</v>
      </c>
      <c r="L72" t="s">
        <v>122</v>
      </c>
      <c r="M72" s="21">
        <v>44593</v>
      </c>
      <c r="N72" t="s">
        <v>123</v>
      </c>
      <c r="O72" t="s">
        <v>198</v>
      </c>
      <c r="P72" t="s">
        <v>199</v>
      </c>
      <c r="Q72" t="s">
        <v>122</v>
      </c>
      <c r="R72" t="s">
        <v>122</v>
      </c>
      <c r="U72">
        <v>1234</v>
      </c>
      <c r="V72">
        <v>0</v>
      </c>
      <c r="W72" t="s">
        <v>200</v>
      </c>
      <c r="X72" t="s">
        <v>9</v>
      </c>
      <c r="Y72" t="s">
        <v>60</v>
      </c>
      <c r="Z72" t="s">
        <v>122</v>
      </c>
      <c r="AA72" t="s">
        <v>122</v>
      </c>
      <c r="AB72" t="s">
        <v>122</v>
      </c>
      <c r="AC72" t="s">
        <v>122</v>
      </c>
      <c r="AF72">
        <v>325</v>
      </c>
      <c r="AG72">
        <v>100</v>
      </c>
      <c r="AH72" t="s">
        <v>124</v>
      </c>
      <c r="AI72">
        <v>1</v>
      </c>
      <c r="AJ72">
        <v>32500</v>
      </c>
      <c r="AK72">
        <v>32500</v>
      </c>
      <c r="AL72">
        <v>0</v>
      </c>
      <c r="AM72">
        <v>0</v>
      </c>
      <c r="AN72">
        <v>0</v>
      </c>
      <c r="AO72">
        <v>0</v>
      </c>
      <c r="AP72">
        <v>55739.39</v>
      </c>
      <c r="AQ72">
        <v>55739.39</v>
      </c>
      <c r="AR72">
        <v>0</v>
      </c>
      <c r="AS72">
        <v>0</v>
      </c>
      <c r="AT72">
        <v>0</v>
      </c>
      <c r="AU72">
        <v>0</v>
      </c>
      <c r="AV72">
        <f>Table1[[#This Row],[CGST]]+Table1[[#This Row],[IGST]]+Table1[[#This Row],[SGST]]</f>
        <v>55739.39</v>
      </c>
      <c r="AW72">
        <f t="shared" si="3"/>
        <v>172</v>
      </c>
      <c r="AX72">
        <v>0</v>
      </c>
      <c r="AY72">
        <v>365402.64</v>
      </c>
      <c r="AZ72" t="s">
        <v>125</v>
      </c>
      <c r="BA72" t="s">
        <v>10</v>
      </c>
      <c r="BB72" t="s">
        <v>126</v>
      </c>
      <c r="BC72" t="s">
        <v>127</v>
      </c>
      <c r="BD72" t="s">
        <v>128</v>
      </c>
      <c r="BE72" t="s">
        <v>16</v>
      </c>
      <c r="BF72" t="s">
        <v>247</v>
      </c>
      <c r="BH72">
        <v>0</v>
      </c>
    </row>
    <row r="73" spans="1:60" x14ac:dyDescent="0.25">
      <c r="A73" t="s">
        <v>120</v>
      </c>
      <c r="B73" t="s">
        <v>121</v>
      </c>
      <c r="C73">
        <v>1234</v>
      </c>
      <c r="D73" t="s">
        <v>246</v>
      </c>
      <c r="E7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73" t="s">
        <v>8</v>
      </c>
      <c r="G73" t="s">
        <v>246</v>
      </c>
      <c r="H73" t="str">
        <f t="shared" si="2"/>
        <v>SI-2/1900-1794</v>
      </c>
      <c r="I73" t="s">
        <v>122</v>
      </c>
      <c r="J73" t="s">
        <v>122</v>
      </c>
      <c r="K73" t="s">
        <v>122</v>
      </c>
      <c r="L73" t="s">
        <v>122</v>
      </c>
      <c r="M73" s="21">
        <v>44593</v>
      </c>
      <c r="N73" t="s">
        <v>123</v>
      </c>
      <c r="O73" t="s">
        <v>198</v>
      </c>
      <c r="P73" t="s">
        <v>199</v>
      </c>
      <c r="Q73" t="s">
        <v>122</v>
      </c>
      <c r="R73" t="s">
        <v>122</v>
      </c>
      <c r="U73">
        <v>1234</v>
      </c>
      <c r="V73">
        <v>0</v>
      </c>
      <c r="W73" t="s">
        <v>200</v>
      </c>
      <c r="X73" t="s">
        <v>9</v>
      </c>
      <c r="Y73" t="s">
        <v>60</v>
      </c>
      <c r="Z73" t="s">
        <v>122</v>
      </c>
      <c r="AA73" t="s">
        <v>122</v>
      </c>
      <c r="AB73" t="s">
        <v>122</v>
      </c>
      <c r="AC73" t="s">
        <v>122</v>
      </c>
      <c r="AF73">
        <v>230</v>
      </c>
      <c r="AG73">
        <v>100</v>
      </c>
      <c r="AH73" t="s">
        <v>124</v>
      </c>
      <c r="AI73">
        <v>1</v>
      </c>
      <c r="AJ73">
        <v>23000</v>
      </c>
      <c r="AK73">
        <v>23000</v>
      </c>
      <c r="AL73">
        <v>0</v>
      </c>
      <c r="AM73">
        <v>0</v>
      </c>
      <c r="AN73">
        <v>0</v>
      </c>
      <c r="AO73">
        <v>0</v>
      </c>
      <c r="AP73">
        <v>31104.65</v>
      </c>
      <c r="AQ73">
        <v>31104.65</v>
      </c>
      <c r="AR73">
        <v>0</v>
      </c>
      <c r="AS73">
        <v>0</v>
      </c>
      <c r="AT73">
        <v>0</v>
      </c>
      <c r="AU73">
        <v>0</v>
      </c>
      <c r="AV73">
        <f>Table1[[#This Row],[CGST]]+Table1[[#This Row],[IGST]]+Table1[[#This Row],[SGST]]</f>
        <v>31104.65</v>
      </c>
      <c r="AW73">
        <f t="shared" si="3"/>
        <v>135</v>
      </c>
      <c r="AX73">
        <v>0</v>
      </c>
      <c r="AY73">
        <v>203908.25</v>
      </c>
      <c r="AZ73" t="s">
        <v>125</v>
      </c>
      <c r="BA73" t="s">
        <v>10</v>
      </c>
      <c r="BB73" t="s">
        <v>126</v>
      </c>
      <c r="BC73" t="s">
        <v>127</v>
      </c>
      <c r="BD73" t="s">
        <v>128</v>
      </c>
      <c r="BE73" t="s">
        <v>16</v>
      </c>
      <c r="BF73" t="s">
        <v>207</v>
      </c>
      <c r="BH73">
        <v>0</v>
      </c>
    </row>
    <row r="74" spans="1:60" x14ac:dyDescent="0.25">
      <c r="A74" t="s">
        <v>120</v>
      </c>
      <c r="B74" t="s">
        <v>121</v>
      </c>
      <c r="C74">
        <v>1234</v>
      </c>
      <c r="D74" t="s">
        <v>248</v>
      </c>
      <c r="E7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74" t="s">
        <v>8</v>
      </c>
      <c r="G74" t="s">
        <v>248</v>
      </c>
      <c r="H74" t="str">
        <f t="shared" si="2"/>
        <v>SI-2/1900-1795</v>
      </c>
      <c r="I74" t="s">
        <v>122</v>
      </c>
      <c r="J74" t="s">
        <v>122</v>
      </c>
      <c r="K74" t="s">
        <v>122</v>
      </c>
      <c r="L74" t="s">
        <v>122</v>
      </c>
      <c r="M74" s="21">
        <v>44593</v>
      </c>
      <c r="N74" t="s">
        <v>123</v>
      </c>
      <c r="O74" t="s">
        <v>198</v>
      </c>
      <c r="P74" t="s">
        <v>199</v>
      </c>
      <c r="Q74" t="s">
        <v>122</v>
      </c>
      <c r="R74" t="s">
        <v>122</v>
      </c>
      <c r="U74">
        <v>1234</v>
      </c>
      <c r="V74">
        <v>0</v>
      </c>
      <c r="W74" t="s">
        <v>200</v>
      </c>
      <c r="X74" t="s">
        <v>9</v>
      </c>
      <c r="Y74" t="s">
        <v>60</v>
      </c>
      <c r="Z74" t="s">
        <v>122</v>
      </c>
      <c r="AA74" t="s">
        <v>122</v>
      </c>
      <c r="AB74" t="s">
        <v>122</v>
      </c>
      <c r="AC74" t="s">
        <v>122</v>
      </c>
      <c r="AF74">
        <v>680</v>
      </c>
      <c r="AG74">
        <v>100</v>
      </c>
      <c r="AH74" t="s">
        <v>124</v>
      </c>
      <c r="AI74">
        <v>1</v>
      </c>
      <c r="AJ74">
        <v>68000</v>
      </c>
      <c r="AK74">
        <v>68000</v>
      </c>
      <c r="AL74">
        <v>0</v>
      </c>
      <c r="AM74">
        <v>0</v>
      </c>
      <c r="AN74">
        <v>0</v>
      </c>
      <c r="AO74">
        <v>0</v>
      </c>
      <c r="AP74">
        <v>116623.94</v>
      </c>
      <c r="AQ74">
        <v>116623.94</v>
      </c>
      <c r="AR74">
        <v>0</v>
      </c>
      <c r="AS74">
        <v>0</v>
      </c>
      <c r="AT74">
        <v>0</v>
      </c>
      <c r="AU74">
        <v>0</v>
      </c>
      <c r="AV74">
        <f>Table1[[#This Row],[CGST]]+Table1[[#This Row],[IGST]]+Table1[[#This Row],[SGST]]</f>
        <v>116623.94</v>
      </c>
      <c r="AW74">
        <f t="shared" si="3"/>
        <v>172</v>
      </c>
      <c r="AX74">
        <v>0</v>
      </c>
      <c r="AY74">
        <v>764534.74</v>
      </c>
      <c r="AZ74" t="s">
        <v>125</v>
      </c>
      <c r="BA74" t="s">
        <v>10</v>
      </c>
      <c r="BB74" t="s">
        <v>126</v>
      </c>
      <c r="BC74" t="s">
        <v>127</v>
      </c>
      <c r="BD74" t="s">
        <v>128</v>
      </c>
      <c r="BE74" t="s">
        <v>18</v>
      </c>
      <c r="BF74" t="s">
        <v>207</v>
      </c>
      <c r="BH74">
        <v>0</v>
      </c>
    </row>
    <row r="75" spans="1:60" x14ac:dyDescent="0.25">
      <c r="A75" t="s">
        <v>120</v>
      </c>
      <c r="B75" t="s">
        <v>121</v>
      </c>
      <c r="C75">
        <v>1234</v>
      </c>
      <c r="D75" t="s">
        <v>249</v>
      </c>
      <c r="E7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75" t="s">
        <v>8</v>
      </c>
      <c r="G75" t="s">
        <v>249</v>
      </c>
      <c r="H75" t="str">
        <f t="shared" si="2"/>
        <v>SI-2/1900-1796</v>
      </c>
      <c r="I75" t="s">
        <v>122</v>
      </c>
      <c r="J75" t="s">
        <v>122</v>
      </c>
      <c r="K75" t="s">
        <v>122</v>
      </c>
      <c r="L75" t="s">
        <v>122</v>
      </c>
      <c r="M75" s="21">
        <v>44593</v>
      </c>
      <c r="N75" t="s">
        <v>123</v>
      </c>
      <c r="O75" t="s">
        <v>198</v>
      </c>
      <c r="P75" t="s">
        <v>199</v>
      </c>
      <c r="Q75" t="s">
        <v>122</v>
      </c>
      <c r="R75" t="s">
        <v>122</v>
      </c>
      <c r="U75">
        <v>1234</v>
      </c>
      <c r="V75">
        <v>0</v>
      </c>
      <c r="W75" t="s">
        <v>200</v>
      </c>
      <c r="X75" t="s">
        <v>9</v>
      </c>
      <c r="Y75" t="s">
        <v>60</v>
      </c>
      <c r="Z75" t="s">
        <v>122</v>
      </c>
      <c r="AA75" t="s">
        <v>122</v>
      </c>
      <c r="AB75" t="s">
        <v>122</v>
      </c>
      <c r="AC75" t="s">
        <v>122</v>
      </c>
      <c r="AF75">
        <v>1100</v>
      </c>
      <c r="AG75">
        <v>100</v>
      </c>
      <c r="AH75" t="s">
        <v>124</v>
      </c>
      <c r="AI75">
        <v>1</v>
      </c>
      <c r="AJ75">
        <v>110000</v>
      </c>
      <c r="AK75">
        <v>110000</v>
      </c>
      <c r="AL75">
        <v>0</v>
      </c>
      <c r="AM75">
        <v>0</v>
      </c>
      <c r="AN75">
        <v>0</v>
      </c>
      <c r="AO75">
        <v>0</v>
      </c>
      <c r="AP75">
        <v>143466.84</v>
      </c>
      <c r="AQ75">
        <v>143466.84</v>
      </c>
      <c r="AR75">
        <v>0</v>
      </c>
      <c r="AS75">
        <v>0</v>
      </c>
      <c r="AT75">
        <v>0</v>
      </c>
      <c r="AU75">
        <v>0</v>
      </c>
      <c r="AV75">
        <f>Table1[[#This Row],[CGST]]+Table1[[#This Row],[IGST]]+Table1[[#This Row],[SGST]]</f>
        <v>143466.84</v>
      </c>
      <c r="AW75">
        <f t="shared" si="3"/>
        <v>130</v>
      </c>
      <c r="AX75">
        <v>0</v>
      </c>
      <c r="AY75">
        <v>940504.84</v>
      </c>
      <c r="AZ75" t="s">
        <v>125</v>
      </c>
      <c r="BA75" t="s">
        <v>10</v>
      </c>
      <c r="BB75" t="s">
        <v>126</v>
      </c>
      <c r="BC75" t="s">
        <v>127</v>
      </c>
      <c r="BD75" t="s">
        <v>128</v>
      </c>
      <c r="BE75" t="s">
        <v>19</v>
      </c>
      <c r="BF75" t="s">
        <v>205</v>
      </c>
      <c r="BH75">
        <v>0</v>
      </c>
    </row>
    <row r="76" spans="1:60" x14ac:dyDescent="0.25">
      <c r="A76" t="s">
        <v>120</v>
      </c>
      <c r="B76" t="s">
        <v>121</v>
      </c>
      <c r="C76">
        <v>1234</v>
      </c>
      <c r="D76" t="s">
        <v>250</v>
      </c>
      <c r="E7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76" t="s">
        <v>8</v>
      </c>
      <c r="G76" t="s">
        <v>250</v>
      </c>
      <c r="H76" t="str">
        <f t="shared" si="2"/>
        <v>SI-2/1900-1797</v>
      </c>
      <c r="I76" t="s">
        <v>122</v>
      </c>
      <c r="J76" t="s">
        <v>122</v>
      </c>
      <c r="K76" t="s">
        <v>122</v>
      </c>
      <c r="L76" t="s">
        <v>122</v>
      </c>
      <c r="M76" s="21">
        <v>44593</v>
      </c>
      <c r="N76" t="s">
        <v>123</v>
      </c>
      <c r="O76" t="s">
        <v>198</v>
      </c>
      <c r="P76" t="s">
        <v>199</v>
      </c>
      <c r="Q76" t="s">
        <v>122</v>
      </c>
      <c r="R76" t="s">
        <v>122</v>
      </c>
      <c r="U76">
        <v>1234</v>
      </c>
      <c r="V76">
        <v>0</v>
      </c>
      <c r="W76" t="s">
        <v>200</v>
      </c>
      <c r="X76" t="s">
        <v>9</v>
      </c>
      <c r="Y76" t="s">
        <v>60</v>
      </c>
      <c r="Z76" t="s">
        <v>122</v>
      </c>
      <c r="AA76" t="s">
        <v>122</v>
      </c>
      <c r="AB76" t="s">
        <v>122</v>
      </c>
      <c r="AC76" t="s">
        <v>122</v>
      </c>
      <c r="AF76">
        <v>1012</v>
      </c>
      <c r="AG76">
        <v>100</v>
      </c>
      <c r="AH76" t="s">
        <v>124</v>
      </c>
      <c r="AI76">
        <v>1</v>
      </c>
      <c r="AJ76">
        <v>101200</v>
      </c>
      <c r="AK76">
        <v>101200</v>
      </c>
      <c r="AL76">
        <v>0</v>
      </c>
      <c r="AM76">
        <v>0</v>
      </c>
      <c r="AN76">
        <v>0</v>
      </c>
      <c r="AO76">
        <v>0</v>
      </c>
      <c r="AP76">
        <v>143042.96</v>
      </c>
      <c r="AQ76">
        <v>143042.96</v>
      </c>
      <c r="AR76">
        <v>0</v>
      </c>
      <c r="AS76">
        <v>0</v>
      </c>
      <c r="AT76">
        <v>0</v>
      </c>
      <c r="AU76">
        <v>0</v>
      </c>
      <c r="AV76">
        <f>Table1[[#This Row],[CGST]]+Table1[[#This Row],[IGST]]+Table1[[#This Row],[SGST]]</f>
        <v>143042.96</v>
      </c>
      <c r="AW76">
        <f t="shared" si="3"/>
        <v>141</v>
      </c>
      <c r="AX76">
        <v>0</v>
      </c>
      <c r="AY76">
        <v>937726.08</v>
      </c>
      <c r="AZ76" t="s">
        <v>125</v>
      </c>
      <c r="BA76" t="s">
        <v>10</v>
      </c>
      <c r="BB76" t="s">
        <v>126</v>
      </c>
      <c r="BC76" t="s">
        <v>127</v>
      </c>
      <c r="BD76" t="s">
        <v>128</v>
      </c>
      <c r="BE76" t="s">
        <v>18</v>
      </c>
      <c r="BF76" t="s">
        <v>201</v>
      </c>
      <c r="BH76">
        <v>0</v>
      </c>
    </row>
    <row r="77" spans="1:60" x14ac:dyDescent="0.25">
      <c r="A77" t="s">
        <v>120</v>
      </c>
      <c r="B77" t="s">
        <v>121</v>
      </c>
      <c r="C77">
        <v>1234</v>
      </c>
      <c r="D77" t="s">
        <v>251</v>
      </c>
      <c r="E7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77" t="s">
        <v>8</v>
      </c>
      <c r="G77" t="s">
        <v>251</v>
      </c>
      <c r="H77" t="str">
        <f t="shared" si="2"/>
        <v>SI-2/1900-1798</v>
      </c>
      <c r="I77" t="s">
        <v>122</v>
      </c>
      <c r="J77" t="s">
        <v>122</v>
      </c>
      <c r="K77" t="s">
        <v>122</v>
      </c>
      <c r="L77" t="s">
        <v>122</v>
      </c>
      <c r="M77" s="21">
        <v>44593</v>
      </c>
      <c r="N77" t="s">
        <v>123</v>
      </c>
      <c r="O77" t="s">
        <v>198</v>
      </c>
      <c r="P77" t="s">
        <v>199</v>
      </c>
      <c r="Q77" t="s">
        <v>122</v>
      </c>
      <c r="R77" t="s">
        <v>122</v>
      </c>
      <c r="U77">
        <v>1234</v>
      </c>
      <c r="V77">
        <v>0</v>
      </c>
      <c r="W77" t="s">
        <v>200</v>
      </c>
      <c r="X77" t="s">
        <v>9</v>
      </c>
      <c r="Y77" t="s">
        <v>60</v>
      </c>
      <c r="Z77" t="s">
        <v>122</v>
      </c>
      <c r="AA77" t="s">
        <v>122</v>
      </c>
      <c r="AB77" t="s">
        <v>122</v>
      </c>
      <c r="AC77" t="s">
        <v>122</v>
      </c>
      <c r="AF77">
        <v>1100</v>
      </c>
      <c r="AG77">
        <v>100</v>
      </c>
      <c r="AH77" t="s">
        <v>124</v>
      </c>
      <c r="AI77">
        <v>1</v>
      </c>
      <c r="AJ77">
        <v>110000</v>
      </c>
      <c r="AK77">
        <v>110000</v>
      </c>
      <c r="AL77">
        <v>0</v>
      </c>
      <c r="AM77">
        <v>0</v>
      </c>
      <c r="AN77">
        <v>0</v>
      </c>
      <c r="AO77">
        <v>0</v>
      </c>
      <c r="AP77">
        <v>143466.84</v>
      </c>
      <c r="AQ77">
        <v>143466.84</v>
      </c>
      <c r="AR77">
        <v>0</v>
      </c>
      <c r="AS77">
        <v>0</v>
      </c>
      <c r="AT77">
        <v>0</v>
      </c>
      <c r="AU77">
        <v>0</v>
      </c>
      <c r="AV77">
        <f>Table1[[#This Row],[CGST]]+Table1[[#This Row],[IGST]]+Table1[[#This Row],[SGST]]</f>
        <v>143466.84</v>
      </c>
      <c r="AW77">
        <f t="shared" si="3"/>
        <v>130</v>
      </c>
      <c r="AX77">
        <v>0</v>
      </c>
      <c r="AY77">
        <v>940504.84</v>
      </c>
      <c r="AZ77" t="s">
        <v>125</v>
      </c>
      <c r="BA77" t="s">
        <v>10</v>
      </c>
      <c r="BB77" t="s">
        <v>126</v>
      </c>
      <c r="BC77" t="s">
        <v>127</v>
      </c>
      <c r="BD77" t="s">
        <v>128</v>
      </c>
      <c r="BE77" t="s">
        <v>13</v>
      </c>
      <c r="BF77" t="s">
        <v>211</v>
      </c>
      <c r="BH77">
        <v>0</v>
      </c>
    </row>
    <row r="78" spans="1:60" x14ac:dyDescent="0.25">
      <c r="A78" t="s">
        <v>120</v>
      </c>
      <c r="B78" t="s">
        <v>121</v>
      </c>
      <c r="C78">
        <v>1234</v>
      </c>
      <c r="D78" t="s">
        <v>252</v>
      </c>
      <c r="E7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78" t="s">
        <v>8</v>
      </c>
      <c r="G78" t="s">
        <v>252</v>
      </c>
      <c r="H78" t="str">
        <f t="shared" si="2"/>
        <v>SI-2/1900-1799</v>
      </c>
      <c r="I78" t="s">
        <v>122</v>
      </c>
      <c r="J78" t="s">
        <v>122</v>
      </c>
      <c r="K78" t="s">
        <v>122</v>
      </c>
      <c r="L78" t="s">
        <v>122</v>
      </c>
      <c r="M78" s="21">
        <v>44593</v>
      </c>
      <c r="N78" t="s">
        <v>123</v>
      </c>
      <c r="O78" t="s">
        <v>198</v>
      </c>
      <c r="P78" t="s">
        <v>199</v>
      </c>
      <c r="Q78" t="s">
        <v>122</v>
      </c>
      <c r="R78" t="s">
        <v>122</v>
      </c>
      <c r="U78">
        <v>1234</v>
      </c>
      <c r="V78">
        <v>0</v>
      </c>
      <c r="W78" t="s">
        <v>200</v>
      </c>
      <c r="X78" t="s">
        <v>9</v>
      </c>
      <c r="Y78" t="s">
        <v>60</v>
      </c>
      <c r="Z78" t="s">
        <v>122</v>
      </c>
      <c r="AA78" t="s">
        <v>122</v>
      </c>
      <c r="AB78" t="s">
        <v>122</v>
      </c>
      <c r="AC78" t="s">
        <v>122</v>
      </c>
      <c r="AF78">
        <v>1000</v>
      </c>
      <c r="AG78">
        <v>100</v>
      </c>
      <c r="AH78" t="s">
        <v>124</v>
      </c>
      <c r="AI78">
        <v>1</v>
      </c>
      <c r="AJ78">
        <v>100000</v>
      </c>
      <c r="AK78">
        <v>100000</v>
      </c>
      <c r="AL78">
        <v>0</v>
      </c>
      <c r="AM78">
        <v>0</v>
      </c>
      <c r="AN78">
        <v>0</v>
      </c>
      <c r="AO78">
        <v>0</v>
      </c>
      <c r="AP78">
        <v>141346.79999999999</v>
      </c>
      <c r="AQ78">
        <v>141346.79999999999</v>
      </c>
      <c r="AR78">
        <v>0</v>
      </c>
      <c r="AS78">
        <v>0</v>
      </c>
      <c r="AT78">
        <v>0</v>
      </c>
      <c r="AU78">
        <v>0</v>
      </c>
      <c r="AV78">
        <f>Table1[[#This Row],[CGST]]+Table1[[#This Row],[IGST]]+Table1[[#This Row],[SGST]]</f>
        <v>141346.79999999999</v>
      </c>
      <c r="AW78">
        <f t="shared" si="3"/>
        <v>141</v>
      </c>
      <c r="AX78">
        <v>0</v>
      </c>
      <c r="AY78">
        <v>926606.8</v>
      </c>
      <c r="AZ78" t="s">
        <v>125</v>
      </c>
      <c r="BA78" t="s">
        <v>10</v>
      </c>
      <c r="BB78" t="s">
        <v>126</v>
      </c>
      <c r="BC78" t="s">
        <v>127</v>
      </c>
      <c r="BD78" t="s">
        <v>128</v>
      </c>
      <c r="BE78" t="s">
        <v>11</v>
      </c>
      <c r="BF78" t="s">
        <v>207</v>
      </c>
      <c r="BH78">
        <v>0</v>
      </c>
    </row>
    <row r="79" spans="1:60" x14ac:dyDescent="0.25">
      <c r="A79" t="s">
        <v>120</v>
      </c>
      <c r="B79" t="s">
        <v>121</v>
      </c>
      <c r="C79">
        <v>1234</v>
      </c>
      <c r="D79" t="s">
        <v>253</v>
      </c>
      <c r="E7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79" t="s">
        <v>8</v>
      </c>
      <c r="G79" t="s">
        <v>253</v>
      </c>
      <c r="H79" t="str">
        <f t="shared" si="2"/>
        <v>SI-2/1900-1800</v>
      </c>
      <c r="I79" t="s">
        <v>122</v>
      </c>
      <c r="J79" t="s">
        <v>122</v>
      </c>
      <c r="K79" t="s">
        <v>122</v>
      </c>
      <c r="L79" t="s">
        <v>122</v>
      </c>
      <c r="M79" s="21">
        <v>44593</v>
      </c>
      <c r="N79" t="s">
        <v>123</v>
      </c>
      <c r="O79" t="s">
        <v>198</v>
      </c>
      <c r="P79" t="s">
        <v>199</v>
      </c>
      <c r="Q79" t="s">
        <v>122</v>
      </c>
      <c r="R79" t="s">
        <v>122</v>
      </c>
      <c r="U79">
        <v>1234</v>
      </c>
      <c r="V79">
        <v>0</v>
      </c>
      <c r="W79" t="s">
        <v>200</v>
      </c>
      <c r="X79" t="s">
        <v>9</v>
      </c>
      <c r="Y79" t="s">
        <v>60</v>
      </c>
      <c r="Z79" t="s">
        <v>122</v>
      </c>
      <c r="AA79" t="s">
        <v>122</v>
      </c>
      <c r="AB79" t="s">
        <v>122</v>
      </c>
      <c r="AC79" t="s">
        <v>122</v>
      </c>
      <c r="AF79">
        <v>1080</v>
      </c>
      <c r="AG79">
        <v>100</v>
      </c>
      <c r="AH79" t="s">
        <v>124</v>
      </c>
      <c r="AI79">
        <v>1</v>
      </c>
      <c r="AJ79">
        <v>108000</v>
      </c>
      <c r="AK79">
        <v>108000</v>
      </c>
      <c r="AL79">
        <v>0</v>
      </c>
      <c r="AM79">
        <v>0</v>
      </c>
      <c r="AN79">
        <v>0</v>
      </c>
      <c r="AO79">
        <v>0</v>
      </c>
      <c r="AP79">
        <v>152654.54</v>
      </c>
      <c r="AQ79">
        <v>152654.54</v>
      </c>
      <c r="AR79">
        <v>0</v>
      </c>
      <c r="AS79">
        <v>0</v>
      </c>
      <c r="AT79">
        <v>0</v>
      </c>
      <c r="AU79">
        <v>0</v>
      </c>
      <c r="AV79">
        <f>Table1[[#This Row],[CGST]]+Table1[[#This Row],[IGST]]+Table1[[#This Row],[SGST]]</f>
        <v>152654.54</v>
      </c>
      <c r="AW79">
        <f t="shared" si="3"/>
        <v>141</v>
      </c>
      <c r="AX79">
        <v>0</v>
      </c>
      <c r="AY79">
        <v>1000735.34</v>
      </c>
      <c r="AZ79" t="s">
        <v>125</v>
      </c>
      <c r="BA79" t="s">
        <v>10</v>
      </c>
      <c r="BB79" t="s">
        <v>126</v>
      </c>
      <c r="BC79" t="s">
        <v>127</v>
      </c>
      <c r="BD79" t="s">
        <v>128</v>
      </c>
      <c r="BE79" t="s">
        <v>16</v>
      </c>
      <c r="BF79" t="s">
        <v>207</v>
      </c>
      <c r="BH79">
        <v>0</v>
      </c>
    </row>
    <row r="80" spans="1:60" x14ac:dyDescent="0.25">
      <c r="A80" t="s">
        <v>120</v>
      </c>
      <c r="B80" t="s">
        <v>121</v>
      </c>
      <c r="C80">
        <v>1234</v>
      </c>
      <c r="D80" t="s">
        <v>254</v>
      </c>
      <c r="E8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80" t="s">
        <v>8</v>
      </c>
      <c r="G80" t="s">
        <v>254</v>
      </c>
      <c r="H80" t="str">
        <f t="shared" si="2"/>
        <v>SI-2/1900-1801</v>
      </c>
      <c r="I80" t="s">
        <v>122</v>
      </c>
      <c r="J80" t="s">
        <v>122</v>
      </c>
      <c r="K80" t="s">
        <v>122</v>
      </c>
      <c r="L80" t="s">
        <v>122</v>
      </c>
      <c r="M80" s="21">
        <v>44593</v>
      </c>
      <c r="N80" t="s">
        <v>123</v>
      </c>
      <c r="O80" t="s">
        <v>198</v>
      </c>
      <c r="P80" t="s">
        <v>199</v>
      </c>
      <c r="Q80" t="s">
        <v>122</v>
      </c>
      <c r="R80" t="s">
        <v>122</v>
      </c>
      <c r="U80">
        <v>1234</v>
      </c>
      <c r="V80">
        <v>0</v>
      </c>
      <c r="W80" t="s">
        <v>200</v>
      </c>
      <c r="X80" t="s">
        <v>9</v>
      </c>
      <c r="Y80" t="s">
        <v>60</v>
      </c>
      <c r="Z80" t="s">
        <v>122</v>
      </c>
      <c r="AA80" t="s">
        <v>122</v>
      </c>
      <c r="AB80" t="s">
        <v>122</v>
      </c>
      <c r="AC80" t="s">
        <v>122</v>
      </c>
      <c r="AF80">
        <v>200</v>
      </c>
      <c r="AG80">
        <v>100</v>
      </c>
      <c r="AH80" t="s">
        <v>124</v>
      </c>
      <c r="AI80">
        <v>1</v>
      </c>
      <c r="AJ80">
        <v>20000</v>
      </c>
      <c r="AK80">
        <v>20000</v>
      </c>
      <c r="AL80">
        <v>0</v>
      </c>
      <c r="AM80">
        <v>0</v>
      </c>
      <c r="AN80">
        <v>0</v>
      </c>
      <c r="AO80">
        <v>0</v>
      </c>
      <c r="AP80">
        <v>34301.160000000003</v>
      </c>
      <c r="AQ80">
        <v>34301.160000000003</v>
      </c>
      <c r="AR80">
        <v>0</v>
      </c>
      <c r="AS80">
        <v>0</v>
      </c>
      <c r="AT80">
        <v>0</v>
      </c>
      <c r="AU80">
        <v>0</v>
      </c>
      <c r="AV80">
        <f>Table1[[#This Row],[CGST]]+Table1[[#This Row],[IGST]]+Table1[[#This Row],[SGST]]</f>
        <v>34301.160000000003</v>
      </c>
      <c r="AW80">
        <f t="shared" si="3"/>
        <v>172</v>
      </c>
      <c r="AX80">
        <v>0</v>
      </c>
      <c r="AY80">
        <v>224863.16</v>
      </c>
      <c r="AZ80" t="s">
        <v>125</v>
      </c>
      <c r="BA80" t="s">
        <v>10</v>
      </c>
      <c r="BB80" t="s">
        <v>126</v>
      </c>
      <c r="BC80" t="s">
        <v>127</v>
      </c>
      <c r="BD80" t="s">
        <v>128</v>
      </c>
      <c r="BE80" t="s">
        <v>18</v>
      </c>
      <c r="BF80" t="s">
        <v>201</v>
      </c>
      <c r="BH80">
        <v>0</v>
      </c>
    </row>
    <row r="81" spans="1:60" x14ac:dyDescent="0.25">
      <c r="A81" t="s">
        <v>120</v>
      </c>
      <c r="B81" t="s">
        <v>121</v>
      </c>
      <c r="C81">
        <v>1234</v>
      </c>
      <c r="D81" t="s">
        <v>254</v>
      </c>
      <c r="E8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81" t="s">
        <v>8</v>
      </c>
      <c r="G81" t="s">
        <v>254</v>
      </c>
      <c r="H81" t="str">
        <f t="shared" si="2"/>
        <v>SI-2/1900-1801</v>
      </c>
      <c r="I81" t="s">
        <v>122</v>
      </c>
      <c r="J81" t="s">
        <v>122</v>
      </c>
      <c r="K81" t="s">
        <v>122</v>
      </c>
      <c r="L81" t="s">
        <v>122</v>
      </c>
      <c r="M81" s="21">
        <v>44593</v>
      </c>
      <c r="N81" t="s">
        <v>123</v>
      </c>
      <c r="O81" t="s">
        <v>198</v>
      </c>
      <c r="P81" t="s">
        <v>199</v>
      </c>
      <c r="Q81" t="s">
        <v>122</v>
      </c>
      <c r="R81" t="s">
        <v>122</v>
      </c>
      <c r="U81">
        <v>1234</v>
      </c>
      <c r="V81">
        <v>0</v>
      </c>
      <c r="W81" t="s">
        <v>200</v>
      </c>
      <c r="X81" t="s">
        <v>9</v>
      </c>
      <c r="Y81" t="s">
        <v>60</v>
      </c>
      <c r="Z81" t="s">
        <v>122</v>
      </c>
      <c r="AA81" t="s">
        <v>122</v>
      </c>
      <c r="AB81" t="s">
        <v>122</v>
      </c>
      <c r="AC81" t="s">
        <v>122</v>
      </c>
      <c r="AF81">
        <v>380</v>
      </c>
      <c r="AG81">
        <v>100</v>
      </c>
      <c r="AH81" t="s">
        <v>124</v>
      </c>
      <c r="AI81">
        <v>1</v>
      </c>
      <c r="AJ81">
        <v>38000</v>
      </c>
      <c r="AK81">
        <v>38000</v>
      </c>
      <c r="AL81">
        <v>0</v>
      </c>
      <c r="AM81">
        <v>0</v>
      </c>
      <c r="AN81">
        <v>0</v>
      </c>
      <c r="AO81">
        <v>0</v>
      </c>
      <c r="AP81">
        <v>53711.78</v>
      </c>
      <c r="AQ81">
        <v>53711.78</v>
      </c>
      <c r="AR81">
        <v>0</v>
      </c>
      <c r="AS81">
        <v>0</v>
      </c>
      <c r="AT81">
        <v>0</v>
      </c>
      <c r="AU81">
        <v>0</v>
      </c>
      <c r="AV81">
        <f>Table1[[#This Row],[CGST]]+Table1[[#This Row],[IGST]]+Table1[[#This Row],[SGST]]</f>
        <v>53711.78</v>
      </c>
      <c r="AW81">
        <f t="shared" si="3"/>
        <v>141</v>
      </c>
      <c r="AX81">
        <v>0</v>
      </c>
      <c r="AY81">
        <v>352110.58</v>
      </c>
      <c r="AZ81" t="s">
        <v>125</v>
      </c>
      <c r="BA81" t="s">
        <v>10</v>
      </c>
      <c r="BB81" t="s">
        <v>126</v>
      </c>
      <c r="BC81" t="s">
        <v>127</v>
      </c>
      <c r="BD81" t="s">
        <v>128</v>
      </c>
      <c r="BE81" t="s">
        <v>18</v>
      </c>
      <c r="BF81" t="s">
        <v>205</v>
      </c>
      <c r="BH81">
        <v>0</v>
      </c>
    </row>
    <row r="82" spans="1:60" x14ac:dyDescent="0.25">
      <c r="A82" t="s">
        <v>120</v>
      </c>
      <c r="B82" t="s">
        <v>121</v>
      </c>
      <c r="C82">
        <v>1234</v>
      </c>
      <c r="D82" t="s">
        <v>255</v>
      </c>
      <c r="E8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82" t="s">
        <v>8</v>
      </c>
      <c r="G82" t="s">
        <v>255</v>
      </c>
      <c r="H82" t="str">
        <f t="shared" si="2"/>
        <v>SI-2/1900-1802</v>
      </c>
      <c r="I82" t="s">
        <v>122</v>
      </c>
      <c r="J82" t="s">
        <v>122</v>
      </c>
      <c r="K82" t="s">
        <v>122</v>
      </c>
      <c r="L82" t="s">
        <v>122</v>
      </c>
      <c r="M82" s="21">
        <v>44593</v>
      </c>
      <c r="N82" t="s">
        <v>123</v>
      </c>
      <c r="O82" t="s">
        <v>198</v>
      </c>
      <c r="P82" t="s">
        <v>199</v>
      </c>
      <c r="Q82" t="s">
        <v>122</v>
      </c>
      <c r="R82" t="s">
        <v>122</v>
      </c>
      <c r="U82">
        <v>1234</v>
      </c>
      <c r="V82">
        <v>0</v>
      </c>
      <c r="W82" t="s">
        <v>200</v>
      </c>
      <c r="X82" t="s">
        <v>9</v>
      </c>
      <c r="Y82" t="s">
        <v>60</v>
      </c>
      <c r="Z82" t="s">
        <v>122</v>
      </c>
      <c r="AA82" t="s">
        <v>122</v>
      </c>
      <c r="AB82" t="s">
        <v>122</v>
      </c>
      <c r="AC82" t="s">
        <v>122</v>
      </c>
      <c r="AF82">
        <v>900</v>
      </c>
      <c r="AG82">
        <v>100</v>
      </c>
      <c r="AH82" t="s">
        <v>124</v>
      </c>
      <c r="AI82">
        <v>1</v>
      </c>
      <c r="AJ82">
        <v>90000</v>
      </c>
      <c r="AK82">
        <v>90000</v>
      </c>
      <c r="AL82">
        <v>0</v>
      </c>
      <c r="AM82">
        <v>0</v>
      </c>
      <c r="AN82">
        <v>0</v>
      </c>
      <c r="AO82">
        <v>0</v>
      </c>
      <c r="AP82">
        <v>127212.12</v>
      </c>
      <c r="AQ82">
        <v>127212.12</v>
      </c>
      <c r="AR82">
        <v>0</v>
      </c>
      <c r="AS82">
        <v>0</v>
      </c>
      <c r="AT82">
        <v>0</v>
      </c>
      <c r="AU82">
        <v>0</v>
      </c>
      <c r="AV82">
        <f>Table1[[#This Row],[CGST]]+Table1[[#This Row],[IGST]]+Table1[[#This Row],[SGST]]</f>
        <v>127212.12</v>
      </c>
      <c r="AW82">
        <f t="shared" si="3"/>
        <v>141</v>
      </c>
      <c r="AX82">
        <v>0</v>
      </c>
      <c r="AY82">
        <v>833946.12</v>
      </c>
      <c r="AZ82" t="s">
        <v>125</v>
      </c>
      <c r="BA82" t="s">
        <v>10</v>
      </c>
      <c r="BB82" t="s">
        <v>126</v>
      </c>
      <c r="BC82" t="s">
        <v>127</v>
      </c>
      <c r="BD82" t="s">
        <v>128</v>
      </c>
      <c r="BE82" t="s">
        <v>11</v>
      </c>
      <c r="BF82" t="s">
        <v>205</v>
      </c>
      <c r="BH82">
        <v>0</v>
      </c>
    </row>
    <row r="83" spans="1:60" x14ac:dyDescent="0.25">
      <c r="A83" t="s">
        <v>120</v>
      </c>
      <c r="B83" t="s">
        <v>121</v>
      </c>
      <c r="C83">
        <v>1234</v>
      </c>
      <c r="D83" t="s">
        <v>256</v>
      </c>
      <c r="E8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83" t="s">
        <v>8</v>
      </c>
      <c r="G83" t="s">
        <v>256</v>
      </c>
      <c r="H83" t="str">
        <f t="shared" si="2"/>
        <v>SI-2/1900-1803</v>
      </c>
      <c r="I83" t="s">
        <v>122</v>
      </c>
      <c r="J83" t="s">
        <v>122</v>
      </c>
      <c r="K83" t="s">
        <v>122</v>
      </c>
      <c r="L83" t="s">
        <v>122</v>
      </c>
      <c r="M83" s="21">
        <v>44593</v>
      </c>
      <c r="N83" t="s">
        <v>123</v>
      </c>
      <c r="O83" t="s">
        <v>198</v>
      </c>
      <c r="P83" t="s">
        <v>199</v>
      </c>
      <c r="Q83" t="s">
        <v>122</v>
      </c>
      <c r="R83" t="s">
        <v>122</v>
      </c>
      <c r="U83">
        <v>1234</v>
      </c>
      <c r="V83">
        <v>0</v>
      </c>
      <c r="W83" t="s">
        <v>200</v>
      </c>
      <c r="X83" t="s">
        <v>9</v>
      </c>
      <c r="Y83" t="s">
        <v>60</v>
      </c>
      <c r="Z83" t="s">
        <v>122</v>
      </c>
      <c r="AA83" t="s">
        <v>122</v>
      </c>
      <c r="AB83" t="s">
        <v>122</v>
      </c>
      <c r="AC83" t="s">
        <v>122</v>
      </c>
      <c r="AF83">
        <v>296</v>
      </c>
      <c r="AG83">
        <v>100</v>
      </c>
      <c r="AH83" t="s">
        <v>124</v>
      </c>
      <c r="AI83">
        <v>1</v>
      </c>
      <c r="AJ83">
        <v>29600</v>
      </c>
      <c r="AK83">
        <v>29600</v>
      </c>
      <c r="AL83">
        <v>0</v>
      </c>
      <c r="AM83">
        <v>0</v>
      </c>
      <c r="AN83">
        <v>0</v>
      </c>
      <c r="AO83">
        <v>0</v>
      </c>
      <c r="AP83">
        <v>38605.620000000003</v>
      </c>
      <c r="AQ83">
        <v>38605.620000000003</v>
      </c>
      <c r="AR83">
        <v>0</v>
      </c>
      <c r="AS83">
        <v>0</v>
      </c>
      <c r="AT83">
        <v>0</v>
      </c>
      <c r="AU83">
        <v>0</v>
      </c>
      <c r="AV83">
        <f>Table1[[#This Row],[CGST]]+Table1[[#This Row],[IGST]]+Table1[[#This Row],[SGST]]</f>
        <v>38605.620000000003</v>
      </c>
      <c r="AW83">
        <f t="shared" si="3"/>
        <v>130</v>
      </c>
      <c r="AX83">
        <v>0</v>
      </c>
      <c r="AY83">
        <v>253081.3</v>
      </c>
      <c r="AZ83" t="s">
        <v>125</v>
      </c>
      <c r="BA83" t="s">
        <v>10</v>
      </c>
      <c r="BB83" t="s">
        <v>126</v>
      </c>
      <c r="BC83" t="s">
        <v>127</v>
      </c>
      <c r="BD83" t="s">
        <v>128</v>
      </c>
      <c r="BE83" t="s">
        <v>13</v>
      </c>
      <c r="BF83" t="s">
        <v>257</v>
      </c>
      <c r="BH83">
        <v>0</v>
      </c>
    </row>
    <row r="84" spans="1:60" x14ac:dyDescent="0.25">
      <c r="A84" t="s">
        <v>120</v>
      </c>
      <c r="B84" t="s">
        <v>121</v>
      </c>
      <c r="C84">
        <v>1234</v>
      </c>
      <c r="D84" t="s">
        <v>256</v>
      </c>
      <c r="E8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84" t="s">
        <v>8</v>
      </c>
      <c r="G84" t="s">
        <v>256</v>
      </c>
      <c r="H84" t="str">
        <f t="shared" si="2"/>
        <v>SI-2/1900-1803</v>
      </c>
      <c r="I84" t="s">
        <v>122</v>
      </c>
      <c r="J84" t="s">
        <v>122</v>
      </c>
      <c r="K84" t="s">
        <v>122</v>
      </c>
      <c r="L84" t="s">
        <v>122</v>
      </c>
      <c r="M84" s="21">
        <v>44593</v>
      </c>
      <c r="N84" t="s">
        <v>123</v>
      </c>
      <c r="O84" t="s">
        <v>198</v>
      </c>
      <c r="P84" t="s">
        <v>199</v>
      </c>
      <c r="Q84" t="s">
        <v>122</v>
      </c>
      <c r="R84" t="s">
        <v>122</v>
      </c>
      <c r="U84">
        <v>1234</v>
      </c>
      <c r="V84">
        <v>0</v>
      </c>
      <c r="W84" t="s">
        <v>200</v>
      </c>
      <c r="X84" t="s">
        <v>9</v>
      </c>
      <c r="Y84" t="s">
        <v>60</v>
      </c>
      <c r="Z84" t="s">
        <v>122</v>
      </c>
      <c r="AA84" t="s">
        <v>122</v>
      </c>
      <c r="AB84" t="s">
        <v>122</v>
      </c>
      <c r="AC84" t="s">
        <v>122</v>
      </c>
      <c r="AF84">
        <v>180</v>
      </c>
      <c r="AG84">
        <v>100</v>
      </c>
      <c r="AH84" t="s">
        <v>124</v>
      </c>
      <c r="AI84">
        <v>1</v>
      </c>
      <c r="AJ84">
        <v>18000</v>
      </c>
      <c r="AK84">
        <v>18000</v>
      </c>
      <c r="AL84">
        <v>0</v>
      </c>
      <c r="AM84">
        <v>0</v>
      </c>
      <c r="AN84">
        <v>0</v>
      </c>
      <c r="AO84">
        <v>0</v>
      </c>
      <c r="AP84">
        <v>25442.42</v>
      </c>
      <c r="AQ84">
        <v>25442.42</v>
      </c>
      <c r="AR84">
        <v>0</v>
      </c>
      <c r="AS84">
        <v>0</v>
      </c>
      <c r="AT84">
        <v>0</v>
      </c>
      <c r="AU84">
        <v>0</v>
      </c>
      <c r="AV84">
        <f>Table1[[#This Row],[CGST]]+Table1[[#This Row],[IGST]]+Table1[[#This Row],[SGST]]</f>
        <v>25442.42</v>
      </c>
      <c r="AW84">
        <f t="shared" si="3"/>
        <v>141</v>
      </c>
      <c r="AX84">
        <v>0</v>
      </c>
      <c r="AY84">
        <v>166789.22</v>
      </c>
      <c r="AZ84" t="s">
        <v>125</v>
      </c>
      <c r="BA84" t="s">
        <v>10</v>
      </c>
      <c r="BB84" t="s">
        <v>126</v>
      </c>
      <c r="BC84" t="s">
        <v>127</v>
      </c>
      <c r="BD84" t="s">
        <v>128</v>
      </c>
      <c r="BE84" t="s">
        <v>13</v>
      </c>
      <c r="BF84" t="s">
        <v>205</v>
      </c>
      <c r="BH84">
        <v>0</v>
      </c>
    </row>
    <row r="85" spans="1:60" x14ac:dyDescent="0.25">
      <c r="A85" t="s">
        <v>120</v>
      </c>
      <c r="B85" t="s">
        <v>121</v>
      </c>
      <c r="C85">
        <v>1234</v>
      </c>
      <c r="D85" t="s">
        <v>258</v>
      </c>
      <c r="E8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85" t="s">
        <v>8</v>
      </c>
      <c r="G85" t="s">
        <v>258</v>
      </c>
      <c r="H85" t="str">
        <f t="shared" si="2"/>
        <v>SI-2/1900-1804</v>
      </c>
      <c r="I85" t="s">
        <v>122</v>
      </c>
      <c r="J85" t="s">
        <v>122</v>
      </c>
      <c r="K85" t="s">
        <v>122</v>
      </c>
      <c r="L85" t="s">
        <v>122</v>
      </c>
      <c r="M85" s="21">
        <v>44593</v>
      </c>
      <c r="N85" t="s">
        <v>123</v>
      </c>
      <c r="O85" t="s">
        <v>198</v>
      </c>
      <c r="P85" t="s">
        <v>199</v>
      </c>
      <c r="Q85" t="s">
        <v>122</v>
      </c>
      <c r="R85" t="s">
        <v>122</v>
      </c>
      <c r="U85">
        <v>1234</v>
      </c>
      <c r="V85">
        <v>0</v>
      </c>
      <c r="W85" t="s">
        <v>200</v>
      </c>
      <c r="X85" t="s">
        <v>259</v>
      </c>
      <c r="Y85" t="s">
        <v>61</v>
      </c>
      <c r="Z85" t="s">
        <v>122</v>
      </c>
      <c r="AA85" t="s">
        <v>122</v>
      </c>
      <c r="AB85" t="s">
        <v>122</v>
      </c>
      <c r="AC85" t="s">
        <v>122</v>
      </c>
      <c r="AF85">
        <v>10000</v>
      </c>
      <c r="AG85">
        <v>100</v>
      </c>
      <c r="AH85" t="s">
        <v>124</v>
      </c>
      <c r="AI85">
        <v>1</v>
      </c>
      <c r="AJ85">
        <v>1000000</v>
      </c>
      <c r="AK85">
        <v>1000000</v>
      </c>
      <c r="AL85">
        <v>0</v>
      </c>
      <c r="AM85">
        <v>0</v>
      </c>
      <c r="AN85">
        <v>0</v>
      </c>
      <c r="AO85">
        <v>0</v>
      </c>
      <c r="AP85">
        <v>2160</v>
      </c>
      <c r="AQ85">
        <v>2160</v>
      </c>
      <c r="AR85">
        <v>0</v>
      </c>
      <c r="AS85">
        <v>0</v>
      </c>
      <c r="AT85">
        <v>0</v>
      </c>
      <c r="AU85">
        <v>0</v>
      </c>
      <c r="AV85">
        <f>Table1[[#This Row],[CGST]]+Table1[[#This Row],[IGST]]+Table1[[#This Row],[SGST]]</f>
        <v>2160</v>
      </c>
      <c r="AW85">
        <f t="shared" si="3"/>
        <v>0</v>
      </c>
      <c r="AX85">
        <v>0</v>
      </c>
      <c r="AY85">
        <v>14160</v>
      </c>
      <c r="AZ85" t="s">
        <v>125</v>
      </c>
      <c r="BA85" t="s">
        <v>10</v>
      </c>
      <c r="BB85" t="s">
        <v>126</v>
      </c>
      <c r="BC85" t="s">
        <v>127</v>
      </c>
      <c r="BD85" t="s">
        <v>128</v>
      </c>
      <c r="BE85" t="s">
        <v>14</v>
      </c>
      <c r="BF85" t="s">
        <v>205</v>
      </c>
      <c r="BH85">
        <v>0</v>
      </c>
    </row>
    <row r="86" spans="1:60" x14ac:dyDescent="0.25">
      <c r="A86" t="s">
        <v>120</v>
      </c>
      <c r="B86" t="s">
        <v>121</v>
      </c>
      <c r="C86">
        <v>1234</v>
      </c>
      <c r="D86" t="s">
        <v>260</v>
      </c>
      <c r="E8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86" t="s">
        <v>8</v>
      </c>
      <c r="G86" t="s">
        <v>260</v>
      </c>
      <c r="H86" t="str">
        <f t="shared" si="2"/>
        <v>SI-2/1900-1805</v>
      </c>
      <c r="I86" t="s">
        <v>122</v>
      </c>
      <c r="J86" t="s">
        <v>122</v>
      </c>
      <c r="K86" t="s">
        <v>122</v>
      </c>
      <c r="L86" t="s">
        <v>122</v>
      </c>
      <c r="M86" s="21">
        <v>44593</v>
      </c>
      <c r="N86" t="s">
        <v>123</v>
      </c>
      <c r="O86" t="s">
        <v>198</v>
      </c>
      <c r="P86" t="s">
        <v>199</v>
      </c>
      <c r="Q86" t="s">
        <v>122</v>
      </c>
      <c r="R86" t="s">
        <v>122</v>
      </c>
      <c r="U86">
        <v>1234</v>
      </c>
      <c r="V86">
        <v>0</v>
      </c>
      <c r="W86" t="s">
        <v>200</v>
      </c>
      <c r="X86" t="s">
        <v>9</v>
      </c>
      <c r="Y86" t="s">
        <v>60</v>
      </c>
      <c r="Z86" t="s">
        <v>122</v>
      </c>
      <c r="AA86" t="s">
        <v>122</v>
      </c>
      <c r="AB86" t="s">
        <v>122</v>
      </c>
      <c r="AC86" t="s">
        <v>122</v>
      </c>
      <c r="AF86">
        <v>1010</v>
      </c>
      <c r="AG86">
        <v>100</v>
      </c>
      <c r="AH86" t="s">
        <v>124</v>
      </c>
      <c r="AI86">
        <v>1</v>
      </c>
      <c r="AJ86">
        <v>101000</v>
      </c>
      <c r="AK86">
        <v>101000</v>
      </c>
      <c r="AL86">
        <v>0</v>
      </c>
      <c r="AM86">
        <v>0</v>
      </c>
      <c r="AN86">
        <v>0</v>
      </c>
      <c r="AO86">
        <v>0</v>
      </c>
      <c r="AP86">
        <v>142760.26999999999</v>
      </c>
      <c r="AQ86">
        <v>142760.26999999999</v>
      </c>
      <c r="AR86">
        <v>0</v>
      </c>
      <c r="AS86">
        <v>0</v>
      </c>
      <c r="AT86">
        <v>0</v>
      </c>
      <c r="AU86">
        <v>0</v>
      </c>
      <c r="AV86">
        <f>Table1[[#This Row],[CGST]]+Table1[[#This Row],[IGST]]+Table1[[#This Row],[SGST]]</f>
        <v>142760.26999999999</v>
      </c>
      <c r="AW86">
        <f t="shared" si="3"/>
        <v>141</v>
      </c>
      <c r="AX86">
        <v>0</v>
      </c>
      <c r="AY86">
        <v>935872.87</v>
      </c>
      <c r="AZ86" t="s">
        <v>125</v>
      </c>
      <c r="BA86" t="s">
        <v>10</v>
      </c>
      <c r="BB86" t="s">
        <v>126</v>
      </c>
      <c r="BC86" t="s">
        <v>127</v>
      </c>
      <c r="BD86" t="s">
        <v>128</v>
      </c>
      <c r="BE86" t="s">
        <v>13</v>
      </c>
      <c r="BF86" t="s">
        <v>211</v>
      </c>
      <c r="BH86">
        <v>0</v>
      </c>
    </row>
    <row r="87" spans="1:60" x14ac:dyDescent="0.25">
      <c r="A87" t="s">
        <v>120</v>
      </c>
      <c r="B87" t="s">
        <v>121</v>
      </c>
      <c r="C87">
        <v>1234</v>
      </c>
      <c r="D87" t="s">
        <v>260</v>
      </c>
      <c r="E8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87" t="s">
        <v>8</v>
      </c>
      <c r="G87" t="s">
        <v>260</v>
      </c>
      <c r="H87" t="str">
        <f t="shared" si="2"/>
        <v>SI-2/1900-1805</v>
      </c>
      <c r="I87" t="s">
        <v>122</v>
      </c>
      <c r="J87" t="s">
        <v>122</v>
      </c>
      <c r="K87" t="s">
        <v>122</v>
      </c>
      <c r="L87" t="s">
        <v>122</v>
      </c>
      <c r="M87" s="21">
        <v>44593</v>
      </c>
      <c r="N87" t="s">
        <v>123</v>
      </c>
      <c r="O87" t="s">
        <v>198</v>
      </c>
      <c r="P87" t="s">
        <v>199</v>
      </c>
      <c r="Q87" t="s">
        <v>122</v>
      </c>
      <c r="R87" t="s">
        <v>122</v>
      </c>
      <c r="U87">
        <v>1234</v>
      </c>
      <c r="V87">
        <v>0</v>
      </c>
      <c r="W87" t="s">
        <v>200</v>
      </c>
      <c r="X87" t="s">
        <v>9</v>
      </c>
      <c r="Y87" t="s">
        <v>60</v>
      </c>
      <c r="Z87" t="s">
        <v>122</v>
      </c>
      <c r="AA87" t="s">
        <v>122</v>
      </c>
      <c r="AB87" t="s">
        <v>122</v>
      </c>
      <c r="AC87" t="s">
        <v>122</v>
      </c>
      <c r="AF87">
        <v>50</v>
      </c>
      <c r="AG87">
        <v>100</v>
      </c>
      <c r="AH87" t="s">
        <v>124</v>
      </c>
      <c r="AI87">
        <v>1</v>
      </c>
      <c r="AJ87">
        <v>5000</v>
      </c>
      <c r="AK87">
        <v>5000</v>
      </c>
      <c r="AL87">
        <v>0</v>
      </c>
      <c r="AM87">
        <v>0</v>
      </c>
      <c r="AN87">
        <v>0</v>
      </c>
      <c r="AO87">
        <v>0</v>
      </c>
      <c r="AP87">
        <v>6268.5</v>
      </c>
      <c r="AQ87">
        <v>6268.5</v>
      </c>
      <c r="AR87">
        <v>0</v>
      </c>
      <c r="AS87">
        <v>0</v>
      </c>
      <c r="AT87">
        <v>0</v>
      </c>
      <c r="AU87">
        <v>0</v>
      </c>
      <c r="AV87">
        <f>Table1[[#This Row],[CGST]]+Table1[[#This Row],[IGST]]+Table1[[#This Row],[SGST]]</f>
        <v>6268.5</v>
      </c>
      <c r="AW87">
        <f t="shared" si="3"/>
        <v>125</v>
      </c>
      <c r="AX87">
        <v>0</v>
      </c>
      <c r="AY87">
        <v>41093.5</v>
      </c>
      <c r="AZ87" t="s">
        <v>125</v>
      </c>
      <c r="BA87" t="s">
        <v>10</v>
      </c>
      <c r="BB87" t="s">
        <v>126</v>
      </c>
      <c r="BC87" t="s">
        <v>127</v>
      </c>
      <c r="BD87" t="s">
        <v>128</v>
      </c>
      <c r="BE87" t="s">
        <v>13</v>
      </c>
      <c r="BF87" t="s">
        <v>211</v>
      </c>
      <c r="BH87">
        <v>0</v>
      </c>
    </row>
    <row r="88" spans="1:60" x14ac:dyDescent="0.25">
      <c r="A88" t="s">
        <v>120</v>
      </c>
      <c r="B88" t="s">
        <v>121</v>
      </c>
      <c r="C88">
        <v>1234</v>
      </c>
      <c r="D88" t="s">
        <v>261</v>
      </c>
      <c r="E8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88" t="s">
        <v>8</v>
      </c>
      <c r="G88" t="s">
        <v>261</v>
      </c>
      <c r="H88" t="str">
        <f t="shared" si="2"/>
        <v>SI-2/1900-1806</v>
      </c>
      <c r="I88" t="s">
        <v>122</v>
      </c>
      <c r="J88" t="s">
        <v>122</v>
      </c>
      <c r="K88" t="s">
        <v>122</v>
      </c>
      <c r="L88" t="s">
        <v>122</v>
      </c>
      <c r="M88" s="21">
        <v>44593</v>
      </c>
      <c r="N88" t="s">
        <v>123</v>
      </c>
      <c r="O88" t="s">
        <v>198</v>
      </c>
      <c r="P88" t="s">
        <v>199</v>
      </c>
      <c r="Q88" t="s">
        <v>122</v>
      </c>
      <c r="R88" t="s">
        <v>122</v>
      </c>
      <c r="U88">
        <v>1234</v>
      </c>
      <c r="V88">
        <v>0</v>
      </c>
      <c r="W88" t="s">
        <v>200</v>
      </c>
      <c r="X88" t="s">
        <v>9</v>
      </c>
      <c r="Y88" t="s">
        <v>60</v>
      </c>
      <c r="Z88" t="s">
        <v>122</v>
      </c>
      <c r="AA88" t="s">
        <v>122</v>
      </c>
      <c r="AB88" t="s">
        <v>122</v>
      </c>
      <c r="AC88" t="s">
        <v>122</v>
      </c>
      <c r="AF88">
        <v>300</v>
      </c>
      <c r="AG88">
        <v>100</v>
      </c>
      <c r="AH88" t="s">
        <v>124</v>
      </c>
      <c r="AI88">
        <v>1</v>
      </c>
      <c r="AJ88">
        <v>30000</v>
      </c>
      <c r="AK88">
        <v>30000</v>
      </c>
      <c r="AL88">
        <v>0</v>
      </c>
      <c r="AM88">
        <v>0</v>
      </c>
      <c r="AN88">
        <v>0</v>
      </c>
      <c r="AO88">
        <v>0</v>
      </c>
      <c r="AP88">
        <v>51451.74</v>
      </c>
      <c r="AQ88">
        <v>51451.74</v>
      </c>
      <c r="AR88">
        <v>0</v>
      </c>
      <c r="AS88">
        <v>0</v>
      </c>
      <c r="AT88">
        <v>0</v>
      </c>
      <c r="AU88">
        <v>0</v>
      </c>
      <c r="AV88">
        <f>Table1[[#This Row],[CGST]]+Table1[[#This Row],[IGST]]+Table1[[#This Row],[SGST]]</f>
        <v>51451.74</v>
      </c>
      <c r="AW88">
        <f t="shared" si="3"/>
        <v>172</v>
      </c>
      <c r="AX88">
        <v>0</v>
      </c>
      <c r="AY88">
        <v>337294.74</v>
      </c>
      <c r="AZ88" t="s">
        <v>125</v>
      </c>
      <c r="BA88" t="s">
        <v>10</v>
      </c>
      <c r="BB88" t="s">
        <v>126</v>
      </c>
      <c r="BC88" t="s">
        <v>127</v>
      </c>
      <c r="BD88" t="s">
        <v>128</v>
      </c>
      <c r="BE88" t="s">
        <v>16</v>
      </c>
      <c r="BF88" t="s">
        <v>207</v>
      </c>
      <c r="BH88">
        <v>0</v>
      </c>
    </row>
    <row r="89" spans="1:60" x14ac:dyDescent="0.25">
      <c r="A89" t="s">
        <v>120</v>
      </c>
      <c r="B89" t="s">
        <v>121</v>
      </c>
      <c r="C89">
        <v>1234</v>
      </c>
      <c r="D89" t="s">
        <v>261</v>
      </c>
      <c r="E8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89" t="s">
        <v>8</v>
      </c>
      <c r="G89" t="s">
        <v>261</v>
      </c>
      <c r="H89" t="str">
        <f t="shared" si="2"/>
        <v>SI-2/1900-1806</v>
      </c>
      <c r="I89" t="s">
        <v>122</v>
      </c>
      <c r="J89" t="s">
        <v>122</v>
      </c>
      <c r="K89" t="s">
        <v>122</v>
      </c>
      <c r="L89" t="s">
        <v>122</v>
      </c>
      <c r="M89" s="21">
        <v>44593</v>
      </c>
      <c r="N89" t="s">
        <v>123</v>
      </c>
      <c r="O89" t="s">
        <v>198</v>
      </c>
      <c r="P89" t="s">
        <v>199</v>
      </c>
      <c r="Q89" t="s">
        <v>122</v>
      </c>
      <c r="R89" t="s">
        <v>122</v>
      </c>
      <c r="U89">
        <v>1234</v>
      </c>
      <c r="V89">
        <v>0</v>
      </c>
      <c r="W89" t="s">
        <v>200</v>
      </c>
      <c r="X89" t="s">
        <v>9</v>
      </c>
      <c r="Y89" t="s">
        <v>60</v>
      </c>
      <c r="Z89" t="s">
        <v>122</v>
      </c>
      <c r="AA89" t="s">
        <v>122</v>
      </c>
      <c r="AB89" t="s">
        <v>122</v>
      </c>
      <c r="AC89" t="s">
        <v>122</v>
      </c>
      <c r="AF89">
        <v>580</v>
      </c>
      <c r="AG89">
        <v>100</v>
      </c>
      <c r="AH89" t="s">
        <v>124</v>
      </c>
      <c r="AI89">
        <v>1</v>
      </c>
      <c r="AJ89">
        <v>58000</v>
      </c>
      <c r="AK89">
        <v>58000</v>
      </c>
      <c r="AL89">
        <v>0</v>
      </c>
      <c r="AM89">
        <v>0</v>
      </c>
      <c r="AN89">
        <v>0</v>
      </c>
      <c r="AO89">
        <v>0</v>
      </c>
      <c r="AP89">
        <v>81981.14</v>
      </c>
      <c r="AQ89">
        <v>81981.14</v>
      </c>
      <c r="AR89">
        <v>0</v>
      </c>
      <c r="AS89">
        <v>0</v>
      </c>
      <c r="AT89">
        <v>0</v>
      </c>
      <c r="AU89">
        <v>0</v>
      </c>
      <c r="AV89">
        <f>Table1[[#This Row],[CGST]]+Table1[[#This Row],[IGST]]+Table1[[#This Row],[SGST]]</f>
        <v>81981.14</v>
      </c>
      <c r="AW89">
        <f t="shared" si="3"/>
        <v>141</v>
      </c>
      <c r="AX89">
        <v>0</v>
      </c>
      <c r="AY89">
        <v>537431.93999999994</v>
      </c>
      <c r="AZ89" t="s">
        <v>125</v>
      </c>
      <c r="BA89" t="s">
        <v>10</v>
      </c>
      <c r="BB89" t="s">
        <v>126</v>
      </c>
      <c r="BC89" t="s">
        <v>127</v>
      </c>
      <c r="BD89" t="s">
        <v>128</v>
      </c>
      <c r="BE89" t="s">
        <v>16</v>
      </c>
      <c r="BF89" t="s">
        <v>207</v>
      </c>
      <c r="BH89">
        <v>0</v>
      </c>
    </row>
    <row r="90" spans="1:60" x14ac:dyDescent="0.25">
      <c r="A90" t="s">
        <v>120</v>
      </c>
      <c r="B90" t="s">
        <v>121</v>
      </c>
      <c r="C90">
        <v>1234</v>
      </c>
      <c r="D90" t="s">
        <v>262</v>
      </c>
      <c r="E9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90" t="s">
        <v>8</v>
      </c>
      <c r="G90" t="s">
        <v>262</v>
      </c>
      <c r="H90" t="str">
        <f t="shared" si="2"/>
        <v>SI-2/1900-1807</v>
      </c>
      <c r="I90" t="s">
        <v>122</v>
      </c>
      <c r="J90" t="s">
        <v>122</v>
      </c>
      <c r="K90" t="s">
        <v>122</v>
      </c>
      <c r="L90" t="s">
        <v>122</v>
      </c>
      <c r="M90" s="21">
        <v>44593</v>
      </c>
      <c r="N90" t="s">
        <v>123</v>
      </c>
      <c r="O90" t="s">
        <v>198</v>
      </c>
      <c r="P90" t="s">
        <v>199</v>
      </c>
      <c r="Q90" t="s">
        <v>122</v>
      </c>
      <c r="R90" t="s">
        <v>122</v>
      </c>
      <c r="U90">
        <v>1234</v>
      </c>
      <c r="V90">
        <v>0</v>
      </c>
      <c r="W90" t="s">
        <v>200</v>
      </c>
      <c r="X90" t="s">
        <v>9</v>
      </c>
      <c r="Y90" t="s">
        <v>60</v>
      </c>
      <c r="Z90" t="s">
        <v>122</v>
      </c>
      <c r="AA90" t="s">
        <v>122</v>
      </c>
      <c r="AB90" t="s">
        <v>122</v>
      </c>
      <c r="AC90" t="s">
        <v>122</v>
      </c>
      <c r="AF90">
        <v>300</v>
      </c>
      <c r="AG90">
        <v>100</v>
      </c>
      <c r="AH90" t="s">
        <v>124</v>
      </c>
      <c r="AI90">
        <v>1</v>
      </c>
      <c r="AJ90">
        <v>30000</v>
      </c>
      <c r="AK90">
        <v>30000</v>
      </c>
      <c r="AL90">
        <v>0</v>
      </c>
      <c r="AM90">
        <v>0</v>
      </c>
      <c r="AN90">
        <v>0</v>
      </c>
      <c r="AO90">
        <v>0</v>
      </c>
      <c r="AP90">
        <v>51451.74</v>
      </c>
      <c r="AQ90">
        <v>51451.74</v>
      </c>
      <c r="AR90">
        <v>0</v>
      </c>
      <c r="AS90">
        <v>0</v>
      </c>
      <c r="AT90">
        <v>0</v>
      </c>
      <c r="AU90">
        <v>0</v>
      </c>
      <c r="AV90">
        <f>Table1[[#This Row],[CGST]]+Table1[[#This Row],[IGST]]+Table1[[#This Row],[SGST]]</f>
        <v>51451.74</v>
      </c>
      <c r="AW90">
        <f t="shared" si="3"/>
        <v>172</v>
      </c>
      <c r="AX90">
        <v>0</v>
      </c>
      <c r="AY90">
        <v>337294.74</v>
      </c>
      <c r="AZ90" t="s">
        <v>125</v>
      </c>
      <c r="BA90" t="s">
        <v>10</v>
      </c>
      <c r="BB90" t="s">
        <v>126</v>
      </c>
      <c r="BC90" t="s">
        <v>127</v>
      </c>
      <c r="BD90" t="s">
        <v>128</v>
      </c>
      <c r="BE90" t="s">
        <v>18</v>
      </c>
      <c r="BF90" t="s">
        <v>211</v>
      </c>
      <c r="BH90">
        <v>0</v>
      </c>
    </row>
    <row r="91" spans="1:60" x14ac:dyDescent="0.25">
      <c r="A91" t="s">
        <v>120</v>
      </c>
      <c r="B91" t="s">
        <v>121</v>
      </c>
      <c r="C91">
        <v>1234</v>
      </c>
      <c r="D91" t="s">
        <v>262</v>
      </c>
      <c r="E9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91" t="s">
        <v>8</v>
      </c>
      <c r="G91" t="s">
        <v>262</v>
      </c>
      <c r="H91" t="str">
        <f t="shared" si="2"/>
        <v>SI-2/1900-1807</v>
      </c>
      <c r="I91" t="s">
        <v>122</v>
      </c>
      <c r="J91" t="s">
        <v>122</v>
      </c>
      <c r="K91" t="s">
        <v>122</v>
      </c>
      <c r="L91" t="s">
        <v>122</v>
      </c>
      <c r="M91" s="21">
        <v>44593</v>
      </c>
      <c r="N91" t="s">
        <v>123</v>
      </c>
      <c r="O91" t="s">
        <v>198</v>
      </c>
      <c r="P91" t="s">
        <v>199</v>
      </c>
      <c r="Q91" t="s">
        <v>122</v>
      </c>
      <c r="R91" t="s">
        <v>122</v>
      </c>
      <c r="U91">
        <v>1234</v>
      </c>
      <c r="V91">
        <v>0</v>
      </c>
      <c r="W91" t="s">
        <v>200</v>
      </c>
      <c r="X91" t="s">
        <v>9</v>
      </c>
      <c r="Y91" t="s">
        <v>60</v>
      </c>
      <c r="Z91" t="s">
        <v>122</v>
      </c>
      <c r="AA91" t="s">
        <v>122</v>
      </c>
      <c r="AB91" t="s">
        <v>122</v>
      </c>
      <c r="AC91" t="s">
        <v>122</v>
      </c>
      <c r="AF91">
        <v>580</v>
      </c>
      <c r="AG91">
        <v>100</v>
      </c>
      <c r="AH91" t="s">
        <v>124</v>
      </c>
      <c r="AI91">
        <v>1</v>
      </c>
      <c r="AJ91">
        <v>58000</v>
      </c>
      <c r="AK91">
        <v>58000</v>
      </c>
      <c r="AL91">
        <v>0</v>
      </c>
      <c r="AM91">
        <v>0</v>
      </c>
      <c r="AN91">
        <v>0</v>
      </c>
      <c r="AO91">
        <v>0</v>
      </c>
      <c r="AP91">
        <v>81981.14</v>
      </c>
      <c r="AQ91">
        <v>81981.14</v>
      </c>
      <c r="AR91">
        <v>0</v>
      </c>
      <c r="AS91">
        <v>0</v>
      </c>
      <c r="AT91">
        <v>0</v>
      </c>
      <c r="AU91">
        <v>0</v>
      </c>
      <c r="AV91">
        <f>Table1[[#This Row],[CGST]]+Table1[[#This Row],[IGST]]+Table1[[#This Row],[SGST]]</f>
        <v>81981.14</v>
      </c>
      <c r="AW91">
        <f t="shared" si="3"/>
        <v>141</v>
      </c>
      <c r="AX91">
        <v>0</v>
      </c>
      <c r="AY91">
        <v>537431.93999999994</v>
      </c>
      <c r="AZ91" t="s">
        <v>125</v>
      </c>
      <c r="BA91" t="s">
        <v>10</v>
      </c>
      <c r="BB91" t="s">
        <v>126</v>
      </c>
      <c r="BC91" t="s">
        <v>127</v>
      </c>
      <c r="BD91" t="s">
        <v>128</v>
      </c>
      <c r="BE91" t="s">
        <v>18</v>
      </c>
      <c r="BF91" t="s">
        <v>201</v>
      </c>
      <c r="BH91">
        <v>0</v>
      </c>
    </row>
    <row r="92" spans="1:60" x14ac:dyDescent="0.25">
      <c r="A92" t="s">
        <v>120</v>
      </c>
      <c r="B92" t="s">
        <v>121</v>
      </c>
      <c r="C92">
        <v>1234</v>
      </c>
      <c r="D92" t="s">
        <v>263</v>
      </c>
      <c r="E9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92" t="s">
        <v>8</v>
      </c>
      <c r="G92" t="s">
        <v>263</v>
      </c>
      <c r="H92" t="str">
        <f t="shared" si="2"/>
        <v>SI-2/1900-1808</v>
      </c>
      <c r="I92" t="s">
        <v>122</v>
      </c>
      <c r="J92" t="s">
        <v>122</v>
      </c>
      <c r="K92" t="s">
        <v>122</v>
      </c>
      <c r="L92" t="s">
        <v>122</v>
      </c>
      <c r="M92" s="21">
        <v>44593</v>
      </c>
      <c r="N92" t="s">
        <v>123</v>
      </c>
      <c r="O92" t="s">
        <v>198</v>
      </c>
      <c r="P92" t="s">
        <v>199</v>
      </c>
      <c r="Q92" t="s">
        <v>122</v>
      </c>
      <c r="R92" t="s">
        <v>122</v>
      </c>
      <c r="U92">
        <v>1234</v>
      </c>
      <c r="V92">
        <v>0</v>
      </c>
      <c r="W92" t="s">
        <v>200</v>
      </c>
      <c r="X92" t="s">
        <v>9</v>
      </c>
      <c r="Y92" t="s">
        <v>60</v>
      </c>
      <c r="Z92" t="s">
        <v>122</v>
      </c>
      <c r="AA92" t="s">
        <v>122</v>
      </c>
      <c r="AB92" t="s">
        <v>122</v>
      </c>
      <c r="AC92" t="s">
        <v>122</v>
      </c>
      <c r="AF92">
        <v>680</v>
      </c>
      <c r="AG92">
        <v>100</v>
      </c>
      <c r="AH92" t="s">
        <v>124</v>
      </c>
      <c r="AI92">
        <v>1</v>
      </c>
      <c r="AJ92">
        <v>68000</v>
      </c>
      <c r="AK92">
        <v>68000</v>
      </c>
      <c r="AL92">
        <v>0</v>
      </c>
      <c r="AM92">
        <v>0</v>
      </c>
      <c r="AN92">
        <v>0</v>
      </c>
      <c r="AO92">
        <v>0</v>
      </c>
      <c r="AP92">
        <v>116623.94</v>
      </c>
      <c r="AQ92">
        <v>116623.94</v>
      </c>
      <c r="AR92">
        <v>0</v>
      </c>
      <c r="AS92">
        <v>0</v>
      </c>
      <c r="AT92">
        <v>0</v>
      </c>
      <c r="AU92">
        <v>0</v>
      </c>
      <c r="AV92">
        <f>Table1[[#This Row],[CGST]]+Table1[[#This Row],[IGST]]+Table1[[#This Row],[SGST]]</f>
        <v>116623.94</v>
      </c>
      <c r="AW92">
        <f t="shared" si="3"/>
        <v>172</v>
      </c>
      <c r="AX92">
        <v>0</v>
      </c>
      <c r="AY92">
        <v>764534.74</v>
      </c>
      <c r="AZ92" t="s">
        <v>125</v>
      </c>
      <c r="BA92" t="s">
        <v>10</v>
      </c>
      <c r="BB92" t="s">
        <v>126</v>
      </c>
      <c r="BC92" t="s">
        <v>127</v>
      </c>
      <c r="BD92" t="s">
        <v>128</v>
      </c>
      <c r="BE92" t="s">
        <v>16</v>
      </c>
      <c r="BF92" t="s">
        <v>201</v>
      </c>
      <c r="BH92">
        <v>0</v>
      </c>
    </row>
    <row r="93" spans="1:60" x14ac:dyDescent="0.25">
      <c r="A93" t="s">
        <v>120</v>
      </c>
      <c r="B93" t="s">
        <v>121</v>
      </c>
      <c r="C93">
        <v>1234</v>
      </c>
      <c r="D93" t="s">
        <v>264</v>
      </c>
      <c r="E9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93" t="s">
        <v>8</v>
      </c>
      <c r="G93" t="s">
        <v>264</v>
      </c>
      <c r="H93" t="str">
        <f t="shared" si="2"/>
        <v>SI-2/1900-1809</v>
      </c>
      <c r="I93" t="s">
        <v>122</v>
      </c>
      <c r="J93" t="s">
        <v>122</v>
      </c>
      <c r="K93" t="s">
        <v>122</v>
      </c>
      <c r="L93" t="s">
        <v>122</v>
      </c>
      <c r="M93" s="21">
        <v>44593</v>
      </c>
      <c r="N93" t="s">
        <v>123</v>
      </c>
      <c r="O93" t="s">
        <v>198</v>
      </c>
      <c r="P93" t="s">
        <v>199</v>
      </c>
      <c r="Q93" t="s">
        <v>122</v>
      </c>
      <c r="R93" t="s">
        <v>122</v>
      </c>
      <c r="U93">
        <v>1234</v>
      </c>
      <c r="V93">
        <v>0</v>
      </c>
      <c r="W93" t="s">
        <v>200</v>
      </c>
      <c r="X93" t="s">
        <v>9</v>
      </c>
      <c r="Y93" t="s">
        <v>60</v>
      </c>
      <c r="Z93" t="s">
        <v>122</v>
      </c>
      <c r="AA93" t="s">
        <v>122</v>
      </c>
      <c r="AB93" t="s">
        <v>122</v>
      </c>
      <c r="AC93" t="s">
        <v>122</v>
      </c>
      <c r="AF93">
        <v>800</v>
      </c>
      <c r="AG93">
        <v>100</v>
      </c>
      <c r="AH93" t="s">
        <v>124</v>
      </c>
      <c r="AI93">
        <v>1</v>
      </c>
      <c r="AJ93">
        <v>80000</v>
      </c>
      <c r="AK93">
        <v>80000</v>
      </c>
      <c r="AL93">
        <v>0</v>
      </c>
      <c r="AM93">
        <v>0</v>
      </c>
      <c r="AN93">
        <v>0</v>
      </c>
      <c r="AO93">
        <v>0</v>
      </c>
      <c r="AP93">
        <v>113077.44</v>
      </c>
      <c r="AQ93">
        <v>113077.44</v>
      </c>
      <c r="AR93">
        <v>0</v>
      </c>
      <c r="AS93">
        <v>0</v>
      </c>
      <c r="AT93">
        <v>0</v>
      </c>
      <c r="AU93">
        <v>0</v>
      </c>
      <c r="AV93">
        <f>Table1[[#This Row],[CGST]]+Table1[[#This Row],[IGST]]+Table1[[#This Row],[SGST]]</f>
        <v>113077.44</v>
      </c>
      <c r="AW93">
        <f t="shared" si="3"/>
        <v>141</v>
      </c>
      <c r="AX93">
        <v>0</v>
      </c>
      <c r="AY93">
        <v>741285.44</v>
      </c>
      <c r="AZ93" t="s">
        <v>125</v>
      </c>
      <c r="BA93" t="s">
        <v>10</v>
      </c>
      <c r="BB93" t="s">
        <v>126</v>
      </c>
      <c r="BC93" t="s">
        <v>127</v>
      </c>
      <c r="BD93" t="s">
        <v>128</v>
      </c>
      <c r="BE93" t="s">
        <v>11</v>
      </c>
      <c r="BF93" t="s">
        <v>226</v>
      </c>
      <c r="BH93">
        <v>0</v>
      </c>
    </row>
    <row r="94" spans="1:60" x14ac:dyDescent="0.25">
      <c r="A94" t="s">
        <v>120</v>
      </c>
      <c r="B94" t="s">
        <v>121</v>
      </c>
      <c r="C94">
        <v>1234</v>
      </c>
      <c r="D94" t="s">
        <v>264</v>
      </c>
      <c r="E9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94" t="s">
        <v>8</v>
      </c>
      <c r="G94" t="s">
        <v>264</v>
      </c>
      <c r="H94" t="str">
        <f t="shared" si="2"/>
        <v>SI-2/1900-1809</v>
      </c>
      <c r="I94" t="s">
        <v>122</v>
      </c>
      <c r="J94" t="s">
        <v>122</v>
      </c>
      <c r="K94" t="s">
        <v>122</v>
      </c>
      <c r="L94" t="s">
        <v>122</v>
      </c>
      <c r="M94" s="21">
        <v>44593</v>
      </c>
      <c r="N94" t="s">
        <v>123</v>
      </c>
      <c r="O94" t="s">
        <v>198</v>
      </c>
      <c r="P94" t="s">
        <v>199</v>
      </c>
      <c r="Q94" t="s">
        <v>122</v>
      </c>
      <c r="R94" t="s">
        <v>122</v>
      </c>
      <c r="U94">
        <v>1234</v>
      </c>
      <c r="V94">
        <v>0</v>
      </c>
      <c r="W94" t="s">
        <v>200</v>
      </c>
      <c r="X94" t="s">
        <v>9</v>
      </c>
      <c r="Y94" t="s">
        <v>60</v>
      </c>
      <c r="Z94" t="s">
        <v>122</v>
      </c>
      <c r="AA94" t="s">
        <v>122</v>
      </c>
      <c r="AB94" t="s">
        <v>122</v>
      </c>
      <c r="AC94" t="s">
        <v>122</v>
      </c>
      <c r="AF94">
        <v>50</v>
      </c>
      <c r="AG94">
        <v>100</v>
      </c>
      <c r="AH94" t="s">
        <v>124</v>
      </c>
      <c r="AI94">
        <v>1</v>
      </c>
      <c r="AJ94">
        <v>5000</v>
      </c>
      <c r="AK94">
        <v>5000</v>
      </c>
      <c r="AL94">
        <v>0</v>
      </c>
      <c r="AM94">
        <v>0</v>
      </c>
      <c r="AN94">
        <v>0</v>
      </c>
      <c r="AO94">
        <v>0</v>
      </c>
      <c r="AP94">
        <v>6268.5</v>
      </c>
      <c r="AQ94">
        <v>6268.5</v>
      </c>
      <c r="AR94">
        <v>0</v>
      </c>
      <c r="AS94">
        <v>0</v>
      </c>
      <c r="AT94">
        <v>0</v>
      </c>
      <c r="AU94">
        <v>0</v>
      </c>
      <c r="AV94">
        <f>Table1[[#This Row],[CGST]]+Table1[[#This Row],[IGST]]+Table1[[#This Row],[SGST]]</f>
        <v>6268.5</v>
      </c>
      <c r="AW94">
        <f t="shared" si="3"/>
        <v>125</v>
      </c>
      <c r="AX94">
        <v>0</v>
      </c>
      <c r="AY94">
        <v>41093.5</v>
      </c>
      <c r="AZ94" t="s">
        <v>125</v>
      </c>
      <c r="BA94" t="s">
        <v>10</v>
      </c>
      <c r="BB94" t="s">
        <v>126</v>
      </c>
      <c r="BC94" t="s">
        <v>127</v>
      </c>
      <c r="BD94" t="s">
        <v>128</v>
      </c>
      <c r="BE94" t="s">
        <v>11</v>
      </c>
      <c r="BF94" t="s">
        <v>226</v>
      </c>
      <c r="BH94">
        <v>0</v>
      </c>
    </row>
    <row r="95" spans="1:60" x14ac:dyDescent="0.25">
      <c r="A95" t="s">
        <v>120</v>
      </c>
      <c r="B95" t="s">
        <v>121</v>
      </c>
      <c r="C95">
        <v>1234</v>
      </c>
      <c r="D95" t="s">
        <v>265</v>
      </c>
      <c r="E9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95" t="s">
        <v>8</v>
      </c>
      <c r="G95" t="s">
        <v>265</v>
      </c>
      <c r="H95" t="str">
        <f t="shared" si="2"/>
        <v>SI-2/1900-1810</v>
      </c>
      <c r="I95" t="s">
        <v>122</v>
      </c>
      <c r="J95" t="s">
        <v>122</v>
      </c>
      <c r="K95" t="s">
        <v>122</v>
      </c>
      <c r="L95" t="s">
        <v>122</v>
      </c>
      <c r="M95" s="21">
        <v>44593</v>
      </c>
      <c r="N95" t="s">
        <v>123</v>
      </c>
      <c r="O95" t="s">
        <v>198</v>
      </c>
      <c r="P95" t="s">
        <v>199</v>
      </c>
      <c r="Q95" t="s">
        <v>122</v>
      </c>
      <c r="R95" t="s">
        <v>122</v>
      </c>
      <c r="U95">
        <v>1234</v>
      </c>
      <c r="V95">
        <v>0</v>
      </c>
      <c r="W95" t="s">
        <v>200</v>
      </c>
      <c r="X95" t="s">
        <v>9</v>
      </c>
      <c r="Y95" t="s">
        <v>60</v>
      </c>
      <c r="Z95" t="s">
        <v>122</v>
      </c>
      <c r="AA95" t="s">
        <v>122</v>
      </c>
      <c r="AB95" t="s">
        <v>122</v>
      </c>
      <c r="AC95" t="s">
        <v>122</v>
      </c>
      <c r="AF95">
        <v>100</v>
      </c>
      <c r="AG95">
        <v>100</v>
      </c>
      <c r="AH95" t="s">
        <v>124</v>
      </c>
      <c r="AI95">
        <v>1</v>
      </c>
      <c r="AJ95">
        <v>10000</v>
      </c>
      <c r="AK95">
        <v>10000</v>
      </c>
      <c r="AL95">
        <v>0</v>
      </c>
      <c r="AM95">
        <v>0</v>
      </c>
      <c r="AN95">
        <v>0</v>
      </c>
      <c r="AO95">
        <v>0</v>
      </c>
      <c r="AP95">
        <v>17150.580000000002</v>
      </c>
      <c r="AQ95">
        <v>17150.580000000002</v>
      </c>
      <c r="AR95">
        <v>0</v>
      </c>
      <c r="AS95">
        <v>0</v>
      </c>
      <c r="AT95">
        <v>0</v>
      </c>
      <c r="AU95">
        <v>0</v>
      </c>
      <c r="AV95">
        <f>Table1[[#This Row],[CGST]]+Table1[[#This Row],[IGST]]+Table1[[#This Row],[SGST]]</f>
        <v>17150.580000000002</v>
      </c>
      <c r="AW95">
        <f t="shared" si="3"/>
        <v>172</v>
      </c>
      <c r="AX95">
        <v>0</v>
      </c>
      <c r="AY95">
        <v>112431.58</v>
      </c>
      <c r="AZ95" t="s">
        <v>125</v>
      </c>
      <c r="BA95" t="s">
        <v>10</v>
      </c>
      <c r="BB95" t="s">
        <v>126</v>
      </c>
      <c r="BC95" t="s">
        <v>127</v>
      </c>
      <c r="BD95" t="s">
        <v>128</v>
      </c>
      <c r="BE95" t="s">
        <v>19</v>
      </c>
      <c r="BF95" t="s">
        <v>207</v>
      </c>
      <c r="BH95">
        <v>0</v>
      </c>
    </row>
    <row r="96" spans="1:60" x14ac:dyDescent="0.25">
      <c r="A96" t="s">
        <v>120</v>
      </c>
      <c r="B96" t="s">
        <v>121</v>
      </c>
      <c r="C96">
        <v>1234</v>
      </c>
      <c r="D96" t="s">
        <v>265</v>
      </c>
      <c r="E9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96" t="s">
        <v>8</v>
      </c>
      <c r="G96" t="s">
        <v>265</v>
      </c>
      <c r="H96" t="str">
        <f t="shared" si="2"/>
        <v>SI-2/1900-1810</v>
      </c>
      <c r="I96" t="s">
        <v>122</v>
      </c>
      <c r="J96" t="s">
        <v>122</v>
      </c>
      <c r="K96" t="s">
        <v>122</v>
      </c>
      <c r="L96" t="s">
        <v>122</v>
      </c>
      <c r="M96" s="21">
        <v>44593</v>
      </c>
      <c r="N96" t="s">
        <v>123</v>
      </c>
      <c r="O96" t="s">
        <v>198</v>
      </c>
      <c r="P96" t="s">
        <v>199</v>
      </c>
      <c r="Q96" t="s">
        <v>122</v>
      </c>
      <c r="R96" t="s">
        <v>122</v>
      </c>
      <c r="U96">
        <v>1234</v>
      </c>
      <c r="V96">
        <v>0</v>
      </c>
      <c r="W96" t="s">
        <v>200</v>
      </c>
      <c r="X96" t="s">
        <v>9</v>
      </c>
      <c r="Y96" t="s">
        <v>60</v>
      </c>
      <c r="Z96" t="s">
        <v>122</v>
      </c>
      <c r="AA96" t="s">
        <v>122</v>
      </c>
      <c r="AB96" t="s">
        <v>122</v>
      </c>
      <c r="AC96" t="s">
        <v>122</v>
      </c>
      <c r="AF96">
        <v>600</v>
      </c>
      <c r="AG96">
        <v>100</v>
      </c>
      <c r="AH96" t="s">
        <v>124</v>
      </c>
      <c r="AI96">
        <v>1</v>
      </c>
      <c r="AJ96">
        <v>60000</v>
      </c>
      <c r="AK96">
        <v>60000</v>
      </c>
      <c r="AL96">
        <v>0</v>
      </c>
      <c r="AM96">
        <v>0</v>
      </c>
      <c r="AN96">
        <v>0</v>
      </c>
      <c r="AO96">
        <v>0</v>
      </c>
      <c r="AP96">
        <v>84808.08</v>
      </c>
      <c r="AQ96">
        <v>84808.08</v>
      </c>
      <c r="AR96">
        <v>0</v>
      </c>
      <c r="AS96">
        <v>0</v>
      </c>
      <c r="AT96">
        <v>0</v>
      </c>
      <c r="AU96">
        <v>0</v>
      </c>
      <c r="AV96">
        <f>Table1[[#This Row],[CGST]]+Table1[[#This Row],[IGST]]+Table1[[#This Row],[SGST]]</f>
        <v>84808.08</v>
      </c>
      <c r="AW96">
        <f t="shared" si="3"/>
        <v>141</v>
      </c>
      <c r="AX96">
        <v>0</v>
      </c>
      <c r="AY96">
        <v>555964.07999999996</v>
      </c>
      <c r="AZ96" t="s">
        <v>125</v>
      </c>
      <c r="BA96" t="s">
        <v>10</v>
      </c>
      <c r="BB96" t="s">
        <v>126</v>
      </c>
      <c r="BC96" t="s">
        <v>127</v>
      </c>
      <c r="BD96" t="s">
        <v>128</v>
      </c>
      <c r="BE96" t="s">
        <v>19</v>
      </c>
      <c r="BF96" t="s">
        <v>201</v>
      </c>
      <c r="BH96">
        <v>0</v>
      </c>
    </row>
    <row r="97" spans="1:60" x14ac:dyDescent="0.25">
      <c r="A97" t="s">
        <v>120</v>
      </c>
      <c r="B97" t="s">
        <v>121</v>
      </c>
      <c r="C97">
        <v>1234</v>
      </c>
      <c r="D97" t="s">
        <v>266</v>
      </c>
      <c r="E9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97" t="s">
        <v>8</v>
      </c>
      <c r="G97" t="s">
        <v>266</v>
      </c>
      <c r="H97" t="str">
        <f t="shared" si="2"/>
        <v>SI-2/1900-1811</v>
      </c>
      <c r="I97" t="s">
        <v>122</v>
      </c>
      <c r="J97" t="s">
        <v>122</v>
      </c>
      <c r="K97" t="s">
        <v>122</v>
      </c>
      <c r="L97" t="s">
        <v>122</v>
      </c>
      <c r="M97" s="21">
        <v>44593</v>
      </c>
      <c r="N97" t="s">
        <v>123</v>
      </c>
      <c r="O97" t="s">
        <v>198</v>
      </c>
      <c r="P97" t="s">
        <v>199</v>
      </c>
      <c r="Q97" t="s">
        <v>122</v>
      </c>
      <c r="R97" t="s">
        <v>122</v>
      </c>
      <c r="U97">
        <v>1234</v>
      </c>
      <c r="V97">
        <v>0</v>
      </c>
      <c r="W97" t="s">
        <v>200</v>
      </c>
      <c r="X97" t="s">
        <v>9</v>
      </c>
      <c r="Y97" t="s">
        <v>60</v>
      </c>
      <c r="Z97" t="s">
        <v>122</v>
      </c>
      <c r="AA97" t="s">
        <v>122</v>
      </c>
      <c r="AB97" t="s">
        <v>122</v>
      </c>
      <c r="AC97" t="s">
        <v>122</v>
      </c>
      <c r="AF97">
        <v>680</v>
      </c>
      <c r="AG97">
        <v>100</v>
      </c>
      <c r="AH97" t="s">
        <v>124</v>
      </c>
      <c r="AI97">
        <v>1</v>
      </c>
      <c r="AJ97">
        <v>68000</v>
      </c>
      <c r="AK97">
        <v>68000</v>
      </c>
      <c r="AL97">
        <v>0</v>
      </c>
      <c r="AM97">
        <v>0</v>
      </c>
      <c r="AN97">
        <v>0</v>
      </c>
      <c r="AO97">
        <v>0</v>
      </c>
      <c r="AP97">
        <v>116623.94</v>
      </c>
      <c r="AQ97">
        <v>116623.94</v>
      </c>
      <c r="AR97">
        <v>0</v>
      </c>
      <c r="AS97">
        <v>0</v>
      </c>
      <c r="AT97">
        <v>0</v>
      </c>
      <c r="AU97">
        <v>0</v>
      </c>
      <c r="AV97">
        <f>Table1[[#This Row],[CGST]]+Table1[[#This Row],[IGST]]+Table1[[#This Row],[SGST]]</f>
        <v>116623.94</v>
      </c>
      <c r="AW97">
        <f t="shared" si="3"/>
        <v>172</v>
      </c>
      <c r="AX97">
        <v>0</v>
      </c>
      <c r="AY97">
        <v>764534.74</v>
      </c>
      <c r="AZ97" t="s">
        <v>125</v>
      </c>
      <c r="BA97" t="s">
        <v>10</v>
      </c>
      <c r="BB97" t="s">
        <v>126</v>
      </c>
      <c r="BC97" t="s">
        <v>127</v>
      </c>
      <c r="BD97" t="s">
        <v>128</v>
      </c>
      <c r="BE97" t="s">
        <v>18</v>
      </c>
      <c r="BF97" t="s">
        <v>201</v>
      </c>
      <c r="BH97">
        <v>0</v>
      </c>
    </row>
    <row r="98" spans="1:60" x14ac:dyDescent="0.25">
      <c r="A98" t="s">
        <v>120</v>
      </c>
      <c r="B98" t="s">
        <v>121</v>
      </c>
      <c r="C98">
        <v>1234</v>
      </c>
      <c r="D98" t="s">
        <v>267</v>
      </c>
      <c r="E9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98" t="s">
        <v>8</v>
      </c>
      <c r="G98" t="s">
        <v>267</v>
      </c>
      <c r="H98" t="str">
        <f t="shared" si="2"/>
        <v>SI-2/1900-1812</v>
      </c>
      <c r="I98" t="s">
        <v>122</v>
      </c>
      <c r="J98" t="s">
        <v>122</v>
      </c>
      <c r="K98" t="s">
        <v>122</v>
      </c>
      <c r="L98" t="s">
        <v>122</v>
      </c>
      <c r="M98" s="21">
        <v>44593</v>
      </c>
      <c r="N98" t="s">
        <v>123</v>
      </c>
      <c r="O98" t="s">
        <v>198</v>
      </c>
      <c r="P98" t="s">
        <v>199</v>
      </c>
      <c r="Q98" t="s">
        <v>122</v>
      </c>
      <c r="R98" t="s">
        <v>122</v>
      </c>
      <c r="U98">
        <v>1234</v>
      </c>
      <c r="V98">
        <v>0</v>
      </c>
      <c r="W98" t="s">
        <v>200</v>
      </c>
      <c r="X98" t="s">
        <v>9</v>
      </c>
      <c r="Y98" t="s">
        <v>60</v>
      </c>
      <c r="Z98" t="s">
        <v>122</v>
      </c>
      <c r="AA98" t="s">
        <v>122</v>
      </c>
      <c r="AB98" t="s">
        <v>122</v>
      </c>
      <c r="AC98" t="s">
        <v>122</v>
      </c>
      <c r="AF98">
        <v>100</v>
      </c>
      <c r="AG98">
        <v>100</v>
      </c>
      <c r="AH98" t="s">
        <v>124</v>
      </c>
      <c r="AI98">
        <v>1</v>
      </c>
      <c r="AJ98">
        <v>10000</v>
      </c>
      <c r="AK98">
        <v>10000</v>
      </c>
      <c r="AL98">
        <v>0</v>
      </c>
      <c r="AM98">
        <v>0</v>
      </c>
      <c r="AN98">
        <v>0</v>
      </c>
      <c r="AO98">
        <v>0</v>
      </c>
      <c r="AP98">
        <v>17150.580000000002</v>
      </c>
      <c r="AQ98">
        <v>17150.580000000002</v>
      </c>
      <c r="AR98">
        <v>0</v>
      </c>
      <c r="AS98">
        <v>0</v>
      </c>
      <c r="AT98">
        <v>0</v>
      </c>
      <c r="AU98">
        <v>0</v>
      </c>
      <c r="AV98">
        <f>Table1[[#This Row],[CGST]]+Table1[[#This Row],[IGST]]+Table1[[#This Row],[SGST]]</f>
        <v>17150.580000000002</v>
      </c>
      <c r="AW98">
        <f t="shared" si="3"/>
        <v>172</v>
      </c>
      <c r="AX98">
        <v>0</v>
      </c>
      <c r="AY98">
        <v>112431.58</v>
      </c>
      <c r="AZ98" t="s">
        <v>125</v>
      </c>
      <c r="BA98" t="s">
        <v>10</v>
      </c>
      <c r="BB98" t="s">
        <v>126</v>
      </c>
      <c r="BC98" t="s">
        <v>127</v>
      </c>
      <c r="BD98" t="s">
        <v>128</v>
      </c>
      <c r="BE98" t="s">
        <v>11</v>
      </c>
      <c r="BF98" t="s">
        <v>211</v>
      </c>
      <c r="BH98">
        <v>0</v>
      </c>
    </row>
    <row r="99" spans="1:60" x14ac:dyDescent="0.25">
      <c r="A99" t="s">
        <v>120</v>
      </c>
      <c r="B99" t="s">
        <v>121</v>
      </c>
      <c r="C99">
        <v>1234</v>
      </c>
      <c r="D99" t="s">
        <v>267</v>
      </c>
      <c r="E9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99" t="s">
        <v>8</v>
      </c>
      <c r="G99" t="s">
        <v>267</v>
      </c>
      <c r="H99" t="str">
        <f t="shared" si="2"/>
        <v>SI-2/1900-1812</v>
      </c>
      <c r="I99" t="s">
        <v>122</v>
      </c>
      <c r="J99" t="s">
        <v>122</v>
      </c>
      <c r="K99" t="s">
        <v>122</v>
      </c>
      <c r="L99" t="s">
        <v>122</v>
      </c>
      <c r="M99" s="21">
        <v>44593</v>
      </c>
      <c r="N99" t="s">
        <v>123</v>
      </c>
      <c r="O99" t="s">
        <v>198</v>
      </c>
      <c r="P99" t="s">
        <v>199</v>
      </c>
      <c r="Q99" t="s">
        <v>122</v>
      </c>
      <c r="R99" t="s">
        <v>122</v>
      </c>
      <c r="U99">
        <v>1234</v>
      </c>
      <c r="V99">
        <v>0</v>
      </c>
      <c r="W99" t="s">
        <v>200</v>
      </c>
      <c r="X99" t="s">
        <v>9</v>
      </c>
      <c r="Y99" t="s">
        <v>60</v>
      </c>
      <c r="Z99" t="s">
        <v>122</v>
      </c>
      <c r="AA99" t="s">
        <v>122</v>
      </c>
      <c r="AB99" t="s">
        <v>122</v>
      </c>
      <c r="AC99" t="s">
        <v>122</v>
      </c>
      <c r="AF99">
        <v>860</v>
      </c>
      <c r="AG99">
        <v>100</v>
      </c>
      <c r="AH99" t="s">
        <v>124</v>
      </c>
      <c r="AI99">
        <v>1</v>
      </c>
      <c r="AJ99">
        <v>86000</v>
      </c>
      <c r="AK99">
        <v>86000</v>
      </c>
      <c r="AL99">
        <v>0</v>
      </c>
      <c r="AM99">
        <v>0</v>
      </c>
      <c r="AN99">
        <v>0</v>
      </c>
      <c r="AO99">
        <v>0</v>
      </c>
      <c r="AP99">
        <v>121558.25</v>
      </c>
      <c r="AQ99">
        <v>121558.25</v>
      </c>
      <c r="AR99">
        <v>0</v>
      </c>
      <c r="AS99">
        <v>0</v>
      </c>
      <c r="AT99">
        <v>0</v>
      </c>
      <c r="AU99">
        <v>0</v>
      </c>
      <c r="AV99">
        <f>Table1[[#This Row],[CGST]]+Table1[[#This Row],[IGST]]+Table1[[#This Row],[SGST]]</f>
        <v>121558.25</v>
      </c>
      <c r="AW99">
        <f t="shared" si="3"/>
        <v>141</v>
      </c>
      <c r="AX99">
        <v>0</v>
      </c>
      <c r="AY99">
        <v>796881.85</v>
      </c>
      <c r="AZ99" t="s">
        <v>125</v>
      </c>
      <c r="BA99" t="s">
        <v>10</v>
      </c>
      <c r="BB99" t="s">
        <v>126</v>
      </c>
      <c r="BC99" t="s">
        <v>127</v>
      </c>
      <c r="BD99" t="s">
        <v>128</v>
      </c>
      <c r="BE99" t="s">
        <v>11</v>
      </c>
      <c r="BF99" t="s">
        <v>211</v>
      </c>
      <c r="BH99">
        <v>0</v>
      </c>
    </row>
    <row r="100" spans="1:60" x14ac:dyDescent="0.25">
      <c r="A100" t="s">
        <v>120</v>
      </c>
      <c r="B100" t="s">
        <v>121</v>
      </c>
      <c r="C100">
        <v>1234</v>
      </c>
      <c r="D100" t="s">
        <v>268</v>
      </c>
      <c r="E10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00" t="s">
        <v>8</v>
      </c>
      <c r="G100" t="s">
        <v>268</v>
      </c>
      <c r="H100" t="str">
        <f t="shared" si="2"/>
        <v>SI-2/1900-1813</v>
      </c>
      <c r="I100" t="s">
        <v>122</v>
      </c>
      <c r="J100" t="s">
        <v>122</v>
      </c>
      <c r="K100" t="s">
        <v>122</v>
      </c>
      <c r="L100" t="s">
        <v>122</v>
      </c>
      <c r="M100" s="21">
        <v>44593</v>
      </c>
      <c r="N100" t="s">
        <v>123</v>
      </c>
      <c r="O100" t="s">
        <v>198</v>
      </c>
      <c r="P100" t="s">
        <v>199</v>
      </c>
      <c r="Q100" t="s">
        <v>122</v>
      </c>
      <c r="R100" t="s">
        <v>122</v>
      </c>
      <c r="U100">
        <v>1234</v>
      </c>
      <c r="V100">
        <v>0</v>
      </c>
      <c r="W100" t="s">
        <v>200</v>
      </c>
      <c r="X100" t="s">
        <v>9</v>
      </c>
      <c r="Y100" t="s">
        <v>60</v>
      </c>
      <c r="Z100" t="s">
        <v>122</v>
      </c>
      <c r="AA100" t="s">
        <v>122</v>
      </c>
      <c r="AB100" t="s">
        <v>122</v>
      </c>
      <c r="AC100" t="s">
        <v>122</v>
      </c>
      <c r="AF100">
        <v>660</v>
      </c>
      <c r="AG100">
        <v>100</v>
      </c>
      <c r="AH100" t="s">
        <v>124</v>
      </c>
      <c r="AI100">
        <v>1</v>
      </c>
      <c r="AJ100">
        <v>66000</v>
      </c>
      <c r="AK100">
        <v>66000</v>
      </c>
      <c r="AL100">
        <v>0</v>
      </c>
      <c r="AM100">
        <v>0</v>
      </c>
      <c r="AN100">
        <v>0</v>
      </c>
      <c r="AO100">
        <v>0</v>
      </c>
      <c r="AP100">
        <v>113193.83</v>
      </c>
      <c r="AQ100">
        <v>113193.83</v>
      </c>
      <c r="AR100">
        <v>0</v>
      </c>
      <c r="AS100">
        <v>0</v>
      </c>
      <c r="AT100">
        <v>0</v>
      </c>
      <c r="AU100">
        <v>0</v>
      </c>
      <c r="AV100">
        <f>Table1[[#This Row],[CGST]]+Table1[[#This Row],[IGST]]+Table1[[#This Row],[SGST]]</f>
        <v>113193.83</v>
      </c>
      <c r="AW100">
        <f t="shared" si="3"/>
        <v>172</v>
      </c>
      <c r="AX100">
        <v>0</v>
      </c>
      <c r="AY100">
        <v>742048.43</v>
      </c>
      <c r="AZ100" t="s">
        <v>125</v>
      </c>
      <c r="BA100" t="s">
        <v>10</v>
      </c>
      <c r="BB100" t="s">
        <v>126</v>
      </c>
      <c r="BC100" t="s">
        <v>127</v>
      </c>
      <c r="BD100" t="s">
        <v>128</v>
      </c>
      <c r="BE100" t="s">
        <v>16</v>
      </c>
      <c r="BF100" t="s">
        <v>226</v>
      </c>
      <c r="BH100">
        <v>0</v>
      </c>
    </row>
    <row r="101" spans="1:60" x14ac:dyDescent="0.25">
      <c r="A101" t="s">
        <v>120</v>
      </c>
      <c r="B101" t="s">
        <v>121</v>
      </c>
      <c r="C101">
        <v>1234</v>
      </c>
      <c r="D101" t="s">
        <v>268</v>
      </c>
      <c r="E10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01" t="s">
        <v>8</v>
      </c>
      <c r="G101" t="s">
        <v>268</v>
      </c>
      <c r="H101" t="str">
        <f t="shared" si="2"/>
        <v>SI-2/1900-1813</v>
      </c>
      <c r="I101" t="s">
        <v>122</v>
      </c>
      <c r="J101" t="s">
        <v>122</v>
      </c>
      <c r="K101" t="s">
        <v>122</v>
      </c>
      <c r="L101" t="s">
        <v>122</v>
      </c>
      <c r="M101" s="21">
        <v>44593</v>
      </c>
      <c r="N101" t="s">
        <v>123</v>
      </c>
      <c r="O101" t="s">
        <v>198</v>
      </c>
      <c r="P101" t="s">
        <v>199</v>
      </c>
      <c r="Q101" t="s">
        <v>122</v>
      </c>
      <c r="R101" t="s">
        <v>122</v>
      </c>
      <c r="U101">
        <v>1234</v>
      </c>
      <c r="V101">
        <v>0</v>
      </c>
      <c r="W101" t="s">
        <v>200</v>
      </c>
      <c r="X101" t="s">
        <v>9</v>
      </c>
      <c r="Y101" t="s">
        <v>60</v>
      </c>
      <c r="Z101" t="s">
        <v>122</v>
      </c>
      <c r="AA101" t="s">
        <v>122</v>
      </c>
      <c r="AB101" t="s">
        <v>122</v>
      </c>
      <c r="AC101" t="s">
        <v>122</v>
      </c>
      <c r="AF101">
        <v>50</v>
      </c>
      <c r="AG101">
        <v>100</v>
      </c>
      <c r="AH101" t="s">
        <v>124</v>
      </c>
      <c r="AI101">
        <v>1</v>
      </c>
      <c r="AJ101">
        <v>5000</v>
      </c>
      <c r="AK101">
        <v>5000</v>
      </c>
      <c r="AL101">
        <v>0</v>
      </c>
      <c r="AM101">
        <v>0</v>
      </c>
      <c r="AN101">
        <v>0</v>
      </c>
      <c r="AO101">
        <v>0</v>
      </c>
      <c r="AP101">
        <v>8937</v>
      </c>
      <c r="AQ101">
        <v>8937</v>
      </c>
      <c r="AR101">
        <v>0</v>
      </c>
      <c r="AS101">
        <v>0</v>
      </c>
      <c r="AT101">
        <v>0</v>
      </c>
      <c r="AU101">
        <v>0</v>
      </c>
      <c r="AV101">
        <f>Table1[[#This Row],[CGST]]+Table1[[#This Row],[IGST]]+Table1[[#This Row],[SGST]]</f>
        <v>8937</v>
      </c>
      <c r="AW101">
        <f t="shared" si="3"/>
        <v>179</v>
      </c>
      <c r="AX101">
        <v>0</v>
      </c>
      <c r="AY101">
        <v>58587</v>
      </c>
      <c r="AZ101" t="s">
        <v>125</v>
      </c>
      <c r="BA101" t="s">
        <v>10</v>
      </c>
      <c r="BB101" t="s">
        <v>126</v>
      </c>
      <c r="BC101" t="s">
        <v>127</v>
      </c>
      <c r="BD101" t="s">
        <v>128</v>
      </c>
      <c r="BE101" t="s">
        <v>16</v>
      </c>
      <c r="BF101" t="s">
        <v>226</v>
      </c>
      <c r="BH101">
        <v>0</v>
      </c>
    </row>
    <row r="102" spans="1:60" x14ac:dyDescent="0.25">
      <c r="A102" t="s">
        <v>120</v>
      </c>
      <c r="B102" t="s">
        <v>121</v>
      </c>
      <c r="C102">
        <v>1234</v>
      </c>
      <c r="D102" t="s">
        <v>269</v>
      </c>
      <c r="E10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02" t="s">
        <v>8</v>
      </c>
      <c r="G102" t="s">
        <v>269</v>
      </c>
      <c r="H102" t="str">
        <f t="shared" si="2"/>
        <v>SI-2/1900-1814</v>
      </c>
      <c r="I102" t="s">
        <v>122</v>
      </c>
      <c r="J102" t="s">
        <v>122</v>
      </c>
      <c r="K102" t="s">
        <v>122</v>
      </c>
      <c r="L102" t="s">
        <v>122</v>
      </c>
      <c r="M102" s="21">
        <v>44593</v>
      </c>
      <c r="N102" t="s">
        <v>123</v>
      </c>
      <c r="O102" t="s">
        <v>198</v>
      </c>
      <c r="P102" t="s">
        <v>199</v>
      </c>
      <c r="Q102" t="s">
        <v>122</v>
      </c>
      <c r="R102" t="s">
        <v>122</v>
      </c>
      <c r="U102">
        <v>1234</v>
      </c>
      <c r="V102">
        <v>0</v>
      </c>
      <c r="W102" t="s">
        <v>200</v>
      </c>
      <c r="X102" t="s">
        <v>9</v>
      </c>
      <c r="Y102" t="s">
        <v>60</v>
      </c>
      <c r="Z102" t="s">
        <v>122</v>
      </c>
      <c r="AA102" t="s">
        <v>122</v>
      </c>
      <c r="AB102" t="s">
        <v>122</v>
      </c>
      <c r="AC102" t="s">
        <v>122</v>
      </c>
      <c r="AF102">
        <v>100</v>
      </c>
      <c r="AG102">
        <v>100</v>
      </c>
      <c r="AH102" t="s">
        <v>124</v>
      </c>
      <c r="AI102">
        <v>1</v>
      </c>
      <c r="AJ102">
        <v>10000</v>
      </c>
      <c r="AK102">
        <v>10000</v>
      </c>
      <c r="AL102">
        <v>0</v>
      </c>
      <c r="AM102">
        <v>0</v>
      </c>
      <c r="AN102">
        <v>0</v>
      </c>
      <c r="AO102">
        <v>0</v>
      </c>
      <c r="AP102">
        <v>17150.580000000002</v>
      </c>
      <c r="AQ102">
        <v>17150.580000000002</v>
      </c>
      <c r="AR102">
        <v>0</v>
      </c>
      <c r="AS102">
        <v>0</v>
      </c>
      <c r="AT102">
        <v>0</v>
      </c>
      <c r="AU102">
        <v>0</v>
      </c>
      <c r="AV102">
        <f>Table1[[#This Row],[CGST]]+Table1[[#This Row],[IGST]]+Table1[[#This Row],[SGST]]</f>
        <v>17150.580000000002</v>
      </c>
      <c r="AW102">
        <f t="shared" si="3"/>
        <v>172</v>
      </c>
      <c r="AX102">
        <v>0</v>
      </c>
      <c r="AY102">
        <v>112431.58</v>
      </c>
      <c r="AZ102" t="s">
        <v>125</v>
      </c>
      <c r="BA102" t="s">
        <v>10</v>
      </c>
      <c r="BB102" t="s">
        <v>126</v>
      </c>
      <c r="BC102" t="s">
        <v>127</v>
      </c>
      <c r="BD102" t="s">
        <v>128</v>
      </c>
      <c r="BE102" t="s">
        <v>19</v>
      </c>
      <c r="BF102" t="s">
        <v>211</v>
      </c>
      <c r="BH102">
        <v>0</v>
      </c>
    </row>
    <row r="103" spans="1:60" x14ac:dyDescent="0.25">
      <c r="A103" t="s">
        <v>120</v>
      </c>
      <c r="B103" t="s">
        <v>121</v>
      </c>
      <c r="C103">
        <v>1234</v>
      </c>
      <c r="D103" t="s">
        <v>269</v>
      </c>
      <c r="E10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03" t="s">
        <v>8</v>
      </c>
      <c r="G103" t="s">
        <v>269</v>
      </c>
      <c r="H103" t="str">
        <f t="shared" si="2"/>
        <v>SI-2/1900-1814</v>
      </c>
      <c r="I103" t="s">
        <v>122</v>
      </c>
      <c r="J103" t="s">
        <v>122</v>
      </c>
      <c r="K103" t="s">
        <v>122</v>
      </c>
      <c r="L103" t="s">
        <v>122</v>
      </c>
      <c r="M103" s="21">
        <v>44593</v>
      </c>
      <c r="N103" t="s">
        <v>123</v>
      </c>
      <c r="O103" t="s">
        <v>198</v>
      </c>
      <c r="P103" t="s">
        <v>199</v>
      </c>
      <c r="Q103" t="s">
        <v>122</v>
      </c>
      <c r="R103" t="s">
        <v>122</v>
      </c>
      <c r="U103">
        <v>1234</v>
      </c>
      <c r="V103">
        <v>0</v>
      </c>
      <c r="W103" t="s">
        <v>200</v>
      </c>
      <c r="X103" t="s">
        <v>9</v>
      </c>
      <c r="Y103" t="s">
        <v>60</v>
      </c>
      <c r="Z103" t="s">
        <v>122</v>
      </c>
      <c r="AA103" t="s">
        <v>122</v>
      </c>
      <c r="AB103" t="s">
        <v>122</v>
      </c>
      <c r="AC103" t="s">
        <v>122</v>
      </c>
      <c r="AF103">
        <v>500</v>
      </c>
      <c r="AG103">
        <v>100</v>
      </c>
      <c r="AH103" t="s">
        <v>124</v>
      </c>
      <c r="AI103">
        <v>1</v>
      </c>
      <c r="AJ103">
        <v>50000</v>
      </c>
      <c r="AK103">
        <v>50000</v>
      </c>
      <c r="AL103">
        <v>0</v>
      </c>
      <c r="AM103">
        <v>0</v>
      </c>
      <c r="AN103">
        <v>0</v>
      </c>
      <c r="AO103">
        <v>0</v>
      </c>
      <c r="AP103">
        <v>70673.399999999994</v>
      </c>
      <c r="AQ103">
        <v>70673.399999999994</v>
      </c>
      <c r="AR103">
        <v>0</v>
      </c>
      <c r="AS103">
        <v>0</v>
      </c>
      <c r="AT103">
        <v>0</v>
      </c>
      <c r="AU103">
        <v>0</v>
      </c>
      <c r="AV103">
        <f>Table1[[#This Row],[CGST]]+Table1[[#This Row],[IGST]]+Table1[[#This Row],[SGST]]</f>
        <v>70673.399999999994</v>
      </c>
      <c r="AW103">
        <f t="shared" si="3"/>
        <v>141</v>
      </c>
      <c r="AX103">
        <v>0</v>
      </c>
      <c r="AY103">
        <v>463303.4</v>
      </c>
      <c r="AZ103" t="s">
        <v>125</v>
      </c>
      <c r="BA103" t="s">
        <v>10</v>
      </c>
      <c r="BB103" t="s">
        <v>126</v>
      </c>
      <c r="BC103" t="s">
        <v>127</v>
      </c>
      <c r="BD103" t="s">
        <v>128</v>
      </c>
      <c r="BE103" t="s">
        <v>19</v>
      </c>
      <c r="BF103" t="s">
        <v>203</v>
      </c>
      <c r="BH103">
        <v>0</v>
      </c>
    </row>
    <row r="104" spans="1:60" x14ac:dyDescent="0.25">
      <c r="A104" t="s">
        <v>120</v>
      </c>
      <c r="B104" t="s">
        <v>121</v>
      </c>
      <c r="C104">
        <v>1234</v>
      </c>
      <c r="D104" t="s">
        <v>270</v>
      </c>
      <c r="E10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04" t="s">
        <v>8</v>
      </c>
      <c r="G104" t="s">
        <v>270</v>
      </c>
      <c r="H104" t="str">
        <f t="shared" si="2"/>
        <v>SI-2/1900-1815</v>
      </c>
      <c r="I104" t="s">
        <v>122</v>
      </c>
      <c r="J104" t="s">
        <v>122</v>
      </c>
      <c r="K104" t="s">
        <v>122</v>
      </c>
      <c r="L104" t="s">
        <v>122</v>
      </c>
      <c r="M104" s="21">
        <v>44593</v>
      </c>
      <c r="N104" t="s">
        <v>123</v>
      </c>
      <c r="O104" t="s">
        <v>198</v>
      </c>
      <c r="P104" t="s">
        <v>199</v>
      </c>
      <c r="Q104" t="s">
        <v>122</v>
      </c>
      <c r="R104" t="s">
        <v>122</v>
      </c>
      <c r="U104">
        <v>1234</v>
      </c>
      <c r="V104">
        <v>0</v>
      </c>
      <c r="W104" t="s">
        <v>200</v>
      </c>
      <c r="X104" t="s">
        <v>9</v>
      </c>
      <c r="Y104" t="s">
        <v>60</v>
      </c>
      <c r="Z104" t="s">
        <v>122</v>
      </c>
      <c r="AA104" t="s">
        <v>122</v>
      </c>
      <c r="AB104" t="s">
        <v>122</v>
      </c>
      <c r="AC104" t="s">
        <v>122</v>
      </c>
      <c r="AF104">
        <v>400</v>
      </c>
      <c r="AG104">
        <v>100</v>
      </c>
      <c r="AH104" t="s">
        <v>124</v>
      </c>
      <c r="AI104">
        <v>1</v>
      </c>
      <c r="AJ104">
        <v>40000</v>
      </c>
      <c r="AK104">
        <v>40000</v>
      </c>
      <c r="AL104">
        <v>0</v>
      </c>
      <c r="AM104">
        <v>0</v>
      </c>
      <c r="AN104">
        <v>0</v>
      </c>
      <c r="AO104">
        <v>0</v>
      </c>
      <c r="AP104">
        <v>68602.320000000007</v>
      </c>
      <c r="AQ104">
        <v>68602.320000000007</v>
      </c>
      <c r="AR104">
        <v>0</v>
      </c>
      <c r="AS104">
        <v>0</v>
      </c>
      <c r="AT104">
        <v>0</v>
      </c>
      <c r="AU104">
        <v>0</v>
      </c>
      <c r="AV104">
        <f>Table1[[#This Row],[CGST]]+Table1[[#This Row],[IGST]]+Table1[[#This Row],[SGST]]</f>
        <v>68602.320000000007</v>
      </c>
      <c r="AW104">
        <f t="shared" si="3"/>
        <v>172</v>
      </c>
      <c r="AX104">
        <v>0</v>
      </c>
      <c r="AY104">
        <v>449726.32</v>
      </c>
      <c r="AZ104" t="s">
        <v>125</v>
      </c>
      <c r="BA104" t="s">
        <v>10</v>
      </c>
      <c r="BB104" t="s">
        <v>126</v>
      </c>
      <c r="BC104" t="s">
        <v>127</v>
      </c>
      <c r="BD104" t="s">
        <v>128</v>
      </c>
      <c r="BE104" t="s">
        <v>16</v>
      </c>
      <c r="BF104" t="s">
        <v>237</v>
      </c>
      <c r="BH104">
        <v>0</v>
      </c>
    </row>
    <row r="105" spans="1:60" x14ac:dyDescent="0.25">
      <c r="A105" t="s">
        <v>120</v>
      </c>
      <c r="B105" t="s">
        <v>121</v>
      </c>
      <c r="C105">
        <v>1234</v>
      </c>
      <c r="D105" t="s">
        <v>271</v>
      </c>
      <c r="E10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05" t="s">
        <v>8</v>
      </c>
      <c r="G105" t="s">
        <v>271</v>
      </c>
      <c r="H105" t="str">
        <f t="shared" si="2"/>
        <v>SI-2/1900-1816</v>
      </c>
      <c r="I105" t="s">
        <v>122</v>
      </c>
      <c r="J105" t="s">
        <v>122</v>
      </c>
      <c r="K105" t="s">
        <v>122</v>
      </c>
      <c r="L105" t="s">
        <v>122</v>
      </c>
      <c r="M105" s="21">
        <v>44593</v>
      </c>
      <c r="N105" t="s">
        <v>123</v>
      </c>
      <c r="O105" t="s">
        <v>198</v>
      </c>
      <c r="P105" t="s">
        <v>199</v>
      </c>
      <c r="Q105" t="s">
        <v>122</v>
      </c>
      <c r="R105" t="s">
        <v>122</v>
      </c>
      <c r="U105">
        <v>1234</v>
      </c>
      <c r="V105">
        <v>0</v>
      </c>
      <c r="W105" t="s">
        <v>200</v>
      </c>
      <c r="X105" t="s">
        <v>9</v>
      </c>
      <c r="Y105" t="s">
        <v>60</v>
      </c>
      <c r="Z105" t="s">
        <v>122</v>
      </c>
      <c r="AA105" t="s">
        <v>122</v>
      </c>
      <c r="AB105" t="s">
        <v>122</v>
      </c>
      <c r="AC105" t="s">
        <v>122</v>
      </c>
      <c r="AF105">
        <v>630</v>
      </c>
      <c r="AG105">
        <v>100</v>
      </c>
      <c r="AH105" t="s">
        <v>124</v>
      </c>
      <c r="AI105">
        <v>1</v>
      </c>
      <c r="AJ105">
        <v>63000</v>
      </c>
      <c r="AK105">
        <v>63000</v>
      </c>
      <c r="AL105">
        <v>0</v>
      </c>
      <c r="AM105">
        <v>0</v>
      </c>
      <c r="AN105">
        <v>0</v>
      </c>
      <c r="AO105">
        <v>0</v>
      </c>
      <c r="AP105">
        <v>89048.48</v>
      </c>
      <c r="AQ105">
        <v>89048.48</v>
      </c>
      <c r="AR105">
        <v>0</v>
      </c>
      <c r="AS105">
        <v>0</v>
      </c>
      <c r="AT105">
        <v>0</v>
      </c>
      <c r="AU105">
        <v>0</v>
      </c>
      <c r="AV105">
        <f>Table1[[#This Row],[CGST]]+Table1[[#This Row],[IGST]]+Table1[[#This Row],[SGST]]</f>
        <v>89048.48</v>
      </c>
      <c r="AW105">
        <f t="shared" si="3"/>
        <v>141</v>
      </c>
      <c r="AX105">
        <v>0</v>
      </c>
      <c r="AY105">
        <v>583762.28</v>
      </c>
      <c r="AZ105" t="s">
        <v>125</v>
      </c>
      <c r="BA105" t="s">
        <v>10</v>
      </c>
      <c r="BB105" t="s">
        <v>126</v>
      </c>
      <c r="BC105" t="s">
        <v>127</v>
      </c>
      <c r="BD105" t="s">
        <v>128</v>
      </c>
      <c r="BE105" t="s">
        <v>15</v>
      </c>
      <c r="BF105" t="s">
        <v>237</v>
      </c>
      <c r="BH105">
        <v>0</v>
      </c>
    </row>
    <row r="106" spans="1:60" x14ac:dyDescent="0.25">
      <c r="A106" t="s">
        <v>120</v>
      </c>
      <c r="B106" t="s">
        <v>121</v>
      </c>
      <c r="C106">
        <v>1234</v>
      </c>
      <c r="D106" t="s">
        <v>272</v>
      </c>
      <c r="E10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06" t="s">
        <v>8</v>
      </c>
      <c r="G106" t="s">
        <v>272</v>
      </c>
      <c r="H106" t="str">
        <f t="shared" si="2"/>
        <v>SI-2/1900-1817</v>
      </c>
      <c r="I106" t="s">
        <v>122</v>
      </c>
      <c r="J106" t="s">
        <v>122</v>
      </c>
      <c r="K106" t="s">
        <v>122</v>
      </c>
      <c r="L106" t="s">
        <v>122</v>
      </c>
      <c r="M106" s="21">
        <v>44593</v>
      </c>
      <c r="N106" t="s">
        <v>123</v>
      </c>
      <c r="O106" t="s">
        <v>198</v>
      </c>
      <c r="P106" t="s">
        <v>199</v>
      </c>
      <c r="Q106" t="s">
        <v>122</v>
      </c>
      <c r="R106" t="s">
        <v>122</v>
      </c>
      <c r="U106">
        <v>1234</v>
      </c>
      <c r="V106">
        <v>0</v>
      </c>
      <c r="W106" t="s">
        <v>200</v>
      </c>
      <c r="X106" t="s">
        <v>9</v>
      </c>
      <c r="Y106" t="s">
        <v>60</v>
      </c>
      <c r="Z106" t="s">
        <v>122</v>
      </c>
      <c r="AA106" t="s">
        <v>122</v>
      </c>
      <c r="AB106" t="s">
        <v>122</v>
      </c>
      <c r="AC106" t="s">
        <v>122</v>
      </c>
      <c r="AF106">
        <v>50</v>
      </c>
      <c r="AG106">
        <v>100</v>
      </c>
      <c r="AH106" t="s">
        <v>124</v>
      </c>
      <c r="AI106">
        <v>1</v>
      </c>
      <c r="AJ106">
        <v>5000</v>
      </c>
      <c r="AK106">
        <v>5000</v>
      </c>
      <c r="AL106">
        <v>0</v>
      </c>
      <c r="AM106">
        <v>0</v>
      </c>
      <c r="AN106">
        <v>0</v>
      </c>
      <c r="AO106">
        <v>0</v>
      </c>
      <c r="AP106">
        <v>6268.5</v>
      </c>
      <c r="AQ106">
        <v>6268.5</v>
      </c>
      <c r="AR106">
        <v>0</v>
      </c>
      <c r="AS106">
        <v>0</v>
      </c>
      <c r="AT106">
        <v>0</v>
      </c>
      <c r="AU106">
        <v>0</v>
      </c>
      <c r="AV106">
        <f>Table1[[#This Row],[CGST]]+Table1[[#This Row],[IGST]]+Table1[[#This Row],[SGST]]</f>
        <v>6268.5</v>
      </c>
      <c r="AW106">
        <f t="shared" si="3"/>
        <v>125</v>
      </c>
      <c r="AX106">
        <v>0</v>
      </c>
      <c r="AY106">
        <v>41093.5</v>
      </c>
      <c r="AZ106" t="s">
        <v>125</v>
      </c>
      <c r="BA106" t="s">
        <v>10</v>
      </c>
      <c r="BB106" t="s">
        <v>126</v>
      </c>
      <c r="BC106" t="s">
        <v>127</v>
      </c>
      <c r="BD106" t="s">
        <v>128</v>
      </c>
      <c r="BE106" t="s">
        <v>14</v>
      </c>
      <c r="BF106" t="s">
        <v>237</v>
      </c>
      <c r="BH106">
        <v>0</v>
      </c>
    </row>
    <row r="107" spans="1:60" x14ac:dyDescent="0.25">
      <c r="A107" t="s">
        <v>120</v>
      </c>
      <c r="B107" t="s">
        <v>121</v>
      </c>
      <c r="C107">
        <v>1234</v>
      </c>
      <c r="D107" t="s">
        <v>272</v>
      </c>
      <c r="E10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07" t="s">
        <v>8</v>
      </c>
      <c r="G107" t="s">
        <v>272</v>
      </c>
      <c r="H107" t="str">
        <f t="shared" si="2"/>
        <v>SI-2/1900-1817</v>
      </c>
      <c r="I107" t="s">
        <v>122</v>
      </c>
      <c r="J107" t="s">
        <v>122</v>
      </c>
      <c r="K107" t="s">
        <v>122</v>
      </c>
      <c r="L107" t="s">
        <v>122</v>
      </c>
      <c r="M107" s="21">
        <v>44593</v>
      </c>
      <c r="N107" t="s">
        <v>123</v>
      </c>
      <c r="O107" t="s">
        <v>198</v>
      </c>
      <c r="P107" t="s">
        <v>199</v>
      </c>
      <c r="Q107" t="s">
        <v>122</v>
      </c>
      <c r="R107" t="s">
        <v>122</v>
      </c>
      <c r="U107">
        <v>1234</v>
      </c>
      <c r="V107">
        <v>0</v>
      </c>
      <c r="W107" t="s">
        <v>200</v>
      </c>
      <c r="X107" t="s">
        <v>9</v>
      </c>
      <c r="Y107" t="s">
        <v>60</v>
      </c>
      <c r="Z107" t="s">
        <v>122</v>
      </c>
      <c r="AA107" t="s">
        <v>122</v>
      </c>
      <c r="AB107" t="s">
        <v>122</v>
      </c>
      <c r="AC107" t="s">
        <v>122</v>
      </c>
      <c r="AF107">
        <v>25</v>
      </c>
      <c r="AG107">
        <v>100</v>
      </c>
      <c r="AH107" t="s">
        <v>124</v>
      </c>
      <c r="AI107">
        <v>1</v>
      </c>
      <c r="AJ107">
        <v>2500</v>
      </c>
      <c r="AK107">
        <v>2500</v>
      </c>
      <c r="AL107">
        <v>0</v>
      </c>
      <c r="AM107">
        <v>0</v>
      </c>
      <c r="AN107">
        <v>0</v>
      </c>
      <c r="AO107">
        <v>0</v>
      </c>
      <c r="AP107">
        <v>3826.35</v>
      </c>
      <c r="AQ107">
        <v>3826.35</v>
      </c>
      <c r="AR107">
        <v>0</v>
      </c>
      <c r="AS107">
        <v>0</v>
      </c>
      <c r="AT107">
        <v>0</v>
      </c>
      <c r="AU107">
        <v>0</v>
      </c>
      <c r="AV107">
        <f>Table1[[#This Row],[CGST]]+Table1[[#This Row],[IGST]]+Table1[[#This Row],[SGST]]</f>
        <v>3826.35</v>
      </c>
      <c r="AW107">
        <f t="shared" si="3"/>
        <v>153</v>
      </c>
      <c r="AX107">
        <v>0</v>
      </c>
      <c r="AY107">
        <v>25083.85</v>
      </c>
      <c r="AZ107" t="s">
        <v>125</v>
      </c>
      <c r="BA107" t="s">
        <v>10</v>
      </c>
      <c r="BB107" t="s">
        <v>126</v>
      </c>
      <c r="BC107" t="s">
        <v>127</v>
      </c>
      <c r="BD107" t="s">
        <v>128</v>
      </c>
      <c r="BE107" t="s">
        <v>14</v>
      </c>
      <c r="BF107" t="s">
        <v>237</v>
      </c>
      <c r="BH107">
        <v>0</v>
      </c>
    </row>
    <row r="108" spans="1:60" x14ac:dyDescent="0.25">
      <c r="A108" t="s">
        <v>120</v>
      </c>
      <c r="B108" t="s">
        <v>121</v>
      </c>
      <c r="C108">
        <v>1234</v>
      </c>
      <c r="D108" t="s">
        <v>272</v>
      </c>
      <c r="E10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08" t="s">
        <v>8</v>
      </c>
      <c r="G108" t="s">
        <v>272</v>
      </c>
      <c r="H108" t="str">
        <f t="shared" si="2"/>
        <v>SI-2/1900-1817</v>
      </c>
      <c r="I108" t="s">
        <v>122</v>
      </c>
      <c r="J108" t="s">
        <v>122</v>
      </c>
      <c r="K108" t="s">
        <v>122</v>
      </c>
      <c r="L108" t="s">
        <v>122</v>
      </c>
      <c r="M108" s="21">
        <v>44593</v>
      </c>
      <c r="N108" t="s">
        <v>123</v>
      </c>
      <c r="O108" t="s">
        <v>198</v>
      </c>
      <c r="P108" t="s">
        <v>199</v>
      </c>
      <c r="Q108" t="s">
        <v>122</v>
      </c>
      <c r="R108" t="s">
        <v>122</v>
      </c>
      <c r="U108">
        <v>1234</v>
      </c>
      <c r="V108">
        <v>0</v>
      </c>
      <c r="W108" t="s">
        <v>200</v>
      </c>
      <c r="X108" t="s">
        <v>9</v>
      </c>
      <c r="Y108" t="s">
        <v>60</v>
      </c>
      <c r="Z108" t="s">
        <v>122</v>
      </c>
      <c r="AA108" t="s">
        <v>122</v>
      </c>
      <c r="AB108" t="s">
        <v>122</v>
      </c>
      <c r="AC108" t="s">
        <v>122</v>
      </c>
      <c r="AF108">
        <v>50</v>
      </c>
      <c r="AG108">
        <v>100</v>
      </c>
      <c r="AH108" t="s">
        <v>124</v>
      </c>
      <c r="AI108">
        <v>1</v>
      </c>
      <c r="AJ108">
        <v>5000</v>
      </c>
      <c r="AK108">
        <v>5000</v>
      </c>
      <c r="AL108">
        <v>0</v>
      </c>
      <c r="AM108">
        <v>0</v>
      </c>
      <c r="AN108">
        <v>0</v>
      </c>
      <c r="AO108">
        <v>0</v>
      </c>
      <c r="AP108">
        <v>8937</v>
      </c>
      <c r="AQ108">
        <v>8937</v>
      </c>
      <c r="AR108">
        <v>0</v>
      </c>
      <c r="AS108">
        <v>0</v>
      </c>
      <c r="AT108">
        <v>0</v>
      </c>
      <c r="AU108">
        <v>0</v>
      </c>
      <c r="AV108">
        <f>Table1[[#This Row],[CGST]]+Table1[[#This Row],[IGST]]+Table1[[#This Row],[SGST]]</f>
        <v>8937</v>
      </c>
      <c r="AW108">
        <f t="shared" si="3"/>
        <v>179</v>
      </c>
      <c r="AX108">
        <v>0</v>
      </c>
      <c r="AY108">
        <v>58587</v>
      </c>
      <c r="AZ108" t="s">
        <v>125</v>
      </c>
      <c r="BA108" t="s">
        <v>10</v>
      </c>
      <c r="BB108" t="s">
        <v>126</v>
      </c>
      <c r="BC108" t="s">
        <v>127</v>
      </c>
      <c r="BD108" t="s">
        <v>128</v>
      </c>
      <c r="BE108" t="s">
        <v>14</v>
      </c>
      <c r="BF108" t="s">
        <v>237</v>
      </c>
      <c r="BH108">
        <v>0</v>
      </c>
    </row>
    <row r="109" spans="1:60" x14ac:dyDescent="0.25">
      <c r="A109" t="s">
        <v>120</v>
      </c>
      <c r="B109" t="s">
        <v>121</v>
      </c>
      <c r="C109">
        <v>1234</v>
      </c>
      <c r="D109" t="s">
        <v>272</v>
      </c>
      <c r="E10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09" t="s">
        <v>8</v>
      </c>
      <c r="G109" t="s">
        <v>272</v>
      </c>
      <c r="H109" t="str">
        <f t="shared" si="2"/>
        <v>SI-2/1900-1817</v>
      </c>
      <c r="I109" t="s">
        <v>122</v>
      </c>
      <c r="J109" t="s">
        <v>122</v>
      </c>
      <c r="K109" t="s">
        <v>122</v>
      </c>
      <c r="L109" t="s">
        <v>122</v>
      </c>
      <c r="M109" s="21">
        <v>44593</v>
      </c>
      <c r="N109" t="s">
        <v>123</v>
      </c>
      <c r="O109" t="s">
        <v>198</v>
      </c>
      <c r="P109" t="s">
        <v>199</v>
      </c>
      <c r="Q109" t="s">
        <v>122</v>
      </c>
      <c r="R109" t="s">
        <v>122</v>
      </c>
      <c r="U109">
        <v>1234</v>
      </c>
      <c r="V109">
        <v>0</v>
      </c>
      <c r="W109" t="s">
        <v>200</v>
      </c>
      <c r="X109" t="s">
        <v>9</v>
      </c>
      <c r="Y109" t="s">
        <v>60</v>
      </c>
      <c r="Z109" t="s">
        <v>122</v>
      </c>
      <c r="AA109" t="s">
        <v>122</v>
      </c>
      <c r="AB109" t="s">
        <v>122</v>
      </c>
      <c r="AC109" t="s">
        <v>122</v>
      </c>
      <c r="AF109">
        <v>104</v>
      </c>
      <c r="AG109">
        <v>100</v>
      </c>
      <c r="AH109" t="s">
        <v>124</v>
      </c>
      <c r="AI109">
        <v>1</v>
      </c>
      <c r="AJ109">
        <v>10400</v>
      </c>
      <c r="AK109">
        <v>10400</v>
      </c>
      <c r="AL109">
        <v>0</v>
      </c>
      <c r="AM109">
        <v>0</v>
      </c>
      <c r="AN109">
        <v>0</v>
      </c>
      <c r="AO109">
        <v>0</v>
      </c>
      <c r="AP109">
        <v>20318.689999999999</v>
      </c>
      <c r="AQ109">
        <v>20318.689999999999</v>
      </c>
      <c r="AR109">
        <v>0</v>
      </c>
      <c r="AS109">
        <v>0</v>
      </c>
      <c r="AT109">
        <v>0</v>
      </c>
      <c r="AU109">
        <v>0</v>
      </c>
      <c r="AV109">
        <f>Table1[[#This Row],[CGST]]+Table1[[#This Row],[IGST]]+Table1[[#This Row],[SGST]]</f>
        <v>20318.689999999999</v>
      </c>
      <c r="AW109">
        <f t="shared" si="3"/>
        <v>195</v>
      </c>
      <c r="AX109">
        <v>0</v>
      </c>
      <c r="AY109">
        <v>133200.29</v>
      </c>
      <c r="AZ109" t="s">
        <v>125</v>
      </c>
      <c r="BA109" t="s">
        <v>10</v>
      </c>
      <c r="BB109" t="s">
        <v>126</v>
      </c>
      <c r="BC109" t="s">
        <v>127</v>
      </c>
      <c r="BD109" t="s">
        <v>128</v>
      </c>
      <c r="BE109" t="s">
        <v>14</v>
      </c>
      <c r="BF109" t="s">
        <v>205</v>
      </c>
      <c r="BH109">
        <v>0</v>
      </c>
    </row>
    <row r="110" spans="1:60" x14ac:dyDescent="0.25">
      <c r="A110" t="s">
        <v>120</v>
      </c>
      <c r="B110" t="s">
        <v>121</v>
      </c>
      <c r="C110">
        <v>1234</v>
      </c>
      <c r="D110" t="s">
        <v>272</v>
      </c>
      <c r="E11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10" t="s">
        <v>8</v>
      </c>
      <c r="G110" t="s">
        <v>272</v>
      </c>
      <c r="H110" t="str">
        <f t="shared" si="2"/>
        <v>SI-2/1900-1817</v>
      </c>
      <c r="I110" t="s">
        <v>122</v>
      </c>
      <c r="J110" t="s">
        <v>122</v>
      </c>
      <c r="K110" t="s">
        <v>122</v>
      </c>
      <c r="L110" t="s">
        <v>122</v>
      </c>
      <c r="M110" s="21">
        <v>44593</v>
      </c>
      <c r="N110" t="s">
        <v>123</v>
      </c>
      <c r="O110" t="s">
        <v>198</v>
      </c>
      <c r="P110" t="s">
        <v>199</v>
      </c>
      <c r="Q110" t="s">
        <v>122</v>
      </c>
      <c r="R110" t="s">
        <v>122</v>
      </c>
      <c r="U110">
        <v>1234</v>
      </c>
      <c r="V110">
        <v>0</v>
      </c>
      <c r="W110" t="s">
        <v>200</v>
      </c>
      <c r="X110" t="s">
        <v>9</v>
      </c>
      <c r="Y110" t="s">
        <v>60</v>
      </c>
      <c r="Z110" t="s">
        <v>122</v>
      </c>
      <c r="AA110" t="s">
        <v>122</v>
      </c>
      <c r="AB110" t="s">
        <v>122</v>
      </c>
      <c r="AC110" t="s">
        <v>122</v>
      </c>
      <c r="AF110">
        <v>150</v>
      </c>
      <c r="AG110">
        <v>100</v>
      </c>
      <c r="AH110" t="s">
        <v>124</v>
      </c>
      <c r="AI110">
        <v>1</v>
      </c>
      <c r="AJ110">
        <v>15000</v>
      </c>
      <c r="AK110">
        <v>15000</v>
      </c>
      <c r="AL110">
        <v>0</v>
      </c>
      <c r="AM110">
        <v>0</v>
      </c>
      <c r="AN110">
        <v>0</v>
      </c>
      <c r="AO110">
        <v>0</v>
      </c>
      <c r="AP110">
        <v>21664.799999999999</v>
      </c>
      <c r="AQ110">
        <v>21664.799999999999</v>
      </c>
      <c r="AR110">
        <v>0</v>
      </c>
      <c r="AS110">
        <v>0</v>
      </c>
      <c r="AT110">
        <v>0</v>
      </c>
      <c r="AU110">
        <v>0</v>
      </c>
      <c r="AV110">
        <f>Table1[[#This Row],[CGST]]+Table1[[#This Row],[IGST]]+Table1[[#This Row],[SGST]]</f>
        <v>21664.799999999999</v>
      </c>
      <c r="AW110">
        <f t="shared" si="3"/>
        <v>144</v>
      </c>
      <c r="AX110">
        <v>0</v>
      </c>
      <c r="AY110">
        <v>142024.79999999999</v>
      </c>
      <c r="AZ110" t="s">
        <v>125</v>
      </c>
      <c r="BA110" t="s">
        <v>10</v>
      </c>
      <c r="BB110" t="s">
        <v>126</v>
      </c>
      <c r="BC110" t="s">
        <v>127</v>
      </c>
      <c r="BD110" t="s">
        <v>128</v>
      </c>
      <c r="BE110" t="s">
        <v>14</v>
      </c>
      <c r="BF110" t="s">
        <v>205</v>
      </c>
      <c r="BH110">
        <v>0</v>
      </c>
    </row>
    <row r="111" spans="1:60" x14ac:dyDescent="0.25">
      <c r="A111" t="s">
        <v>120</v>
      </c>
      <c r="B111" t="s">
        <v>121</v>
      </c>
      <c r="C111">
        <v>1234</v>
      </c>
      <c r="D111" t="s">
        <v>273</v>
      </c>
      <c r="E11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11" t="s">
        <v>8</v>
      </c>
      <c r="G111" t="s">
        <v>273</v>
      </c>
      <c r="H111" t="str">
        <f t="shared" si="2"/>
        <v>SI-2/1900-1818</v>
      </c>
      <c r="I111" t="s">
        <v>122</v>
      </c>
      <c r="J111" t="s">
        <v>122</v>
      </c>
      <c r="K111" t="s">
        <v>122</v>
      </c>
      <c r="L111" t="s">
        <v>122</v>
      </c>
      <c r="M111" s="21">
        <v>44593</v>
      </c>
      <c r="N111" t="s">
        <v>123</v>
      </c>
      <c r="O111" t="s">
        <v>198</v>
      </c>
      <c r="P111" t="s">
        <v>199</v>
      </c>
      <c r="Q111" t="s">
        <v>122</v>
      </c>
      <c r="R111" t="s">
        <v>122</v>
      </c>
      <c r="U111">
        <v>1234</v>
      </c>
      <c r="V111">
        <v>0</v>
      </c>
      <c r="W111" t="s">
        <v>200</v>
      </c>
      <c r="X111" t="s">
        <v>9</v>
      </c>
      <c r="Y111" t="s">
        <v>60</v>
      </c>
      <c r="Z111" t="s">
        <v>122</v>
      </c>
      <c r="AA111" t="s">
        <v>122</v>
      </c>
      <c r="AB111" t="s">
        <v>122</v>
      </c>
      <c r="AC111" t="s">
        <v>122</v>
      </c>
      <c r="AF111">
        <v>450</v>
      </c>
      <c r="AG111">
        <v>100</v>
      </c>
      <c r="AH111" t="s">
        <v>124</v>
      </c>
      <c r="AI111">
        <v>1</v>
      </c>
      <c r="AJ111">
        <v>45000</v>
      </c>
      <c r="AK111">
        <v>45000</v>
      </c>
      <c r="AL111">
        <v>0</v>
      </c>
      <c r="AM111">
        <v>0</v>
      </c>
      <c r="AN111">
        <v>0</v>
      </c>
      <c r="AO111">
        <v>0</v>
      </c>
      <c r="AP111">
        <v>58690.98</v>
      </c>
      <c r="AQ111">
        <v>58690.98</v>
      </c>
      <c r="AR111">
        <v>0</v>
      </c>
      <c r="AS111">
        <v>0</v>
      </c>
      <c r="AT111">
        <v>0</v>
      </c>
      <c r="AU111">
        <v>0</v>
      </c>
      <c r="AV111">
        <f>Table1[[#This Row],[CGST]]+Table1[[#This Row],[IGST]]+Table1[[#This Row],[SGST]]</f>
        <v>58690.98</v>
      </c>
      <c r="AW111">
        <f t="shared" si="3"/>
        <v>130</v>
      </c>
      <c r="AX111">
        <v>0</v>
      </c>
      <c r="AY111">
        <v>384751.98</v>
      </c>
      <c r="AZ111" t="s">
        <v>125</v>
      </c>
      <c r="BA111" t="s">
        <v>10</v>
      </c>
      <c r="BB111" t="s">
        <v>126</v>
      </c>
      <c r="BC111" t="s">
        <v>127</v>
      </c>
      <c r="BD111" t="s">
        <v>128</v>
      </c>
      <c r="BE111" t="s">
        <v>13</v>
      </c>
      <c r="BF111" t="s">
        <v>205</v>
      </c>
      <c r="BH111">
        <v>0</v>
      </c>
    </row>
    <row r="112" spans="1:60" x14ac:dyDescent="0.25">
      <c r="A112" t="s">
        <v>120</v>
      </c>
      <c r="B112" t="s">
        <v>121</v>
      </c>
      <c r="C112">
        <v>1234</v>
      </c>
      <c r="D112" t="s">
        <v>273</v>
      </c>
      <c r="E11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12" t="s">
        <v>8</v>
      </c>
      <c r="G112" t="s">
        <v>273</v>
      </c>
      <c r="H112" t="str">
        <f t="shared" si="2"/>
        <v>SI-2/1900-1818</v>
      </c>
      <c r="I112" t="s">
        <v>122</v>
      </c>
      <c r="J112" t="s">
        <v>122</v>
      </c>
      <c r="K112" t="s">
        <v>122</v>
      </c>
      <c r="L112" t="s">
        <v>122</v>
      </c>
      <c r="M112" s="21">
        <v>44593</v>
      </c>
      <c r="N112" t="s">
        <v>123</v>
      </c>
      <c r="O112" t="s">
        <v>198</v>
      </c>
      <c r="P112" t="s">
        <v>199</v>
      </c>
      <c r="Q112" t="s">
        <v>122</v>
      </c>
      <c r="R112" t="s">
        <v>122</v>
      </c>
      <c r="U112">
        <v>1234</v>
      </c>
      <c r="V112">
        <v>0</v>
      </c>
      <c r="W112" t="s">
        <v>200</v>
      </c>
      <c r="X112" t="s">
        <v>9</v>
      </c>
      <c r="Y112" t="s">
        <v>60</v>
      </c>
      <c r="Z112" t="s">
        <v>122</v>
      </c>
      <c r="AA112" t="s">
        <v>122</v>
      </c>
      <c r="AB112" t="s">
        <v>122</v>
      </c>
      <c r="AC112" t="s">
        <v>122</v>
      </c>
      <c r="AF112">
        <v>600</v>
      </c>
      <c r="AG112">
        <v>100</v>
      </c>
      <c r="AH112" t="s">
        <v>124</v>
      </c>
      <c r="AI112">
        <v>1</v>
      </c>
      <c r="AJ112">
        <v>60000</v>
      </c>
      <c r="AK112">
        <v>60000</v>
      </c>
      <c r="AL112">
        <v>0</v>
      </c>
      <c r="AM112">
        <v>0</v>
      </c>
      <c r="AN112">
        <v>0</v>
      </c>
      <c r="AO112">
        <v>0</v>
      </c>
      <c r="AP112">
        <v>84808.08</v>
      </c>
      <c r="AQ112">
        <v>84808.08</v>
      </c>
      <c r="AR112">
        <v>0</v>
      </c>
      <c r="AS112">
        <v>0</v>
      </c>
      <c r="AT112">
        <v>0</v>
      </c>
      <c r="AU112">
        <v>0</v>
      </c>
      <c r="AV112">
        <f>Table1[[#This Row],[CGST]]+Table1[[#This Row],[IGST]]+Table1[[#This Row],[SGST]]</f>
        <v>84808.08</v>
      </c>
      <c r="AW112">
        <f t="shared" si="3"/>
        <v>141</v>
      </c>
      <c r="AX112">
        <v>0</v>
      </c>
      <c r="AY112">
        <v>555964.07999999996</v>
      </c>
      <c r="AZ112" t="s">
        <v>125</v>
      </c>
      <c r="BA112" t="s">
        <v>10</v>
      </c>
      <c r="BB112" t="s">
        <v>126</v>
      </c>
      <c r="BC112" t="s">
        <v>127</v>
      </c>
      <c r="BD112" t="s">
        <v>128</v>
      </c>
      <c r="BE112" t="s">
        <v>13</v>
      </c>
      <c r="BF112" t="s">
        <v>201</v>
      </c>
      <c r="BH112">
        <v>0</v>
      </c>
    </row>
    <row r="113" spans="1:60" x14ac:dyDescent="0.25">
      <c r="A113" t="s">
        <v>120</v>
      </c>
      <c r="B113" t="s">
        <v>121</v>
      </c>
      <c r="C113">
        <v>1234</v>
      </c>
      <c r="D113" t="s">
        <v>273</v>
      </c>
      <c r="E11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13" t="s">
        <v>8</v>
      </c>
      <c r="G113" t="s">
        <v>273</v>
      </c>
      <c r="H113" t="str">
        <f t="shared" si="2"/>
        <v>SI-2/1900-1818</v>
      </c>
      <c r="I113" t="s">
        <v>122</v>
      </c>
      <c r="J113" t="s">
        <v>122</v>
      </c>
      <c r="K113" t="s">
        <v>122</v>
      </c>
      <c r="L113" t="s">
        <v>122</v>
      </c>
      <c r="M113" s="21">
        <v>44593</v>
      </c>
      <c r="N113" t="s">
        <v>123</v>
      </c>
      <c r="O113" t="s">
        <v>198</v>
      </c>
      <c r="P113" t="s">
        <v>199</v>
      </c>
      <c r="Q113" t="s">
        <v>122</v>
      </c>
      <c r="R113" t="s">
        <v>122</v>
      </c>
      <c r="U113">
        <v>1234</v>
      </c>
      <c r="V113">
        <v>0</v>
      </c>
      <c r="W113" t="s">
        <v>200</v>
      </c>
      <c r="X113" t="s">
        <v>9</v>
      </c>
      <c r="Y113" t="s">
        <v>60</v>
      </c>
      <c r="Z113" t="s">
        <v>122</v>
      </c>
      <c r="AA113" t="s">
        <v>122</v>
      </c>
      <c r="AB113" t="s">
        <v>122</v>
      </c>
      <c r="AC113" t="s">
        <v>122</v>
      </c>
      <c r="AF113">
        <v>25</v>
      </c>
      <c r="AG113">
        <v>100</v>
      </c>
      <c r="AH113" t="s">
        <v>124</v>
      </c>
      <c r="AI113">
        <v>1</v>
      </c>
      <c r="AJ113">
        <v>2500</v>
      </c>
      <c r="AK113">
        <v>2500</v>
      </c>
      <c r="AL113">
        <v>0</v>
      </c>
      <c r="AM113">
        <v>0</v>
      </c>
      <c r="AN113">
        <v>0</v>
      </c>
      <c r="AO113">
        <v>0</v>
      </c>
      <c r="AP113">
        <v>3826.35</v>
      </c>
      <c r="AQ113">
        <v>3826.35</v>
      </c>
      <c r="AR113">
        <v>0</v>
      </c>
      <c r="AS113">
        <v>0</v>
      </c>
      <c r="AT113">
        <v>0</v>
      </c>
      <c r="AU113">
        <v>0</v>
      </c>
      <c r="AV113">
        <f>Table1[[#This Row],[CGST]]+Table1[[#This Row],[IGST]]+Table1[[#This Row],[SGST]]</f>
        <v>3826.35</v>
      </c>
      <c r="AW113">
        <f t="shared" si="3"/>
        <v>153</v>
      </c>
      <c r="AX113">
        <v>0</v>
      </c>
      <c r="AY113">
        <v>25083.85</v>
      </c>
      <c r="AZ113" t="s">
        <v>125</v>
      </c>
      <c r="BA113" t="s">
        <v>10</v>
      </c>
      <c r="BB113" t="s">
        <v>126</v>
      </c>
      <c r="BC113" t="s">
        <v>127</v>
      </c>
      <c r="BD113" t="s">
        <v>128</v>
      </c>
      <c r="BE113" t="s">
        <v>13</v>
      </c>
      <c r="BF113" t="s">
        <v>274</v>
      </c>
      <c r="BH113">
        <v>0</v>
      </c>
    </row>
    <row r="114" spans="1:60" x14ac:dyDescent="0.25">
      <c r="A114" t="s">
        <v>120</v>
      </c>
      <c r="B114" t="s">
        <v>121</v>
      </c>
      <c r="C114">
        <v>1234</v>
      </c>
      <c r="D114" t="s">
        <v>275</v>
      </c>
      <c r="E11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14" t="s">
        <v>8</v>
      </c>
      <c r="G114" t="s">
        <v>275</v>
      </c>
      <c r="H114" t="str">
        <f t="shared" si="2"/>
        <v>SI-2/1900-1819</v>
      </c>
      <c r="I114" t="s">
        <v>122</v>
      </c>
      <c r="J114" t="s">
        <v>122</v>
      </c>
      <c r="K114" t="s">
        <v>122</v>
      </c>
      <c r="L114" t="s">
        <v>122</v>
      </c>
      <c r="M114" s="21">
        <v>44593</v>
      </c>
      <c r="N114" t="s">
        <v>123</v>
      </c>
      <c r="O114" t="s">
        <v>198</v>
      </c>
      <c r="P114" t="s">
        <v>199</v>
      </c>
      <c r="Q114" t="s">
        <v>122</v>
      </c>
      <c r="R114" t="s">
        <v>122</v>
      </c>
      <c r="U114">
        <v>1234</v>
      </c>
      <c r="V114">
        <v>0</v>
      </c>
      <c r="W114" t="s">
        <v>200</v>
      </c>
      <c r="X114" t="s">
        <v>9</v>
      </c>
      <c r="Y114" t="s">
        <v>60</v>
      </c>
      <c r="Z114" t="s">
        <v>122</v>
      </c>
      <c r="AA114" t="s">
        <v>122</v>
      </c>
      <c r="AB114" t="s">
        <v>122</v>
      </c>
      <c r="AC114" t="s">
        <v>122</v>
      </c>
      <c r="AF114">
        <v>1035</v>
      </c>
      <c r="AG114">
        <v>100</v>
      </c>
      <c r="AH114" t="s">
        <v>124</v>
      </c>
      <c r="AI114">
        <v>1</v>
      </c>
      <c r="AJ114">
        <v>103500</v>
      </c>
      <c r="AK114">
        <v>103500</v>
      </c>
      <c r="AL114">
        <v>0</v>
      </c>
      <c r="AM114">
        <v>0</v>
      </c>
      <c r="AN114">
        <v>0</v>
      </c>
      <c r="AO114">
        <v>0</v>
      </c>
      <c r="AP114">
        <v>146293.94</v>
      </c>
      <c r="AQ114">
        <v>146293.94</v>
      </c>
      <c r="AR114">
        <v>0</v>
      </c>
      <c r="AS114">
        <v>0</v>
      </c>
      <c r="AT114">
        <v>0</v>
      </c>
      <c r="AU114">
        <v>0</v>
      </c>
      <c r="AV114">
        <f>Table1[[#This Row],[CGST]]+Table1[[#This Row],[IGST]]+Table1[[#This Row],[SGST]]</f>
        <v>146293.94</v>
      </c>
      <c r="AW114">
        <f t="shared" si="3"/>
        <v>141</v>
      </c>
      <c r="AX114">
        <v>0</v>
      </c>
      <c r="AY114">
        <v>959038.04</v>
      </c>
      <c r="AZ114" t="s">
        <v>125</v>
      </c>
      <c r="BA114" t="s">
        <v>10</v>
      </c>
      <c r="BB114" t="s">
        <v>126</v>
      </c>
      <c r="BC114" t="s">
        <v>127</v>
      </c>
      <c r="BD114" t="s">
        <v>128</v>
      </c>
      <c r="BE114" t="s">
        <v>11</v>
      </c>
      <c r="BF114" t="s">
        <v>274</v>
      </c>
      <c r="BH114">
        <v>0</v>
      </c>
    </row>
    <row r="115" spans="1:60" x14ac:dyDescent="0.25">
      <c r="A115" t="s">
        <v>120</v>
      </c>
      <c r="B115" t="s">
        <v>121</v>
      </c>
      <c r="C115">
        <v>1234</v>
      </c>
      <c r="D115" t="s">
        <v>276</v>
      </c>
      <c r="E11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15" t="s">
        <v>8</v>
      </c>
      <c r="G115" t="s">
        <v>276</v>
      </c>
      <c r="H115" t="str">
        <f t="shared" si="2"/>
        <v>SI-2/1900-1820</v>
      </c>
      <c r="I115" t="s">
        <v>122</v>
      </c>
      <c r="J115" t="s">
        <v>122</v>
      </c>
      <c r="K115" t="s">
        <v>122</v>
      </c>
      <c r="L115" t="s">
        <v>122</v>
      </c>
      <c r="M115" s="21">
        <v>44593</v>
      </c>
      <c r="N115" t="s">
        <v>123</v>
      </c>
      <c r="O115" t="s">
        <v>198</v>
      </c>
      <c r="P115" t="s">
        <v>199</v>
      </c>
      <c r="Q115" t="s">
        <v>122</v>
      </c>
      <c r="R115" t="s">
        <v>122</v>
      </c>
      <c r="U115">
        <v>1234</v>
      </c>
      <c r="V115">
        <v>0</v>
      </c>
      <c r="W115" t="s">
        <v>200</v>
      </c>
      <c r="X115" t="s">
        <v>277</v>
      </c>
      <c r="Y115" t="s">
        <v>62</v>
      </c>
      <c r="Z115" t="s">
        <v>122</v>
      </c>
      <c r="AA115" t="s">
        <v>122</v>
      </c>
      <c r="AB115" t="s">
        <v>122</v>
      </c>
      <c r="AC115" t="s">
        <v>122</v>
      </c>
      <c r="AF115">
        <v>8</v>
      </c>
      <c r="AG115">
        <v>100</v>
      </c>
      <c r="AH115" t="s">
        <v>124</v>
      </c>
      <c r="AI115">
        <v>1</v>
      </c>
      <c r="AJ115">
        <v>800</v>
      </c>
      <c r="AK115">
        <v>800</v>
      </c>
      <c r="AL115">
        <v>0</v>
      </c>
      <c r="AM115">
        <v>0</v>
      </c>
      <c r="AN115">
        <v>0</v>
      </c>
      <c r="AO115">
        <v>0</v>
      </c>
      <c r="AP115">
        <v>2484</v>
      </c>
      <c r="AQ115">
        <v>2484</v>
      </c>
      <c r="AR115">
        <v>0</v>
      </c>
      <c r="AS115">
        <v>0</v>
      </c>
      <c r="AT115">
        <v>0</v>
      </c>
      <c r="AU115">
        <v>0</v>
      </c>
      <c r="AV115">
        <f>Table1[[#This Row],[CGST]]+Table1[[#This Row],[IGST]]+Table1[[#This Row],[SGST]]</f>
        <v>2484</v>
      </c>
      <c r="AW115">
        <f t="shared" si="3"/>
        <v>311</v>
      </c>
      <c r="AX115">
        <v>0</v>
      </c>
      <c r="AY115">
        <v>16284</v>
      </c>
      <c r="AZ115" t="s">
        <v>125</v>
      </c>
      <c r="BA115" t="s">
        <v>10</v>
      </c>
      <c r="BB115" t="s">
        <v>126</v>
      </c>
      <c r="BC115" t="s">
        <v>127</v>
      </c>
      <c r="BD115" t="s">
        <v>128</v>
      </c>
      <c r="BE115" t="s">
        <v>14</v>
      </c>
      <c r="BF115" t="s">
        <v>274</v>
      </c>
      <c r="BH115">
        <v>0</v>
      </c>
    </row>
    <row r="116" spans="1:60" x14ac:dyDescent="0.25">
      <c r="A116" t="s">
        <v>120</v>
      </c>
      <c r="B116" t="s">
        <v>121</v>
      </c>
      <c r="C116">
        <v>1234</v>
      </c>
      <c r="D116" t="s">
        <v>276</v>
      </c>
      <c r="E11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16" t="s">
        <v>8</v>
      </c>
      <c r="G116" t="s">
        <v>276</v>
      </c>
      <c r="H116" t="str">
        <f t="shared" si="2"/>
        <v>SI-2/1900-1820</v>
      </c>
      <c r="I116" t="s">
        <v>122</v>
      </c>
      <c r="J116" t="s">
        <v>122</v>
      </c>
      <c r="K116" t="s">
        <v>122</v>
      </c>
      <c r="L116" t="s">
        <v>122</v>
      </c>
      <c r="M116" s="21">
        <v>44593</v>
      </c>
      <c r="N116" t="s">
        <v>123</v>
      </c>
      <c r="O116" t="s">
        <v>198</v>
      </c>
      <c r="P116" t="s">
        <v>199</v>
      </c>
      <c r="Q116" t="s">
        <v>122</v>
      </c>
      <c r="R116" t="s">
        <v>122</v>
      </c>
      <c r="U116">
        <v>1234</v>
      </c>
      <c r="V116">
        <v>0</v>
      </c>
      <c r="W116" t="s">
        <v>200</v>
      </c>
      <c r="X116" t="s">
        <v>277</v>
      </c>
      <c r="Y116" t="s">
        <v>62</v>
      </c>
      <c r="Z116" t="s">
        <v>122</v>
      </c>
      <c r="AA116" t="s">
        <v>122</v>
      </c>
      <c r="AB116" t="s">
        <v>122</v>
      </c>
      <c r="AC116" t="s">
        <v>122</v>
      </c>
      <c r="AF116">
        <v>11</v>
      </c>
      <c r="AG116">
        <v>100</v>
      </c>
      <c r="AH116" t="s">
        <v>124</v>
      </c>
      <c r="AI116">
        <v>1</v>
      </c>
      <c r="AJ116">
        <v>1100</v>
      </c>
      <c r="AK116">
        <v>1100</v>
      </c>
      <c r="AL116">
        <v>0</v>
      </c>
      <c r="AM116">
        <v>0</v>
      </c>
      <c r="AN116">
        <v>0</v>
      </c>
      <c r="AO116">
        <v>0</v>
      </c>
      <c r="AP116">
        <v>3791.7</v>
      </c>
      <c r="AQ116">
        <v>3791.7</v>
      </c>
      <c r="AR116">
        <v>0</v>
      </c>
      <c r="AS116">
        <v>0</v>
      </c>
      <c r="AT116">
        <v>0</v>
      </c>
      <c r="AU116">
        <v>0</v>
      </c>
      <c r="AV116">
        <f>Table1[[#This Row],[CGST]]+Table1[[#This Row],[IGST]]+Table1[[#This Row],[SGST]]</f>
        <v>3791.7</v>
      </c>
      <c r="AW116">
        <f t="shared" si="3"/>
        <v>345</v>
      </c>
      <c r="AX116">
        <v>0</v>
      </c>
      <c r="AY116">
        <v>24856.7</v>
      </c>
      <c r="AZ116" t="s">
        <v>125</v>
      </c>
      <c r="BA116" t="s">
        <v>10</v>
      </c>
      <c r="BB116" t="s">
        <v>126</v>
      </c>
      <c r="BC116" t="s">
        <v>127</v>
      </c>
      <c r="BD116" t="s">
        <v>128</v>
      </c>
      <c r="BE116" t="s">
        <v>14</v>
      </c>
      <c r="BF116" t="s">
        <v>274</v>
      </c>
      <c r="BH116">
        <v>0</v>
      </c>
    </row>
    <row r="117" spans="1:60" x14ac:dyDescent="0.25">
      <c r="A117" t="s">
        <v>120</v>
      </c>
      <c r="B117" t="s">
        <v>121</v>
      </c>
      <c r="C117">
        <v>1234</v>
      </c>
      <c r="D117" t="s">
        <v>276</v>
      </c>
      <c r="E11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17" t="s">
        <v>8</v>
      </c>
      <c r="G117" t="s">
        <v>276</v>
      </c>
      <c r="H117" t="str">
        <f t="shared" si="2"/>
        <v>SI-2/1900-1820</v>
      </c>
      <c r="I117" t="s">
        <v>122</v>
      </c>
      <c r="J117" t="s">
        <v>122</v>
      </c>
      <c r="K117" t="s">
        <v>122</v>
      </c>
      <c r="L117" t="s">
        <v>122</v>
      </c>
      <c r="M117" s="21">
        <v>44593</v>
      </c>
      <c r="N117" t="s">
        <v>123</v>
      </c>
      <c r="O117" t="s">
        <v>198</v>
      </c>
      <c r="P117" t="s">
        <v>199</v>
      </c>
      <c r="Q117" t="s">
        <v>122</v>
      </c>
      <c r="R117" t="s">
        <v>122</v>
      </c>
      <c r="U117">
        <v>1234</v>
      </c>
      <c r="V117">
        <v>0</v>
      </c>
      <c r="W117" t="s">
        <v>200</v>
      </c>
      <c r="X117" t="s">
        <v>277</v>
      </c>
      <c r="Y117" t="s">
        <v>62</v>
      </c>
      <c r="Z117" t="s">
        <v>122</v>
      </c>
      <c r="AA117" t="s">
        <v>122</v>
      </c>
      <c r="AB117" t="s">
        <v>122</v>
      </c>
      <c r="AC117" t="s">
        <v>122</v>
      </c>
      <c r="AF117">
        <v>2</v>
      </c>
      <c r="AG117">
        <v>100</v>
      </c>
      <c r="AH117" t="s">
        <v>124</v>
      </c>
      <c r="AI117">
        <v>1</v>
      </c>
      <c r="AJ117">
        <v>200</v>
      </c>
      <c r="AK117">
        <v>200</v>
      </c>
      <c r="AL117">
        <v>0</v>
      </c>
      <c r="AM117">
        <v>0</v>
      </c>
      <c r="AN117">
        <v>0</v>
      </c>
      <c r="AO117">
        <v>0</v>
      </c>
      <c r="AP117">
        <v>64.8</v>
      </c>
      <c r="AQ117">
        <v>64.8</v>
      </c>
      <c r="AR117">
        <v>0</v>
      </c>
      <c r="AS117">
        <v>0</v>
      </c>
      <c r="AT117">
        <v>0</v>
      </c>
      <c r="AU117">
        <v>0</v>
      </c>
      <c r="AV117">
        <f>Table1[[#This Row],[CGST]]+Table1[[#This Row],[IGST]]+Table1[[#This Row],[SGST]]</f>
        <v>64.8</v>
      </c>
      <c r="AW117">
        <f t="shared" si="3"/>
        <v>32</v>
      </c>
      <c r="AX117">
        <v>0</v>
      </c>
      <c r="AY117">
        <v>424.8</v>
      </c>
      <c r="AZ117" t="s">
        <v>125</v>
      </c>
      <c r="BA117" t="s">
        <v>10</v>
      </c>
      <c r="BB117" t="s">
        <v>126</v>
      </c>
      <c r="BC117" t="s">
        <v>127</v>
      </c>
      <c r="BD117" t="s">
        <v>128</v>
      </c>
      <c r="BE117" t="s">
        <v>14</v>
      </c>
      <c r="BF117" t="s">
        <v>278</v>
      </c>
      <c r="BH117">
        <v>0</v>
      </c>
    </row>
    <row r="118" spans="1:60" x14ac:dyDescent="0.25">
      <c r="A118" t="s">
        <v>120</v>
      </c>
      <c r="B118" t="s">
        <v>121</v>
      </c>
      <c r="C118">
        <v>1234</v>
      </c>
      <c r="D118" t="s">
        <v>276</v>
      </c>
      <c r="E11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18" t="s">
        <v>8</v>
      </c>
      <c r="G118" t="s">
        <v>276</v>
      </c>
      <c r="H118" t="str">
        <f t="shared" si="2"/>
        <v>SI-2/1900-1820</v>
      </c>
      <c r="I118" t="s">
        <v>122</v>
      </c>
      <c r="J118" t="s">
        <v>122</v>
      </c>
      <c r="K118" t="s">
        <v>122</v>
      </c>
      <c r="L118" t="s">
        <v>122</v>
      </c>
      <c r="M118" s="21">
        <v>44593</v>
      </c>
      <c r="N118" t="s">
        <v>123</v>
      </c>
      <c r="O118" t="s">
        <v>198</v>
      </c>
      <c r="P118" t="s">
        <v>199</v>
      </c>
      <c r="Q118" t="s">
        <v>122</v>
      </c>
      <c r="R118" t="s">
        <v>122</v>
      </c>
      <c r="U118">
        <v>1234</v>
      </c>
      <c r="V118">
        <v>0</v>
      </c>
      <c r="W118" t="s">
        <v>200</v>
      </c>
      <c r="X118" t="s">
        <v>279</v>
      </c>
      <c r="Y118" t="s">
        <v>62</v>
      </c>
      <c r="Z118" t="s">
        <v>122</v>
      </c>
      <c r="AA118" t="s">
        <v>122</v>
      </c>
      <c r="AB118" t="s">
        <v>122</v>
      </c>
      <c r="AC118" t="s">
        <v>122</v>
      </c>
      <c r="AF118">
        <v>14</v>
      </c>
      <c r="AG118">
        <v>100</v>
      </c>
      <c r="AH118" t="s">
        <v>124</v>
      </c>
      <c r="AI118">
        <v>1</v>
      </c>
      <c r="AJ118">
        <v>1400</v>
      </c>
      <c r="AK118">
        <v>1400</v>
      </c>
      <c r="AL118">
        <v>0</v>
      </c>
      <c r="AM118">
        <v>0</v>
      </c>
      <c r="AN118">
        <v>0</v>
      </c>
      <c r="AO118">
        <v>0</v>
      </c>
      <c r="AP118">
        <v>4483.08</v>
      </c>
      <c r="AQ118">
        <v>4483.08</v>
      </c>
      <c r="AR118">
        <v>0</v>
      </c>
      <c r="AS118">
        <v>0</v>
      </c>
      <c r="AT118">
        <v>0</v>
      </c>
      <c r="AU118">
        <v>0</v>
      </c>
      <c r="AV118">
        <f>Table1[[#This Row],[CGST]]+Table1[[#This Row],[IGST]]+Table1[[#This Row],[SGST]]</f>
        <v>4483.08</v>
      </c>
      <c r="AW118">
        <f t="shared" si="3"/>
        <v>320</v>
      </c>
      <c r="AX118">
        <v>0</v>
      </c>
      <c r="AY118">
        <v>29389.08</v>
      </c>
      <c r="AZ118" t="s">
        <v>125</v>
      </c>
      <c r="BA118" t="s">
        <v>10</v>
      </c>
      <c r="BB118" t="s">
        <v>126</v>
      </c>
      <c r="BC118" t="s">
        <v>127</v>
      </c>
      <c r="BD118" t="s">
        <v>128</v>
      </c>
      <c r="BE118" t="s">
        <v>14</v>
      </c>
      <c r="BF118" t="s">
        <v>211</v>
      </c>
      <c r="BH118">
        <v>0</v>
      </c>
    </row>
    <row r="119" spans="1:60" x14ac:dyDescent="0.25">
      <c r="A119" t="s">
        <v>120</v>
      </c>
      <c r="B119" t="s">
        <v>163</v>
      </c>
      <c r="C119">
        <v>1234</v>
      </c>
      <c r="D119" t="s">
        <v>280</v>
      </c>
      <c r="E11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19" t="s">
        <v>8</v>
      </c>
      <c r="G119" t="s">
        <v>280</v>
      </c>
      <c r="H119" t="str">
        <f t="shared" si="2"/>
        <v>SI-2/1900-1821</v>
      </c>
      <c r="I119" t="s">
        <v>122</v>
      </c>
      <c r="J119" t="s">
        <v>122</v>
      </c>
      <c r="K119" t="s">
        <v>122</v>
      </c>
      <c r="L119" t="s">
        <v>122</v>
      </c>
      <c r="M119" s="21">
        <v>44593</v>
      </c>
      <c r="N119" t="s">
        <v>162</v>
      </c>
      <c r="O119" t="s">
        <v>198</v>
      </c>
      <c r="P119" t="s">
        <v>199</v>
      </c>
      <c r="Q119" t="s">
        <v>122</v>
      </c>
      <c r="R119" t="s">
        <v>122</v>
      </c>
      <c r="U119">
        <v>1234</v>
      </c>
      <c r="V119">
        <v>0</v>
      </c>
      <c r="W119" t="s">
        <v>200</v>
      </c>
      <c r="X119" t="s">
        <v>259</v>
      </c>
      <c r="Y119" t="s">
        <v>61</v>
      </c>
      <c r="Z119" t="s">
        <v>122</v>
      </c>
      <c r="AA119" t="s">
        <v>122</v>
      </c>
      <c r="AB119" t="s">
        <v>122</v>
      </c>
      <c r="AC119" t="s">
        <v>122</v>
      </c>
      <c r="AF119">
        <v>50000</v>
      </c>
      <c r="AG119">
        <v>100</v>
      </c>
      <c r="AH119" t="s">
        <v>124</v>
      </c>
      <c r="AI119">
        <v>1</v>
      </c>
      <c r="AJ119">
        <v>5000000</v>
      </c>
      <c r="AK119">
        <v>5000000</v>
      </c>
      <c r="AL119">
        <v>0</v>
      </c>
      <c r="AM119">
        <v>5400</v>
      </c>
      <c r="AN119">
        <v>0</v>
      </c>
      <c r="AO119">
        <v>5400</v>
      </c>
      <c r="AP119">
        <v>0</v>
      </c>
      <c r="AQ119">
        <v>0</v>
      </c>
      <c r="AR119">
        <v>0</v>
      </c>
      <c r="AS119">
        <v>5400</v>
      </c>
      <c r="AT119">
        <v>0</v>
      </c>
      <c r="AU119">
        <v>5400</v>
      </c>
      <c r="AV119">
        <f>Table1[[#This Row],[CGST]]+Table1[[#This Row],[IGST]]+Table1[[#This Row],[SGST]]</f>
        <v>10800</v>
      </c>
      <c r="AW119">
        <f t="shared" si="3"/>
        <v>0</v>
      </c>
      <c r="AX119">
        <v>0</v>
      </c>
      <c r="AY119">
        <v>70800</v>
      </c>
      <c r="AZ119" t="s">
        <v>129</v>
      </c>
      <c r="BA119" t="s">
        <v>10</v>
      </c>
      <c r="BB119" t="s">
        <v>126</v>
      </c>
      <c r="BC119" t="s">
        <v>127</v>
      </c>
      <c r="BD119" t="s">
        <v>128</v>
      </c>
      <c r="BE119" t="s">
        <v>12</v>
      </c>
      <c r="BF119" t="s">
        <v>257</v>
      </c>
      <c r="BH119">
        <v>0</v>
      </c>
    </row>
    <row r="120" spans="1:60" x14ac:dyDescent="0.25">
      <c r="A120" t="s">
        <v>120</v>
      </c>
      <c r="B120" t="s">
        <v>121</v>
      </c>
      <c r="C120">
        <v>1234</v>
      </c>
      <c r="D120" t="s">
        <v>281</v>
      </c>
      <c r="E12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20" t="s">
        <v>8</v>
      </c>
      <c r="G120" t="s">
        <v>281</v>
      </c>
      <c r="H120" t="str">
        <f t="shared" si="2"/>
        <v>SI-2/1900-1822</v>
      </c>
      <c r="I120" t="s">
        <v>122</v>
      </c>
      <c r="J120" t="s">
        <v>122</v>
      </c>
      <c r="K120" t="s">
        <v>122</v>
      </c>
      <c r="L120" t="s">
        <v>122</v>
      </c>
      <c r="M120" s="21">
        <v>44593</v>
      </c>
      <c r="N120" t="s">
        <v>123</v>
      </c>
      <c r="O120" t="s">
        <v>198</v>
      </c>
      <c r="P120" t="s">
        <v>199</v>
      </c>
      <c r="Q120" t="s">
        <v>122</v>
      </c>
      <c r="R120" t="s">
        <v>122</v>
      </c>
      <c r="U120">
        <v>1234</v>
      </c>
      <c r="V120">
        <v>0</v>
      </c>
      <c r="W120" t="s">
        <v>200</v>
      </c>
      <c r="X120" t="s">
        <v>9</v>
      </c>
      <c r="Y120" t="s">
        <v>60</v>
      </c>
      <c r="Z120" t="s">
        <v>122</v>
      </c>
      <c r="AA120" t="s">
        <v>122</v>
      </c>
      <c r="AB120" t="s">
        <v>122</v>
      </c>
      <c r="AC120" t="s">
        <v>122</v>
      </c>
      <c r="AF120">
        <v>420</v>
      </c>
      <c r="AG120">
        <v>100</v>
      </c>
      <c r="AH120" t="s">
        <v>124</v>
      </c>
      <c r="AI120">
        <v>1</v>
      </c>
      <c r="AJ120">
        <v>42000</v>
      </c>
      <c r="AK120">
        <v>42000</v>
      </c>
      <c r="AL120">
        <v>0</v>
      </c>
      <c r="AM120">
        <v>0</v>
      </c>
      <c r="AN120">
        <v>0</v>
      </c>
      <c r="AO120">
        <v>0</v>
      </c>
      <c r="AP120">
        <v>72032.44</v>
      </c>
      <c r="AQ120">
        <v>72032.44</v>
      </c>
      <c r="AR120">
        <v>0</v>
      </c>
      <c r="AS120">
        <v>0</v>
      </c>
      <c r="AT120">
        <v>0</v>
      </c>
      <c r="AU120">
        <v>0</v>
      </c>
      <c r="AV120">
        <f>Table1[[#This Row],[CGST]]+Table1[[#This Row],[IGST]]+Table1[[#This Row],[SGST]]</f>
        <v>72032.44</v>
      </c>
      <c r="AW120">
        <f t="shared" si="3"/>
        <v>172</v>
      </c>
      <c r="AX120">
        <v>0</v>
      </c>
      <c r="AY120">
        <v>472212.64</v>
      </c>
      <c r="AZ120" t="s">
        <v>125</v>
      </c>
      <c r="BA120" t="s">
        <v>10</v>
      </c>
      <c r="BB120" t="s">
        <v>126</v>
      </c>
      <c r="BC120" t="s">
        <v>127</v>
      </c>
      <c r="BD120" t="s">
        <v>128</v>
      </c>
      <c r="BE120" t="s">
        <v>16</v>
      </c>
      <c r="BF120" t="s">
        <v>201</v>
      </c>
      <c r="BH120">
        <v>0</v>
      </c>
    </row>
    <row r="121" spans="1:60" x14ac:dyDescent="0.25">
      <c r="A121" t="s">
        <v>120</v>
      </c>
      <c r="B121" t="s">
        <v>121</v>
      </c>
      <c r="C121">
        <v>1234</v>
      </c>
      <c r="D121" t="s">
        <v>282</v>
      </c>
      <c r="E12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21" t="s">
        <v>8</v>
      </c>
      <c r="G121" t="s">
        <v>282</v>
      </c>
      <c r="H121" t="str">
        <f t="shared" si="2"/>
        <v>SI-2/1900-1824</v>
      </c>
      <c r="I121" t="s">
        <v>122</v>
      </c>
      <c r="J121" t="s">
        <v>122</v>
      </c>
      <c r="K121" t="s">
        <v>122</v>
      </c>
      <c r="L121" t="s">
        <v>122</v>
      </c>
      <c r="M121" s="21">
        <v>44593</v>
      </c>
      <c r="N121" t="s">
        <v>123</v>
      </c>
      <c r="O121" t="s">
        <v>198</v>
      </c>
      <c r="P121" t="s">
        <v>199</v>
      </c>
      <c r="Q121" t="s">
        <v>122</v>
      </c>
      <c r="R121" t="s">
        <v>122</v>
      </c>
      <c r="U121">
        <v>1234</v>
      </c>
      <c r="V121">
        <v>0</v>
      </c>
      <c r="W121" t="s">
        <v>200</v>
      </c>
      <c r="X121" t="s">
        <v>259</v>
      </c>
      <c r="Y121" t="s">
        <v>61</v>
      </c>
      <c r="Z121" t="s">
        <v>122</v>
      </c>
      <c r="AA121" t="s">
        <v>122</v>
      </c>
      <c r="AB121" t="s">
        <v>122</v>
      </c>
      <c r="AC121" t="s">
        <v>122</v>
      </c>
      <c r="AF121">
        <v>50000</v>
      </c>
      <c r="AG121">
        <v>100</v>
      </c>
      <c r="AH121" t="s">
        <v>124</v>
      </c>
      <c r="AI121">
        <v>1</v>
      </c>
      <c r="AJ121">
        <v>5000000</v>
      </c>
      <c r="AK121">
        <v>5000000</v>
      </c>
      <c r="AL121">
        <v>0</v>
      </c>
      <c r="AM121">
        <v>0</v>
      </c>
      <c r="AN121">
        <v>0</v>
      </c>
      <c r="AO121">
        <v>0</v>
      </c>
      <c r="AP121">
        <v>10800</v>
      </c>
      <c r="AQ121">
        <v>10800</v>
      </c>
      <c r="AR121">
        <v>0</v>
      </c>
      <c r="AS121">
        <v>0</v>
      </c>
      <c r="AT121">
        <v>0</v>
      </c>
      <c r="AU121">
        <v>0</v>
      </c>
      <c r="AV121">
        <f>Table1[[#This Row],[CGST]]+Table1[[#This Row],[IGST]]+Table1[[#This Row],[SGST]]</f>
        <v>10800</v>
      </c>
      <c r="AW121">
        <f t="shared" si="3"/>
        <v>0</v>
      </c>
      <c r="AX121">
        <v>0</v>
      </c>
      <c r="AY121">
        <v>70800</v>
      </c>
      <c r="AZ121" t="s">
        <v>125</v>
      </c>
      <c r="BA121" t="s">
        <v>10</v>
      </c>
      <c r="BB121" t="s">
        <v>126</v>
      </c>
      <c r="BC121" t="s">
        <v>127</v>
      </c>
      <c r="BD121" t="s">
        <v>128</v>
      </c>
      <c r="BE121" t="s">
        <v>14</v>
      </c>
      <c r="BF121" t="s">
        <v>205</v>
      </c>
      <c r="BH121">
        <v>0</v>
      </c>
    </row>
    <row r="122" spans="1:60" x14ac:dyDescent="0.25">
      <c r="A122" t="s">
        <v>120</v>
      </c>
      <c r="B122" t="s">
        <v>121</v>
      </c>
      <c r="C122">
        <v>1234</v>
      </c>
      <c r="D122" t="s">
        <v>283</v>
      </c>
      <c r="E12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22" t="s">
        <v>8</v>
      </c>
      <c r="G122" t="s">
        <v>283</v>
      </c>
      <c r="H122" t="str">
        <f t="shared" si="2"/>
        <v>SI-2/1900-1823</v>
      </c>
      <c r="I122" t="s">
        <v>122</v>
      </c>
      <c r="J122" t="s">
        <v>122</v>
      </c>
      <c r="K122" t="s">
        <v>122</v>
      </c>
      <c r="L122" t="s">
        <v>122</v>
      </c>
      <c r="M122" s="21">
        <v>44593</v>
      </c>
      <c r="N122" t="s">
        <v>123</v>
      </c>
      <c r="O122" t="s">
        <v>198</v>
      </c>
      <c r="P122" t="s">
        <v>199</v>
      </c>
      <c r="Q122" t="s">
        <v>122</v>
      </c>
      <c r="R122" t="s">
        <v>122</v>
      </c>
      <c r="U122">
        <v>1234</v>
      </c>
      <c r="V122">
        <v>0</v>
      </c>
      <c r="W122" t="s">
        <v>200</v>
      </c>
      <c r="X122" t="s">
        <v>9</v>
      </c>
      <c r="Y122" t="s">
        <v>60</v>
      </c>
      <c r="Z122" t="s">
        <v>122</v>
      </c>
      <c r="AA122" t="s">
        <v>122</v>
      </c>
      <c r="AB122" t="s">
        <v>122</v>
      </c>
      <c r="AC122" t="s">
        <v>122</v>
      </c>
      <c r="AF122">
        <v>900</v>
      </c>
      <c r="AG122">
        <v>100</v>
      </c>
      <c r="AH122" t="s">
        <v>124</v>
      </c>
      <c r="AI122">
        <v>1</v>
      </c>
      <c r="AJ122">
        <v>90000</v>
      </c>
      <c r="AK122">
        <v>90000</v>
      </c>
      <c r="AL122">
        <v>0</v>
      </c>
      <c r="AM122">
        <v>0</v>
      </c>
      <c r="AN122">
        <v>0</v>
      </c>
      <c r="AO122">
        <v>0</v>
      </c>
      <c r="AP122">
        <v>127212.12</v>
      </c>
      <c r="AQ122">
        <v>127212.12</v>
      </c>
      <c r="AR122">
        <v>0</v>
      </c>
      <c r="AS122">
        <v>0</v>
      </c>
      <c r="AT122">
        <v>0</v>
      </c>
      <c r="AU122">
        <v>0</v>
      </c>
      <c r="AV122">
        <f>Table1[[#This Row],[CGST]]+Table1[[#This Row],[IGST]]+Table1[[#This Row],[SGST]]</f>
        <v>127212.12</v>
      </c>
      <c r="AW122">
        <f t="shared" si="3"/>
        <v>141</v>
      </c>
      <c r="AX122">
        <v>0</v>
      </c>
      <c r="AY122">
        <v>833946.12</v>
      </c>
      <c r="AZ122" t="s">
        <v>125</v>
      </c>
      <c r="BA122" t="s">
        <v>10</v>
      </c>
      <c r="BB122" t="s">
        <v>126</v>
      </c>
      <c r="BC122" t="s">
        <v>127</v>
      </c>
      <c r="BD122" t="s">
        <v>128</v>
      </c>
      <c r="BE122" t="s">
        <v>11</v>
      </c>
      <c r="BF122" t="s">
        <v>211</v>
      </c>
      <c r="BH122">
        <v>0</v>
      </c>
    </row>
    <row r="123" spans="1:60" x14ac:dyDescent="0.25">
      <c r="A123" t="s">
        <v>120</v>
      </c>
      <c r="B123" t="s">
        <v>121</v>
      </c>
      <c r="C123">
        <v>1234</v>
      </c>
      <c r="D123" t="s">
        <v>284</v>
      </c>
      <c r="E12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23" t="s">
        <v>8</v>
      </c>
      <c r="G123" t="s">
        <v>284</v>
      </c>
      <c r="H123" t="str">
        <f t="shared" si="2"/>
        <v>SI-2/1900-1825</v>
      </c>
      <c r="I123" t="s">
        <v>122</v>
      </c>
      <c r="J123" t="s">
        <v>122</v>
      </c>
      <c r="K123" t="s">
        <v>122</v>
      </c>
      <c r="L123" t="s">
        <v>122</v>
      </c>
      <c r="M123" s="21">
        <v>44593</v>
      </c>
      <c r="N123" t="s">
        <v>123</v>
      </c>
      <c r="O123" t="s">
        <v>198</v>
      </c>
      <c r="P123" t="s">
        <v>199</v>
      </c>
      <c r="Q123" t="s">
        <v>122</v>
      </c>
      <c r="R123" t="s">
        <v>122</v>
      </c>
      <c r="U123">
        <v>1234</v>
      </c>
      <c r="V123">
        <v>0</v>
      </c>
      <c r="W123" t="s">
        <v>200</v>
      </c>
      <c r="X123" t="s">
        <v>9</v>
      </c>
      <c r="Y123" t="s">
        <v>60</v>
      </c>
      <c r="Z123" t="s">
        <v>122</v>
      </c>
      <c r="AA123" t="s">
        <v>122</v>
      </c>
      <c r="AB123" t="s">
        <v>122</v>
      </c>
      <c r="AC123" t="s">
        <v>122</v>
      </c>
      <c r="AF123">
        <v>770</v>
      </c>
      <c r="AG123">
        <v>100</v>
      </c>
      <c r="AH123" t="s">
        <v>124</v>
      </c>
      <c r="AI123">
        <v>1</v>
      </c>
      <c r="AJ123">
        <v>77000</v>
      </c>
      <c r="AK123">
        <v>77000</v>
      </c>
      <c r="AL123">
        <v>0</v>
      </c>
      <c r="AM123">
        <v>0</v>
      </c>
      <c r="AN123">
        <v>0</v>
      </c>
      <c r="AO123">
        <v>0</v>
      </c>
      <c r="AP123">
        <v>100426.79</v>
      </c>
      <c r="AQ123">
        <v>100426.79</v>
      </c>
      <c r="AR123">
        <v>0</v>
      </c>
      <c r="AS123">
        <v>0</v>
      </c>
      <c r="AT123">
        <v>0</v>
      </c>
      <c r="AU123">
        <v>0</v>
      </c>
      <c r="AV123">
        <f>Table1[[#This Row],[CGST]]+Table1[[#This Row],[IGST]]+Table1[[#This Row],[SGST]]</f>
        <v>100426.79</v>
      </c>
      <c r="AW123">
        <f t="shared" si="3"/>
        <v>130</v>
      </c>
      <c r="AX123">
        <v>0</v>
      </c>
      <c r="AY123">
        <v>658353.39</v>
      </c>
      <c r="AZ123" t="s">
        <v>125</v>
      </c>
      <c r="BA123" t="s">
        <v>10</v>
      </c>
      <c r="BB123" t="s">
        <v>126</v>
      </c>
      <c r="BC123" t="s">
        <v>127</v>
      </c>
      <c r="BD123" t="s">
        <v>128</v>
      </c>
      <c r="BE123" t="s">
        <v>13</v>
      </c>
      <c r="BF123" t="s">
        <v>211</v>
      </c>
      <c r="BH123">
        <v>0</v>
      </c>
    </row>
    <row r="124" spans="1:60" x14ac:dyDescent="0.25">
      <c r="A124" t="s">
        <v>120</v>
      </c>
      <c r="B124" t="s">
        <v>121</v>
      </c>
      <c r="C124">
        <v>1234</v>
      </c>
      <c r="D124" t="s">
        <v>285</v>
      </c>
      <c r="E12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24" t="s">
        <v>8</v>
      </c>
      <c r="G124" t="s">
        <v>285</v>
      </c>
      <c r="H124" t="str">
        <f t="shared" si="2"/>
        <v>SI-2/1900-1826</v>
      </c>
      <c r="I124" t="s">
        <v>122</v>
      </c>
      <c r="J124" t="s">
        <v>122</v>
      </c>
      <c r="K124" t="s">
        <v>122</v>
      </c>
      <c r="L124" t="s">
        <v>122</v>
      </c>
      <c r="M124" s="21">
        <v>44593</v>
      </c>
      <c r="N124" t="s">
        <v>123</v>
      </c>
      <c r="O124" t="s">
        <v>198</v>
      </c>
      <c r="P124" t="s">
        <v>199</v>
      </c>
      <c r="Q124" t="s">
        <v>122</v>
      </c>
      <c r="R124" t="s">
        <v>122</v>
      </c>
      <c r="U124">
        <v>1234</v>
      </c>
      <c r="V124">
        <v>0</v>
      </c>
      <c r="W124" t="s">
        <v>200</v>
      </c>
      <c r="X124" t="s">
        <v>9</v>
      </c>
      <c r="Y124" t="s">
        <v>60</v>
      </c>
      <c r="Z124" t="s">
        <v>122</v>
      </c>
      <c r="AA124" t="s">
        <v>122</v>
      </c>
      <c r="AB124" t="s">
        <v>122</v>
      </c>
      <c r="AC124" t="s">
        <v>122</v>
      </c>
      <c r="AF124">
        <v>300</v>
      </c>
      <c r="AG124">
        <v>100</v>
      </c>
      <c r="AH124" t="s">
        <v>124</v>
      </c>
      <c r="AI124">
        <v>1</v>
      </c>
      <c r="AJ124">
        <v>30000</v>
      </c>
      <c r="AK124">
        <v>30000</v>
      </c>
      <c r="AL124">
        <v>0</v>
      </c>
      <c r="AM124">
        <v>0</v>
      </c>
      <c r="AN124">
        <v>0</v>
      </c>
      <c r="AO124">
        <v>0</v>
      </c>
      <c r="AP124">
        <v>51451.74</v>
      </c>
      <c r="AQ124">
        <v>51451.74</v>
      </c>
      <c r="AR124">
        <v>0</v>
      </c>
      <c r="AS124">
        <v>0</v>
      </c>
      <c r="AT124">
        <v>0</v>
      </c>
      <c r="AU124">
        <v>0</v>
      </c>
      <c r="AV124">
        <f>Table1[[#This Row],[CGST]]+Table1[[#This Row],[IGST]]+Table1[[#This Row],[SGST]]</f>
        <v>51451.74</v>
      </c>
      <c r="AW124">
        <f t="shared" si="3"/>
        <v>172</v>
      </c>
      <c r="AX124">
        <v>0</v>
      </c>
      <c r="AY124">
        <v>337294.74</v>
      </c>
      <c r="AZ124" t="s">
        <v>125</v>
      </c>
      <c r="BA124" t="s">
        <v>10</v>
      </c>
      <c r="BB124" t="s">
        <v>126</v>
      </c>
      <c r="BC124" t="s">
        <v>127</v>
      </c>
      <c r="BD124" t="s">
        <v>128</v>
      </c>
      <c r="BE124" t="s">
        <v>16</v>
      </c>
      <c r="BF124" t="s">
        <v>211</v>
      </c>
      <c r="BH124">
        <v>0</v>
      </c>
    </row>
    <row r="125" spans="1:60" x14ac:dyDescent="0.25">
      <c r="A125" t="s">
        <v>120</v>
      </c>
      <c r="B125" t="s">
        <v>121</v>
      </c>
      <c r="C125">
        <v>1234</v>
      </c>
      <c r="D125" t="s">
        <v>285</v>
      </c>
      <c r="E12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25" t="s">
        <v>8</v>
      </c>
      <c r="G125" t="s">
        <v>285</v>
      </c>
      <c r="H125" t="str">
        <f t="shared" si="2"/>
        <v>SI-2/1900-1826</v>
      </c>
      <c r="I125" t="s">
        <v>122</v>
      </c>
      <c r="J125" t="s">
        <v>122</v>
      </c>
      <c r="K125" t="s">
        <v>122</v>
      </c>
      <c r="L125" t="s">
        <v>122</v>
      </c>
      <c r="M125" s="21">
        <v>44593</v>
      </c>
      <c r="N125" t="s">
        <v>123</v>
      </c>
      <c r="O125" t="s">
        <v>198</v>
      </c>
      <c r="P125" t="s">
        <v>199</v>
      </c>
      <c r="Q125" t="s">
        <v>122</v>
      </c>
      <c r="R125" t="s">
        <v>122</v>
      </c>
      <c r="U125">
        <v>1234</v>
      </c>
      <c r="V125">
        <v>0</v>
      </c>
      <c r="W125" t="s">
        <v>200</v>
      </c>
      <c r="X125" t="s">
        <v>9</v>
      </c>
      <c r="Y125" t="s">
        <v>60</v>
      </c>
      <c r="Z125" t="s">
        <v>122</v>
      </c>
      <c r="AA125" t="s">
        <v>122</v>
      </c>
      <c r="AB125" t="s">
        <v>122</v>
      </c>
      <c r="AC125" t="s">
        <v>122</v>
      </c>
      <c r="AF125">
        <v>440</v>
      </c>
      <c r="AG125">
        <v>100</v>
      </c>
      <c r="AH125" t="s">
        <v>124</v>
      </c>
      <c r="AI125">
        <v>1</v>
      </c>
      <c r="AJ125">
        <v>44000</v>
      </c>
      <c r="AK125">
        <v>44000</v>
      </c>
      <c r="AL125">
        <v>0</v>
      </c>
      <c r="AM125">
        <v>0</v>
      </c>
      <c r="AN125">
        <v>0</v>
      </c>
      <c r="AO125">
        <v>0</v>
      </c>
      <c r="AP125">
        <v>62192.59</v>
      </c>
      <c r="AQ125">
        <v>62192.59</v>
      </c>
      <c r="AR125">
        <v>0</v>
      </c>
      <c r="AS125">
        <v>0</v>
      </c>
      <c r="AT125">
        <v>0</v>
      </c>
      <c r="AU125">
        <v>0</v>
      </c>
      <c r="AV125">
        <f>Table1[[#This Row],[CGST]]+Table1[[#This Row],[IGST]]+Table1[[#This Row],[SGST]]</f>
        <v>62192.59</v>
      </c>
      <c r="AW125">
        <f t="shared" si="3"/>
        <v>141</v>
      </c>
      <c r="AX125">
        <v>0</v>
      </c>
      <c r="AY125">
        <v>407706.99</v>
      </c>
      <c r="AZ125" t="s">
        <v>125</v>
      </c>
      <c r="BA125" t="s">
        <v>10</v>
      </c>
      <c r="BB125" t="s">
        <v>126</v>
      </c>
      <c r="BC125" t="s">
        <v>127</v>
      </c>
      <c r="BD125" t="s">
        <v>128</v>
      </c>
      <c r="BE125" t="s">
        <v>16</v>
      </c>
      <c r="BF125" t="s">
        <v>201</v>
      </c>
      <c r="BH125">
        <v>0</v>
      </c>
    </row>
    <row r="126" spans="1:60" x14ac:dyDescent="0.25">
      <c r="A126" t="s">
        <v>120</v>
      </c>
      <c r="B126" t="s">
        <v>121</v>
      </c>
      <c r="C126">
        <v>1234</v>
      </c>
      <c r="D126" t="s">
        <v>285</v>
      </c>
      <c r="E12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26" t="s">
        <v>8</v>
      </c>
      <c r="G126" t="s">
        <v>285</v>
      </c>
      <c r="H126" t="str">
        <f t="shared" si="2"/>
        <v>SI-2/1900-1826</v>
      </c>
      <c r="I126" t="s">
        <v>122</v>
      </c>
      <c r="J126" t="s">
        <v>122</v>
      </c>
      <c r="K126" t="s">
        <v>122</v>
      </c>
      <c r="L126" t="s">
        <v>122</v>
      </c>
      <c r="M126" s="21">
        <v>44593</v>
      </c>
      <c r="N126" t="s">
        <v>123</v>
      </c>
      <c r="O126" t="s">
        <v>198</v>
      </c>
      <c r="P126" t="s">
        <v>199</v>
      </c>
      <c r="Q126" t="s">
        <v>122</v>
      </c>
      <c r="R126" t="s">
        <v>122</v>
      </c>
      <c r="U126">
        <v>1234</v>
      </c>
      <c r="V126">
        <v>0</v>
      </c>
      <c r="W126" t="s">
        <v>200</v>
      </c>
      <c r="X126" t="s">
        <v>9</v>
      </c>
      <c r="Y126" t="s">
        <v>60</v>
      </c>
      <c r="Z126" t="s">
        <v>122</v>
      </c>
      <c r="AA126" t="s">
        <v>122</v>
      </c>
      <c r="AB126" t="s">
        <v>122</v>
      </c>
      <c r="AC126" t="s">
        <v>122</v>
      </c>
      <c r="AF126">
        <v>50</v>
      </c>
      <c r="AG126">
        <v>100</v>
      </c>
      <c r="AH126" t="s">
        <v>124</v>
      </c>
      <c r="AI126">
        <v>1</v>
      </c>
      <c r="AJ126">
        <v>5000</v>
      </c>
      <c r="AK126">
        <v>5000</v>
      </c>
      <c r="AL126">
        <v>0</v>
      </c>
      <c r="AM126">
        <v>0</v>
      </c>
      <c r="AN126">
        <v>0</v>
      </c>
      <c r="AO126">
        <v>0</v>
      </c>
      <c r="AP126">
        <v>8937</v>
      </c>
      <c r="AQ126">
        <v>8937</v>
      </c>
      <c r="AR126">
        <v>0</v>
      </c>
      <c r="AS126">
        <v>0</v>
      </c>
      <c r="AT126">
        <v>0</v>
      </c>
      <c r="AU126">
        <v>0</v>
      </c>
      <c r="AV126">
        <f>Table1[[#This Row],[CGST]]+Table1[[#This Row],[IGST]]+Table1[[#This Row],[SGST]]</f>
        <v>8937</v>
      </c>
      <c r="AW126">
        <f t="shared" si="3"/>
        <v>179</v>
      </c>
      <c r="AX126">
        <v>0</v>
      </c>
      <c r="AY126">
        <v>58587</v>
      </c>
      <c r="AZ126" t="s">
        <v>125</v>
      </c>
      <c r="BA126" t="s">
        <v>10</v>
      </c>
      <c r="BB126" t="s">
        <v>126</v>
      </c>
      <c r="BC126" t="s">
        <v>127</v>
      </c>
      <c r="BD126" t="s">
        <v>128</v>
      </c>
      <c r="BE126" t="s">
        <v>16</v>
      </c>
      <c r="BF126" t="s">
        <v>201</v>
      </c>
      <c r="BH126">
        <v>0</v>
      </c>
    </row>
    <row r="127" spans="1:60" x14ac:dyDescent="0.25">
      <c r="A127" t="s">
        <v>120</v>
      </c>
      <c r="B127" t="s">
        <v>121</v>
      </c>
      <c r="C127">
        <v>1234</v>
      </c>
      <c r="D127" t="s">
        <v>286</v>
      </c>
      <c r="E12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27" t="s">
        <v>8</v>
      </c>
      <c r="G127" t="s">
        <v>286</v>
      </c>
      <c r="H127" t="str">
        <f t="shared" si="2"/>
        <v>SI-2/1900-1828</v>
      </c>
      <c r="I127" t="s">
        <v>122</v>
      </c>
      <c r="J127" t="s">
        <v>122</v>
      </c>
      <c r="K127" t="s">
        <v>122</v>
      </c>
      <c r="L127" t="s">
        <v>122</v>
      </c>
      <c r="M127" s="21">
        <v>44593</v>
      </c>
      <c r="N127" t="s">
        <v>123</v>
      </c>
      <c r="O127" t="s">
        <v>198</v>
      </c>
      <c r="P127" t="s">
        <v>199</v>
      </c>
      <c r="Q127" t="s">
        <v>122</v>
      </c>
      <c r="R127" t="s">
        <v>122</v>
      </c>
      <c r="U127">
        <v>1234</v>
      </c>
      <c r="V127">
        <v>0</v>
      </c>
      <c r="W127" t="s">
        <v>200</v>
      </c>
      <c r="X127" t="s">
        <v>9</v>
      </c>
      <c r="Y127" t="s">
        <v>60</v>
      </c>
      <c r="Z127" t="s">
        <v>122</v>
      </c>
      <c r="AA127" t="s">
        <v>122</v>
      </c>
      <c r="AB127" t="s">
        <v>122</v>
      </c>
      <c r="AC127" t="s">
        <v>122</v>
      </c>
      <c r="AF127">
        <v>1010</v>
      </c>
      <c r="AG127">
        <v>100</v>
      </c>
      <c r="AH127" t="s">
        <v>124</v>
      </c>
      <c r="AI127">
        <v>1</v>
      </c>
      <c r="AJ127">
        <v>101000</v>
      </c>
      <c r="AK127">
        <v>101000</v>
      </c>
      <c r="AL127">
        <v>0</v>
      </c>
      <c r="AM127">
        <v>0</v>
      </c>
      <c r="AN127">
        <v>0</v>
      </c>
      <c r="AO127">
        <v>0</v>
      </c>
      <c r="AP127">
        <v>142760.26999999999</v>
      </c>
      <c r="AQ127">
        <v>142760.26999999999</v>
      </c>
      <c r="AR127">
        <v>0</v>
      </c>
      <c r="AS127">
        <v>0</v>
      </c>
      <c r="AT127">
        <v>0</v>
      </c>
      <c r="AU127">
        <v>0</v>
      </c>
      <c r="AV127">
        <f>Table1[[#This Row],[CGST]]+Table1[[#This Row],[IGST]]+Table1[[#This Row],[SGST]]</f>
        <v>142760.26999999999</v>
      </c>
      <c r="AW127">
        <f t="shared" si="3"/>
        <v>141</v>
      </c>
      <c r="AX127">
        <v>0</v>
      </c>
      <c r="AY127">
        <v>935872.87</v>
      </c>
      <c r="AZ127" t="s">
        <v>125</v>
      </c>
      <c r="BA127" t="s">
        <v>10</v>
      </c>
      <c r="BB127" t="s">
        <v>126</v>
      </c>
      <c r="BC127" t="s">
        <v>127</v>
      </c>
      <c r="BD127" t="s">
        <v>128</v>
      </c>
      <c r="BE127" t="s">
        <v>11</v>
      </c>
      <c r="BF127" t="s">
        <v>205</v>
      </c>
      <c r="BH127">
        <v>0</v>
      </c>
    </row>
    <row r="128" spans="1:60" x14ac:dyDescent="0.25">
      <c r="A128" t="s">
        <v>120</v>
      </c>
      <c r="B128" t="s">
        <v>121</v>
      </c>
      <c r="C128">
        <v>1234</v>
      </c>
      <c r="D128" t="s">
        <v>286</v>
      </c>
      <c r="E12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28" t="s">
        <v>8</v>
      </c>
      <c r="G128" t="s">
        <v>286</v>
      </c>
      <c r="H128" t="str">
        <f t="shared" si="2"/>
        <v>SI-2/1900-1828</v>
      </c>
      <c r="I128" t="s">
        <v>122</v>
      </c>
      <c r="J128" t="s">
        <v>122</v>
      </c>
      <c r="K128" t="s">
        <v>122</v>
      </c>
      <c r="L128" t="s">
        <v>122</v>
      </c>
      <c r="M128" s="21">
        <v>44593</v>
      </c>
      <c r="N128" t="s">
        <v>123</v>
      </c>
      <c r="O128" t="s">
        <v>198</v>
      </c>
      <c r="P128" t="s">
        <v>199</v>
      </c>
      <c r="Q128" t="s">
        <v>122</v>
      </c>
      <c r="R128" t="s">
        <v>122</v>
      </c>
      <c r="U128">
        <v>1234</v>
      </c>
      <c r="V128">
        <v>0</v>
      </c>
      <c r="W128" t="s">
        <v>200</v>
      </c>
      <c r="X128" t="s">
        <v>9</v>
      </c>
      <c r="Y128" t="s">
        <v>60</v>
      </c>
      <c r="Z128" t="s">
        <v>122</v>
      </c>
      <c r="AA128" t="s">
        <v>122</v>
      </c>
      <c r="AB128" t="s">
        <v>122</v>
      </c>
      <c r="AC128" t="s">
        <v>122</v>
      </c>
      <c r="AF128">
        <v>20</v>
      </c>
      <c r="AG128">
        <v>100</v>
      </c>
      <c r="AH128" t="s">
        <v>124</v>
      </c>
      <c r="AI128">
        <v>1</v>
      </c>
      <c r="AJ128">
        <v>2000</v>
      </c>
      <c r="AK128">
        <v>2000</v>
      </c>
      <c r="AL128">
        <v>0</v>
      </c>
      <c r="AM128">
        <v>0</v>
      </c>
      <c r="AN128">
        <v>0</v>
      </c>
      <c r="AO128">
        <v>0</v>
      </c>
      <c r="AP128">
        <v>3904.56</v>
      </c>
      <c r="AQ128">
        <v>3904.56</v>
      </c>
      <c r="AR128">
        <v>0</v>
      </c>
      <c r="AS128">
        <v>0</v>
      </c>
      <c r="AT128">
        <v>0</v>
      </c>
      <c r="AU128">
        <v>0</v>
      </c>
      <c r="AV128">
        <f>Table1[[#This Row],[CGST]]+Table1[[#This Row],[IGST]]+Table1[[#This Row],[SGST]]</f>
        <v>3904.56</v>
      </c>
      <c r="AW128">
        <f t="shared" si="3"/>
        <v>195</v>
      </c>
      <c r="AX128">
        <v>0</v>
      </c>
      <c r="AY128">
        <v>25596.560000000001</v>
      </c>
      <c r="AZ128" t="s">
        <v>125</v>
      </c>
      <c r="BA128" t="s">
        <v>10</v>
      </c>
      <c r="BB128" t="s">
        <v>126</v>
      </c>
      <c r="BC128" t="s">
        <v>127</v>
      </c>
      <c r="BD128" t="s">
        <v>128</v>
      </c>
      <c r="BE128" t="s">
        <v>11</v>
      </c>
      <c r="BF128" t="s">
        <v>205</v>
      </c>
      <c r="BH128">
        <v>0</v>
      </c>
    </row>
    <row r="129" spans="1:60" x14ac:dyDescent="0.25">
      <c r="A129" t="s">
        <v>120</v>
      </c>
      <c r="B129" t="s">
        <v>121</v>
      </c>
      <c r="C129">
        <v>1234</v>
      </c>
      <c r="D129" t="s">
        <v>287</v>
      </c>
      <c r="E12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29" t="s">
        <v>8</v>
      </c>
      <c r="G129" t="s">
        <v>287</v>
      </c>
      <c r="H129" t="str">
        <f t="shared" ref="H129:H192" si="4">F129 &amp; "/"&amp; G129</f>
        <v>SI-2/1900-1829</v>
      </c>
      <c r="I129" t="s">
        <v>122</v>
      </c>
      <c r="J129" t="s">
        <v>122</v>
      </c>
      <c r="K129" t="s">
        <v>122</v>
      </c>
      <c r="L129" t="s">
        <v>122</v>
      </c>
      <c r="M129" s="21">
        <v>44593</v>
      </c>
      <c r="N129" t="s">
        <v>123</v>
      </c>
      <c r="O129" t="s">
        <v>198</v>
      </c>
      <c r="P129" t="s">
        <v>199</v>
      </c>
      <c r="Q129" t="s">
        <v>122</v>
      </c>
      <c r="R129" t="s">
        <v>122</v>
      </c>
      <c r="U129">
        <v>1234</v>
      </c>
      <c r="V129">
        <v>0</v>
      </c>
      <c r="W129" t="s">
        <v>200</v>
      </c>
      <c r="X129" t="s">
        <v>9</v>
      </c>
      <c r="Y129" t="s">
        <v>60</v>
      </c>
      <c r="Z129" t="s">
        <v>122</v>
      </c>
      <c r="AA129" t="s">
        <v>122</v>
      </c>
      <c r="AB129" t="s">
        <v>122</v>
      </c>
      <c r="AC129" t="s">
        <v>122</v>
      </c>
      <c r="AF129">
        <v>1030</v>
      </c>
      <c r="AG129">
        <v>100</v>
      </c>
      <c r="AH129" t="s">
        <v>124</v>
      </c>
      <c r="AI129">
        <v>1</v>
      </c>
      <c r="AJ129">
        <v>103000</v>
      </c>
      <c r="AK129">
        <v>103000</v>
      </c>
      <c r="AL129">
        <v>0</v>
      </c>
      <c r="AM129">
        <v>0</v>
      </c>
      <c r="AN129">
        <v>0</v>
      </c>
      <c r="AO129">
        <v>0</v>
      </c>
      <c r="AP129">
        <v>134337.13</v>
      </c>
      <c r="AQ129">
        <v>134337.13</v>
      </c>
      <c r="AR129">
        <v>0</v>
      </c>
      <c r="AS129">
        <v>0</v>
      </c>
      <c r="AT129">
        <v>0</v>
      </c>
      <c r="AU129">
        <v>0</v>
      </c>
      <c r="AV129">
        <f>Table1[[#This Row],[CGST]]+Table1[[#This Row],[IGST]]+Table1[[#This Row],[SGST]]</f>
        <v>134337.13</v>
      </c>
      <c r="AW129">
        <f t="shared" si="3"/>
        <v>130</v>
      </c>
      <c r="AX129">
        <v>0</v>
      </c>
      <c r="AY129">
        <v>880654.53</v>
      </c>
      <c r="AZ129" t="s">
        <v>125</v>
      </c>
      <c r="BA129" t="s">
        <v>10</v>
      </c>
      <c r="BB129" t="s">
        <v>126</v>
      </c>
      <c r="BC129" t="s">
        <v>127</v>
      </c>
      <c r="BD129" t="s">
        <v>128</v>
      </c>
      <c r="BE129" t="s">
        <v>13</v>
      </c>
      <c r="BF129" t="s">
        <v>288</v>
      </c>
      <c r="BH129">
        <v>0</v>
      </c>
    </row>
    <row r="130" spans="1:60" x14ac:dyDescent="0.25">
      <c r="A130" t="s">
        <v>120</v>
      </c>
      <c r="B130" t="s">
        <v>121</v>
      </c>
      <c r="C130">
        <v>1234</v>
      </c>
      <c r="D130" t="s">
        <v>287</v>
      </c>
      <c r="E13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30" t="s">
        <v>8</v>
      </c>
      <c r="G130" t="s">
        <v>287</v>
      </c>
      <c r="H130" t="str">
        <f t="shared" si="4"/>
        <v>SI-2/1900-1829</v>
      </c>
      <c r="I130" t="s">
        <v>122</v>
      </c>
      <c r="J130" t="s">
        <v>122</v>
      </c>
      <c r="K130" t="s">
        <v>122</v>
      </c>
      <c r="L130" t="s">
        <v>122</v>
      </c>
      <c r="M130" s="21">
        <v>44593</v>
      </c>
      <c r="N130" t="s">
        <v>123</v>
      </c>
      <c r="O130" t="s">
        <v>198</v>
      </c>
      <c r="P130" t="s">
        <v>199</v>
      </c>
      <c r="Q130" t="s">
        <v>122</v>
      </c>
      <c r="R130" t="s">
        <v>122</v>
      </c>
      <c r="U130">
        <v>1234</v>
      </c>
      <c r="V130">
        <v>0</v>
      </c>
      <c r="W130" t="s">
        <v>200</v>
      </c>
      <c r="X130" t="s">
        <v>9</v>
      </c>
      <c r="Y130" t="s">
        <v>60</v>
      </c>
      <c r="Z130" t="s">
        <v>122</v>
      </c>
      <c r="AA130" t="s">
        <v>122</v>
      </c>
      <c r="AB130" t="s">
        <v>122</v>
      </c>
      <c r="AC130" t="s">
        <v>122</v>
      </c>
      <c r="AF130">
        <v>30</v>
      </c>
      <c r="AG130">
        <v>100</v>
      </c>
      <c r="AH130" t="s">
        <v>124</v>
      </c>
      <c r="AI130">
        <v>1</v>
      </c>
      <c r="AJ130">
        <v>3000</v>
      </c>
      <c r="AK130">
        <v>3000</v>
      </c>
      <c r="AL130">
        <v>0</v>
      </c>
      <c r="AM130">
        <v>0</v>
      </c>
      <c r="AN130">
        <v>0</v>
      </c>
      <c r="AO130">
        <v>0</v>
      </c>
      <c r="AP130">
        <v>4903.2</v>
      </c>
      <c r="AQ130">
        <v>4903.2</v>
      </c>
      <c r="AR130">
        <v>0</v>
      </c>
      <c r="AS130">
        <v>0</v>
      </c>
      <c r="AT130">
        <v>0</v>
      </c>
      <c r="AU130">
        <v>0</v>
      </c>
      <c r="AV130">
        <f>Table1[[#This Row],[CGST]]+Table1[[#This Row],[IGST]]+Table1[[#This Row],[SGST]]</f>
        <v>4903.2</v>
      </c>
      <c r="AW130">
        <f t="shared" ref="AW130:AW193" si="5">ROUND((AV130/AJ130)*100,0.5)</f>
        <v>163</v>
      </c>
      <c r="AX130">
        <v>0</v>
      </c>
      <c r="AY130">
        <v>32143.200000000001</v>
      </c>
      <c r="AZ130" t="s">
        <v>125</v>
      </c>
      <c r="BA130" t="s">
        <v>10</v>
      </c>
      <c r="BB130" t="s">
        <v>126</v>
      </c>
      <c r="BC130" t="s">
        <v>127</v>
      </c>
      <c r="BD130" t="s">
        <v>128</v>
      </c>
      <c r="BE130" t="s">
        <v>13</v>
      </c>
      <c r="BF130" t="s">
        <v>288</v>
      </c>
      <c r="BH130">
        <v>0</v>
      </c>
    </row>
    <row r="131" spans="1:60" x14ac:dyDescent="0.25">
      <c r="A131" t="s">
        <v>120</v>
      </c>
      <c r="B131" t="s">
        <v>121</v>
      </c>
      <c r="C131">
        <v>1234</v>
      </c>
      <c r="D131" t="s">
        <v>289</v>
      </c>
      <c r="E13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31" t="s">
        <v>8</v>
      </c>
      <c r="G131" t="s">
        <v>289</v>
      </c>
      <c r="H131" t="str">
        <f t="shared" si="4"/>
        <v>SI-2/1900-1830</v>
      </c>
      <c r="I131" t="s">
        <v>122</v>
      </c>
      <c r="J131" t="s">
        <v>122</v>
      </c>
      <c r="K131" t="s">
        <v>122</v>
      </c>
      <c r="L131" t="s">
        <v>122</v>
      </c>
      <c r="M131" s="21">
        <v>44593</v>
      </c>
      <c r="N131" t="s">
        <v>123</v>
      </c>
      <c r="O131" t="s">
        <v>198</v>
      </c>
      <c r="P131" t="s">
        <v>199</v>
      </c>
      <c r="Q131" t="s">
        <v>122</v>
      </c>
      <c r="R131" t="s">
        <v>122</v>
      </c>
      <c r="U131">
        <v>1234</v>
      </c>
      <c r="V131">
        <v>0</v>
      </c>
      <c r="W131" t="s">
        <v>200</v>
      </c>
      <c r="X131" t="s">
        <v>9</v>
      </c>
      <c r="Y131" t="s">
        <v>60</v>
      </c>
      <c r="Z131" t="s">
        <v>122</v>
      </c>
      <c r="AA131" t="s">
        <v>122</v>
      </c>
      <c r="AB131" t="s">
        <v>122</v>
      </c>
      <c r="AC131" t="s">
        <v>122</v>
      </c>
      <c r="AF131">
        <v>100</v>
      </c>
      <c r="AG131">
        <v>100</v>
      </c>
      <c r="AH131" t="s">
        <v>124</v>
      </c>
      <c r="AI131">
        <v>1</v>
      </c>
      <c r="AJ131">
        <v>10000</v>
      </c>
      <c r="AK131">
        <v>10000</v>
      </c>
      <c r="AL131">
        <v>0</v>
      </c>
      <c r="AM131">
        <v>0</v>
      </c>
      <c r="AN131">
        <v>0</v>
      </c>
      <c r="AO131">
        <v>0</v>
      </c>
      <c r="AP131">
        <v>12537</v>
      </c>
      <c r="AQ131">
        <v>12537</v>
      </c>
      <c r="AR131">
        <v>0</v>
      </c>
      <c r="AS131">
        <v>0</v>
      </c>
      <c r="AT131">
        <v>0</v>
      </c>
      <c r="AU131">
        <v>0</v>
      </c>
      <c r="AV131">
        <f>Table1[[#This Row],[CGST]]+Table1[[#This Row],[IGST]]+Table1[[#This Row],[SGST]]</f>
        <v>12537</v>
      </c>
      <c r="AW131">
        <f t="shared" si="5"/>
        <v>125</v>
      </c>
      <c r="AX131">
        <v>0</v>
      </c>
      <c r="AY131">
        <v>82187</v>
      </c>
      <c r="AZ131" t="s">
        <v>125</v>
      </c>
      <c r="BA131" t="s">
        <v>10</v>
      </c>
      <c r="BB131" t="s">
        <v>126</v>
      </c>
      <c r="BC131" t="s">
        <v>127</v>
      </c>
      <c r="BD131" t="s">
        <v>128</v>
      </c>
      <c r="BE131" t="s">
        <v>17</v>
      </c>
      <c r="BF131" t="s">
        <v>288</v>
      </c>
      <c r="BH131">
        <v>0</v>
      </c>
    </row>
    <row r="132" spans="1:60" x14ac:dyDescent="0.25">
      <c r="A132" t="s">
        <v>120</v>
      </c>
      <c r="B132" t="s">
        <v>121</v>
      </c>
      <c r="C132">
        <v>1234</v>
      </c>
      <c r="D132" t="s">
        <v>289</v>
      </c>
      <c r="E13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32" t="s">
        <v>8</v>
      </c>
      <c r="G132" t="s">
        <v>289</v>
      </c>
      <c r="H132" t="str">
        <f t="shared" si="4"/>
        <v>SI-2/1900-1830</v>
      </c>
      <c r="I132" t="s">
        <v>122</v>
      </c>
      <c r="J132" t="s">
        <v>122</v>
      </c>
      <c r="K132" t="s">
        <v>122</v>
      </c>
      <c r="L132" t="s">
        <v>122</v>
      </c>
      <c r="M132" s="21">
        <v>44593</v>
      </c>
      <c r="N132" t="s">
        <v>123</v>
      </c>
      <c r="O132" t="s">
        <v>198</v>
      </c>
      <c r="P132" t="s">
        <v>199</v>
      </c>
      <c r="Q132" t="s">
        <v>122</v>
      </c>
      <c r="R132" t="s">
        <v>122</v>
      </c>
      <c r="U132">
        <v>1234</v>
      </c>
      <c r="V132">
        <v>0</v>
      </c>
      <c r="W132" t="s">
        <v>200</v>
      </c>
      <c r="X132" t="s">
        <v>9</v>
      </c>
      <c r="Y132" t="s">
        <v>60</v>
      </c>
      <c r="Z132" t="s">
        <v>122</v>
      </c>
      <c r="AA132" t="s">
        <v>122</v>
      </c>
      <c r="AB132" t="s">
        <v>122</v>
      </c>
      <c r="AC132" t="s">
        <v>122</v>
      </c>
      <c r="AF132">
        <v>200</v>
      </c>
      <c r="AG132">
        <v>100</v>
      </c>
      <c r="AH132" t="s">
        <v>124</v>
      </c>
      <c r="AI132">
        <v>1</v>
      </c>
      <c r="AJ132">
        <v>20000</v>
      </c>
      <c r="AK132">
        <v>20000</v>
      </c>
      <c r="AL132">
        <v>0</v>
      </c>
      <c r="AM132">
        <v>0</v>
      </c>
      <c r="AN132">
        <v>0</v>
      </c>
      <c r="AO132">
        <v>0</v>
      </c>
      <c r="AP132">
        <v>35748</v>
      </c>
      <c r="AQ132">
        <v>35748</v>
      </c>
      <c r="AR132">
        <v>0</v>
      </c>
      <c r="AS132">
        <v>0</v>
      </c>
      <c r="AT132">
        <v>0</v>
      </c>
      <c r="AU132">
        <v>0</v>
      </c>
      <c r="AV132">
        <f>Table1[[#This Row],[CGST]]+Table1[[#This Row],[IGST]]+Table1[[#This Row],[SGST]]</f>
        <v>35748</v>
      </c>
      <c r="AW132">
        <f t="shared" si="5"/>
        <v>179</v>
      </c>
      <c r="AX132">
        <v>0</v>
      </c>
      <c r="AY132">
        <v>234348</v>
      </c>
      <c r="AZ132" t="s">
        <v>125</v>
      </c>
      <c r="BA132" t="s">
        <v>10</v>
      </c>
      <c r="BB132" t="s">
        <v>126</v>
      </c>
      <c r="BC132" t="s">
        <v>127</v>
      </c>
      <c r="BD132" t="s">
        <v>128</v>
      </c>
      <c r="BE132" t="s">
        <v>17</v>
      </c>
      <c r="BF132" t="s">
        <v>288</v>
      </c>
      <c r="BH132">
        <v>0</v>
      </c>
    </row>
    <row r="133" spans="1:60" x14ac:dyDescent="0.25">
      <c r="A133" t="s">
        <v>120</v>
      </c>
      <c r="B133" t="s">
        <v>121</v>
      </c>
      <c r="C133">
        <v>1234</v>
      </c>
      <c r="D133" t="s">
        <v>289</v>
      </c>
      <c r="E13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33" t="s">
        <v>8</v>
      </c>
      <c r="G133" t="s">
        <v>289</v>
      </c>
      <c r="H133" t="str">
        <f t="shared" si="4"/>
        <v>SI-2/1900-1830</v>
      </c>
      <c r="I133" t="s">
        <v>122</v>
      </c>
      <c r="J133" t="s">
        <v>122</v>
      </c>
      <c r="K133" t="s">
        <v>122</v>
      </c>
      <c r="L133" t="s">
        <v>122</v>
      </c>
      <c r="M133" s="21">
        <v>44593</v>
      </c>
      <c r="N133" t="s">
        <v>123</v>
      </c>
      <c r="O133" t="s">
        <v>198</v>
      </c>
      <c r="P133" t="s">
        <v>199</v>
      </c>
      <c r="Q133" t="s">
        <v>122</v>
      </c>
      <c r="R133" t="s">
        <v>122</v>
      </c>
      <c r="U133">
        <v>1234</v>
      </c>
      <c r="V133">
        <v>0</v>
      </c>
      <c r="W133" t="s">
        <v>200</v>
      </c>
      <c r="X133" t="s">
        <v>9</v>
      </c>
      <c r="Y133" t="s">
        <v>60</v>
      </c>
      <c r="Z133" t="s">
        <v>122</v>
      </c>
      <c r="AA133" t="s">
        <v>122</v>
      </c>
      <c r="AB133" t="s">
        <v>122</v>
      </c>
      <c r="AC133" t="s">
        <v>122</v>
      </c>
      <c r="AF133">
        <v>25</v>
      </c>
      <c r="AG133">
        <v>100</v>
      </c>
      <c r="AH133" t="s">
        <v>124</v>
      </c>
      <c r="AI133">
        <v>1</v>
      </c>
      <c r="AJ133">
        <v>2500</v>
      </c>
      <c r="AK133">
        <v>2500</v>
      </c>
      <c r="AL133">
        <v>0</v>
      </c>
      <c r="AM133">
        <v>0</v>
      </c>
      <c r="AN133">
        <v>0</v>
      </c>
      <c r="AO133">
        <v>0</v>
      </c>
      <c r="AP133">
        <v>4899.1499999999996</v>
      </c>
      <c r="AQ133">
        <v>4899.1499999999996</v>
      </c>
      <c r="AR133">
        <v>0</v>
      </c>
      <c r="AS133">
        <v>0</v>
      </c>
      <c r="AT133">
        <v>0</v>
      </c>
      <c r="AU133">
        <v>0</v>
      </c>
      <c r="AV133">
        <f>Table1[[#This Row],[CGST]]+Table1[[#This Row],[IGST]]+Table1[[#This Row],[SGST]]</f>
        <v>4899.1499999999996</v>
      </c>
      <c r="AW133">
        <f t="shared" si="5"/>
        <v>196</v>
      </c>
      <c r="AX133">
        <v>0</v>
      </c>
      <c r="AY133">
        <v>32116.65</v>
      </c>
      <c r="AZ133" t="s">
        <v>125</v>
      </c>
      <c r="BA133" t="s">
        <v>10</v>
      </c>
      <c r="BB133" t="s">
        <v>126</v>
      </c>
      <c r="BC133" t="s">
        <v>127</v>
      </c>
      <c r="BD133" t="s">
        <v>128</v>
      </c>
      <c r="BE133" t="s">
        <v>17</v>
      </c>
      <c r="BF133" t="s">
        <v>288</v>
      </c>
      <c r="BH133">
        <v>0</v>
      </c>
    </row>
    <row r="134" spans="1:60" x14ac:dyDescent="0.25">
      <c r="A134" t="s">
        <v>120</v>
      </c>
      <c r="B134" t="s">
        <v>121</v>
      </c>
      <c r="C134">
        <v>1234</v>
      </c>
      <c r="D134" t="s">
        <v>289</v>
      </c>
      <c r="E13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34" t="s">
        <v>8</v>
      </c>
      <c r="G134" t="s">
        <v>289</v>
      </c>
      <c r="H134" t="str">
        <f t="shared" si="4"/>
        <v>SI-2/1900-1830</v>
      </c>
      <c r="I134" t="s">
        <v>122</v>
      </c>
      <c r="J134" t="s">
        <v>122</v>
      </c>
      <c r="K134" t="s">
        <v>122</v>
      </c>
      <c r="L134" t="s">
        <v>122</v>
      </c>
      <c r="M134" s="21">
        <v>44593</v>
      </c>
      <c r="N134" t="s">
        <v>123</v>
      </c>
      <c r="O134" t="s">
        <v>198</v>
      </c>
      <c r="P134" t="s">
        <v>199</v>
      </c>
      <c r="Q134" t="s">
        <v>122</v>
      </c>
      <c r="R134" t="s">
        <v>122</v>
      </c>
      <c r="U134">
        <v>1234</v>
      </c>
      <c r="V134">
        <v>0</v>
      </c>
      <c r="W134" t="s">
        <v>200</v>
      </c>
      <c r="X134" t="s">
        <v>9</v>
      </c>
      <c r="Y134" t="s">
        <v>60</v>
      </c>
      <c r="Z134" t="s">
        <v>122</v>
      </c>
      <c r="AA134" t="s">
        <v>122</v>
      </c>
      <c r="AB134" t="s">
        <v>122</v>
      </c>
      <c r="AC134" t="s">
        <v>122</v>
      </c>
      <c r="AF134">
        <v>200</v>
      </c>
      <c r="AG134">
        <v>100</v>
      </c>
      <c r="AH134" t="s">
        <v>124</v>
      </c>
      <c r="AI134">
        <v>1</v>
      </c>
      <c r="AJ134">
        <v>20000</v>
      </c>
      <c r="AK134">
        <v>20000</v>
      </c>
      <c r="AL134">
        <v>0</v>
      </c>
      <c r="AM134">
        <v>0</v>
      </c>
      <c r="AN134">
        <v>0</v>
      </c>
      <c r="AO134">
        <v>0</v>
      </c>
      <c r="AP134">
        <v>28886.400000000001</v>
      </c>
      <c r="AQ134">
        <v>28886.400000000001</v>
      </c>
      <c r="AR134">
        <v>0</v>
      </c>
      <c r="AS134">
        <v>0</v>
      </c>
      <c r="AT134">
        <v>0</v>
      </c>
      <c r="AU134">
        <v>0</v>
      </c>
      <c r="AV134">
        <f>Table1[[#This Row],[CGST]]+Table1[[#This Row],[IGST]]+Table1[[#This Row],[SGST]]</f>
        <v>28886.400000000001</v>
      </c>
      <c r="AW134">
        <f t="shared" si="5"/>
        <v>144</v>
      </c>
      <c r="AX134">
        <v>0</v>
      </c>
      <c r="AY134">
        <v>189366.39999999999</v>
      </c>
      <c r="AZ134" t="s">
        <v>125</v>
      </c>
      <c r="BA134" t="s">
        <v>10</v>
      </c>
      <c r="BB134" t="s">
        <v>126</v>
      </c>
      <c r="BC134" t="s">
        <v>127</v>
      </c>
      <c r="BD134" t="s">
        <v>128</v>
      </c>
      <c r="BE134" t="s">
        <v>17</v>
      </c>
      <c r="BF134" t="s">
        <v>201</v>
      </c>
      <c r="BH134">
        <v>0</v>
      </c>
    </row>
    <row r="135" spans="1:60" x14ac:dyDescent="0.25">
      <c r="A135" t="s">
        <v>120</v>
      </c>
      <c r="B135" t="s">
        <v>121</v>
      </c>
      <c r="C135">
        <v>1234</v>
      </c>
      <c r="D135" t="s">
        <v>289</v>
      </c>
      <c r="E13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35" t="s">
        <v>8</v>
      </c>
      <c r="G135" t="s">
        <v>289</v>
      </c>
      <c r="H135" t="str">
        <f t="shared" si="4"/>
        <v>SI-2/1900-1830</v>
      </c>
      <c r="I135" t="s">
        <v>122</v>
      </c>
      <c r="J135" t="s">
        <v>122</v>
      </c>
      <c r="K135" t="s">
        <v>122</v>
      </c>
      <c r="L135" t="s">
        <v>122</v>
      </c>
      <c r="M135" s="21">
        <v>44593</v>
      </c>
      <c r="N135" t="s">
        <v>123</v>
      </c>
      <c r="O135" t="s">
        <v>198</v>
      </c>
      <c r="P135" t="s">
        <v>199</v>
      </c>
      <c r="Q135" t="s">
        <v>122</v>
      </c>
      <c r="R135" t="s">
        <v>122</v>
      </c>
      <c r="U135">
        <v>1234</v>
      </c>
      <c r="V135">
        <v>0</v>
      </c>
      <c r="W135" t="s">
        <v>200</v>
      </c>
      <c r="X135" t="s">
        <v>9</v>
      </c>
      <c r="Y135" t="s">
        <v>60</v>
      </c>
      <c r="Z135" t="s">
        <v>122</v>
      </c>
      <c r="AA135" t="s">
        <v>122</v>
      </c>
      <c r="AB135" t="s">
        <v>122</v>
      </c>
      <c r="AC135" t="s">
        <v>122</v>
      </c>
      <c r="AF135">
        <v>20</v>
      </c>
      <c r="AG135">
        <v>100</v>
      </c>
      <c r="AH135" t="s">
        <v>124</v>
      </c>
      <c r="AI135">
        <v>1</v>
      </c>
      <c r="AJ135">
        <v>2000</v>
      </c>
      <c r="AK135">
        <v>2000</v>
      </c>
      <c r="AL135">
        <v>0</v>
      </c>
      <c r="AM135">
        <v>0</v>
      </c>
      <c r="AN135">
        <v>0</v>
      </c>
      <c r="AO135">
        <v>0</v>
      </c>
      <c r="AP135">
        <v>3904.56</v>
      </c>
      <c r="AQ135">
        <v>3904.56</v>
      </c>
      <c r="AR135">
        <v>0</v>
      </c>
      <c r="AS135">
        <v>0</v>
      </c>
      <c r="AT135">
        <v>0</v>
      </c>
      <c r="AU135">
        <v>0</v>
      </c>
      <c r="AV135">
        <f>Table1[[#This Row],[CGST]]+Table1[[#This Row],[IGST]]+Table1[[#This Row],[SGST]]</f>
        <v>3904.56</v>
      </c>
      <c r="AW135">
        <f t="shared" si="5"/>
        <v>195</v>
      </c>
      <c r="AX135">
        <v>0</v>
      </c>
      <c r="AY135">
        <v>25596.560000000001</v>
      </c>
      <c r="AZ135" t="s">
        <v>125</v>
      </c>
      <c r="BA135" t="s">
        <v>10</v>
      </c>
      <c r="BB135" t="s">
        <v>126</v>
      </c>
      <c r="BC135" t="s">
        <v>127</v>
      </c>
      <c r="BD135" t="s">
        <v>128</v>
      </c>
      <c r="BE135" t="s">
        <v>17</v>
      </c>
      <c r="BF135" t="s">
        <v>201</v>
      </c>
      <c r="BH135">
        <v>0</v>
      </c>
    </row>
    <row r="136" spans="1:60" x14ac:dyDescent="0.25">
      <c r="A136" t="s">
        <v>120</v>
      </c>
      <c r="B136" t="s">
        <v>121</v>
      </c>
      <c r="C136">
        <v>1234</v>
      </c>
      <c r="D136" t="s">
        <v>290</v>
      </c>
      <c r="E13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36" t="s">
        <v>8</v>
      </c>
      <c r="G136" t="s">
        <v>290</v>
      </c>
      <c r="H136" t="str">
        <f t="shared" si="4"/>
        <v>SI-2/1900-1831</v>
      </c>
      <c r="I136" t="s">
        <v>122</v>
      </c>
      <c r="J136" t="s">
        <v>122</v>
      </c>
      <c r="K136" t="s">
        <v>122</v>
      </c>
      <c r="L136" t="s">
        <v>122</v>
      </c>
      <c r="M136" s="21">
        <v>44593</v>
      </c>
      <c r="N136" t="s">
        <v>123</v>
      </c>
      <c r="O136" t="s">
        <v>198</v>
      </c>
      <c r="P136" t="s">
        <v>199</v>
      </c>
      <c r="Q136" t="s">
        <v>122</v>
      </c>
      <c r="R136" t="s">
        <v>122</v>
      </c>
      <c r="U136">
        <v>1234</v>
      </c>
      <c r="V136">
        <v>0</v>
      </c>
      <c r="W136" t="s">
        <v>200</v>
      </c>
      <c r="X136" t="s">
        <v>9</v>
      </c>
      <c r="Y136" t="s">
        <v>60</v>
      </c>
      <c r="Z136" t="s">
        <v>122</v>
      </c>
      <c r="AA136" t="s">
        <v>122</v>
      </c>
      <c r="AB136" t="s">
        <v>122</v>
      </c>
      <c r="AC136" t="s">
        <v>122</v>
      </c>
      <c r="AF136">
        <v>950</v>
      </c>
      <c r="AG136">
        <v>100</v>
      </c>
      <c r="AH136" t="s">
        <v>124</v>
      </c>
      <c r="AI136">
        <v>1</v>
      </c>
      <c r="AJ136">
        <v>95000</v>
      </c>
      <c r="AK136">
        <v>95000</v>
      </c>
      <c r="AL136">
        <v>0</v>
      </c>
      <c r="AM136">
        <v>0</v>
      </c>
      <c r="AN136">
        <v>0</v>
      </c>
      <c r="AO136">
        <v>0</v>
      </c>
      <c r="AP136">
        <v>134279.46</v>
      </c>
      <c r="AQ136">
        <v>134279.46</v>
      </c>
      <c r="AR136">
        <v>0</v>
      </c>
      <c r="AS136">
        <v>0</v>
      </c>
      <c r="AT136">
        <v>0</v>
      </c>
      <c r="AU136">
        <v>0</v>
      </c>
      <c r="AV136">
        <f>Table1[[#This Row],[CGST]]+Table1[[#This Row],[IGST]]+Table1[[#This Row],[SGST]]</f>
        <v>134279.46</v>
      </c>
      <c r="AW136">
        <f t="shared" si="5"/>
        <v>141</v>
      </c>
      <c r="AX136">
        <v>0</v>
      </c>
      <c r="AY136">
        <v>880276.46</v>
      </c>
      <c r="AZ136" t="s">
        <v>125</v>
      </c>
      <c r="BA136" t="s">
        <v>10</v>
      </c>
      <c r="BB136" t="s">
        <v>126</v>
      </c>
      <c r="BC136" t="s">
        <v>127</v>
      </c>
      <c r="BD136" t="s">
        <v>128</v>
      </c>
      <c r="BE136" t="s">
        <v>11</v>
      </c>
      <c r="BF136" t="s">
        <v>205</v>
      </c>
      <c r="BH136">
        <v>0</v>
      </c>
    </row>
    <row r="137" spans="1:60" x14ac:dyDescent="0.25">
      <c r="A137" t="s">
        <v>120</v>
      </c>
      <c r="B137" t="s">
        <v>121</v>
      </c>
      <c r="C137">
        <v>1234</v>
      </c>
      <c r="D137" t="s">
        <v>290</v>
      </c>
      <c r="E13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37" t="s">
        <v>8</v>
      </c>
      <c r="G137" t="s">
        <v>290</v>
      </c>
      <c r="H137" t="str">
        <f t="shared" si="4"/>
        <v>SI-2/1900-1831</v>
      </c>
      <c r="I137" t="s">
        <v>122</v>
      </c>
      <c r="J137" t="s">
        <v>122</v>
      </c>
      <c r="K137" t="s">
        <v>122</v>
      </c>
      <c r="L137" t="s">
        <v>122</v>
      </c>
      <c r="M137" s="21">
        <v>44593</v>
      </c>
      <c r="N137" t="s">
        <v>123</v>
      </c>
      <c r="O137" t="s">
        <v>198</v>
      </c>
      <c r="P137" t="s">
        <v>199</v>
      </c>
      <c r="Q137" t="s">
        <v>122</v>
      </c>
      <c r="R137" t="s">
        <v>122</v>
      </c>
      <c r="U137">
        <v>1234</v>
      </c>
      <c r="V137">
        <v>0</v>
      </c>
      <c r="W137" t="s">
        <v>200</v>
      </c>
      <c r="X137" t="s">
        <v>9</v>
      </c>
      <c r="Y137" t="s">
        <v>60</v>
      </c>
      <c r="Z137" t="s">
        <v>122</v>
      </c>
      <c r="AA137" t="s">
        <v>122</v>
      </c>
      <c r="AB137" t="s">
        <v>122</v>
      </c>
      <c r="AC137" t="s">
        <v>122</v>
      </c>
      <c r="AF137">
        <v>106</v>
      </c>
      <c r="AG137">
        <v>100</v>
      </c>
      <c r="AH137" t="s">
        <v>124</v>
      </c>
      <c r="AI137">
        <v>1</v>
      </c>
      <c r="AJ137">
        <v>10600</v>
      </c>
      <c r="AK137">
        <v>10600</v>
      </c>
      <c r="AL137">
        <v>0</v>
      </c>
      <c r="AM137">
        <v>0</v>
      </c>
      <c r="AN137">
        <v>0</v>
      </c>
      <c r="AO137">
        <v>0</v>
      </c>
      <c r="AP137">
        <v>18533.55</v>
      </c>
      <c r="AQ137">
        <v>18533.55</v>
      </c>
      <c r="AR137">
        <v>0</v>
      </c>
      <c r="AS137">
        <v>0</v>
      </c>
      <c r="AT137">
        <v>0</v>
      </c>
      <c r="AU137">
        <v>0</v>
      </c>
      <c r="AV137">
        <f>Table1[[#This Row],[CGST]]+Table1[[#This Row],[IGST]]+Table1[[#This Row],[SGST]]</f>
        <v>18533.55</v>
      </c>
      <c r="AW137">
        <f t="shared" si="5"/>
        <v>175</v>
      </c>
      <c r="AX137">
        <v>0</v>
      </c>
      <c r="AY137">
        <v>121497.71</v>
      </c>
      <c r="AZ137" t="s">
        <v>125</v>
      </c>
      <c r="BA137" t="s">
        <v>10</v>
      </c>
      <c r="BB137" t="s">
        <v>126</v>
      </c>
      <c r="BC137" t="s">
        <v>127</v>
      </c>
      <c r="BD137" t="s">
        <v>128</v>
      </c>
      <c r="BE137" t="s">
        <v>11</v>
      </c>
      <c r="BF137" t="s">
        <v>211</v>
      </c>
      <c r="BH137">
        <v>0</v>
      </c>
    </row>
    <row r="138" spans="1:60" x14ac:dyDescent="0.25">
      <c r="A138" t="s">
        <v>120</v>
      </c>
      <c r="B138" t="s">
        <v>121</v>
      </c>
      <c r="C138">
        <v>1234</v>
      </c>
      <c r="D138" t="s">
        <v>291</v>
      </c>
      <c r="E13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38" t="s">
        <v>8</v>
      </c>
      <c r="G138" t="s">
        <v>291</v>
      </c>
      <c r="H138" t="str">
        <f t="shared" si="4"/>
        <v>SI-2/1900-1832</v>
      </c>
      <c r="I138" t="s">
        <v>122</v>
      </c>
      <c r="J138" t="s">
        <v>122</v>
      </c>
      <c r="K138" t="s">
        <v>122</v>
      </c>
      <c r="L138" t="s">
        <v>122</v>
      </c>
      <c r="M138" s="21">
        <v>44593</v>
      </c>
      <c r="N138" t="s">
        <v>123</v>
      </c>
      <c r="O138" t="s">
        <v>198</v>
      </c>
      <c r="P138" t="s">
        <v>199</v>
      </c>
      <c r="Q138" t="s">
        <v>122</v>
      </c>
      <c r="R138" t="s">
        <v>122</v>
      </c>
      <c r="U138">
        <v>1234</v>
      </c>
      <c r="V138">
        <v>0</v>
      </c>
      <c r="W138" t="s">
        <v>200</v>
      </c>
      <c r="X138" t="s">
        <v>9</v>
      </c>
      <c r="Y138" t="s">
        <v>60</v>
      </c>
      <c r="Z138" t="s">
        <v>122</v>
      </c>
      <c r="AA138" t="s">
        <v>122</v>
      </c>
      <c r="AB138" t="s">
        <v>122</v>
      </c>
      <c r="AC138" t="s">
        <v>122</v>
      </c>
      <c r="AF138">
        <v>1050</v>
      </c>
      <c r="AG138">
        <v>100</v>
      </c>
      <c r="AH138" t="s">
        <v>124</v>
      </c>
      <c r="AI138">
        <v>1</v>
      </c>
      <c r="AJ138">
        <v>105000</v>
      </c>
      <c r="AK138">
        <v>105000</v>
      </c>
      <c r="AL138">
        <v>0</v>
      </c>
      <c r="AM138">
        <v>0</v>
      </c>
      <c r="AN138">
        <v>0</v>
      </c>
      <c r="AO138">
        <v>0</v>
      </c>
      <c r="AP138">
        <v>136945.62</v>
      </c>
      <c r="AQ138">
        <v>136945.62</v>
      </c>
      <c r="AR138">
        <v>0</v>
      </c>
      <c r="AS138">
        <v>0</v>
      </c>
      <c r="AT138">
        <v>0</v>
      </c>
      <c r="AU138">
        <v>0</v>
      </c>
      <c r="AV138">
        <f>Table1[[#This Row],[CGST]]+Table1[[#This Row],[IGST]]+Table1[[#This Row],[SGST]]</f>
        <v>136945.62</v>
      </c>
      <c r="AW138">
        <f t="shared" si="5"/>
        <v>130</v>
      </c>
      <c r="AX138">
        <v>0</v>
      </c>
      <c r="AY138">
        <v>897754.62</v>
      </c>
      <c r="AZ138" t="s">
        <v>125</v>
      </c>
      <c r="BA138" t="s">
        <v>10</v>
      </c>
      <c r="BB138" t="s">
        <v>126</v>
      </c>
      <c r="BC138" t="s">
        <v>127</v>
      </c>
      <c r="BD138" t="s">
        <v>128</v>
      </c>
      <c r="BE138" t="s">
        <v>13</v>
      </c>
      <c r="BF138" t="s">
        <v>211</v>
      </c>
      <c r="BH138">
        <v>0</v>
      </c>
    </row>
    <row r="139" spans="1:60" x14ac:dyDescent="0.25">
      <c r="A139" t="s">
        <v>120</v>
      </c>
      <c r="B139" t="s">
        <v>121</v>
      </c>
      <c r="C139">
        <v>1234</v>
      </c>
      <c r="D139" t="s">
        <v>292</v>
      </c>
      <c r="E13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39" t="s">
        <v>8</v>
      </c>
      <c r="G139" t="s">
        <v>292</v>
      </c>
      <c r="H139" t="str">
        <f t="shared" si="4"/>
        <v>SI-2/1900-1833</v>
      </c>
      <c r="I139" t="s">
        <v>122</v>
      </c>
      <c r="J139" t="s">
        <v>122</v>
      </c>
      <c r="K139" t="s">
        <v>122</v>
      </c>
      <c r="L139" t="s">
        <v>122</v>
      </c>
      <c r="M139" s="21">
        <v>44593</v>
      </c>
      <c r="N139" t="s">
        <v>123</v>
      </c>
      <c r="O139" t="s">
        <v>198</v>
      </c>
      <c r="P139" t="s">
        <v>199</v>
      </c>
      <c r="Q139" t="s">
        <v>122</v>
      </c>
      <c r="R139" t="s">
        <v>122</v>
      </c>
      <c r="U139">
        <v>1234</v>
      </c>
      <c r="V139">
        <v>0</v>
      </c>
      <c r="W139" t="s">
        <v>200</v>
      </c>
      <c r="X139" t="s">
        <v>9</v>
      </c>
      <c r="Y139" t="s">
        <v>60</v>
      </c>
      <c r="Z139" t="s">
        <v>122</v>
      </c>
      <c r="AA139" t="s">
        <v>122</v>
      </c>
      <c r="AB139" t="s">
        <v>122</v>
      </c>
      <c r="AC139" t="s">
        <v>122</v>
      </c>
      <c r="AF139">
        <v>530</v>
      </c>
      <c r="AG139">
        <v>100</v>
      </c>
      <c r="AH139" t="s">
        <v>124</v>
      </c>
      <c r="AI139">
        <v>1</v>
      </c>
      <c r="AJ139">
        <v>53000</v>
      </c>
      <c r="AK139">
        <v>53000</v>
      </c>
      <c r="AL139">
        <v>0</v>
      </c>
      <c r="AM139">
        <v>0</v>
      </c>
      <c r="AN139">
        <v>0</v>
      </c>
      <c r="AO139">
        <v>0</v>
      </c>
      <c r="AP139">
        <v>90898.07</v>
      </c>
      <c r="AQ139">
        <v>90898.07</v>
      </c>
      <c r="AR139">
        <v>0</v>
      </c>
      <c r="AS139">
        <v>0</v>
      </c>
      <c r="AT139">
        <v>0</v>
      </c>
      <c r="AU139">
        <v>0</v>
      </c>
      <c r="AV139">
        <f>Table1[[#This Row],[CGST]]+Table1[[#This Row],[IGST]]+Table1[[#This Row],[SGST]]</f>
        <v>90898.07</v>
      </c>
      <c r="AW139">
        <f t="shared" si="5"/>
        <v>172</v>
      </c>
      <c r="AX139">
        <v>0</v>
      </c>
      <c r="AY139">
        <v>595887.37</v>
      </c>
      <c r="AZ139" t="s">
        <v>125</v>
      </c>
      <c r="BA139" t="s">
        <v>10</v>
      </c>
      <c r="BB139" t="s">
        <v>126</v>
      </c>
      <c r="BC139" t="s">
        <v>127</v>
      </c>
      <c r="BD139" t="s">
        <v>128</v>
      </c>
      <c r="BE139" t="s">
        <v>16</v>
      </c>
      <c r="BF139" t="s">
        <v>226</v>
      </c>
      <c r="BH139">
        <v>0</v>
      </c>
    </row>
    <row r="140" spans="1:60" x14ac:dyDescent="0.25">
      <c r="A140" t="s">
        <v>120</v>
      </c>
      <c r="B140" t="s">
        <v>121</v>
      </c>
      <c r="C140">
        <v>1234</v>
      </c>
      <c r="D140" t="s">
        <v>292</v>
      </c>
      <c r="E14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40" t="s">
        <v>8</v>
      </c>
      <c r="G140" t="s">
        <v>292</v>
      </c>
      <c r="H140" t="str">
        <f t="shared" si="4"/>
        <v>SI-2/1900-1833</v>
      </c>
      <c r="I140" t="s">
        <v>122</v>
      </c>
      <c r="J140" t="s">
        <v>122</v>
      </c>
      <c r="K140" t="s">
        <v>122</v>
      </c>
      <c r="L140" t="s">
        <v>122</v>
      </c>
      <c r="M140" s="21">
        <v>44593</v>
      </c>
      <c r="N140" t="s">
        <v>123</v>
      </c>
      <c r="O140" t="s">
        <v>198</v>
      </c>
      <c r="P140" t="s">
        <v>199</v>
      </c>
      <c r="Q140" t="s">
        <v>122</v>
      </c>
      <c r="R140" t="s">
        <v>122</v>
      </c>
      <c r="U140">
        <v>1234</v>
      </c>
      <c r="V140">
        <v>0</v>
      </c>
      <c r="W140" t="s">
        <v>200</v>
      </c>
      <c r="X140" t="s">
        <v>9</v>
      </c>
      <c r="Y140" t="s">
        <v>60</v>
      </c>
      <c r="Z140" t="s">
        <v>122</v>
      </c>
      <c r="AA140" t="s">
        <v>122</v>
      </c>
      <c r="AB140" t="s">
        <v>122</v>
      </c>
      <c r="AC140" t="s">
        <v>122</v>
      </c>
      <c r="AF140">
        <v>20</v>
      </c>
      <c r="AG140">
        <v>100</v>
      </c>
      <c r="AH140" t="s">
        <v>124</v>
      </c>
      <c r="AI140">
        <v>1</v>
      </c>
      <c r="AJ140">
        <v>2000</v>
      </c>
      <c r="AK140">
        <v>2000</v>
      </c>
      <c r="AL140">
        <v>0</v>
      </c>
      <c r="AM140">
        <v>0</v>
      </c>
      <c r="AN140">
        <v>0</v>
      </c>
      <c r="AO140">
        <v>0</v>
      </c>
      <c r="AP140">
        <v>3268.8</v>
      </c>
      <c r="AQ140">
        <v>3268.8</v>
      </c>
      <c r="AR140">
        <v>0</v>
      </c>
      <c r="AS140">
        <v>0</v>
      </c>
      <c r="AT140">
        <v>0</v>
      </c>
      <c r="AU140">
        <v>0</v>
      </c>
      <c r="AV140">
        <f>Table1[[#This Row],[CGST]]+Table1[[#This Row],[IGST]]+Table1[[#This Row],[SGST]]</f>
        <v>3268.8</v>
      </c>
      <c r="AW140">
        <f t="shared" si="5"/>
        <v>163</v>
      </c>
      <c r="AX140">
        <v>0</v>
      </c>
      <c r="AY140">
        <v>21428.799999999999</v>
      </c>
      <c r="AZ140" t="s">
        <v>125</v>
      </c>
      <c r="BA140" t="s">
        <v>10</v>
      </c>
      <c r="BB140" t="s">
        <v>126</v>
      </c>
      <c r="BC140" t="s">
        <v>127</v>
      </c>
      <c r="BD140" t="s">
        <v>128</v>
      </c>
      <c r="BE140" t="s">
        <v>16</v>
      </c>
      <c r="BF140" t="s">
        <v>226</v>
      </c>
      <c r="BH140">
        <v>0</v>
      </c>
    </row>
    <row r="141" spans="1:60" x14ac:dyDescent="0.25">
      <c r="A141" t="s">
        <v>120</v>
      </c>
      <c r="B141" t="s">
        <v>121</v>
      </c>
      <c r="C141">
        <v>1234</v>
      </c>
      <c r="D141" t="s">
        <v>293</v>
      </c>
      <c r="E14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41" t="s">
        <v>8</v>
      </c>
      <c r="G141" t="s">
        <v>293</v>
      </c>
      <c r="H141" t="str">
        <f t="shared" si="4"/>
        <v>SI-2/1900-1834</v>
      </c>
      <c r="I141" t="s">
        <v>122</v>
      </c>
      <c r="J141" t="s">
        <v>122</v>
      </c>
      <c r="K141" t="s">
        <v>122</v>
      </c>
      <c r="L141" t="s">
        <v>122</v>
      </c>
      <c r="M141" s="21">
        <v>44593</v>
      </c>
      <c r="N141" t="s">
        <v>123</v>
      </c>
      <c r="O141" t="s">
        <v>198</v>
      </c>
      <c r="P141" t="s">
        <v>199</v>
      </c>
      <c r="Q141" t="s">
        <v>122</v>
      </c>
      <c r="R141" t="s">
        <v>122</v>
      </c>
      <c r="U141">
        <v>1234</v>
      </c>
      <c r="V141">
        <v>0</v>
      </c>
      <c r="W141" t="s">
        <v>200</v>
      </c>
      <c r="X141" t="s">
        <v>9</v>
      </c>
      <c r="Y141" t="s">
        <v>60</v>
      </c>
      <c r="Z141" t="s">
        <v>122</v>
      </c>
      <c r="AA141" t="s">
        <v>122</v>
      </c>
      <c r="AB141" t="s">
        <v>122</v>
      </c>
      <c r="AC141" t="s">
        <v>122</v>
      </c>
      <c r="AF141">
        <v>100</v>
      </c>
      <c r="AG141">
        <v>100</v>
      </c>
      <c r="AH141" t="s">
        <v>124</v>
      </c>
      <c r="AI141">
        <v>1</v>
      </c>
      <c r="AJ141">
        <v>10000</v>
      </c>
      <c r="AK141">
        <v>10000</v>
      </c>
      <c r="AL141">
        <v>0</v>
      </c>
      <c r="AM141">
        <v>0</v>
      </c>
      <c r="AN141">
        <v>0</v>
      </c>
      <c r="AO141">
        <v>0</v>
      </c>
      <c r="AP141">
        <v>17150.580000000002</v>
      </c>
      <c r="AQ141">
        <v>17150.580000000002</v>
      </c>
      <c r="AR141">
        <v>0</v>
      </c>
      <c r="AS141">
        <v>0</v>
      </c>
      <c r="AT141">
        <v>0</v>
      </c>
      <c r="AU141">
        <v>0</v>
      </c>
      <c r="AV141">
        <f>Table1[[#This Row],[CGST]]+Table1[[#This Row],[IGST]]+Table1[[#This Row],[SGST]]</f>
        <v>17150.580000000002</v>
      </c>
      <c r="AW141">
        <f t="shared" si="5"/>
        <v>172</v>
      </c>
      <c r="AX141">
        <v>0</v>
      </c>
      <c r="AY141">
        <v>112431.58</v>
      </c>
      <c r="AZ141" t="s">
        <v>125</v>
      </c>
      <c r="BA141" t="s">
        <v>10</v>
      </c>
      <c r="BB141" t="s">
        <v>126</v>
      </c>
      <c r="BC141" t="s">
        <v>127</v>
      </c>
      <c r="BD141" t="s">
        <v>128</v>
      </c>
      <c r="BE141" t="s">
        <v>19</v>
      </c>
      <c r="BF141" t="s">
        <v>226</v>
      </c>
      <c r="BH141">
        <v>0</v>
      </c>
    </row>
    <row r="142" spans="1:60" x14ac:dyDescent="0.25">
      <c r="A142" t="s">
        <v>120</v>
      </c>
      <c r="B142" t="s">
        <v>121</v>
      </c>
      <c r="C142">
        <v>1234</v>
      </c>
      <c r="D142" t="s">
        <v>293</v>
      </c>
      <c r="E14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42" t="s">
        <v>8</v>
      </c>
      <c r="G142" t="s">
        <v>293</v>
      </c>
      <c r="H142" t="str">
        <f t="shared" si="4"/>
        <v>SI-2/1900-1834</v>
      </c>
      <c r="I142" t="s">
        <v>122</v>
      </c>
      <c r="J142" t="s">
        <v>122</v>
      </c>
      <c r="K142" t="s">
        <v>122</v>
      </c>
      <c r="L142" t="s">
        <v>122</v>
      </c>
      <c r="M142" s="21">
        <v>44593</v>
      </c>
      <c r="N142" t="s">
        <v>123</v>
      </c>
      <c r="O142" t="s">
        <v>198</v>
      </c>
      <c r="P142" t="s">
        <v>199</v>
      </c>
      <c r="Q142" t="s">
        <v>122</v>
      </c>
      <c r="R142" t="s">
        <v>122</v>
      </c>
      <c r="U142">
        <v>1234</v>
      </c>
      <c r="V142">
        <v>0</v>
      </c>
      <c r="W142" t="s">
        <v>200</v>
      </c>
      <c r="X142" t="s">
        <v>9</v>
      </c>
      <c r="Y142" t="s">
        <v>60</v>
      </c>
      <c r="Z142" t="s">
        <v>122</v>
      </c>
      <c r="AA142" t="s">
        <v>122</v>
      </c>
      <c r="AB142" t="s">
        <v>122</v>
      </c>
      <c r="AC142" t="s">
        <v>122</v>
      </c>
      <c r="AF142">
        <v>10</v>
      </c>
      <c r="AG142">
        <v>100</v>
      </c>
      <c r="AH142" t="s">
        <v>124</v>
      </c>
      <c r="AI142">
        <v>1</v>
      </c>
      <c r="AJ142">
        <v>1000</v>
      </c>
      <c r="AK142">
        <v>1000</v>
      </c>
      <c r="AL142">
        <v>0</v>
      </c>
      <c r="AM142">
        <v>0</v>
      </c>
      <c r="AN142">
        <v>0</v>
      </c>
      <c r="AO142">
        <v>0</v>
      </c>
      <c r="AP142">
        <v>1952.28</v>
      </c>
      <c r="AQ142">
        <v>1952.28</v>
      </c>
      <c r="AR142">
        <v>0</v>
      </c>
      <c r="AS142">
        <v>0</v>
      </c>
      <c r="AT142">
        <v>0</v>
      </c>
      <c r="AU142">
        <v>0</v>
      </c>
      <c r="AV142">
        <f>Table1[[#This Row],[CGST]]+Table1[[#This Row],[IGST]]+Table1[[#This Row],[SGST]]</f>
        <v>1952.28</v>
      </c>
      <c r="AW142">
        <f t="shared" si="5"/>
        <v>195</v>
      </c>
      <c r="AX142">
        <v>0</v>
      </c>
      <c r="AY142">
        <v>12798.28</v>
      </c>
      <c r="AZ142" t="s">
        <v>125</v>
      </c>
      <c r="BA142" t="s">
        <v>10</v>
      </c>
      <c r="BB142" t="s">
        <v>126</v>
      </c>
      <c r="BC142" t="s">
        <v>127</v>
      </c>
      <c r="BD142" t="s">
        <v>128</v>
      </c>
      <c r="BE142" t="s">
        <v>19</v>
      </c>
      <c r="BF142" t="s">
        <v>221</v>
      </c>
      <c r="BH142">
        <v>0</v>
      </c>
    </row>
    <row r="143" spans="1:60" x14ac:dyDescent="0.25">
      <c r="A143" t="s">
        <v>120</v>
      </c>
      <c r="B143" t="s">
        <v>121</v>
      </c>
      <c r="C143">
        <v>1234</v>
      </c>
      <c r="D143" t="s">
        <v>293</v>
      </c>
      <c r="E14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43" t="s">
        <v>8</v>
      </c>
      <c r="G143" t="s">
        <v>293</v>
      </c>
      <c r="H143" t="str">
        <f t="shared" si="4"/>
        <v>SI-2/1900-1834</v>
      </c>
      <c r="I143" t="s">
        <v>122</v>
      </c>
      <c r="J143" t="s">
        <v>122</v>
      </c>
      <c r="K143" t="s">
        <v>122</v>
      </c>
      <c r="L143" t="s">
        <v>122</v>
      </c>
      <c r="M143" s="21">
        <v>44593</v>
      </c>
      <c r="N143" t="s">
        <v>123</v>
      </c>
      <c r="O143" t="s">
        <v>198</v>
      </c>
      <c r="P143" t="s">
        <v>199</v>
      </c>
      <c r="Q143" t="s">
        <v>122</v>
      </c>
      <c r="R143" t="s">
        <v>122</v>
      </c>
      <c r="U143">
        <v>1234</v>
      </c>
      <c r="V143">
        <v>0</v>
      </c>
      <c r="W143" t="s">
        <v>200</v>
      </c>
      <c r="X143" t="s">
        <v>9</v>
      </c>
      <c r="Y143" t="s">
        <v>60</v>
      </c>
      <c r="Z143" t="s">
        <v>122</v>
      </c>
      <c r="AA143" t="s">
        <v>122</v>
      </c>
      <c r="AB143" t="s">
        <v>122</v>
      </c>
      <c r="AC143" t="s">
        <v>122</v>
      </c>
      <c r="AF143">
        <v>10</v>
      </c>
      <c r="AG143">
        <v>100</v>
      </c>
      <c r="AH143" t="s">
        <v>124</v>
      </c>
      <c r="AI143">
        <v>1</v>
      </c>
      <c r="AJ143">
        <v>1000</v>
      </c>
      <c r="AK143">
        <v>1000</v>
      </c>
      <c r="AL143">
        <v>0</v>
      </c>
      <c r="AM143">
        <v>0</v>
      </c>
      <c r="AN143">
        <v>0</v>
      </c>
      <c r="AO143">
        <v>0</v>
      </c>
      <c r="AP143">
        <v>1634.4</v>
      </c>
      <c r="AQ143">
        <v>1634.4</v>
      </c>
      <c r="AR143">
        <v>0</v>
      </c>
      <c r="AS143">
        <v>0</v>
      </c>
      <c r="AT143">
        <v>0</v>
      </c>
      <c r="AU143">
        <v>0</v>
      </c>
      <c r="AV143">
        <f>Table1[[#This Row],[CGST]]+Table1[[#This Row],[IGST]]+Table1[[#This Row],[SGST]]</f>
        <v>1634.4</v>
      </c>
      <c r="AW143">
        <f t="shared" si="5"/>
        <v>163</v>
      </c>
      <c r="AX143">
        <v>0</v>
      </c>
      <c r="AY143">
        <v>10714.4</v>
      </c>
      <c r="AZ143" t="s">
        <v>125</v>
      </c>
      <c r="BA143" t="s">
        <v>10</v>
      </c>
      <c r="BB143" t="s">
        <v>126</v>
      </c>
      <c r="BC143" t="s">
        <v>127</v>
      </c>
      <c r="BD143" t="s">
        <v>128</v>
      </c>
      <c r="BE143" t="s">
        <v>19</v>
      </c>
      <c r="BF143" t="s">
        <v>221</v>
      </c>
      <c r="BH143">
        <v>0</v>
      </c>
    </row>
    <row r="144" spans="1:60" x14ac:dyDescent="0.25">
      <c r="A144" t="s">
        <v>120</v>
      </c>
      <c r="B144" t="s">
        <v>121</v>
      </c>
      <c r="C144">
        <v>1234</v>
      </c>
      <c r="D144" t="s">
        <v>294</v>
      </c>
      <c r="E14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44" t="s">
        <v>8</v>
      </c>
      <c r="G144" t="s">
        <v>294</v>
      </c>
      <c r="H144" t="str">
        <f t="shared" si="4"/>
        <v>SI-2/1900-1835</v>
      </c>
      <c r="I144" t="s">
        <v>122</v>
      </c>
      <c r="J144" t="s">
        <v>122</v>
      </c>
      <c r="K144" t="s">
        <v>122</v>
      </c>
      <c r="L144" t="s">
        <v>122</v>
      </c>
      <c r="M144" s="21">
        <v>44593</v>
      </c>
      <c r="N144" t="s">
        <v>123</v>
      </c>
      <c r="O144" t="s">
        <v>198</v>
      </c>
      <c r="P144" t="s">
        <v>199</v>
      </c>
      <c r="Q144" t="s">
        <v>122</v>
      </c>
      <c r="R144" t="s">
        <v>122</v>
      </c>
      <c r="U144">
        <v>1234</v>
      </c>
      <c r="V144">
        <v>0</v>
      </c>
      <c r="W144" t="s">
        <v>200</v>
      </c>
      <c r="X144" t="s">
        <v>9</v>
      </c>
      <c r="Y144" t="s">
        <v>60</v>
      </c>
      <c r="Z144" t="s">
        <v>122</v>
      </c>
      <c r="AA144" t="s">
        <v>122</v>
      </c>
      <c r="AB144" t="s">
        <v>122</v>
      </c>
      <c r="AC144" t="s">
        <v>122</v>
      </c>
      <c r="AF144">
        <v>450</v>
      </c>
      <c r="AG144">
        <v>100</v>
      </c>
      <c r="AH144" t="s">
        <v>124</v>
      </c>
      <c r="AI144">
        <v>1</v>
      </c>
      <c r="AJ144">
        <v>45000</v>
      </c>
      <c r="AK144">
        <v>45000</v>
      </c>
      <c r="AL144">
        <v>0</v>
      </c>
      <c r="AM144">
        <v>0</v>
      </c>
      <c r="AN144">
        <v>0</v>
      </c>
      <c r="AO144">
        <v>0</v>
      </c>
      <c r="AP144">
        <v>63606.06</v>
      </c>
      <c r="AQ144">
        <v>63606.06</v>
      </c>
      <c r="AR144">
        <v>0</v>
      </c>
      <c r="AS144">
        <v>0</v>
      </c>
      <c r="AT144">
        <v>0</v>
      </c>
      <c r="AU144">
        <v>0</v>
      </c>
      <c r="AV144">
        <f>Table1[[#This Row],[CGST]]+Table1[[#This Row],[IGST]]+Table1[[#This Row],[SGST]]</f>
        <v>63606.06</v>
      </c>
      <c r="AW144">
        <f t="shared" si="5"/>
        <v>141</v>
      </c>
      <c r="AX144">
        <v>0</v>
      </c>
      <c r="AY144">
        <v>416973.06</v>
      </c>
      <c r="AZ144" t="s">
        <v>125</v>
      </c>
      <c r="BA144" t="s">
        <v>10</v>
      </c>
      <c r="BB144" t="s">
        <v>126</v>
      </c>
      <c r="BC144" t="s">
        <v>127</v>
      </c>
      <c r="BD144" t="s">
        <v>128</v>
      </c>
      <c r="BE144" t="s">
        <v>32</v>
      </c>
      <c r="BF144" t="s">
        <v>221</v>
      </c>
      <c r="BH144">
        <v>0</v>
      </c>
    </row>
    <row r="145" spans="1:60" x14ac:dyDescent="0.25">
      <c r="A145" t="s">
        <v>120</v>
      </c>
      <c r="B145" t="s">
        <v>121</v>
      </c>
      <c r="C145">
        <v>1234</v>
      </c>
      <c r="D145" t="s">
        <v>294</v>
      </c>
      <c r="E14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45" t="s">
        <v>8</v>
      </c>
      <c r="G145" t="s">
        <v>294</v>
      </c>
      <c r="H145" t="str">
        <f t="shared" si="4"/>
        <v>SI-2/1900-1835</v>
      </c>
      <c r="I145" t="s">
        <v>122</v>
      </c>
      <c r="J145" t="s">
        <v>122</v>
      </c>
      <c r="K145" t="s">
        <v>122</v>
      </c>
      <c r="L145" t="s">
        <v>122</v>
      </c>
      <c r="M145" s="21">
        <v>44593</v>
      </c>
      <c r="N145" t="s">
        <v>123</v>
      </c>
      <c r="O145" t="s">
        <v>198</v>
      </c>
      <c r="P145" t="s">
        <v>199</v>
      </c>
      <c r="Q145" t="s">
        <v>122</v>
      </c>
      <c r="R145" t="s">
        <v>122</v>
      </c>
      <c r="U145">
        <v>1234</v>
      </c>
      <c r="V145">
        <v>0</v>
      </c>
      <c r="W145" t="s">
        <v>200</v>
      </c>
      <c r="X145" t="s">
        <v>9</v>
      </c>
      <c r="Y145" t="s">
        <v>60</v>
      </c>
      <c r="Z145" t="s">
        <v>122</v>
      </c>
      <c r="AA145" t="s">
        <v>122</v>
      </c>
      <c r="AB145" t="s">
        <v>122</v>
      </c>
      <c r="AC145" t="s">
        <v>122</v>
      </c>
      <c r="AF145">
        <v>150</v>
      </c>
      <c r="AG145">
        <v>100</v>
      </c>
      <c r="AH145" t="s">
        <v>124</v>
      </c>
      <c r="AI145">
        <v>1</v>
      </c>
      <c r="AJ145">
        <v>15000</v>
      </c>
      <c r="AK145">
        <v>15000</v>
      </c>
      <c r="AL145">
        <v>0</v>
      </c>
      <c r="AM145">
        <v>0</v>
      </c>
      <c r="AN145">
        <v>0</v>
      </c>
      <c r="AO145">
        <v>0</v>
      </c>
      <c r="AP145">
        <v>18805.5</v>
      </c>
      <c r="AQ145">
        <v>18805.5</v>
      </c>
      <c r="AR145">
        <v>0</v>
      </c>
      <c r="AS145">
        <v>0</v>
      </c>
      <c r="AT145">
        <v>0</v>
      </c>
      <c r="AU145">
        <v>0</v>
      </c>
      <c r="AV145">
        <f>Table1[[#This Row],[CGST]]+Table1[[#This Row],[IGST]]+Table1[[#This Row],[SGST]]</f>
        <v>18805.5</v>
      </c>
      <c r="AW145">
        <f t="shared" si="5"/>
        <v>125</v>
      </c>
      <c r="AX145">
        <v>0</v>
      </c>
      <c r="AY145">
        <v>123280.5</v>
      </c>
      <c r="AZ145" t="s">
        <v>125</v>
      </c>
      <c r="BA145" t="s">
        <v>10</v>
      </c>
      <c r="BB145" t="s">
        <v>126</v>
      </c>
      <c r="BC145" t="s">
        <v>127</v>
      </c>
      <c r="BD145" t="s">
        <v>128</v>
      </c>
      <c r="BE145" t="s">
        <v>32</v>
      </c>
      <c r="BF145" t="s">
        <v>221</v>
      </c>
      <c r="BH145">
        <v>0</v>
      </c>
    </row>
    <row r="146" spans="1:60" x14ac:dyDescent="0.25">
      <c r="A146" t="s">
        <v>120</v>
      </c>
      <c r="B146" t="s">
        <v>121</v>
      </c>
      <c r="C146">
        <v>1234</v>
      </c>
      <c r="D146" t="s">
        <v>294</v>
      </c>
      <c r="E14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46" t="s">
        <v>8</v>
      </c>
      <c r="G146" t="s">
        <v>294</v>
      </c>
      <c r="H146" t="str">
        <f t="shared" si="4"/>
        <v>SI-2/1900-1835</v>
      </c>
      <c r="I146" t="s">
        <v>122</v>
      </c>
      <c r="J146" t="s">
        <v>122</v>
      </c>
      <c r="K146" t="s">
        <v>122</v>
      </c>
      <c r="L146" t="s">
        <v>122</v>
      </c>
      <c r="M146" s="21">
        <v>44593</v>
      </c>
      <c r="N146" t="s">
        <v>123</v>
      </c>
      <c r="O146" t="s">
        <v>198</v>
      </c>
      <c r="P146" t="s">
        <v>199</v>
      </c>
      <c r="Q146" t="s">
        <v>122</v>
      </c>
      <c r="R146" t="s">
        <v>122</v>
      </c>
      <c r="U146">
        <v>1234</v>
      </c>
      <c r="V146">
        <v>0</v>
      </c>
      <c r="W146" t="s">
        <v>200</v>
      </c>
      <c r="X146" t="s">
        <v>9</v>
      </c>
      <c r="Y146" t="s">
        <v>60</v>
      </c>
      <c r="Z146" t="s">
        <v>122</v>
      </c>
      <c r="AA146" t="s">
        <v>122</v>
      </c>
      <c r="AB146" t="s">
        <v>122</v>
      </c>
      <c r="AC146" t="s">
        <v>122</v>
      </c>
      <c r="AF146">
        <v>50</v>
      </c>
      <c r="AG146">
        <v>100</v>
      </c>
      <c r="AH146" t="s">
        <v>124</v>
      </c>
      <c r="AI146">
        <v>1</v>
      </c>
      <c r="AJ146">
        <v>5000</v>
      </c>
      <c r="AK146">
        <v>5000</v>
      </c>
      <c r="AL146">
        <v>0</v>
      </c>
      <c r="AM146">
        <v>0</v>
      </c>
      <c r="AN146">
        <v>0</v>
      </c>
      <c r="AO146">
        <v>0</v>
      </c>
      <c r="AP146">
        <v>8937</v>
      </c>
      <c r="AQ146">
        <v>8937</v>
      </c>
      <c r="AR146">
        <v>0</v>
      </c>
      <c r="AS146">
        <v>0</v>
      </c>
      <c r="AT146">
        <v>0</v>
      </c>
      <c r="AU146">
        <v>0</v>
      </c>
      <c r="AV146">
        <f>Table1[[#This Row],[CGST]]+Table1[[#This Row],[IGST]]+Table1[[#This Row],[SGST]]</f>
        <v>8937</v>
      </c>
      <c r="AW146">
        <f t="shared" si="5"/>
        <v>179</v>
      </c>
      <c r="AX146">
        <v>0</v>
      </c>
      <c r="AY146">
        <v>58587</v>
      </c>
      <c r="AZ146" t="s">
        <v>125</v>
      </c>
      <c r="BA146" t="s">
        <v>10</v>
      </c>
      <c r="BB146" t="s">
        <v>126</v>
      </c>
      <c r="BC146" t="s">
        <v>127</v>
      </c>
      <c r="BD146" t="s">
        <v>128</v>
      </c>
      <c r="BE146" t="s">
        <v>32</v>
      </c>
      <c r="BF146" t="s">
        <v>221</v>
      </c>
      <c r="BH146">
        <v>0</v>
      </c>
    </row>
    <row r="147" spans="1:60" x14ac:dyDescent="0.25">
      <c r="A147" t="s">
        <v>120</v>
      </c>
      <c r="B147" t="s">
        <v>121</v>
      </c>
      <c r="C147">
        <v>1234</v>
      </c>
      <c r="D147" t="s">
        <v>294</v>
      </c>
      <c r="E14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47" t="s">
        <v>8</v>
      </c>
      <c r="G147" t="s">
        <v>294</v>
      </c>
      <c r="H147" t="str">
        <f t="shared" si="4"/>
        <v>SI-2/1900-1835</v>
      </c>
      <c r="I147" t="s">
        <v>122</v>
      </c>
      <c r="J147" t="s">
        <v>122</v>
      </c>
      <c r="K147" t="s">
        <v>122</v>
      </c>
      <c r="L147" t="s">
        <v>122</v>
      </c>
      <c r="M147" s="21">
        <v>44593</v>
      </c>
      <c r="N147" t="s">
        <v>123</v>
      </c>
      <c r="O147" t="s">
        <v>198</v>
      </c>
      <c r="P147" t="s">
        <v>199</v>
      </c>
      <c r="Q147" t="s">
        <v>122</v>
      </c>
      <c r="R147" t="s">
        <v>122</v>
      </c>
      <c r="U147">
        <v>1234</v>
      </c>
      <c r="V147">
        <v>0</v>
      </c>
      <c r="W147" t="s">
        <v>200</v>
      </c>
      <c r="X147" t="s">
        <v>9</v>
      </c>
      <c r="Y147" t="s">
        <v>60</v>
      </c>
      <c r="Z147" t="s">
        <v>122</v>
      </c>
      <c r="AA147" t="s">
        <v>122</v>
      </c>
      <c r="AB147" t="s">
        <v>122</v>
      </c>
      <c r="AC147" t="s">
        <v>122</v>
      </c>
      <c r="AF147">
        <v>10</v>
      </c>
      <c r="AG147">
        <v>100</v>
      </c>
      <c r="AH147" t="s">
        <v>124</v>
      </c>
      <c r="AI147">
        <v>1</v>
      </c>
      <c r="AJ147">
        <v>1000</v>
      </c>
      <c r="AK147">
        <v>1000</v>
      </c>
      <c r="AL147">
        <v>0</v>
      </c>
      <c r="AM147">
        <v>0</v>
      </c>
      <c r="AN147">
        <v>0</v>
      </c>
      <c r="AO147">
        <v>0</v>
      </c>
      <c r="AP147">
        <v>1879.92</v>
      </c>
      <c r="AQ147">
        <v>1879.92</v>
      </c>
      <c r="AR147">
        <v>0</v>
      </c>
      <c r="AS147">
        <v>0</v>
      </c>
      <c r="AT147">
        <v>0</v>
      </c>
      <c r="AU147">
        <v>0</v>
      </c>
      <c r="AV147">
        <f>Table1[[#This Row],[CGST]]+Table1[[#This Row],[IGST]]+Table1[[#This Row],[SGST]]</f>
        <v>1879.92</v>
      </c>
      <c r="AW147">
        <f t="shared" si="5"/>
        <v>188</v>
      </c>
      <c r="AX147">
        <v>0</v>
      </c>
      <c r="AY147">
        <v>12323.92</v>
      </c>
      <c r="AZ147" t="s">
        <v>125</v>
      </c>
      <c r="BA147" t="s">
        <v>10</v>
      </c>
      <c r="BB147" t="s">
        <v>126</v>
      </c>
      <c r="BC147" t="s">
        <v>127</v>
      </c>
      <c r="BD147" t="s">
        <v>128</v>
      </c>
      <c r="BE147" t="s">
        <v>32</v>
      </c>
      <c r="BF147" t="s">
        <v>221</v>
      </c>
      <c r="BH147">
        <v>0</v>
      </c>
    </row>
    <row r="148" spans="1:60" x14ac:dyDescent="0.25">
      <c r="A148" t="s">
        <v>120</v>
      </c>
      <c r="B148" t="s">
        <v>121</v>
      </c>
      <c r="C148">
        <v>1234</v>
      </c>
      <c r="D148" t="s">
        <v>294</v>
      </c>
      <c r="E14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48" t="s">
        <v>8</v>
      </c>
      <c r="G148" t="s">
        <v>294</v>
      </c>
      <c r="H148" t="str">
        <f t="shared" si="4"/>
        <v>SI-2/1900-1835</v>
      </c>
      <c r="I148" t="s">
        <v>122</v>
      </c>
      <c r="J148" t="s">
        <v>122</v>
      </c>
      <c r="K148" t="s">
        <v>122</v>
      </c>
      <c r="L148" t="s">
        <v>122</v>
      </c>
      <c r="M148" s="21">
        <v>44593</v>
      </c>
      <c r="N148" t="s">
        <v>123</v>
      </c>
      <c r="O148" t="s">
        <v>198</v>
      </c>
      <c r="P148" t="s">
        <v>199</v>
      </c>
      <c r="Q148" t="s">
        <v>122</v>
      </c>
      <c r="R148" t="s">
        <v>122</v>
      </c>
      <c r="U148">
        <v>1234</v>
      </c>
      <c r="V148">
        <v>0</v>
      </c>
      <c r="W148" t="s">
        <v>200</v>
      </c>
      <c r="X148" t="s">
        <v>9</v>
      </c>
      <c r="Y148" t="s">
        <v>60</v>
      </c>
      <c r="Z148" t="s">
        <v>122</v>
      </c>
      <c r="AA148" t="s">
        <v>122</v>
      </c>
      <c r="AB148" t="s">
        <v>122</v>
      </c>
      <c r="AC148" t="s">
        <v>122</v>
      </c>
      <c r="AF148">
        <v>70</v>
      </c>
      <c r="AG148">
        <v>100</v>
      </c>
      <c r="AH148" t="s">
        <v>124</v>
      </c>
      <c r="AI148">
        <v>1</v>
      </c>
      <c r="AJ148">
        <v>7000</v>
      </c>
      <c r="AK148">
        <v>7000</v>
      </c>
      <c r="AL148">
        <v>0</v>
      </c>
      <c r="AM148">
        <v>0</v>
      </c>
      <c r="AN148">
        <v>0</v>
      </c>
      <c r="AO148">
        <v>0</v>
      </c>
      <c r="AP148">
        <v>13665.96</v>
      </c>
      <c r="AQ148">
        <v>13665.96</v>
      </c>
      <c r="AR148">
        <v>0</v>
      </c>
      <c r="AS148">
        <v>0</v>
      </c>
      <c r="AT148">
        <v>0</v>
      </c>
      <c r="AU148">
        <v>0</v>
      </c>
      <c r="AV148">
        <f>Table1[[#This Row],[CGST]]+Table1[[#This Row],[IGST]]+Table1[[#This Row],[SGST]]</f>
        <v>13665.96</v>
      </c>
      <c r="AW148">
        <f t="shared" si="5"/>
        <v>195</v>
      </c>
      <c r="AX148">
        <v>0</v>
      </c>
      <c r="AY148">
        <v>89587.96</v>
      </c>
      <c r="AZ148" t="s">
        <v>125</v>
      </c>
      <c r="BA148" t="s">
        <v>10</v>
      </c>
      <c r="BB148" t="s">
        <v>126</v>
      </c>
      <c r="BC148" t="s">
        <v>127</v>
      </c>
      <c r="BD148" t="s">
        <v>128</v>
      </c>
      <c r="BE148" t="s">
        <v>32</v>
      </c>
      <c r="BF148" t="s">
        <v>207</v>
      </c>
      <c r="BH148">
        <v>0</v>
      </c>
    </row>
    <row r="149" spans="1:60" x14ac:dyDescent="0.25">
      <c r="A149" t="s">
        <v>120</v>
      </c>
      <c r="B149" t="s">
        <v>121</v>
      </c>
      <c r="C149">
        <v>1234</v>
      </c>
      <c r="D149" t="s">
        <v>294</v>
      </c>
      <c r="E14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49" t="s">
        <v>8</v>
      </c>
      <c r="G149" t="s">
        <v>294</v>
      </c>
      <c r="H149" t="str">
        <f t="shared" si="4"/>
        <v>SI-2/1900-1835</v>
      </c>
      <c r="I149" t="s">
        <v>122</v>
      </c>
      <c r="J149" t="s">
        <v>122</v>
      </c>
      <c r="K149" t="s">
        <v>122</v>
      </c>
      <c r="L149" t="s">
        <v>122</v>
      </c>
      <c r="M149" s="21">
        <v>44593</v>
      </c>
      <c r="N149" t="s">
        <v>123</v>
      </c>
      <c r="O149" t="s">
        <v>198</v>
      </c>
      <c r="P149" t="s">
        <v>199</v>
      </c>
      <c r="Q149" t="s">
        <v>122</v>
      </c>
      <c r="R149" t="s">
        <v>122</v>
      </c>
      <c r="U149">
        <v>1234</v>
      </c>
      <c r="V149">
        <v>0</v>
      </c>
      <c r="W149" t="s">
        <v>200</v>
      </c>
      <c r="X149" t="s">
        <v>9</v>
      </c>
      <c r="Y149" t="s">
        <v>60</v>
      </c>
      <c r="Z149" t="s">
        <v>122</v>
      </c>
      <c r="AA149" t="s">
        <v>122</v>
      </c>
      <c r="AB149" t="s">
        <v>122</v>
      </c>
      <c r="AC149" t="s">
        <v>122</v>
      </c>
      <c r="AF149">
        <v>40</v>
      </c>
      <c r="AG149">
        <v>100</v>
      </c>
      <c r="AH149" t="s">
        <v>124</v>
      </c>
      <c r="AI149">
        <v>1</v>
      </c>
      <c r="AJ149">
        <v>4000</v>
      </c>
      <c r="AK149">
        <v>4000</v>
      </c>
      <c r="AL149">
        <v>0</v>
      </c>
      <c r="AM149">
        <v>0</v>
      </c>
      <c r="AN149">
        <v>0</v>
      </c>
      <c r="AO149">
        <v>0</v>
      </c>
      <c r="AP149">
        <v>6537.6</v>
      </c>
      <c r="AQ149">
        <v>6537.6</v>
      </c>
      <c r="AR149">
        <v>0</v>
      </c>
      <c r="AS149">
        <v>0</v>
      </c>
      <c r="AT149">
        <v>0</v>
      </c>
      <c r="AU149">
        <v>0</v>
      </c>
      <c r="AV149">
        <f>Table1[[#This Row],[CGST]]+Table1[[#This Row],[IGST]]+Table1[[#This Row],[SGST]]</f>
        <v>6537.6</v>
      </c>
      <c r="AW149">
        <f t="shared" si="5"/>
        <v>163</v>
      </c>
      <c r="AX149">
        <v>0</v>
      </c>
      <c r="AY149">
        <v>42857.599999999999</v>
      </c>
      <c r="AZ149" t="s">
        <v>125</v>
      </c>
      <c r="BA149" t="s">
        <v>10</v>
      </c>
      <c r="BB149" t="s">
        <v>126</v>
      </c>
      <c r="BC149" t="s">
        <v>127</v>
      </c>
      <c r="BD149" t="s">
        <v>128</v>
      </c>
      <c r="BE149" t="s">
        <v>32</v>
      </c>
      <c r="BF149" t="s">
        <v>207</v>
      </c>
      <c r="BH149">
        <v>0</v>
      </c>
    </row>
    <row r="150" spans="1:60" x14ac:dyDescent="0.25">
      <c r="A150" t="s">
        <v>120</v>
      </c>
      <c r="B150" t="s">
        <v>121</v>
      </c>
      <c r="C150">
        <v>1234</v>
      </c>
      <c r="D150" t="s">
        <v>295</v>
      </c>
      <c r="E15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50" t="s">
        <v>8</v>
      </c>
      <c r="G150" t="s">
        <v>295</v>
      </c>
      <c r="H150" t="str">
        <f t="shared" si="4"/>
        <v>SI-2/1900-1836</v>
      </c>
      <c r="I150" t="s">
        <v>122</v>
      </c>
      <c r="J150" t="s">
        <v>122</v>
      </c>
      <c r="K150" t="s">
        <v>122</v>
      </c>
      <c r="L150" t="s">
        <v>122</v>
      </c>
      <c r="M150" s="21">
        <v>44593</v>
      </c>
      <c r="N150" t="s">
        <v>123</v>
      </c>
      <c r="O150" t="s">
        <v>198</v>
      </c>
      <c r="P150" t="s">
        <v>199</v>
      </c>
      <c r="Q150" t="s">
        <v>122</v>
      </c>
      <c r="R150" t="s">
        <v>122</v>
      </c>
      <c r="U150">
        <v>1234</v>
      </c>
      <c r="V150">
        <v>0</v>
      </c>
      <c r="W150" t="s">
        <v>200</v>
      </c>
      <c r="X150" t="s">
        <v>9</v>
      </c>
      <c r="Y150" t="s">
        <v>60</v>
      </c>
      <c r="Z150" t="s">
        <v>122</v>
      </c>
      <c r="AA150" t="s">
        <v>122</v>
      </c>
      <c r="AB150" t="s">
        <v>122</v>
      </c>
      <c r="AC150" t="s">
        <v>122</v>
      </c>
      <c r="AF150">
        <v>420</v>
      </c>
      <c r="AG150">
        <v>100</v>
      </c>
      <c r="AH150" t="s">
        <v>124</v>
      </c>
      <c r="AI150">
        <v>1</v>
      </c>
      <c r="AJ150">
        <v>42000</v>
      </c>
      <c r="AK150">
        <v>42000</v>
      </c>
      <c r="AL150">
        <v>0</v>
      </c>
      <c r="AM150">
        <v>0</v>
      </c>
      <c r="AN150">
        <v>0</v>
      </c>
      <c r="AO150">
        <v>0</v>
      </c>
      <c r="AP150">
        <v>59365.66</v>
      </c>
      <c r="AQ150">
        <v>59365.66</v>
      </c>
      <c r="AR150">
        <v>0</v>
      </c>
      <c r="AS150">
        <v>0</v>
      </c>
      <c r="AT150">
        <v>0</v>
      </c>
      <c r="AU150">
        <v>0</v>
      </c>
      <c r="AV150">
        <f>Table1[[#This Row],[CGST]]+Table1[[#This Row],[IGST]]+Table1[[#This Row],[SGST]]</f>
        <v>59365.66</v>
      </c>
      <c r="AW150">
        <f t="shared" si="5"/>
        <v>141</v>
      </c>
      <c r="AX150">
        <v>0</v>
      </c>
      <c r="AY150">
        <v>389174.86</v>
      </c>
      <c r="AZ150" t="s">
        <v>125</v>
      </c>
      <c r="BA150" t="s">
        <v>10</v>
      </c>
      <c r="BB150" t="s">
        <v>126</v>
      </c>
      <c r="BC150" t="s">
        <v>127</v>
      </c>
      <c r="BD150" t="s">
        <v>128</v>
      </c>
      <c r="BE150" t="s">
        <v>18</v>
      </c>
      <c r="BF150" t="s">
        <v>207</v>
      </c>
      <c r="BH150">
        <v>0</v>
      </c>
    </row>
    <row r="151" spans="1:60" x14ac:dyDescent="0.25">
      <c r="A151" t="s">
        <v>120</v>
      </c>
      <c r="B151" t="s">
        <v>121</v>
      </c>
      <c r="C151">
        <v>1234</v>
      </c>
      <c r="D151" t="s">
        <v>295</v>
      </c>
      <c r="E15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51" t="s">
        <v>8</v>
      </c>
      <c r="G151" t="s">
        <v>295</v>
      </c>
      <c r="H151" t="str">
        <f t="shared" si="4"/>
        <v>SI-2/1900-1836</v>
      </c>
      <c r="I151" t="s">
        <v>122</v>
      </c>
      <c r="J151" t="s">
        <v>122</v>
      </c>
      <c r="K151" t="s">
        <v>122</v>
      </c>
      <c r="L151" t="s">
        <v>122</v>
      </c>
      <c r="M151" s="21">
        <v>44593</v>
      </c>
      <c r="N151" t="s">
        <v>123</v>
      </c>
      <c r="O151" t="s">
        <v>198</v>
      </c>
      <c r="P151" t="s">
        <v>199</v>
      </c>
      <c r="Q151" t="s">
        <v>122</v>
      </c>
      <c r="R151" t="s">
        <v>122</v>
      </c>
      <c r="U151">
        <v>1234</v>
      </c>
      <c r="V151">
        <v>0</v>
      </c>
      <c r="W151" t="s">
        <v>200</v>
      </c>
      <c r="X151" t="s">
        <v>9</v>
      </c>
      <c r="Y151" t="s">
        <v>60</v>
      </c>
      <c r="Z151" t="s">
        <v>122</v>
      </c>
      <c r="AA151" t="s">
        <v>122</v>
      </c>
      <c r="AB151" t="s">
        <v>122</v>
      </c>
      <c r="AC151" t="s">
        <v>122</v>
      </c>
      <c r="AF151">
        <v>50</v>
      </c>
      <c r="AG151">
        <v>100</v>
      </c>
      <c r="AH151" t="s">
        <v>124</v>
      </c>
      <c r="AI151">
        <v>1</v>
      </c>
      <c r="AJ151">
        <v>5000</v>
      </c>
      <c r="AK151">
        <v>5000</v>
      </c>
      <c r="AL151">
        <v>0</v>
      </c>
      <c r="AM151">
        <v>0</v>
      </c>
      <c r="AN151">
        <v>0</v>
      </c>
      <c r="AO151">
        <v>0</v>
      </c>
      <c r="AP151">
        <v>8937</v>
      </c>
      <c r="AQ151">
        <v>8937</v>
      </c>
      <c r="AR151">
        <v>0</v>
      </c>
      <c r="AS151">
        <v>0</v>
      </c>
      <c r="AT151">
        <v>0</v>
      </c>
      <c r="AU151">
        <v>0</v>
      </c>
      <c r="AV151">
        <f>Table1[[#This Row],[CGST]]+Table1[[#This Row],[IGST]]+Table1[[#This Row],[SGST]]</f>
        <v>8937</v>
      </c>
      <c r="AW151">
        <f t="shared" si="5"/>
        <v>179</v>
      </c>
      <c r="AX151">
        <v>0</v>
      </c>
      <c r="AY151">
        <v>58587</v>
      </c>
      <c r="AZ151" t="s">
        <v>125</v>
      </c>
      <c r="BA151" t="s">
        <v>10</v>
      </c>
      <c r="BB151" t="s">
        <v>126</v>
      </c>
      <c r="BC151" t="s">
        <v>127</v>
      </c>
      <c r="BD151" t="s">
        <v>128</v>
      </c>
      <c r="BE151" t="s">
        <v>18</v>
      </c>
      <c r="BF151" t="s">
        <v>207</v>
      </c>
      <c r="BH151">
        <v>0</v>
      </c>
    </row>
    <row r="152" spans="1:60" x14ac:dyDescent="0.25">
      <c r="A152" t="s">
        <v>120</v>
      </c>
      <c r="B152" t="s">
        <v>121</v>
      </c>
      <c r="C152">
        <v>1234</v>
      </c>
      <c r="D152" t="s">
        <v>295</v>
      </c>
      <c r="E15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52" t="s">
        <v>8</v>
      </c>
      <c r="G152" t="s">
        <v>295</v>
      </c>
      <c r="H152" t="str">
        <f t="shared" si="4"/>
        <v>SI-2/1900-1836</v>
      </c>
      <c r="I152" t="s">
        <v>122</v>
      </c>
      <c r="J152" t="s">
        <v>122</v>
      </c>
      <c r="K152" t="s">
        <v>122</v>
      </c>
      <c r="L152" t="s">
        <v>122</v>
      </c>
      <c r="M152" s="21">
        <v>44593</v>
      </c>
      <c r="N152" t="s">
        <v>123</v>
      </c>
      <c r="O152" t="s">
        <v>198</v>
      </c>
      <c r="P152" t="s">
        <v>199</v>
      </c>
      <c r="Q152" t="s">
        <v>122</v>
      </c>
      <c r="R152" t="s">
        <v>122</v>
      </c>
      <c r="U152">
        <v>1234</v>
      </c>
      <c r="V152">
        <v>0</v>
      </c>
      <c r="W152" t="s">
        <v>200</v>
      </c>
      <c r="X152" t="s">
        <v>9</v>
      </c>
      <c r="Y152" t="s">
        <v>60</v>
      </c>
      <c r="Z152" t="s">
        <v>122</v>
      </c>
      <c r="AA152" t="s">
        <v>122</v>
      </c>
      <c r="AB152" t="s">
        <v>122</v>
      </c>
      <c r="AC152" t="s">
        <v>122</v>
      </c>
      <c r="AF152">
        <v>50</v>
      </c>
      <c r="AG152">
        <v>100</v>
      </c>
      <c r="AH152" t="s">
        <v>124</v>
      </c>
      <c r="AI152">
        <v>1</v>
      </c>
      <c r="AJ152">
        <v>5000</v>
      </c>
      <c r="AK152">
        <v>5000</v>
      </c>
      <c r="AL152">
        <v>0</v>
      </c>
      <c r="AM152">
        <v>0</v>
      </c>
      <c r="AN152">
        <v>0</v>
      </c>
      <c r="AO152">
        <v>0</v>
      </c>
      <c r="AP152">
        <v>9761.4</v>
      </c>
      <c r="AQ152">
        <v>9761.4</v>
      </c>
      <c r="AR152">
        <v>0</v>
      </c>
      <c r="AS152">
        <v>0</v>
      </c>
      <c r="AT152">
        <v>0</v>
      </c>
      <c r="AU152">
        <v>0</v>
      </c>
      <c r="AV152">
        <f>Table1[[#This Row],[CGST]]+Table1[[#This Row],[IGST]]+Table1[[#This Row],[SGST]]</f>
        <v>9761.4</v>
      </c>
      <c r="AW152">
        <f t="shared" si="5"/>
        <v>195</v>
      </c>
      <c r="AX152">
        <v>0</v>
      </c>
      <c r="AY152">
        <v>63991.4</v>
      </c>
      <c r="AZ152" t="s">
        <v>125</v>
      </c>
      <c r="BA152" t="s">
        <v>10</v>
      </c>
      <c r="BB152" t="s">
        <v>126</v>
      </c>
      <c r="BC152" t="s">
        <v>127</v>
      </c>
      <c r="BD152" t="s">
        <v>128</v>
      </c>
      <c r="BE152" t="s">
        <v>18</v>
      </c>
      <c r="BF152" t="s">
        <v>211</v>
      </c>
      <c r="BH152">
        <v>0</v>
      </c>
    </row>
    <row r="153" spans="1:60" x14ac:dyDescent="0.25">
      <c r="A153" t="s">
        <v>120</v>
      </c>
      <c r="B153" t="s">
        <v>121</v>
      </c>
      <c r="C153">
        <v>1234</v>
      </c>
      <c r="D153" t="s">
        <v>295</v>
      </c>
      <c r="E15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53" t="s">
        <v>8</v>
      </c>
      <c r="G153" t="s">
        <v>295</v>
      </c>
      <c r="H153" t="str">
        <f t="shared" si="4"/>
        <v>SI-2/1900-1836</v>
      </c>
      <c r="I153" t="s">
        <v>122</v>
      </c>
      <c r="J153" t="s">
        <v>122</v>
      </c>
      <c r="K153" t="s">
        <v>122</v>
      </c>
      <c r="L153" t="s">
        <v>122</v>
      </c>
      <c r="M153" s="21">
        <v>44593</v>
      </c>
      <c r="N153" t="s">
        <v>123</v>
      </c>
      <c r="O153" t="s">
        <v>198</v>
      </c>
      <c r="P153" t="s">
        <v>199</v>
      </c>
      <c r="Q153" t="s">
        <v>122</v>
      </c>
      <c r="R153" t="s">
        <v>122</v>
      </c>
      <c r="U153">
        <v>1234</v>
      </c>
      <c r="V153">
        <v>0</v>
      </c>
      <c r="W153" t="s">
        <v>200</v>
      </c>
      <c r="X153" t="s">
        <v>9</v>
      </c>
      <c r="Y153" t="s">
        <v>60</v>
      </c>
      <c r="Z153" t="s">
        <v>122</v>
      </c>
      <c r="AA153" t="s">
        <v>122</v>
      </c>
      <c r="AB153" t="s">
        <v>122</v>
      </c>
      <c r="AC153" t="s">
        <v>122</v>
      </c>
      <c r="AF153">
        <v>5</v>
      </c>
      <c r="AG153">
        <v>100</v>
      </c>
      <c r="AH153" t="s">
        <v>124</v>
      </c>
      <c r="AI153">
        <v>1</v>
      </c>
      <c r="AJ153">
        <v>500</v>
      </c>
      <c r="AK153">
        <v>500</v>
      </c>
      <c r="AL153">
        <v>0</v>
      </c>
      <c r="AM153">
        <v>0</v>
      </c>
      <c r="AN153">
        <v>0</v>
      </c>
      <c r="AO153">
        <v>0</v>
      </c>
      <c r="AP153">
        <v>817.2</v>
      </c>
      <c r="AQ153">
        <v>817.2</v>
      </c>
      <c r="AR153">
        <v>0</v>
      </c>
      <c r="AS153">
        <v>0</v>
      </c>
      <c r="AT153">
        <v>0</v>
      </c>
      <c r="AU153">
        <v>0</v>
      </c>
      <c r="AV153">
        <f>Table1[[#This Row],[CGST]]+Table1[[#This Row],[IGST]]+Table1[[#This Row],[SGST]]</f>
        <v>817.2</v>
      </c>
      <c r="AW153">
        <f t="shared" si="5"/>
        <v>163</v>
      </c>
      <c r="AX153">
        <v>0</v>
      </c>
      <c r="AY153">
        <v>5357.2</v>
      </c>
      <c r="AZ153" t="s">
        <v>125</v>
      </c>
      <c r="BA153" t="s">
        <v>10</v>
      </c>
      <c r="BB153" t="s">
        <v>126</v>
      </c>
      <c r="BC153" t="s">
        <v>127</v>
      </c>
      <c r="BD153" t="s">
        <v>128</v>
      </c>
      <c r="BE153" t="s">
        <v>18</v>
      </c>
      <c r="BF153" t="s">
        <v>201</v>
      </c>
      <c r="BH153">
        <v>0</v>
      </c>
    </row>
    <row r="154" spans="1:60" x14ac:dyDescent="0.25">
      <c r="A154" t="s">
        <v>120</v>
      </c>
      <c r="B154" t="s">
        <v>121</v>
      </c>
      <c r="C154">
        <v>1234</v>
      </c>
      <c r="D154" t="s">
        <v>296</v>
      </c>
      <c r="E15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54" t="s">
        <v>8</v>
      </c>
      <c r="G154" t="s">
        <v>296</v>
      </c>
      <c r="H154" t="str">
        <f t="shared" si="4"/>
        <v>SI-2/1900-1837</v>
      </c>
      <c r="I154" t="s">
        <v>122</v>
      </c>
      <c r="J154" t="s">
        <v>122</v>
      </c>
      <c r="K154" t="s">
        <v>122</v>
      </c>
      <c r="L154" t="s">
        <v>122</v>
      </c>
      <c r="M154" s="21">
        <v>44593</v>
      </c>
      <c r="N154" t="s">
        <v>123</v>
      </c>
      <c r="O154" t="s">
        <v>198</v>
      </c>
      <c r="P154" t="s">
        <v>199</v>
      </c>
      <c r="Q154" t="s">
        <v>122</v>
      </c>
      <c r="R154" t="s">
        <v>122</v>
      </c>
      <c r="U154">
        <v>1234</v>
      </c>
      <c r="V154">
        <v>0</v>
      </c>
      <c r="W154" t="s">
        <v>200</v>
      </c>
      <c r="X154" t="s">
        <v>9</v>
      </c>
      <c r="Y154" t="s">
        <v>60</v>
      </c>
      <c r="Z154" t="s">
        <v>122</v>
      </c>
      <c r="AA154" t="s">
        <v>122</v>
      </c>
      <c r="AB154" t="s">
        <v>122</v>
      </c>
      <c r="AC154" t="s">
        <v>122</v>
      </c>
      <c r="AF154">
        <v>680</v>
      </c>
      <c r="AG154">
        <v>100</v>
      </c>
      <c r="AH154" t="s">
        <v>124</v>
      </c>
      <c r="AI154">
        <v>1</v>
      </c>
      <c r="AJ154">
        <v>68000</v>
      </c>
      <c r="AK154">
        <v>68000</v>
      </c>
      <c r="AL154">
        <v>0</v>
      </c>
      <c r="AM154">
        <v>0</v>
      </c>
      <c r="AN154">
        <v>0</v>
      </c>
      <c r="AO154">
        <v>0</v>
      </c>
      <c r="AP154">
        <v>116623.94</v>
      </c>
      <c r="AQ154">
        <v>116623.94</v>
      </c>
      <c r="AR154">
        <v>0</v>
      </c>
      <c r="AS154">
        <v>0</v>
      </c>
      <c r="AT154">
        <v>0</v>
      </c>
      <c r="AU154">
        <v>0</v>
      </c>
      <c r="AV154">
        <f>Table1[[#This Row],[CGST]]+Table1[[#This Row],[IGST]]+Table1[[#This Row],[SGST]]</f>
        <v>116623.94</v>
      </c>
      <c r="AW154">
        <f t="shared" si="5"/>
        <v>172</v>
      </c>
      <c r="AX154">
        <v>0</v>
      </c>
      <c r="AY154">
        <v>764534.74</v>
      </c>
      <c r="AZ154" t="s">
        <v>125</v>
      </c>
      <c r="BA154" t="s">
        <v>10</v>
      </c>
      <c r="BB154" t="s">
        <v>126</v>
      </c>
      <c r="BC154" t="s">
        <v>127</v>
      </c>
      <c r="BD154" t="s">
        <v>128</v>
      </c>
      <c r="BE154" t="s">
        <v>16</v>
      </c>
      <c r="BF154" t="s">
        <v>201</v>
      </c>
      <c r="BH154">
        <v>0</v>
      </c>
    </row>
    <row r="155" spans="1:60" x14ac:dyDescent="0.25">
      <c r="A155" t="s">
        <v>120</v>
      </c>
      <c r="B155" t="s">
        <v>121</v>
      </c>
      <c r="C155">
        <v>1234</v>
      </c>
      <c r="D155" t="s">
        <v>297</v>
      </c>
      <c r="E15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55" t="s">
        <v>8</v>
      </c>
      <c r="G155" t="s">
        <v>297</v>
      </c>
      <c r="H155" t="str">
        <f t="shared" si="4"/>
        <v>SI-2/1900-1839</v>
      </c>
      <c r="I155" t="s">
        <v>122</v>
      </c>
      <c r="J155" t="s">
        <v>122</v>
      </c>
      <c r="K155" t="s">
        <v>122</v>
      </c>
      <c r="L155" t="s">
        <v>122</v>
      </c>
      <c r="M155" s="21">
        <v>44593</v>
      </c>
      <c r="N155" t="s">
        <v>123</v>
      </c>
      <c r="O155" t="s">
        <v>198</v>
      </c>
      <c r="P155" t="s">
        <v>199</v>
      </c>
      <c r="Q155" t="s">
        <v>122</v>
      </c>
      <c r="R155" t="s">
        <v>122</v>
      </c>
      <c r="U155">
        <v>1234</v>
      </c>
      <c r="V155">
        <v>0</v>
      </c>
      <c r="W155" t="s">
        <v>200</v>
      </c>
      <c r="X155" t="s">
        <v>9</v>
      </c>
      <c r="Y155" t="s">
        <v>60</v>
      </c>
      <c r="Z155" t="s">
        <v>122</v>
      </c>
      <c r="AA155" t="s">
        <v>122</v>
      </c>
      <c r="AB155" t="s">
        <v>122</v>
      </c>
      <c r="AC155" t="s">
        <v>122</v>
      </c>
      <c r="AF155">
        <v>300</v>
      </c>
      <c r="AG155">
        <v>100</v>
      </c>
      <c r="AH155" t="s">
        <v>124</v>
      </c>
      <c r="AI155">
        <v>1</v>
      </c>
      <c r="AJ155">
        <v>30000</v>
      </c>
      <c r="AK155">
        <v>30000</v>
      </c>
      <c r="AL155">
        <v>0</v>
      </c>
      <c r="AM155">
        <v>0</v>
      </c>
      <c r="AN155">
        <v>0</v>
      </c>
      <c r="AO155">
        <v>0</v>
      </c>
      <c r="AP155">
        <v>39127.32</v>
      </c>
      <c r="AQ155">
        <v>39127.32</v>
      </c>
      <c r="AR155">
        <v>0</v>
      </c>
      <c r="AS155">
        <v>0</v>
      </c>
      <c r="AT155">
        <v>0</v>
      </c>
      <c r="AU155">
        <v>0</v>
      </c>
      <c r="AV155">
        <f>Table1[[#This Row],[CGST]]+Table1[[#This Row],[IGST]]+Table1[[#This Row],[SGST]]</f>
        <v>39127.32</v>
      </c>
      <c r="AW155">
        <f t="shared" si="5"/>
        <v>130</v>
      </c>
      <c r="AX155">
        <v>0</v>
      </c>
      <c r="AY155">
        <v>256501.32</v>
      </c>
      <c r="AZ155" t="s">
        <v>125</v>
      </c>
      <c r="BA155" t="s">
        <v>10</v>
      </c>
      <c r="BB155" t="s">
        <v>126</v>
      </c>
      <c r="BC155" t="s">
        <v>127</v>
      </c>
      <c r="BD155" t="s">
        <v>128</v>
      </c>
      <c r="BE155" t="s">
        <v>11</v>
      </c>
      <c r="BF155" t="s">
        <v>218</v>
      </c>
      <c r="BH155">
        <v>0</v>
      </c>
    </row>
    <row r="156" spans="1:60" x14ac:dyDescent="0.25">
      <c r="A156" t="s">
        <v>120</v>
      </c>
      <c r="B156" t="s">
        <v>121</v>
      </c>
      <c r="C156">
        <v>1234</v>
      </c>
      <c r="D156" t="s">
        <v>297</v>
      </c>
      <c r="E15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56" t="s">
        <v>8</v>
      </c>
      <c r="G156" t="s">
        <v>297</v>
      </c>
      <c r="H156" t="str">
        <f t="shared" si="4"/>
        <v>SI-2/1900-1839</v>
      </c>
      <c r="I156" t="s">
        <v>122</v>
      </c>
      <c r="J156" t="s">
        <v>122</v>
      </c>
      <c r="K156" t="s">
        <v>122</v>
      </c>
      <c r="L156" t="s">
        <v>122</v>
      </c>
      <c r="M156" s="21">
        <v>44593</v>
      </c>
      <c r="N156" t="s">
        <v>123</v>
      </c>
      <c r="O156" t="s">
        <v>198</v>
      </c>
      <c r="P156" t="s">
        <v>199</v>
      </c>
      <c r="Q156" t="s">
        <v>122</v>
      </c>
      <c r="R156" t="s">
        <v>122</v>
      </c>
      <c r="U156">
        <v>1234</v>
      </c>
      <c r="V156">
        <v>0</v>
      </c>
      <c r="W156" t="s">
        <v>200</v>
      </c>
      <c r="X156" t="s">
        <v>9</v>
      </c>
      <c r="Y156" t="s">
        <v>60</v>
      </c>
      <c r="Z156" t="s">
        <v>122</v>
      </c>
      <c r="AA156" t="s">
        <v>122</v>
      </c>
      <c r="AB156" t="s">
        <v>122</v>
      </c>
      <c r="AC156" t="s">
        <v>122</v>
      </c>
      <c r="AF156">
        <v>720</v>
      </c>
      <c r="AG156">
        <v>100</v>
      </c>
      <c r="AH156" t="s">
        <v>124</v>
      </c>
      <c r="AI156">
        <v>1</v>
      </c>
      <c r="AJ156">
        <v>72000</v>
      </c>
      <c r="AK156">
        <v>72000</v>
      </c>
      <c r="AL156">
        <v>0</v>
      </c>
      <c r="AM156">
        <v>0</v>
      </c>
      <c r="AN156">
        <v>0</v>
      </c>
      <c r="AO156">
        <v>0</v>
      </c>
      <c r="AP156">
        <v>101769.7</v>
      </c>
      <c r="AQ156">
        <v>101769.7</v>
      </c>
      <c r="AR156">
        <v>0</v>
      </c>
      <c r="AS156">
        <v>0</v>
      </c>
      <c r="AT156">
        <v>0</v>
      </c>
      <c r="AU156">
        <v>0</v>
      </c>
      <c r="AV156">
        <f>Table1[[#This Row],[CGST]]+Table1[[#This Row],[IGST]]+Table1[[#This Row],[SGST]]</f>
        <v>101769.7</v>
      </c>
      <c r="AW156">
        <f t="shared" si="5"/>
        <v>141</v>
      </c>
      <c r="AX156">
        <v>0</v>
      </c>
      <c r="AY156">
        <v>667156.9</v>
      </c>
      <c r="AZ156" t="s">
        <v>125</v>
      </c>
      <c r="BA156" t="s">
        <v>10</v>
      </c>
      <c r="BB156" t="s">
        <v>126</v>
      </c>
      <c r="BC156" t="s">
        <v>127</v>
      </c>
      <c r="BD156" t="s">
        <v>128</v>
      </c>
      <c r="BE156" t="s">
        <v>11</v>
      </c>
      <c r="BF156" t="s">
        <v>218</v>
      </c>
      <c r="BH156">
        <v>0</v>
      </c>
    </row>
    <row r="157" spans="1:60" x14ac:dyDescent="0.25">
      <c r="A157" t="s">
        <v>120</v>
      </c>
      <c r="B157" t="s">
        <v>121</v>
      </c>
      <c r="C157">
        <v>1234</v>
      </c>
      <c r="D157" t="s">
        <v>298</v>
      </c>
      <c r="E15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57" t="s">
        <v>8</v>
      </c>
      <c r="G157" t="s">
        <v>298</v>
      </c>
      <c r="H157" t="str">
        <f t="shared" si="4"/>
        <v>SI-2/1900-1840</v>
      </c>
      <c r="I157" t="s">
        <v>122</v>
      </c>
      <c r="J157" t="s">
        <v>122</v>
      </c>
      <c r="K157" t="s">
        <v>122</v>
      </c>
      <c r="L157" t="s">
        <v>122</v>
      </c>
      <c r="M157" s="21">
        <v>44593</v>
      </c>
      <c r="N157" t="s">
        <v>123</v>
      </c>
      <c r="O157" t="s">
        <v>198</v>
      </c>
      <c r="P157" t="s">
        <v>199</v>
      </c>
      <c r="Q157" t="s">
        <v>122</v>
      </c>
      <c r="R157" t="s">
        <v>122</v>
      </c>
      <c r="U157">
        <v>1234</v>
      </c>
      <c r="V157">
        <v>0</v>
      </c>
      <c r="W157" t="s">
        <v>200</v>
      </c>
      <c r="X157" t="s">
        <v>170</v>
      </c>
      <c r="Y157" t="s">
        <v>60</v>
      </c>
      <c r="Z157" t="s">
        <v>122</v>
      </c>
      <c r="AA157" t="s">
        <v>122</v>
      </c>
      <c r="AB157" t="s">
        <v>122</v>
      </c>
      <c r="AC157" t="s">
        <v>122</v>
      </c>
      <c r="AF157">
        <v>409</v>
      </c>
      <c r="AG157">
        <v>100</v>
      </c>
      <c r="AH157" t="s">
        <v>124</v>
      </c>
      <c r="AI157">
        <v>1</v>
      </c>
      <c r="AJ157">
        <v>40900</v>
      </c>
      <c r="AK157">
        <v>40900</v>
      </c>
      <c r="AL157">
        <v>0</v>
      </c>
      <c r="AM157">
        <v>0</v>
      </c>
      <c r="AN157">
        <v>0</v>
      </c>
      <c r="AO157">
        <v>0</v>
      </c>
      <c r="AP157">
        <v>57171.82</v>
      </c>
      <c r="AQ157">
        <v>57171.82</v>
      </c>
      <c r="AR157">
        <v>0</v>
      </c>
      <c r="AS157">
        <v>0</v>
      </c>
      <c r="AT157">
        <v>0</v>
      </c>
      <c r="AU157">
        <v>0</v>
      </c>
      <c r="AV157">
        <f>Table1[[#This Row],[CGST]]+Table1[[#This Row],[IGST]]+Table1[[#This Row],[SGST]]</f>
        <v>57171.82</v>
      </c>
      <c r="AW157">
        <f t="shared" si="5"/>
        <v>140</v>
      </c>
      <c r="AX157">
        <v>0</v>
      </c>
      <c r="AY157">
        <v>374793.04</v>
      </c>
      <c r="AZ157" t="s">
        <v>125</v>
      </c>
      <c r="BA157" t="s">
        <v>10</v>
      </c>
      <c r="BB157" t="s">
        <v>126</v>
      </c>
      <c r="BC157" t="s">
        <v>127</v>
      </c>
      <c r="BD157" t="s">
        <v>128</v>
      </c>
      <c r="BE157" t="s">
        <v>20</v>
      </c>
      <c r="BF157" t="s">
        <v>211</v>
      </c>
      <c r="BH157">
        <v>0</v>
      </c>
    </row>
    <row r="158" spans="1:60" x14ac:dyDescent="0.25">
      <c r="A158" t="s">
        <v>120</v>
      </c>
      <c r="B158" t="s">
        <v>121</v>
      </c>
      <c r="C158">
        <v>1234</v>
      </c>
      <c r="D158" t="s">
        <v>299</v>
      </c>
      <c r="E15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58" t="s">
        <v>8</v>
      </c>
      <c r="G158" t="s">
        <v>299</v>
      </c>
      <c r="H158" t="str">
        <f t="shared" si="4"/>
        <v>SI-2/1900-1841</v>
      </c>
      <c r="I158" t="s">
        <v>122</v>
      </c>
      <c r="J158" t="s">
        <v>122</v>
      </c>
      <c r="K158" t="s">
        <v>122</v>
      </c>
      <c r="L158" t="s">
        <v>122</v>
      </c>
      <c r="M158" s="21">
        <v>44593</v>
      </c>
      <c r="N158" t="s">
        <v>123</v>
      </c>
      <c r="O158" t="s">
        <v>198</v>
      </c>
      <c r="P158" t="s">
        <v>199</v>
      </c>
      <c r="Q158" t="s">
        <v>122</v>
      </c>
      <c r="R158" t="s">
        <v>122</v>
      </c>
      <c r="U158">
        <v>1234</v>
      </c>
      <c r="V158">
        <v>0</v>
      </c>
      <c r="W158" t="s">
        <v>200</v>
      </c>
      <c r="X158" t="s">
        <v>9</v>
      </c>
      <c r="Y158" t="s">
        <v>60</v>
      </c>
      <c r="Z158" t="s">
        <v>122</v>
      </c>
      <c r="AA158" t="s">
        <v>122</v>
      </c>
      <c r="AB158" t="s">
        <v>122</v>
      </c>
      <c r="AC158" t="s">
        <v>122</v>
      </c>
      <c r="AF158">
        <v>200</v>
      </c>
      <c r="AG158">
        <v>100</v>
      </c>
      <c r="AH158" t="s">
        <v>124</v>
      </c>
      <c r="AI158">
        <v>1</v>
      </c>
      <c r="AJ158">
        <v>20000</v>
      </c>
      <c r="AK158">
        <v>20000</v>
      </c>
      <c r="AL158">
        <v>0</v>
      </c>
      <c r="AM158">
        <v>0</v>
      </c>
      <c r="AN158">
        <v>0</v>
      </c>
      <c r="AO158">
        <v>0</v>
      </c>
      <c r="AP158">
        <v>34301.160000000003</v>
      </c>
      <c r="AQ158">
        <v>34301.160000000003</v>
      </c>
      <c r="AR158">
        <v>0</v>
      </c>
      <c r="AS158">
        <v>0</v>
      </c>
      <c r="AT158">
        <v>0</v>
      </c>
      <c r="AU158">
        <v>0</v>
      </c>
      <c r="AV158">
        <f>Table1[[#This Row],[CGST]]+Table1[[#This Row],[IGST]]+Table1[[#This Row],[SGST]]</f>
        <v>34301.160000000003</v>
      </c>
      <c r="AW158">
        <f t="shared" si="5"/>
        <v>172</v>
      </c>
      <c r="AX158">
        <v>0</v>
      </c>
      <c r="AY158">
        <v>224863.16</v>
      </c>
      <c r="AZ158" t="s">
        <v>125</v>
      </c>
      <c r="BA158" t="s">
        <v>10</v>
      </c>
      <c r="BB158" t="s">
        <v>126</v>
      </c>
      <c r="BC158" t="s">
        <v>127</v>
      </c>
      <c r="BD158" t="s">
        <v>128</v>
      </c>
      <c r="BE158" t="s">
        <v>16</v>
      </c>
      <c r="BF158" t="s">
        <v>211</v>
      </c>
      <c r="BH158">
        <v>0</v>
      </c>
    </row>
    <row r="159" spans="1:60" x14ac:dyDescent="0.25">
      <c r="A159" t="s">
        <v>120</v>
      </c>
      <c r="B159" t="s">
        <v>121</v>
      </c>
      <c r="C159">
        <v>1234</v>
      </c>
      <c r="D159" t="s">
        <v>299</v>
      </c>
      <c r="E15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59" t="s">
        <v>8</v>
      </c>
      <c r="G159" t="s">
        <v>299</v>
      </c>
      <c r="H159" t="str">
        <f t="shared" si="4"/>
        <v>SI-2/1900-1841</v>
      </c>
      <c r="I159" t="s">
        <v>122</v>
      </c>
      <c r="J159" t="s">
        <v>122</v>
      </c>
      <c r="K159" t="s">
        <v>122</v>
      </c>
      <c r="L159" t="s">
        <v>122</v>
      </c>
      <c r="M159" s="21">
        <v>44593</v>
      </c>
      <c r="N159" t="s">
        <v>123</v>
      </c>
      <c r="O159" t="s">
        <v>198</v>
      </c>
      <c r="P159" t="s">
        <v>199</v>
      </c>
      <c r="Q159" t="s">
        <v>122</v>
      </c>
      <c r="R159" t="s">
        <v>122</v>
      </c>
      <c r="U159">
        <v>1234</v>
      </c>
      <c r="V159">
        <v>0</v>
      </c>
      <c r="W159" t="s">
        <v>200</v>
      </c>
      <c r="X159" t="s">
        <v>9</v>
      </c>
      <c r="Y159" t="s">
        <v>60</v>
      </c>
      <c r="Z159" t="s">
        <v>122</v>
      </c>
      <c r="AA159" t="s">
        <v>122</v>
      </c>
      <c r="AB159" t="s">
        <v>122</v>
      </c>
      <c r="AC159" t="s">
        <v>122</v>
      </c>
      <c r="AF159">
        <v>500</v>
      </c>
      <c r="AG159">
        <v>100</v>
      </c>
      <c r="AH159" t="s">
        <v>124</v>
      </c>
      <c r="AI159">
        <v>1</v>
      </c>
      <c r="AJ159">
        <v>50000</v>
      </c>
      <c r="AK159">
        <v>50000</v>
      </c>
      <c r="AL159">
        <v>0</v>
      </c>
      <c r="AM159">
        <v>0</v>
      </c>
      <c r="AN159">
        <v>0</v>
      </c>
      <c r="AO159">
        <v>0</v>
      </c>
      <c r="AP159">
        <v>70673.399999999994</v>
      </c>
      <c r="AQ159">
        <v>70673.399999999994</v>
      </c>
      <c r="AR159">
        <v>0</v>
      </c>
      <c r="AS159">
        <v>0</v>
      </c>
      <c r="AT159">
        <v>0</v>
      </c>
      <c r="AU159">
        <v>0</v>
      </c>
      <c r="AV159">
        <f>Table1[[#This Row],[CGST]]+Table1[[#This Row],[IGST]]+Table1[[#This Row],[SGST]]</f>
        <v>70673.399999999994</v>
      </c>
      <c r="AW159">
        <f t="shared" si="5"/>
        <v>141</v>
      </c>
      <c r="AX159">
        <v>0</v>
      </c>
      <c r="AY159">
        <v>463303.4</v>
      </c>
      <c r="AZ159" t="s">
        <v>125</v>
      </c>
      <c r="BA159" t="s">
        <v>10</v>
      </c>
      <c r="BB159" t="s">
        <v>126</v>
      </c>
      <c r="BC159" t="s">
        <v>127</v>
      </c>
      <c r="BD159" t="s">
        <v>128</v>
      </c>
      <c r="BE159" t="s">
        <v>16</v>
      </c>
      <c r="BF159" t="s">
        <v>205</v>
      </c>
      <c r="BH159">
        <v>0</v>
      </c>
    </row>
    <row r="160" spans="1:60" x14ac:dyDescent="0.25">
      <c r="A160" t="s">
        <v>120</v>
      </c>
      <c r="B160" t="s">
        <v>121</v>
      </c>
      <c r="C160">
        <v>1234</v>
      </c>
      <c r="D160" t="s">
        <v>299</v>
      </c>
      <c r="E16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60" t="s">
        <v>8</v>
      </c>
      <c r="G160" t="s">
        <v>299</v>
      </c>
      <c r="H160" t="str">
        <f t="shared" si="4"/>
        <v>SI-2/1900-1841</v>
      </c>
      <c r="I160" t="s">
        <v>122</v>
      </c>
      <c r="J160" t="s">
        <v>122</v>
      </c>
      <c r="K160" t="s">
        <v>122</v>
      </c>
      <c r="L160" t="s">
        <v>122</v>
      </c>
      <c r="M160" s="21">
        <v>44593</v>
      </c>
      <c r="N160" t="s">
        <v>123</v>
      </c>
      <c r="O160" t="s">
        <v>198</v>
      </c>
      <c r="P160" t="s">
        <v>199</v>
      </c>
      <c r="Q160" t="s">
        <v>122</v>
      </c>
      <c r="R160" t="s">
        <v>122</v>
      </c>
      <c r="U160">
        <v>1234</v>
      </c>
      <c r="V160">
        <v>0</v>
      </c>
      <c r="W160" t="s">
        <v>200</v>
      </c>
      <c r="X160" t="s">
        <v>9</v>
      </c>
      <c r="Y160" t="s">
        <v>60</v>
      </c>
      <c r="Z160" t="s">
        <v>122</v>
      </c>
      <c r="AA160" t="s">
        <v>122</v>
      </c>
      <c r="AB160" t="s">
        <v>122</v>
      </c>
      <c r="AC160" t="s">
        <v>122</v>
      </c>
      <c r="AF160">
        <v>230</v>
      </c>
      <c r="AG160">
        <v>100</v>
      </c>
      <c r="AH160" t="s">
        <v>124</v>
      </c>
      <c r="AI160">
        <v>1</v>
      </c>
      <c r="AJ160">
        <v>23000</v>
      </c>
      <c r="AK160">
        <v>23000</v>
      </c>
      <c r="AL160">
        <v>0</v>
      </c>
      <c r="AM160">
        <v>0</v>
      </c>
      <c r="AN160">
        <v>0</v>
      </c>
      <c r="AO160">
        <v>0</v>
      </c>
      <c r="AP160">
        <v>44902.44</v>
      </c>
      <c r="AQ160">
        <v>44902.44</v>
      </c>
      <c r="AR160">
        <v>0</v>
      </c>
      <c r="AS160">
        <v>0</v>
      </c>
      <c r="AT160">
        <v>0</v>
      </c>
      <c r="AU160">
        <v>0</v>
      </c>
      <c r="AV160">
        <f>Table1[[#This Row],[CGST]]+Table1[[#This Row],[IGST]]+Table1[[#This Row],[SGST]]</f>
        <v>44902.44</v>
      </c>
      <c r="AW160">
        <f t="shared" si="5"/>
        <v>195</v>
      </c>
      <c r="AX160">
        <v>0</v>
      </c>
      <c r="AY160">
        <v>294360.44</v>
      </c>
      <c r="AZ160" t="s">
        <v>125</v>
      </c>
      <c r="BA160" t="s">
        <v>10</v>
      </c>
      <c r="BB160" t="s">
        <v>126</v>
      </c>
      <c r="BC160" t="s">
        <v>127</v>
      </c>
      <c r="BD160" t="s">
        <v>128</v>
      </c>
      <c r="BE160" t="s">
        <v>16</v>
      </c>
      <c r="BF160" t="s">
        <v>205</v>
      </c>
      <c r="BH160">
        <v>0</v>
      </c>
    </row>
    <row r="161" spans="1:60" x14ac:dyDescent="0.25">
      <c r="A161" t="s">
        <v>120</v>
      </c>
      <c r="B161" t="s">
        <v>121</v>
      </c>
      <c r="C161">
        <v>1234</v>
      </c>
      <c r="D161" t="s">
        <v>300</v>
      </c>
      <c r="E16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61" t="s">
        <v>8</v>
      </c>
      <c r="G161" t="s">
        <v>300</v>
      </c>
      <c r="H161" t="str">
        <f t="shared" si="4"/>
        <v>SI-2/1900-1842</v>
      </c>
      <c r="I161" t="s">
        <v>122</v>
      </c>
      <c r="J161" t="s">
        <v>122</v>
      </c>
      <c r="K161" t="s">
        <v>122</v>
      </c>
      <c r="L161" t="s">
        <v>122</v>
      </c>
      <c r="M161" s="21">
        <v>44593</v>
      </c>
      <c r="N161" t="s">
        <v>123</v>
      </c>
      <c r="O161" t="s">
        <v>198</v>
      </c>
      <c r="P161" t="s">
        <v>199</v>
      </c>
      <c r="Q161" t="s">
        <v>122</v>
      </c>
      <c r="R161" t="s">
        <v>122</v>
      </c>
      <c r="U161">
        <v>1234</v>
      </c>
      <c r="V161">
        <v>0</v>
      </c>
      <c r="W161" t="s">
        <v>200</v>
      </c>
      <c r="X161" t="s">
        <v>9</v>
      </c>
      <c r="Y161" t="s">
        <v>60</v>
      </c>
      <c r="Z161" t="s">
        <v>122</v>
      </c>
      <c r="AA161" t="s">
        <v>122</v>
      </c>
      <c r="AB161" t="s">
        <v>122</v>
      </c>
      <c r="AC161" t="s">
        <v>122</v>
      </c>
      <c r="AF161">
        <v>1000</v>
      </c>
      <c r="AG161">
        <v>100</v>
      </c>
      <c r="AH161" t="s">
        <v>124</v>
      </c>
      <c r="AI161">
        <v>1</v>
      </c>
      <c r="AJ161">
        <v>100000</v>
      </c>
      <c r="AK161">
        <v>100000</v>
      </c>
      <c r="AL161">
        <v>0</v>
      </c>
      <c r="AM161">
        <v>0</v>
      </c>
      <c r="AN161">
        <v>0</v>
      </c>
      <c r="AO161">
        <v>0</v>
      </c>
      <c r="AP161">
        <v>130424.4</v>
      </c>
      <c r="AQ161">
        <v>130424.4</v>
      </c>
      <c r="AR161">
        <v>0</v>
      </c>
      <c r="AS161">
        <v>0</v>
      </c>
      <c r="AT161">
        <v>0</v>
      </c>
      <c r="AU161">
        <v>0</v>
      </c>
      <c r="AV161">
        <f>Table1[[#This Row],[CGST]]+Table1[[#This Row],[IGST]]+Table1[[#This Row],[SGST]]</f>
        <v>130424.4</v>
      </c>
      <c r="AW161">
        <f t="shared" si="5"/>
        <v>130</v>
      </c>
      <c r="AX161">
        <v>0</v>
      </c>
      <c r="AY161">
        <v>855004.4</v>
      </c>
      <c r="AZ161" t="s">
        <v>125</v>
      </c>
      <c r="BA161" t="s">
        <v>10</v>
      </c>
      <c r="BB161" t="s">
        <v>126</v>
      </c>
      <c r="BC161" t="s">
        <v>127</v>
      </c>
      <c r="BD161" t="s">
        <v>128</v>
      </c>
      <c r="BE161" t="s">
        <v>13</v>
      </c>
      <c r="BF161" t="s">
        <v>301</v>
      </c>
      <c r="BH161">
        <v>0</v>
      </c>
    </row>
    <row r="162" spans="1:60" x14ac:dyDescent="0.25">
      <c r="A162" t="s">
        <v>120</v>
      </c>
      <c r="B162" t="s">
        <v>121</v>
      </c>
      <c r="C162">
        <v>1234</v>
      </c>
      <c r="D162" t="s">
        <v>300</v>
      </c>
      <c r="E16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62" t="s">
        <v>8</v>
      </c>
      <c r="G162" t="s">
        <v>300</v>
      </c>
      <c r="H162" t="str">
        <f t="shared" si="4"/>
        <v>SI-2/1900-1842</v>
      </c>
      <c r="I162" t="s">
        <v>122</v>
      </c>
      <c r="J162" t="s">
        <v>122</v>
      </c>
      <c r="K162" t="s">
        <v>122</v>
      </c>
      <c r="L162" t="s">
        <v>122</v>
      </c>
      <c r="M162" s="21">
        <v>44593</v>
      </c>
      <c r="N162" t="s">
        <v>123</v>
      </c>
      <c r="O162" t="s">
        <v>198</v>
      </c>
      <c r="P162" t="s">
        <v>199</v>
      </c>
      <c r="Q162" t="s">
        <v>122</v>
      </c>
      <c r="R162" t="s">
        <v>122</v>
      </c>
      <c r="U162">
        <v>1234</v>
      </c>
      <c r="V162">
        <v>0</v>
      </c>
      <c r="W162" t="s">
        <v>200</v>
      </c>
      <c r="X162" t="s">
        <v>9</v>
      </c>
      <c r="Y162" t="s">
        <v>60</v>
      </c>
      <c r="Z162" t="s">
        <v>122</v>
      </c>
      <c r="AA162" t="s">
        <v>122</v>
      </c>
      <c r="AB162" t="s">
        <v>122</v>
      </c>
      <c r="AC162" t="s">
        <v>122</v>
      </c>
      <c r="AF162">
        <v>60</v>
      </c>
      <c r="AG162">
        <v>100</v>
      </c>
      <c r="AH162" t="s">
        <v>124</v>
      </c>
      <c r="AI162">
        <v>1</v>
      </c>
      <c r="AJ162">
        <v>6000</v>
      </c>
      <c r="AK162">
        <v>6000</v>
      </c>
      <c r="AL162">
        <v>0</v>
      </c>
      <c r="AM162">
        <v>0</v>
      </c>
      <c r="AN162">
        <v>0</v>
      </c>
      <c r="AO162">
        <v>0</v>
      </c>
      <c r="AP162">
        <v>11713.68</v>
      </c>
      <c r="AQ162">
        <v>11713.68</v>
      </c>
      <c r="AR162">
        <v>0</v>
      </c>
      <c r="AS162">
        <v>0</v>
      </c>
      <c r="AT162">
        <v>0</v>
      </c>
      <c r="AU162">
        <v>0</v>
      </c>
      <c r="AV162">
        <f>Table1[[#This Row],[CGST]]+Table1[[#This Row],[IGST]]+Table1[[#This Row],[SGST]]</f>
        <v>11713.68</v>
      </c>
      <c r="AW162">
        <f t="shared" si="5"/>
        <v>195</v>
      </c>
      <c r="AX162">
        <v>0</v>
      </c>
      <c r="AY162">
        <v>76789.679999999993</v>
      </c>
      <c r="AZ162" t="s">
        <v>125</v>
      </c>
      <c r="BA162" t="s">
        <v>10</v>
      </c>
      <c r="BB162" t="s">
        <v>126</v>
      </c>
      <c r="BC162" t="s">
        <v>127</v>
      </c>
      <c r="BD162" t="s">
        <v>128</v>
      </c>
      <c r="BE162" t="s">
        <v>13</v>
      </c>
      <c r="BF162" t="s">
        <v>301</v>
      </c>
      <c r="BH162">
        <v>0</v>
      </c>
    </row>
    <row r="163" spans="1:60" x14ac:dyDescent="0.25">
      <c r="A163" t="s">
        <v>120</v>
      </c>
      <c r="B163" t="s">
        <v>121</v>
      </c>
      <c r="C163">
        <v>1234</v>
      </c>
      <c r="D163" t="s">
        <v>302</v>
      </c>
      <c r="E16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63" t="s">
        <v>8</v>
      </c>
      <c r="G163" t="s">
        <v>302</v>
      </c>
      <c r="H163" t="str">
        <f t="shared" si="4"/>
        <v>SI-2/1900-1843</v>
      </c>
      <c r="I163" t="s">
        <v>122</v>
      </c>
      <c r="J163" t="s">
        <v>122</v>
      </c>
      <c r="K163" t="s">
        <v>122</v>
      </c>
      <c r="L163" t="s">
        <v>122</v>
      </c>
      <c r="M163" s="21">
        <v>44593</v>
      </c>
      <c r="N163" t="s">
        <v>123</v>
      </c>
      <c r="O163" t="s">
        <v>198</v>
      </c>
      <c r="P163" t="s">
        <v>199</v>
      </c>
      <c r="Q163" t="s">
        <v>122</v>
      </c>
      <c r="R163" t="s">
        <v>122</v>
      </c>
      <c r="U163">
        <v>1234</v>
      </c>
      <c r="V163">
        <v>0</v>
      </c>
      <c r="W163" t="s">
        <v>200</v>
      </c>
      <c r="X163" t="s">
        <v>9</v>
      </c>
      <c r="Y163" t="s">
        <v>60</v>
      </c>
      <c r="Z163" t="s">
        <v>122</v>
      </c>
      <c r="AA163" t="s">
        <v>122</v>
      </c>
      <c r="AB163" t="s">
        <v>122</v>
      </c>
      <c r="AC163" t="s">
        <v>122</v>
      </c>
      <c r="AF163">
        <v>50</v>
      </c>
      <c r="AG163">
        <v>100</v>
      </c>
      <c r="AH163" t="s">
        <v>124</v>
      </c>
      <c r="AI163">
        <v>1</v>
      </c>
      <c r="AJ163">
        <v>5000</v>
      </c>
      <c r="AK163">
        <v>5000</v>
      </c>
      <c r="AL163">
        <v>0</v>
      </c>
      <c r="AM163">
        <v>0</v>
      </c>
      <c r="AN163">
        <v>0</v>
      </c>
      <c r="AO163">
        <v>0</v>
      </c>
      <c r="AP163">
        <v>8937</v>
      </c>
      <c r="AQ163">
        <v>8937</v>
      </c>
      <c r="AR163">
        <v>0</v>
      </c>
      <c r="AS163">
        <v>0</v>
      </c>
      <c r="AT163">
        <v>0</v>
      </c>
      <c r="AU163">
        <v>0</v>
      </c>
      <c r="AV163">
        <f>Table1[[#This Row],[CGST]]+Table1[[#This Row],[IGST]]+Table1[[#This Row],[SGST]]</f>
        <v>8937</v>
      </c>
      <c r="AW163">
        <f t="shared" si="5"/>
        <v>179</v>
      </c>
      <c r="AX163">
        <v>0</v>
      </c>
      <c r="AY163">
        <v>58587</v>
      </c>
      <c r="AZ163" t="s">
        <v>125</v>
      </c>
      <c r="BA163" t="s">
        <v>10</v>
      </c>
      <c r="BB163" t="s">
        <v>126</v>
      </c>
      <c r="BC163" t="s">
        <v>127</v>
      </c>
      <c r="BD163" t="s">
        <v>128</v>
      </c>
      <c r="BE163" t="s">
        <v>164</v>
      </c>
      <c r="BF163" t="s">
        <v>301</v>
      </c>
      <c r="BH163">
        <v>0</v>
      </c>
    </row>
    <row r="164" spans="1:60" x14ac:dyDescent="0.25">
      <c r="A164" t="s">
        <v>120</v>
      </c>
      <c r="B164" t="s">
        <v>121</v>
      </c>
      <c r="C164">
        <v>1234</v>
      </c>
      <c r="D164" t="s">
        <v>302</v>
      </c>
      <c r="E16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64" t="s">
        <v>8</v>
      </c>
      <c r="G164" t="s">
        <v>302</v>
      </c>
      <c r="H164" t="str">
        <f t="shared" si="4"/>
        <v>SI-2/1900-1843</v>
      </c>
      <c r="I164" t="s">
        <v>122</v>
      </c>
      <c r="J164" t="s">
        <v>122</v>
      </c>
      <c r="K164" t="s">
        <v>122</v>
      </c>
      <c r="L164" t="s">
        <v>122</v>
      </c>
      <c r="M164" s="21">
        <v>44593</v>
      </c>
      <c r="N164" t="s">
        <v>123</v>
      </c>
      <c r="O164" t="s">
        <v>198</v>
      </c>
      <c r="P164" t="s">
        <v>199</v>
      </c>
      <c r="Q164" t="s">
        <v>122</v>
      </c>
      <c r="R164" t="s">
        <v>122</v>
      </c>
      <c r="U164">
        <v>1234</v>
      </c>
      <c r="V164">
        <v>0</v>
      </c>
      <c r="W164" t="s">
        <v>200</v>
      </c>
      <c r="X164" t="s">
        <v>9</v>
      </c>
      <c r="Y164" t="s">
        <v>60</v>
      </c>
      <c r="Z164" t="s">
        <v>122</v>
      </c>
      <c r="AA164" t="s">
        <v>122</v>
      </c>
      <c r="AB164" t="s">
        <v>122</v>
      </c>
      <c r="AC164" t="s">
        <v>122</v>
      </c>
      <c r="AF164">
        <v>125</v>
      </c>
      <c r="AG164">
        <v>100</v>
      </c>
      <c r="AH164" t="s">
        <v>124</v>
      </c>
      <c r="AI164">
        <v>1</v>
      </c>
      <c r="AJ164">
        <v>12500</v>
      </c>
      <c r="AK164">
        <v>12500</v>
      </c>
      <c r="AL164">
        <v>0</v>
      </c>
      <c r="AM164">
        <v>0</v>
      </c>
      <c r="AN164">
        <v>0</v>
      </c>
      <c r="AO164">
        <v>0</v>
      </c>
      <c r="AP164">
        <v>24495.75</v>
      </c>
      <c r="AQ164">
        <v>24495.75</v>
      </c>
      <c r="AR164">
        <v>0</v>
      </c>
      <c r="AS164">
        <v>0</v>
      </c>
      <c r="AT164">
        <v>0</v>
      </c>
      <c r="AU164">
        <v>0</v>
      </c>
      <c r="AV164">
        <f>Table1[[#This Row],[CGST]]+Table1[[#This Row],[IGST]]+Table1[[#This Row],[SGST]]</f>
        <v>24495.75</v>
      </c>
      <c r="AW164">
        <f t="shared" si="5"/>
        <v>196</v>
      </c>
      <c r="AX164">
        <v>0</v>
      </c>
      <c r="AY164">
        <v>160583.25</v>
      </c>
      <c r="AZ164" t="s">
        <v>125</v>
      </c>
      <c r="BA164" t="s">
        <v>10</v>
      </c>
      <c r="BB164" t="s">
        <v>126</v>
      </c>
      <c r="BC164" t="s">
        <v>127</v>
      </c>
      <c r="BD164" t="s">
        <v>128</v>
      </c>
      <c r="BE164" t="s">
        <v>164</v>
      </c>
      <c r="BF164" t="s">
        <v>301</v>
      </c>
      <c r="BH164">
        <v>0</v>
      </c>
    </row>
    <row r="165" spans="1:60" x14ac:dyDescent="0.25">
      <c r="A165" t="s">
        <v>120</v>
      </c>
      <c r="B165" t="s">
        <v>121</v>
      </c>
      <c r="C165">
        <v>1234</v>
      </c>
      <c r="D165" t="s">
        <v>302</v>
      </c>
      <c r="E16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65" t="s">
        <v>8</v>
      </c>
      <c r="G165" t="s">
        <v>302</v>
      </c>
      <c r="H165" t="str">
        <f t="shared" si="4"/>
        <v>SI-2/1900-1843</v>
      </c>
      <c r="I165" t="s">
        <v>122</v>
      </c>
      <c r="J165" t="s">
        <v>122</v>
      </c>
      <c r="K165" t="s">
        <v>122</v>
      </c>
      <c r="L165" t="s">
        <v>122</v>
      </c>
      <c r="M165" s="21">
        <v>44593</v>
      </c>
      <c r="N165" t="s">
        <v>123</v>
      </c>
      <c r="O165" t="s">
        <v>198</v>
      </c>
      <c r="P165" t="s">
        <v>199</v>
      </c>
      <c r="Q165" t="s">
        <v>122</v>
      </c>
      <c r="R165" t="s">
        <v>122</v>
      </c>
      <c r="U165">
        <v>1234</v>
      </c>
      <c r="V165">
        <v>0</v>
      </c>
      <c r="W165" t="s">
        <v>200</v>
      </c>
      <c r="X165" t="s">
        <v>9</v>
      </c>
      <c r="Y165" t="s">
        <v>60</v>
      </c>
      <c r="Z165" t="s">
        <v>122</v>
      </c>
      <c r="AA165" t="s">
        <v>122</v>
      </c>
      <c r="AB165" t="s">
        <v>122</v>
      </c>
      <c r="AC165" t="s">
        <v>122</v>
      </c>
      <c r="AF165">
        <v>60</v>
      </c>
      <c r="AG165">
        <v>100</v>
      </c>
      <c r="AH165" t="s">
        <v>124</v>
      </c>
      <c r="AI165">
        <v>1</v>
      </c>
      <c r="AJ165">
        <v>6000</v>
      </c>
      <c r="AK165">
        <v>6000</v>
      </c>
      <c r="AL165">
        <v>0</v>
      </c>
      <c r="AM165">
        <v>0</v>
      </c>
      <c r="AN165">
        <v>0</v>
      </c>
      <c r="AO165">
        <v>0</v>
      </c>
      <c r="AP165">
        <v>11713.68</v>
      </c>
      <c r="AQ165">
        <v>11713.68</v>
      </c>
      <c r="AR165">
        <v>0</v>
      </c>
      <c r="AS165">
        <v>0</v>
      </c>
      <c r="AT165">
        <v>0</v>
      </c>
      <c r="AU165">
        <v>0</v>
      </c>
      <c r="AV165">
        <f>Table1[[#This Row],[CGST]]+Table1[[#This Row],[IGST]]+Table1[[#This Row],[SGST]]</f>
        <v>11713.68</v>
      </c>
      <c r="AW165">
        <f t="shared" si="5"/>
        <v>195</v>
      </c>
      <c r="AX165">
        <v>0</v>
      </c>
      <c r="AY165">
        <v>76789.679999999993</v>
      </c>
      <c r="AZ165" t="s">
        <v>125</v>
      </c>
      <c r="BA165" t="s">
        <v>10</v>
      </c>
      <c r="BB165" t="s">
        <v>126</v>
      </c>
      <c r="BC165" t="s">
        <v>127</v>
      </c>
      <c r="BD165" t="s">
        <v>128</v>
      </c>
      <c r="BE165" t="s">
        <v>164</v>
      </c>
      <c r="BF165" t="s">
        <v>207</v>
      </c>
      <c r="BH165">
        <v>0</v>
      </c>
    </row>
    <row r="166" spans="1:60" x14ac:dyDescent="0.25">
      <c r="A166" t="s">
        <v>120</v>
      </c>
      <c r="B166" t="s">
        <v>121</v>
      </c>
      <c r="C166">
        <v>1234</v>
      </c>
      <c r="D166" t="s">
        <v>302</v>
      </c>
      <c r="E16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66" t="s">
        <v>8</v>
      </c>
      <c r="G166" t="s">
        <v>302</v>
      </c>
      <c r="H166" t="str">
        <f t="shared" si="4"/>
        <v>SI-2/1900-1843</v>
      </c>
      <c r="I166" t="s">
        <v>122</v>
      </c>
      <c r="J166" t="s">
        <v>122</v>
      </c>
      <c r="K166" t="s">
        <v>122</v>
      </c>
      <c r="L166" t="s">
        <v>122</v>
      </c>
      <c r="M166" s="21">
        <v>44593</v>
      </c>
      <c r="N166" t="s">
        <v>123</v>
      </c>
      <c r="O166" t="s">
        <v>198</v>
      </c>
      <c r="P166" t="s">
        <v>199</v>
      </c>
      <c r="Q166" t="s">
        <v>122</v>
      </c>
      <c r="R166" t="s">
        <v>122</v>
      </c>
      <c r="U166">
        <v>1234</v>
      </c>
      <c r="V166">
        <v>0</v>
      </c>
      <c r="W166" t="s">
        <v>200</v>
      </c>
      <c r="X166" t="s">
        <v>9</v>
      </c>
      <c r="Y166" t="s">
        <v>60</v>
      </c>
      <c r="Z166" t="s">
        <v>122</v>
      </c>
      <c r="AA166" t="s">
        <v>122</v>
      </c>
      <c r="AB166" t="s">
        <v>122</v>
      </c>
      <c r="AC166" t="s">
        <v>122</v>
      </c>
      <c r="AF166">
        <v>110</v>
      </c>
      <c r="AG166">
        <v>100</v>
      </c>
      <c r="AH166" t="s">
        <v>124</v>
      </c>
      <c r="AI166">
        <v>1</v>
      </c>
      <c r="AJ166">
        <v>11000</v>
      </c>
      <c r="AK166">
        <v>11000</v>
      </c>
      <c r="AL166">
        <v>0</v>
      </c>
      <c r="AM166">
        <v>0</v>
      </c>
      <c r="AN166">
        <v>0</v>
      </c>
      <c r="AO166">
        <v>0</v>
      </c>
      <c r="AP166">
        <v>17978.400000000001</v>
      </c>
      <c r="AQ166">
        <v>17978.400000000001</v>
      </c>
      <c r="AR166">
        <v>0</v>
      </c>
      <c r="AS166">
        <v>0</v>
      </c>
      <c r="AT166">
        <v>0</v>
      </c>
      <c r="AU166">
        <v>0</v>
      </c>
      <c r="AV166">
        <f>Table1[[#This Row],[CGST]]+Table1[[#This Row],[IGST]]+Table1[[#This Row],[SGST]]</f>
        <v>17978.400000000001</v>
      </c>
      <c r="AW166">
        <f t="shared" si="5"/>
        <v>163</v>
      </c>
      <c r="AX166">
        <v>0</v>
      </c>
      <c r="AY166">
        <v>117858.4</v>
      </c>
      <c r="AZ166" t="s">
        <v>125</v>
      </c>
      <c r="BA166" t="s">
        <v>10</v>
      </c>
      <c r="BB166" t="s">
        <v>126</v>
      </c>
      <c r="BC166" t="s">
        <v>127</v>
      </c>
      <c r="BD166" t="s">
        <v>128</v>
      </c>
      <c r="BE166" t="s">
        <v>164</v>
      </c>
      <c r="BF166" t="s">
        <v>207</v>
      </c>
      <c r="BH166">
        <v>0</v>
      </c>
    </row>
    <row r="167" spans="1:60" x14ac:dyDescent="0.25">
      <c r="A167" t="s">
        <v>120</v>
      </c>
      <c r="B167" t="s">
        <v>121</v>
      </c>
      <c r="C167">
        <v>1234</v>
      </c>
      <c r="D167" t="s">
        <v>303</v>
      </c>
      <c r="E16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67" t="s">
        <v>8</v>
      </c>
      <c r="G167" t="s">
        <v>303</v>
      </c>
      <c r="H167" t="str">
        <f t="shared" si="4"/>
        <v>SI-2/1900-1844</v>
      </c>
      <c r="I167" t="s">
        <v>122</v>
      </c>
      <c r="J167" t="s">
        <v>122</v>
      </c>
      <c r="K167" t="s">
        <v>122</v>
      </c>
      <c r="L167" t="s">
        <v>122</v>
      </c>
      <c r="M167" s="21">
        <v>44593</v>
      </c>
      <c r="N167" t="s">
        <v>123</v>
      </c>
      <c r="O167" t="s">
        <v>198</v>
      </c>
      <c r="P167" t="s">
        <v>199</v>
      </c>
      <c r="Q167" t="s">
        <v>122</v>
      </c>
      <c r="R167" t="s">
        <v>122</v>
      </c>
      <c r="U167">
        <v>1234</v>
      </c>
      <c r="V167">
        <v>0</v>
      </c>
      <c r="W167" t="s">
        <v>200</v>
      </c>
      <c r="X167" t="s">
        <v>9</v>
      </c>
      <c r="Y167" t="s">
        <v>60</v>
      </c>
      <c r="Z167" t="s">
        <v>122</v>
      </c>
      <c r="AA167" t="s">
        <v>122</v>
      </c>
      <c r="AB167" t="s">
        <v>122</v>
      </c>
      <c r="AC167" t="s">
        <v>122</v>
      </c>
      <c r="AF167">
        <v>200</v>
      </c>
      <c r="AG167">
        <v>100</v>
      </c>
      <c r="AH167" t="s">
        <v>124</v>
      </c>
      <c r="AI167">
        <v>1</v>
      </c>
      <c r="AJ167">
        <v>20000</v>
      </c>
      <c r="AK167">
        <v>20000</v>
      </c>
      <c r="AL167">
        <v>0</v>
      </c>
      <c r="AM167">
        <v>0</v>
      </c>
      <c r="AN167">
        <v>0</v>
      </c>
      <c r="AO167">
        <v>0</v>
      </c>
      <c r="AP167">
        <v>34301.160000000003</v>
      </c>
      <c r="AQ167">
        <v>34301.160000000003</v>
      </c>
      <c r="AR167">
        <v>0</v>
      </c>
      <c r="AS167">
        <v>0</v>
      </c>
      <c r="AT167">
        <v>0</v>
      </c>
      <c r="AU167">
        <v>0</v>
      </c>
      <c r="AV167">
        <f>Table1[[#This Row],[CGST]]+Table1[[#This Row],[IGST]]+Table1[[#This Row],[SGST]]</f>
        <v>34301.160000000003</v>
      </c>
      <c r="AW167">
        <f t="shared" si="5"/>
        <v>172</v>
      </c>
      <c r="AX167">
        <v>0</v>
      </c>
      <c r="AY167">
        <v>224863.16</v>
      </c>
      <c r="AZ167" t="s">
        <v>125</v>
      </c>
      <c r="BA167" t="s">
        <v>10</v>
      </c>
      <c r="BB167" t="s">
        <v>126</v>
      </c>
      <c r="BC167" t="s">
        <v>127</v>
      </c>
      <c r="BD167" t="s">
        <v>128</v>
      </c>
      <c r="BE167" t="s">
        <v>18</v>
      </c>
      <c r="BF167" t="s">
        <v>304</v>
      </c>
      <c r="BH167">
        <v>0</v>
      </c>
    </row>
    <row r="168" spans="1:60" x14ac:dyDescent="0.25">
      <c r="A168" t="s">
        <v>120</v>
      </c>
      <c r="B168" t="s">
        <v>121</v>
      </c>
      <c r="C168">
        <v>1234</v>
      </c>
      <c r="D168" t="s">
        <v>303</v>
      </c>
      <c r="E16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68" t="s">
        <v>8</v>
      </c>
      <c r="G168" t="s">
        <v>303</v>
      </c>
      <c r="H168" t="str">
        <f t="shared" si="4"/>
        <v>SI-2/1900-1844</v>
      </c>
      <c r="I168" t="s">
        <v>122</v>
      </c>
      <c r="J168" t="s">
        <v>122</v>
      </c>
      <c r="K168" t="s">
        <v>122</v>
      </c>
      <c r="L168" t="s">
        <v>122</v>
      </c>
      <c r="M168" s="21">
        <v>44593</v>
      </c>
      <c r="N168" t="s">
        <v>123</v>
      </c>
      <c r="O168" t="s">
        <v>198</v>
      </c>
      <c r="P168" t="s">
        <v>199</v>
      </c>
      <c r="Q168" t="s">
        <v>122</v>
      </c>
      <c r="R168" t="s">
        <v>122</v>
      </c>
      <c r="U168">
        <v>1234</v>
      </c>
      <c r="V168">
        <v>0</v>
      </c>
      <c r="W168" t="s">
        <v>200</v>
      </c>
      <c r="X168" t="s">
        <v>9</v>
      </c>
      <c r="Y168" t="s">
        <v>60</v>
      </c>
      <c r="Z168" t="s">
        <v>122</v>
      </c>
      <c r="AA168" t="s">
        <v>122</v>
      </c>
      <c r="AB168" t="s">
        <v>122</v>
      </c>
      <c r="AC168" t="s">
        <v>122</v>
      </c>
      <c r="AF168">
        <v>550</v>
      </c>
      <c r="AG168">
        <v>100</v>
      </c>
      <c r="AH168" t="s">
        <v>124</v>
      </c>
      <c r="AI168">
        <v>1</v>
      </c>
      <c r="AJ168">
        <v>55000</v>
      </c>
      <c r="AK168">
        <v>55000</v>
      </c>
      <c r="AL168">
        <v>0</v>
      </c>
      <c r="AM168">
        <v>0</v>
      </c>
      <c r="AN168">
        <v>0</v>
      </c>
      <c r="AO168">
        <v>0</v>
      </c>
      <c r="AP168">
        <v>77740.740000000005</v>
      </c>
      <c r="AQ168">
        <v>77740.740000000005</v>
      </c>
      <c r="AR168">
        <v>0</v>
      </c>
      <c r="AS168">
        <v>0</v>
      </c>
      <c r="AT168">
        <v>0</v>
      </c>
      <c r="AU168">
        <v>0</v>
      </c>
      <c r="AV168">
        <f>Table1[[#This Row],[CGST]]+Table1[[#This Row],[IGST]]+Table1[[#This Row],[SGST]]</f>
        <v>77740.740000000005</v>
      </c>
      <c r="AW168">
        <f t="shared" si="5"/>
        <v>141</v>
      </c>
      <c r="AX168">
        <v>0</v>
      </c>
      <c r="AY168">
        <v>509633.74</v>
      </c>
      <c r="AZ168" t="s">
        <v>125</v>
      </c>
      <c r="BA168" t="s">
        <v>10</v>
      </c>
      <c r="BB168" t="s">
        <v>126</v>
      </c>
      <c r="BC168" t="s">
        <v>127</v>
      </c>
      <c r="BD168" t="s">
        <v>128</v>
      </c>
      <c r="BE168" t="s">
        <v>18</v>
      </c>
      <c r="BF168" t="s">
        <v>304</v>
      </c>
      <c r="BH168">
        <v>0</v>
      </c>
    </row>
    <row r="169" spans="1:60" x14ac:dyDescent="0.25">
      <c r="A169" t="s">
        <v>120</v>
      </c>
      <c r="B169" t="s">
        <v>121</v>
      </c>
      <c r="C169">
        <v>1234</v>
      </c>
      <c r="D169" t="s">
        <v>305</v>
      </c>
      <c r="E16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69" t="s">
        <v>8</v>
      </c>
      <c r="G169" t="s">
        <v>305</v>
      </c>
      <c r="H169" t="str">
        <f t="shared" si="4"/>
        <v>SI-2/1900-1845</v>
      </c>
      <c r="I169" t="s">
        <v>122</v>
      </c>
      <c r="J169" t="s">
        <v>122</v>
      </c>
      <c r="K169" t="s">
        <v>122</v>
      </c>
      <c r="L169" t="s">
        <v>122</v>
      </c>
      <c r="M169" s="21">
        <v>44593</v>
      </c>
      <c r="N169" t="s">
        <v>123</v>
      </c>
      <c r="O169" t="s">
        <v>198</v>
      </c>
      <c r="P169" t="s">
        <v>199</v>
      </c>
      <c r="Q169" t="s">
        <v>122</v>
      </c>
      <c r="R169" t="s">
        <v>122</v>
      </c>
      <c r="U169">
        <v>1234</v>
      </c>
      <c r="V169">
        <v>0</v>
      </c>
      <c r="W169" t="s">
        <v>200</v>
      </c>
      <c r="X169" t="s">
        <v>9</v>
      </c>
      <c r="Y169" t="s">
        <v>62</v>
      </c>
      <c r="Z169" t="s">
        <v>122</v>
      </c>
      <c r="AA169" t="s">
        <v>122</v>
      </c>
      <c r="AB169" t="s">
        <v>122</v>
      </c>
      <c r="AC169" t="s">
        <v>122</v>
      </c>
      <c r="AF169">
        <v>5</v>
      </c>
      <c r="AG169">
        <v>100</v>
      </c>
      <c r="AH169" t="s">
        <v>124</v>
      </c>
      <c r="AI169">
        <v>1</v>
      </c>
      <c r="AJ169">
        <v>500</v>
      </c>
      <c r="AK169">
        <v>500</v>
      </c>
      <c r="AL169">
        <v>0</v>
      </c>
      <c r="AM169">
        <v>31.5</v>
      </c>
      <c r="AN169">
        <v>0</v>
      </c>
      <c r="AO169">
        <v>31.5</v>
      </c>
      <c r="AP169">
        <v>0</v>
      </c>
      <c r="AQ169">
        <v>0</v>
      </c>
      <c r="AR169">
        <v>0</v>
      </c>
      <c r="AS169">
        <v>31.5</v>
      </c>
      <c r="AT169">
        <v>0</v>
      </c>
      <c r="AU169">
        <v>31.5</v>
      </c>
      <c r="AV169">
        <f>Table1[[#This Row],[CGST]]+Table1[[#This Row],[IGST]]+Table1[[#This Row],[SGST]]</f>
        <v>63</v>
      </c>
      <c r="AW169">
        <f t="shared" si="5"/>
        <v>13</v>
      </c>
      <c r="AX169">
        <v>0</v>
      </c>
      <c r="AY169">
        <v>413</v>
      </c>
      <c r="AZ169" t="s">
        <v>129</v>
      </c>
      <c r="BA169" t="s">
        <v>10</v>
      </c>
      <c r="BB169" t="s">
        <v>126</v>
      </c>
      <c r="BC169" t="s">
        <v>127</v>
      </c>
      <c r="BD169" t="s">
        <v>128</v>
      </c>
      <c r="BE169" t="s">
        <v>12</v>
      </c>
      <c r="BF169" t="s">
        <v>201</v>
      </c>
      <c r="BH169">
        <v>0</v>
      </c>
    </row>
    <row r="170" spans="1:60" x14ac:dyDescent="0.25">
      <c r="A170" t="s">
        <v>120</v>
      </c>
      <c r="B170" t="s">
        <v>121</v>
      </c>
      <c r="C170">
        <v>1234</v>
      </c>
      <c r="D170" t="s">
        <v>305</v>
      </c>
      <c r="E17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70" t="s">
        <v>8</v>
      </c>
      <c r="G170" t="s">
        <v>305</v>
      </c>
      <c r="H170" t="str">
        <f t="shared" si="4"/>
        <v>SI-2/1900-1845</v>
      </c>
      <c r="I170" t="s">
        <v>122</v>
      </c>
      <c r="J170" t="s">
        <v>122</v>
      </c>
      <c r="K170" t="s">
        <v>122</v>
      </c>
      <c r="L170" t="s">
        <v>122</v>
      </c>
      <c r="M170" s="21">
        <v>44593</v>
      </c>
      <c r="N170" t="s">
        <v>123</v>
      </c>
      <c r="O170" t="s">
        <v>198</v>
      </c>
      <c r="P170" t="s">
        <v>199</v>
      </c>
      <c r="Q170" t="s">
        <v>122</v>
      </c>
      <c r="R170" t="s">
        <v>122</v>
      </c>
      <c r="U170">
        <v>1234</v>
      </c>
      <c r="V170">
        <v>0</v>
      </c>
      <c r="W170" t="s">
        <v>200</v>
      </c>
      <c r="X170" t="s">
        <v>9</v>
      </c>
      <c r="Y170" t="s">
        <v>60</v>
      </c>
      <c r="Z170" t="s">
        <v>122</v>
      </c>
      <c r="AA170" t="s">
        <v>122</v>
      </c>
      <c r="AB170" t="s">
        <v>122</v>
      </c>
      <c r="AC170" t="s">
        <v>122</v>
      </c>
      <c r="AF170">
        <v>5</v>
      </c>
      <c r="AG170">
        <v>100</v>
      </c>
      <c r="AH170" t="s">
        <v>124</v>
      </c>
      <c r="AI170">
        <v>1</v>
      </c>
      <c r="AJ170">
        <v>500</v>
      </c>
      <c r="AK170">
        <v>500</v>
      </c>
      <c r="AL170">
        <v>0</v>
      </c>
      <c r="AM170">
        <v>31.5</v>
      </c>
      <c r="AN170">
        <v>0</v>
      </c>
      <c r="AO170">
        <v>31.5</v>
      </c>
      <c r="AP170">
        <v>0</v>
      </c>
      <c r="AQ170">
        <v>0</v>
      </c>
      <c r="AR170">
        <v>0</v>
      </c>
      <c r="AS170">
        <v>31.5</v>
      </c>
      <c r="AT170">
        <v>0</v>
      </c>
      <c r="AU170">
        <v>31.5</v>
      </c>
      <c r="AV170">
        <f>Table1[[#This Row],[CGST]]+Table1[[#This Row],[IGST]]+Table1[[#This Row],[SGST]]</f>
        <v>63</v>
      </c>
      <c r="AW170">
        <f t="shared" si="5"/>
        <v>13</v>
      </c>
      <c r="AX170">
        <v>0</v>
      </c>
      <c r="AY170">
        <v>413</v>
      </c>
      <c r="AZ170" t="s">
        <v>129</v>
      </c>
      <c r="BA170" t="s">
        <v>10</v>
      </c>
      <c r="BB170" t="s">
        <v>126</v>
      </c>
      <c r="BC170" t="s">
        <v>127</v>
      </c>
      <c r="BD170" t="s">
        <v>128</v>
      </c>
      <c r="BE170" t="s">
        <v>12</v>
      </c>
      <c r="BF170" t="s">
        <v>205</v>
      </c>
      <c r="BH170">
        <v>0</v>
      </c>
    </row>
    <row r="171" spans="1:60" x14ac:dyDescent="0.25">
      <c r="A171" t="s">
        <v>120</v>
      </c>
      <c r="B171" t="s">
        <v>121</v>
      </c>
      <c r="C171">
        <v>1234</v>
      </c>
      <c r="D171" t="s">
        <v>306</v>
      </c>
      <c r="E17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71" t="s">
        <v>8</v>
      </c>
      <c r="G171" t="s">
        <v>306</v>
      </c>
      <c r="H171" t="str">
        <f t="shared" si="4"/>
        <v>SI-2/1900-1846</v>
      </c>
      <c r="I171" t="s">
        <v>122</v>
      </c>
      <c r="J171" t="s">
        <v>122</v>
      </c>
      <c r="K171" t="s">
        <v>122</v>
      </c>
      <c r="L171" t="s">
        <v>122</v>
      </c>
      <c r="M171" s="21">
        <v>44593</v>
      </c>
      <c r="N171" t="s">
        <v>123</v>
      </c>
      <c r="O171" t="s">
        <v>198</v>
      </c>
      <c r="P171" t="s">
        <v>199</v>
      </c>
      <c r="Q171" t="s">
        <v>122</v>
      </c>
      <c r="R171" t="s">
        <v>122</v>
      </c>
      <c r="U171">
        <v>1234</v>
      </c>
      <c r="V171">
        <v>0</v>
      </c>
      <c r="W171" t="s">
        <v>200</v>
      </c>
      <c r="X171" t="s">
        <v>9</v>
      </c>
      <c r="Y171" t="s">
        <v>60</v>
      </c>
      <c r="Z171" t="s">
        <v>122</v>
      </c>
      <c r="AA171" t="s">
        <v>122</v>
      </c>
      <c r="AB171" t="s">
        <v>122</v>
      </c>
      <c r="AC171" t="s">
        <v>122</v>
      </c>
      <c r="AF171">
        <v>1035</v>
      </c>
      <c r="AG171">
        <v>100</v>
      </c>
      <c r="AH171" t="s">
        <v>124</v>
      </c>
      <c r="AI171">
        <v>1</v>
      </c>
      <c r="AJ171">
        <v>103500</v>
      </c>
      <c r="AK171">
        <v>103500</v>
      </c>
      <c r="AL171">
        <v>0</v>
      </c>
      <c r="AM171">
        <v>0</v>
      </c>
      <c r="AN171">
        <v>0</v>
      </c>
      <c r="AO171">
        <v>0</v>
      </c>
      <c r="AP171">
        <v>146293.94</v>
      </c>
      <c r="AQ171">
        <v>146293.94</v>
      </c>
      <c r="AR171">
        <v>0</v>
      </c>
      <c r="AS171">
        <v>0</v>
      </c>
      <c r="AT171">
        <v>0</v>
      </c>
      <c r="AU171">
        <v>0</v>
      </c>
      <c r="AV171">
        <f>Table1[[#This Row],[CGST]]+Table1[[#This Row],[IGST]]+Table1[[#This Row],[SGST]]</f>
        <v>146293.94</v>
      </c>
      <c r="AW171">
        <f t="shared" si="5"/>
        <v>141</v>
      </c>
      <c r="AX171">
        <v>0</v>
      </c>
      <c r="AY171">
        <v>959038.04</v>
      </c>
      <c r="AZ171" t="s">
        <v>125</v>
      </c>
      <c r="BA171" t="s">
        <v>10</v>
      </c>
      <c r="BB171" t="s">
        <v>126</v>
      </c>
      <c r="BC171" t="s">
        <v>127</v>
      </c>
      <c r="BD171" t="s">
        <v>128</v>
      </c>
      <c r="BE171" t="s">
        <v>11</v>
      </c>
      <c r="BF171" t="s">
        <v>211</v>
      </c>
      <c r="BH171">
        <v>0</v>
      </c>
    </row>
    <row r="172" spans="1:60" x14ac:dyDescent="0.25">
      <c r="A172" t="s">
        <v>120</v>
      </c>
      <c r="B172" t="s">
        <v>121</v>
      </c>
      <c r="C172">
        <v>1234</v>
      </c>
      <c r="D172" t="s">
        <v>307</v>
      </c>
      <c r="E17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72" t="s">
        <v>8</v>
      </c>
      <c r="G172" t="s">
        <v>307</v>
      </c>
      <c r="H172" t="str">
        <f t="shared" si="4"/>
        <v>SI-2/1900-1847</v>
      </c>
      <c r="I172" t="s">
        <v>122</v>
      </c>
      <c r="J172" t="s">
        <v>122</v>
      </c>
      <c r="K172" t="s">
        <v>122</v>
      </c>
      <c r="L172" t="s">
        <v>122</v>
      </c>
      <c r="M172" s="21">
        <v>44593</v>
      </c>
      <c r="N172" t="s">
        <v>123</v>
      </c>
      <c r="O172" t="s">
        <v>198</v>
      </c>
      <c r="P172" t="s">
        <v>199</v>
      </c>
      <c r="Q172" t="s">
        <v>122</v>
      </c>
      <c r="R172" t="s">
        <v>122</v>
      </c>
      <c r="U172">
        <v>1234</v>
      </c>
      <c r="V172">
        <v>0</v>
      </c>
      <c r="W172" t="s">
        <v>200</v>
      </c>
      <c r="X172" t="s">
        <v>9</v>
      </c>
      <c r="Y172" t="s">
        <v>60</v>
      </c>
      <c r="Z172" t="s">
        <v>122</v>
      </c>
      <c r="AA172" t="s">
        <v>122</v>
      </c>
      <c r="AB172" t="s">
        <v>122</v>
      </c>
      <c r="AC172" t="s">
        <v>122</v>
      </c>
      <c r="AF172">
        <v>1100</v>
      </c>
      <c r="AG172">
        <v>100</v>
      </c>
      <c r="AH172" t="s">
        <v>124</v>
      </c>
      <c r="AI172">
        <v>1</v>
      </c>
      <c r="AJ172">
        <v>110000</v>
      </c>
      <c r="AK172">
        <v>110000</v>
      </c>
      <c r="AL172">
        <v>0</v>
      </c>
      <c r="AM172">
        <v>0</v>
      </c>
      <c r="AN172">
        <v>0</v>
      </c>
      <c r="AO172">
        <v>0</v>
      </c>
      <c r="AP172">
        <v>143466.84</v>
      </c>
      <c r="AQ172">
        <v>143466.84</v>
      </c>
      <c r="AR172">
        <v>0</v>
      </c>
      <c r="AS172">
        <v>0</v>
      </c>
      <c r="AT172">
        <v>0</v>
      </c>
      <c r="AU172">
        <v>0</v>
      </c>
      <c r="AV172">
        <f>Table1[[#This Row],[CGST]]+Table1[[#This Row],[IGST]]+Table1[[#This Row],[SGST]]</f>
        <v>143466.84</v>
      </c>
      <c r="AW172">
        <f t="shared" si="5"/>
        <v>130</v>
      </c>
      <c r="AX172">
        <v>0</v>
      </c>
      <c r="AY172">
        <v>940504.84</v>
      </c>
      <c r="AZ172" t="s">
        <v>125</v>
      </c>
      <c r="BA172" t="s">
        <v>10</v>
      </c>
      <c r="BB172" t="s">
        <v>126</v>
      </c>
      <c r="BC172" t="s">
        <v>127</v>
      </c>
      <c r="BD172" t="s">
        <v>128</v>
      </c>
      <c r="BE172" t="s">
        <v>13</v>
      </c>
      <c r="BF172" t="s">
        <v>211</v>
      </c>
      <c r="BH172">
        <v>0</v>
      </c>
    </row>
    <row r="173" spans="1:60" x14ac:dyDescent="0.25">
      <c r="A173" t="s">
        <v>120</v>
      </c>
      <c r="B173" t="s">
        <v>121</v>
      </c>
      <c r="C173">
        <v>1234</v>
      </c>
      <c r="D173" t="s">
        <v>308</v>
      </c>
      <c r="E17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73" t="s">
        <v>8</v>
      </c>
      <c r="G173" t="s">
        <v>308</v>
      </c>
      <c r="H173" t="str">
        <f t="shared" si="4"/>
        <v>SI-2/1900-1848</v>
      </c>
      <c r="I173" t="s">
        <v>122</v>
      </c>
      <c r="J173" t="s">
        <v>122</v>
      </c>
      <c r="K173" t="s">
        <v>122</v>
      </c>
      <c r="L173" t="s">
        <v>122</v>
      </c>
      <c r="M173" s="21">
        <v>44593</v>
      </c>
      <c r="N173" t="s">
        <v>123</v>
      </c>
      <c r="O173" t="s">
        <v>198</v>
      </c>
      <c r="P173" t="s">
        <v>199</v>
      </c>
      <c r="Q173" t="s">
        <v>122</v>
      </c>
      <c r="R173" t="s">
        <v>122</v>
      </c>
      <c r="U173">
        <v>1234</v>
      </c>
      <c r="V173">
        <v>0</v>
      </c>
      <c r="W173" t="s">
        <v>200</v>
      </c>
      <c r="X173" t="s">
        <v>9</v>
      </c>
      <c r="Y173" t="s">
        <v>60</v>
      </c>
      <c r="Z173" t="s">
        <v>122</v>
      </c>
      <c r="AA173" t="s">
        <v>122</v>
      </c>
      <c r="AB173" t="s">
        <v>122</v>
      </c>
      <c r="AC173" t="s">
        <v>122</v>
      </c>
      <c r="AF173">
        <v>250</v>
      </c>
      <c r="AG173">
        <v>100</v>
      </c>
      <c r="AH173" t="s">
        <v>124</v>
      </c>
      <c r="AI173">
        <v>1</v>
      </c>
      <c r="AJ173">
        <v>25000</v>
      </c>
      <c r="AK173">
        <v>25000</v>
      </c>
      <c r="AL173">
        <v>0</v>
      </c>
      <c r="AM173">
        <v>0</v>
      </c>
      <c r="AN173">
        <v>0</v>
      </c>
      <c r="AO173">
        <v>0</v>
      </c>
      <c r="AP173">
        <v>42876.45</v>
      </c>
      <c r="AQ173">
        <v>42876.45</v>
      </c>
      <c r="AR173">
        <v>0</v>
      </c>
      <c r="AS173">
        <v>0</v>
      </c>
      <c r="AT173">
        <v>0</v>
      </c>
      <c r="AU173">
        <v>0</v>
      </c>
      <c r="AV173">
        <f>Table1[[#This Row],[CGST]]+Table1[[#This Row],[IGST]]+Table1[[#This Row],[SGST]]</f>
        <v>42876.45</v>
      </c>
      <c r="AW173">
        <f t="shared" si="5"/>
        <v>172</v>
      </c>
      <c r="AX173">
        <v>0</v>
      </c>
      <c r="AY173">
        <v>281078.95</v>
      </c>
      <c r="AZ173" t="s">
        <v>125</v>
      </c>
      <c r="BA173" t="s">
        <v>10</v>
      </c>
      <c r="BB173" t="s">
        <v>126</v>
      </c>
      <c r="BC173" t="s">
        <v>127</v>
      </c>
      <c r="BD173" t="s">
        <v>128</v>
      </c>
      <c r="BE173" t="s">
        <v>16</v>
      </c>
      <c r="BF173" t="s">
        <v>205</v>
      </c>
      <c r="BH173">
        <v>0</v>
      </c>
    </row>
    <row r="174" spans="1:60" x14ac:dyDescent="0.25">
      <c r="A174" t="s">
        <v>120</v>
      </c>
      <c r="B174" t="s">
        <v>121</v>
      </c>
      <c r="C174">
        <v>1234</v>
      </c>
      <c r="D174" t="s">
        <v>308</v>
      </c>
      <c r="E17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74" t="s">
        <v>8</v>
      </c>
      <c r="G174" t="s">
        <v>308</v>
      </c>
      <c r="H174" t="str">
        <f t="shared" si="4"/>
        <v>SI-2/1900-1848</v>
      </c>
      <c r="I174" t="s">
        <v>122</v>
      </c>
      <c r="J174" t="s">
        <v>122</v>
      </c>
      <c r="K174" t="s">
        <v>122</v>
      </c>
      <c r="L174" t="s">
        <v>122</v>
      </c>
      <c r="M174" s="21">
        <v>44593</v>
      </c>
      <c r="N174" t="s">
        <v>123</v>
      </c>
      <c r="O174" t="s">
        <v>198</v>
      </c>
      <c r="P174" t="s">
        <v>199</v>
      </c>
      <c r="Q174" t="s">
        <v>122</v>
      </c>
      <c r="R174" t="s">
        <v>122</v>
      </c>
      <c r="U174">
        <v>1234</v>
      </c>
      <c r="V174">
        <v>0</v>
      </c>
      <c r="W174" t="s">
        <v>200</v>
      </c>
      <c r="X174" t="s">
        <v>9</v>
      </c>
      <c r="Y174" t="s">
        <v>60</v>
      </c>
      <c r="Z174" t="s">
        <v>122</v>
      </c>
      <c r="AA174" t="s">
        <v>122</v>
      </c>
      <c r="AB174" t="s">
        <v>122</v>
      </c>
      <c r="AC174" t="s">
        <v>122</v>
      </c>
      <c r="AF174">
        <v>650</v>
      </c>
      <c r="AG174">
        <v>100</v>
      </c>
      <c r="AH174" t="s">
        <v>124</v>
      </c>
      <c r="AI174">
        <v>1</v>
      </c>
      <c r="AJ174">
        <v>65000</v>
      </c>
      <c r="AK174">
        <v>65000</v>
      </c>
      <c r="AL174">
        <v>0</v>
      </c>
      <c r="AM174">
        <v>0</v>
      </c>
      <c r="AN174">
        <v>0</v>
      </c>
      <c r="AO174">
        <v>0</v>
      </c>
      <c r="AP174">
        <v>91875.42</v>
      </c>
      <c r="AQ174">
        <v>91875.42</v>
      </c>
      <c r="AR174">
        <v>0</v>
      </c>
      <c r="AS174">
        <v>0</v>
      </c>
      <c r="AT174">
        <v>0</v>
      </c>
      <c r="AU174">
        <v>0</v>
      </c>
      <c r="AV174">
        <f>Table1[[#This Row],[CGST]]+Table1[[#This Row],[IGST]]+Table1[[#This Row],[SGST]]</f>
        <v>91875.42</v>
      </c>
      <c r="AW174">
        <f t="shared" si="5"/>
        <v>141</v>
      </c>
      <c r="AX174">
        <v>0</v>
      </c>
      <c r="AY174">
        <v>602294.42000000004</v>
      </c>
      <c r="AZ174" t="s">
        <v>125</v>
      </c>
      <c r="BA174" t="s">
        <v>10</v>
      </c>
      <c r="BB174" t="s">
        <v>126</v>
      </c>
      <c r="BC174" t="s">
        <v>127</v>
      </c>
      <c r="BD174" t="s">
        <v>128</v>
      </c>
      <c r="BE174" t="s">
        <v>16</v>
      </c>
      <c r="BF174" t="s">
        <v>205</v>
      </c>
      <c r="BH174">
        <v>0</v>
      </c>
    </row>
    <row r="175" spans="1:60" x14ac:dyDescent="0.25">
      <c r="A175" t="s">
        <v>120</v>
      </c>
      <c r="B175" t="s">
        <v>121</v>
      </c>
      <c r="C175">
        <v>1234</v>
      </c>
      <c r="D175" t="s">
        <v>309</v>
      </c>
      <c r="E17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75" t="s">
        <v>8</v>
      </c>
      <c r="G175" t="s">
        <v>309</v>
      </c>
      <c r="H175" t="str">
        <f t="shared" si="4"/>
        <v>SI-2/1900-1849</v>
      </c>
      <c r="I175" t="s">
        <v>122</v>
      </c>
      <c r="J175" t="s">
        <v>122</v>
      </c>
      <c r="K175" t="s">
        <v>122</v>
      </c>
      <c r="L175" t="s">
        <v>122</v>
      </c>
      <c r="M175" s="21">
        <v>44593</v>
      </c>
      <c r="N175" t="s">
        <v>123</v>
      </c>
      <c r="O175" t="s">
        <v>198</v>
      </c>
      <c r="P175" t="s">
        <v>199</v>
      </c>
      <c r="Q175" t="s">
        <v>122</v>
      </c>
      <c r="R175" t="s">
        <v>122</v>
      </c>
      <c r="U175">
        <v>1234</v>
      </c>
      <c r="V175">
        <v>0</v>
      </c>
      <c r="W175" t="s">
        <v>200</v>
      </c>
      <c r="X175" t="s">
        <v>9</v>
      </c>
      <c r="Y175" t="s">
        <v>60</v>
      </c>
      <c r="Z175" t="s">
        <v>122</v>
      </c>
      <c r="AA175" t="s">
        <v>122</v>
      </c>
      <c r="AB175" t="s">
        <v>122</v>
      </c>
      <c r="AC175" t="s">
        <v>122</v>
      </c>
      <c r="AF175">
        <v>1100</v>
      </c>
      <c r="AG175">
        <v>100</v>
      </c>
      <c r="AH175" t="s">
        <v>124</v>
      </c>
      <c r="AI175">
        <v>1</v>
      </c>
      <c r="AJ175">
        <v>110000</v>
      </c>
      <c r="AK175">
        <v>110000</v>
      </c>
      <c r="AL175">
        <v>0</v>
      </c>
      <c r="AM175">
        <v>0</v>
      </c>
      <c r="AN175">
        <v>0</v>
      </c>
      <c r="AO175">
        <v>0</v>
      </c>
      <c r="AP175">
        <v>143466.84</v>
      </c>
      <c r="AQ175">
        <v>143466.84</v>
      </c>
      <c r="AR175">
        <v>0</v>
      </c>
      <c r="AS175">
        <v>0</v>
      </c>
      <c r="AT175">
        <v>0</v>
      </c>
      <c r="AU175">
        <v>0</v>
      </c>
      <c r="AV175">
        <f>Table1[[#This Row],[CGST]]+Table1[[#This Row],[IGST]]+Table1[[#This Row],[SGST]]</f>
        <v>143466.84</v>
      </c>
      <c r="AW175">
        <f t="shared" si="5"/>
        <v>130</v>
      </c>
      <c r="AX175">
        <v>0</v>
      </c>
      <c r="AY175">
        <v>940504.84</v>
      </c>
      <c r="AZ175" t="s">
        <v>125</v>
      </c>
      <c r="BA175" t="s">
        <v>10</v>
      </c>
      <c r="BB175" t="s">
        <v>126</v>
      </c>
      <c r="BC175" t="s">
        <v>127</v>
      </c>
      <c r="BD175" t="s">
        <v>128</v>
      </c>
      <c r="BE175" t="s">
        <v>13</v>
      </c>
      <c r="BF175" t="s">
        <v>205</v>
      </c>
      <c r="BH175">
        <v>0</v>
      </c>
    </row>
    <row r="176" spans="1:60" x14ac:dyDescent="0.25">
      <c r="A176" t="s">
        <v>120</v>
      </c>
      <c r="B176" t="s">
        <v>121</v>
      </c>
      <c r="C176">
        <v>1234</v>
      </c>
      <c r="D176" t="s">
        <v>310</v>
      </c>
      <c r="E17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76" t="s">
        <v>8</v>
      </c>
      <c r="G176" t="s">
        <v>310</v>
      </c>
      <c r="H176" t="str">
        <f t="shared" si="4"/>
        <v>SI-2/1900-1850</v>
      </c>
      <c r="I176" t="s">
        <v>122</v>
      </c>
      <c r="J176" t="s">
        <v>122</v>
      </c>
      <c r="K176" t="s">
        <v>122</v>
      </c>
      <c r="L176" t="s">
        <v>122</v>
      </c>
      <c r="M176" s="21">
        <v>44593</v>
      </c>
      <c r="N176" t="s">
        <v>123</v>
      </c>
      <c r="O176" t="s">
        <v>198</v>
      </c>
      <c r="P176" t="s">
        <v>199</v>
      </c>
      <c r="Q176" t="s">
        <v>122</v>
      </c>
      <c r="R176" t="s">
        <v>122</v>
      </c>
      <c r="U176">
        <v>1234</v>
      </c>
      <c r="V176">
        <v>0</v>
      </c>
      <c r="W176" t="s">
        <v>200</v>
      </c>
      <c r="X176" t="s">
        <v>9</v>
      </c>
      <c r="Y176" t="s">
        <v>60</v>
      </c>
      <c r="Z176" t="s">
        <v>122</v>
      </c>
      <c r="AA176" t="s">
        <v>122</v>
      </c>
      <c r="AB176" t="s">
        <v>122</v>
      </c>
      <c r="AC176" t="s">
        <v>122</v>
      </c>
      <c r="AF176">
        <v>580</v>
      </c>
      <c r="AG176">
        <v>100</v>
      </c>
      <c r="AH176" t="s">
        <v>124</v>
      </c>
      <c r="AI176">
        <v>1</v>
      </c>
      <c r="AJ176">
        <v>58000</v>
      </c>
      <c r="AK176">
        <v>58000</v>
      </c>
      <c r="AL176">
        <v>0</v>
      </c>
      <c r="AM176">
        <v>0</v>
      </c>
      <c r="AN176">
        <v>0</v>
      </c>
      <c r="AO176">
        <v>0</v>
      </c>
      <c r="AP176">
        <v>75646.149999999994</v>
      </c>
      <c r="AQ176">
        <v>75646.149999999994</v>
      </c>
      <c r="AR176">
        <v>0</v>
      </c>
      <c r="AS176">
        <v>0</v>
      </c>
      <c r="AT176">
        <v>0</v>
      </c>
      <c r="AU176">
        <v>0</v>
      </c>
      <c r="AV176">
        <f>Table1[[#This Row],[CGST]]+Table1[[#This Row],[IGST]]+Table1[[#This Row],[SGST]]</f>
        <v>75646.149999999994</v>
      </c>
      <c r="AW176">
        <f t="shared" si="5"/>
        <v>130</v>
      </c>
      <c r="AX176">
        <v>0</v>
      </c>
      <c r="AY176">
        <v>495902.55</v>
      </c>
      <c r="AZ176" t="s">
        <v>125</v>
      </c>
      <c r="BA176" t="s">
        <v>10</v>
      </c>
      <c r="BB176" t="s">
        <v>126</v>
      </c>
      <c r="BC176" t="s">
        <v>127</v>
      </c>
      <c r="BD176" t="s">
        <v>128</v>
      </c>
      <c r="BE176" t="s">
        <v>13</v>
      </c>
      <c r="BF176" t="s">
        <v>218</v>
      </c>
      <c r="BH176">
        <v>0</v>
      </c>
    </row>
    <row r="177" spans="1:60" x14ac:dyDescent="0.25">
      <c r="A177" t="s">
        <v>120</v>
      </c>
      <c r="B177" t="s">
        <v>121</v>
      </c>
      <c r="C177">
        <v>1234</v>
      </c>
      <c r="D177" t="s">
        <v>310</v>
      </c>
      <c r="E17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77" t="s">
        <v>8</v>
      </c>
      <c r="G177" t="s">
        <v>310</v>
      </c>
      <c r="H177" t="str">
        <f t="shared" si="4"/>
        <v>SI-2/1900-1850</v>
      </c>
      <c r="I177" t="s">
        <v>122</v>
      </c>
      <c r="J177" t="s">
        <v>122</v>
      </c>
      <c r="K177" t="s">
        <v>122</v>
      </c>
      <c r="L177" t="s">
        <v>122</v>
      </c>
      <c r="M177" s="21">
        <v>44593</v>
      </c>
      <c r="N177" t="s">
        <v>123</v>
      </c>
      <c r="O177" t="s">
        <v>198</v>
      </c>
      <c r="P177" t="s">
        <v>199</v>
      </c>
      <c r="Q177" t="s">
        <v>122</v>
      </c>
      <c r="R177" t="s">
        <v>122</v>
      </c>
      <c r="U177">
        <v>1234</v>
      </c>
      <c r="V177">
        <v>0</v>
      </c>
      <c r="W177" t="s">
        <v>200</v>
      </c>
      <c r="X177" t="s">
        <v>9</v>
      </c>
      <c r="Y177" t="s">
        <v>60</v>
      </c>
      <c r="Z177" t="s">
        <v>122</v>
      </c>
      <c r="AA177" t="s">
        <v>122</v>
      </c>
      <c r="AB177" t="s">
        <v>122</v>
      </c>
      <c r="AC177" t="s">
        <v>122</v>
      </c>
      <c r="AF177">
        <v>500</v>
      </c>
      <c r="AG177">
        <v>100</v>
      </c>
      <c r="AH177" t="s">
        <v>124</v>
      </c>
      <c r="AI177">
        <v>1</v>
      </c>
      <c r="AJ177">
        <v>50000</v>
      </c>
      <c r="AK177">
        <v>50000</v>
      </c>
      <c r="AL177">
        <v>0</v>
      </c>
      <c r="AM177">
        <v>0</v>
      </c>
      <c r="AN177">
        <v>0</v>
      </c>
      <c r="AO177">
        <v>0</v>
      </c>
      <c r="AP177">
        <v>70673.399999999994</v>
      </c>
      <c r="AQ177">
        <v>70673.399999999994</v>
      </c>
      <c r="AR177">
        <v>0</v>
      </c>
      <c r="AS177">
        <v>0</v>
      </c>
      <c r="AT177">
        <v>0</v>
      </c>
      <c r="AU177">
        <v>0</v>
      </c>
      <c r="AV177">
        <f>Table1[[#This Row],[CGST]]+Table1[[#This Row],[IGST]]+Table1[[#This Row],[SGST]]</f>
        <v>70673.399999999994</v>
      </c>
      <c r="AW177">
        <f t="shared" si="5"/>
        <v>141</v>
      </c>
      <c r="AX177">
        <v>0</v>
      </c>
      <c r="AY177">
        <v>463303.4</v>
      </c>
      <c r="AZ177" t="s">
        <v>125</v>
      </c>
      <c r="BA177" t="s">
        <v>10</v>
      </c>
      <c r="BB177" t="s">
        <v>126</v>
      </c>
      <c r="BC177" t="s">
        <v>127</v>
      </c>
      <c r="BD177" t="s">
        <v>128</v>
      </c>
      <c r="BE177" t="s">
        <v>13</v>
      </c>
      <c r="BF177" t="s">
        <v>218</v>
      </c>
      <c r="BH177">
        <v>0</v>
      </c>
    </row>
    <row r="178" spans="1:60" x14ac:dyDescent="0.25">
      <c r="A178" t="s">
        <v>120</v>
      </c>
      <c r="B178" t="s">
        <v>121</v>
      </c>
      <c r="C178">
        <v>1234</v>
      </c>
      <c r="D178" t="s">
        <v>311</v>
      </c>
      <c r="E17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78" t="s">
        <v>8</v>
      </c>
      <c r="G178" t="s">
        <v>311</v>
      </c>
      <c r="H178" t="str">
        <f t="shared" si="4"/>
        <v>SI-2/1900-1853</v>
      </c>
      <c r="I178" t="s">
        <v>122</v>
      </c>
      <c r="J178" t="s">
        <v>122</v>
      </c>
      <c r="K178" t="s">
        <v>122</v>
      </c>
      <c r="L178" t="s">
        <v>122</v>
      </c>
      <c r="M178" s="21">
        <v>44593</v>
      </c>
      <c r="N178" t="s">
        <v>123</v>
      </c>
      <c r="O178" t="s">
        <v>198</v>
      </c>
      <c r="P178" t="s">
        <v>199</v>
      </c>
      <c r="Q178" t="s">
        <v>122</v>
      </c>
      <c r="R178" t="s">
        <v>122</v>
      </c>
      <c r="U178">
        <v>1234</v>
      </c>
      <c r="V178">
        <v>0</v>
      </c>
      <c r="W178" t="s">
        <v>200</v>
      </c>
      <c r="X178" t="s">
        <v>9</v>
      </c>
      <c r="Y178" t="s">
        <v>60</v>
      </c>
      <c r="Z178" t="s">
        <v>122</v>
      </c>
      <c r="AA178" t="s">
        <v>122</v>
      </c>
      <c r="AB178" t="s">
        <v>122</v>
      </c>
      <c r="AC178" t="s">
        <v>122</v>
      </c>
      <c r="AF178">
        <v>1800</v>
      </c>
      <c r="AG178">
        <v>100</v>
      </c>
      <c r="AH178" t="s">
        <v>124</v>
      </c>
      <c r="AI178">
        <v>1</v>
      </c>
      <c r="AJ178">
        <v>180000</v>
      </c>
      <c r="AK178">
        <v>180000</v>
      </c>
      <c r="AL178">
        <v>0</v>
      </c>
      <c r="AM178">
        <v>0</v>
      </c>
      <c r="AN178">
        <v>0</v>
      </c>
      <c r="AO178">
        <v>0</v>
      </c>
      <c r="AP178">
        <v>154159.20000000001</v>
      </c>
      <c r="AQ178">
        <v>154159.20000000001</v>
      </c>
      <c r="AR178">
        <v>0</v>
      </c>
      <c r="AS178">
        <v>0</v>
      </c>
      <c r="AT178">
        <v>0</v>
      </c>
      <c r="AU178">
        <v>0</v>
      </c>
      <c r="AV178">
        <f>Table1[[#This Row],[CGST]]+Table1[[#This Row],[IGST]]+Table1[[#This Row],[SGST]]</f>
        <v>154159.20000000001</v>
      </c>
      <c r="AW178">
        <f t="shared" si="5"/>
        <v>86</v>
      </c>
      <c r="AX178">
        <v>0</v>
      </c>
      <c r="AY178">
        <v>1010599.2</v>
      </c>
      <c r="AZ178" t="s">
        <v>125</v>
      </c>
      <c r="BA178" t="s">
        <v>10</v>
      </c>
      <c r="BB178" t="s">
        <v>126</v>
      </c>
      <c r="BC178" t="s">
        <v>127</v>
      </c>
      <c r="BD178" t="s">
        <v>128</v>
      </c>
      <c r="BE178" t="s">
        <v>16</v>
      </c>
      <c r="BF178" t="s">
        <v>205</v>
      </c>
      <c r="BH178">
        <v>0</v>
      </c>
    </row>
    <row r="179" spans="1:60" x14ac:dyDescent="0.25">
      <c r="A179" t="s">
        <v>120</v>
      </c>
      <c r="B179" t="s">
        <v>121</v>
      </c>
      <c r="C179">
        <v>1234</v>
      </c>
      <c r="D179" t="s">
        <v>312</v>
      </c>
      <c r="E17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79" t="s">
        <v>8</v>
      </c>
      <c r="G179" t="s">
        <v>312</v>
      </c>
      <c r="H179" t="str">
        <f t="shared" si="4"/>
        <v>SI-2/1900-1854</v>
      </c>
      <c r="I179" t="s">
        <v>122</v>
      </c>
      <c r="J179" t="s">
        <v>122</v>
      </c>
      <c r="K179" t="s">
        <v>122</v>
      </c>
      <c r="L179" t="s">
        <v>122</v>
      </c>
      <c r="M179" s="21">
        <v>44593</v>
      </c>
      <c r="N179" t="s">
        <v>123</v>
      </c>
      <c r="O179" t="s">
        <v>198</v>
      </c>
      <c r="P179" t="s">
        <v>199</v>
      </c>
      <c r="Q179" t="s">
        <v>122</v>
      </c>
      <c r="R179" t="s">
        <v>122</v>
      </c>
      <c r="U179">
        <v>1234</v>
      </c>
      <c r="V179">
        <v>0</v>
      </c>
      <c r="W179" t="s">
        <v>200</v>
      </c>
      <c r="X179" t="s">
        <v>9</v>
      </c>
      <c r="Y179" t="s">
        <v>60</v>
      </c>
      <c r="Z179" t="s">
        <v>122</v>
      </c>
      <c r="AA179" t="s">
        <v>122</v>
      </c>
      <c r="AB179" t="s">
        <v>122</v>
      </c>
      <c r="AC179" t="s">
        <v>122</v>
      </c>
      <c r="AF179">
        <v>1800</v>
      </c>
      <c r="AG179">
        <v>100</v>
      </c>
      <c r="AH179" t="s">
        <v>124</v>
      </c>
      <c r="AI179">
        <v>1</v>
      </c>
      <c r="AJ179">
        <v>180000</v>
      </c>
      <c r="AK179">
        <v>180000</v>
      </c>
      <c r="AL179">
        <v>0</v>
      </c>
      <c r="AM179">
        <v>0</v>
      </c>
      <c r="AN179">
        <v>0</v>
      </c>
      <c r="AO179">
        <v>0</v>
      </c>
      <c r="AP179">
        <v>154159.20000000001</v>
      </c>
      <c r="AQ179">
        <v>154159.20000000001</v>
      </c>
      <c r="AR179">
        <v>0</v>
      </c>
      <c r="AS179">
        <v>0</v>
      </c>
      <c r="AT179">
        <v>0</v>
      </c>
      <c r="AU179">
        <v>0</v>
      </c>
      <c r="AV179">
        <f>Table1[[#This Row],[CGST]]+Table1[[#This Row],[IGST]]+Table1[[#This Row],[SGST]]</f>
        <v>154159.20000000001</v>
      </c>
      <c r="AW179">
        <f t="shared" si="5"/>
        <v>86</v>
      </c>
      <c r="AX179">
        <v>0</v>
      </c>
      <c r="AY179">
        <v>1010599.2</v>
      </c>
      <c r="AZ179" t="s">
        <v>125</v>
      </c>
      <c r="BA179" t="s">
        <v>10</v>
      </c>
      <c r="BB179" t="s">
        <v>126</v>
      </c>
      <c r="BC179" t="s">
        <v>127</v>
      </c>
      <c r="BD179" t="s">
        <v>128</v>
      </c>
      <c r="BE179" t="s">
        <v>16</v>
      </c>
      <c r="BF179" t="s">
        <v>205</v>
      </c>
      <c r="BH179">
        <v>0</v>
      </c>
    </row>
    <row r="180" spans="1:60" x14ac:dyDescent="0.25">
      <c r="A180" t="s">
        <v>120</v>
      </c>
      <c r="B180" t="s">
        <v>121</v>
      </c>
      <c r="C180">
        <v>1234</v>
      </c>
      <c r="D180" t="s">
        <v>313</v>
      </c>
      <c r="E18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80" t="s">
        <v>8</v>
      </c>
      <c r="G180" t="s">
        <v>313</v>
      </c>
      <c r="H180" t="str">
        <f t="shared" si="4"/>
        <v>SI-2/1900-1855</v>
      </c>
      <c r="I180" t="s">
        <v>122</v>
      </c>
      <c r="J180" t="s">
        <v>122</v>
      </c>
      <c r="K180" t="s">
        <v>122</v>
      </c>
      <c r="L180" t="s">
        <v>122</v>
      </c>
      <c r="M180" s="21">
        <v>44593</v>
      </c>
      <c r="N180" t="s">
        <v>123</v>
      </c>
      <c r="O180" t="s">
        <v>198</v>
      </c>
      <c r="P180" t="s">
        <v>199</v>
      </c>
      <c r="Q180" t="s">
        <v>122</v>
      </c>
      <c r="R180" t="s">
        <v>122</v>
      </c>
      <c r="U180">
        <v>1234</v>
      </c>
      <c r="V180">
        <v>0</v>
      </c>
      <c r="W180" t="s">
        <v>200</v>
      </c>
      <c r="X180" t="s">
        <v>9</v>
      </c>
      <c r="Y180" t="s">
        <v>60</v>
      </c>
      <c r="Z180" t="s">
        <v>122</v>
      </c>
      <c r="AA180" t="s">
        <v>122</v>
      </c>
      <c r="AB180" t="s">
        <v>122</v>
      </c>
      <c r="AC180" t="s">
        <v>122</v>
      </c>
      <c r="AF180">
        <v>500</v>
      </c>
      <c r="AG180">
        <v>100</v>
      </c>
      <c r="AH180" t="s">
        <v>124</v>
      </c>
      <c r="AI180">
        <v>1</v>
      </c>
      <c r="AJ180">
        <v>50000</v>
      </c>
      <c r="AK180">
        <v>50000</v>
      </c>
      <c r="AL180">
        <v>0</v>
      </c>
      <c r="AM180">
        <v>0</v>
      </c>
      <c r="AN180">
        <v>0</v>
      </c>
      <c r="AO180">
        <v>0</v>
      </c>
      <c r="AP180">
        <v>65212.2</v>
      </c>
      <c r="AQ180">
        <v>65212.2</v>
      </c>
      <c r="AR180">
        <v>0</v>
      </c>
      <c r="AS180">
        <v>0</v>
      </c>
      <c r="AT180">
        <v>0</v>
      </c>
      <c r="AU180">
        <v>0</v>
      </c>
      <c r="AV180">
        <f>Table1[[#This Row],[CGST]]+Table1[[#This Row],[IGST]]+Table1[[#This Row],[SGST]]</f>
        <v>65212.2</v>
      </c>
      <c r="AW180">
        <f t="shared" si="5"/>
        <v>130</v>
      </c>
      <c r="AX180">
        <v>0</v>
      </c>
      <c r="AY180">
        <v>427502.2</v>
      </c>
      <c r="AZ180" t="s">
        <v>125</v>
      </c>
      <c r="BA180" t="s">
        <v>10</v>
      </c>
      <c r="BB180" t="s">
        <v>126</v>
      </c>
      <c r="BC180" t="s">
        <v>127</v>
      </c>
      <c r="BD180" t="s">
        <v>128</v>
      </c>
      <c r="BE180" t="s">
        <v>13</v>
      </c>
      <c r="BF180" t="s">
        <v>203</v>
      </c>
      <c r="BH180">
        <v>0</v>
      </c>
    </row>
    <row r="181" spans="1:60" x14ac:dyDescent="0.25">
      <c r="A181" t="s">
        <v>120</v>
      </c>
      <c r="B181" t="s">
        <v>121</v>
      </c>
      <c r="C181">
        <v>1234</v>
      </c>
      <c r="D181" t="s">
        <v>313</v>
      </c>
      <c r="E18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81" t="s">
        <v>8</v>
      </c>
      <c r="G181" t="s">
        <v>313</v>
      </c>
      <c r="H181" t="str">
        <f t="shared" si="4"/>
        <v>SI-2/1900-1855</v>
      </c>
      <c r="I181" t="s">
        <v>122</v>
      </c>
      <c r="J181" t="s">
        <v>122</v>
      </c>
      <c r="K181" t="s">
        <v>122</v>
      </c>
      <c r="L181" t="s">
        <v>122</v>
      </c>
      <c r="M181" s="21">
        <v>44593</v>
      </c>
      <c r="N181" t="s">
        <v>123</v>
      </c>
      <c r="O181" t="s">
        <v>198</v>
      </c>
      <c r="P181" t="s">
        <v>199</v>
      </c>
      <c r="Q181" t="s">
        <v>122</v>
      </c>
      <c r="R181" t="s">
        <v>122</v>
      </c>
      <c r="U181">
        <v>1234</v>
      </c>
      <c r="V181">
        <v>0</v>
      </c>
      <c r="W181" t="s">
        <v>200</v>
      </c>
      <c r="X181" t="s">
        <v>9</v>
      </c>
      <c r="Y181" t="s">
        <v>60</v>
      </c>
      <c r="Z181" t="s">
        <v>122</v>
      </c>
      <c r="AA181" t="s">
        <v>122</v>
      </c>
      <c r="AB181" t="s">
        <v>122</v>
      </c>
      <c r="AC181" t="s">
        <v>122</v>
      </c>
      <c r="AF181">
        <v>550</v>
      </c>
      <c r="AG181">
        <v>100</v>
      </c>
      <c r="AH181" t="s">
        <v>124</v>
      </c>
      <c r="AI181">
        <v>1</v>
      </c>
      <c r="AJ181">
        <v>55000</v>
      </c>
      <c r="AK181">
        <v>55000</v>
      </c>
      <c r="AL181">
        <v>0</v>
      </c>
      <c r="AM181">
        <v>0</v>
      </c>
      <c r="AN181">
        <v>0</v>
      </c>
      <c r="AO181">
        <v>0</v>
      </c>
      <c r="AP181">
        <v>77740.740000000005</v>
      </c>
      <c r="AQ181">
        <v>77740.740000000005</v>
      </c>
      <c r="AR181">
        <v>0</v>
      </c>
      <c r="AS181">
        <v>0</v>
      </c>
      <c r="AT181">
        <v>0</v>
      </c>
      <c r="AU181">
        <v>0</v>
      </c>
      <c r="AV181">
        <f>Table1[[#This Row],[CGST]]+Table1[[#This Row],[IGST]]+Table1[[#This Row],[SGST]]</f>
        <v>77740.740000000005</v>
      </c>
      <c r="AW181">
        <f t="shared" si="5"/>
        <v>141</v>
      </c>
      <c r="AX181">
        <v>0</v>
      </c>
      <c r="AY181">
        <v>509633.74</v>
      </c>
      <c r="AZ181" t="s">
        <v>125</v>
      </c>
      <c r="BA181" t="s">
        <v>10</v>
      </c>
      <c r="BB181" t="s">
        <v>126</v>
      </c>
      <c r="BC181" t="s">
        <v>127</v>
      </c>
      <c r="BD181" t="s">
        <v>128</v>
      </c>
      <c r="BE181" t="s">
        <v>13</v>
      </c>
      <c r="BF181" t="s">
        <v>203</v>
      </c>
      <c r="BH181">
        <v>0</v>
      </c>
    </row>
    <row r="182" spans="1:60" x14ac:dyDescent="0.25">
      <c r="A182" t="s">
        <v>120</v>
      </c>
      <c r="B182" t="s">
        <v>121</v>
      </c>
      <c r="C182">
        <v>1234</v>
      </c>
      <c r="D182" t="s">
        <v>314</v>
      </c>
      <c r="E18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82" t="s">
        <v>8</v>
      </c>
      <c r="G182" t="s">
        <v>314</v>
      </c>
      <c r="H182" t="str">
        <f t="shared" si="4"/>
        <v>SI-2/1900-1856</v>
      </c>
      <c r="I182" t="s">
        <v>122</v>
      </c>
      <c r="J182" t="s">
        <v>122</v>
      </c>
      <c r="K182" t="s">
        <v>122</v>
      </c>
      <c r="L182" t="s">
        <v>122</v>
      </c>
      <c r="M182" s="21">
        <v>44593</v>
      </c>
      <c r="N182" t="s">
        <v>123</v>
      </c>
      <c r="O182" t="s">
        <v>198</v>
      </c>
      <c r="P182" t="s">
        <v>199</v>
      </c>
      <c r="Q182" t="s">
        <v>122</v>
      </c>
      <c r="R182" t="s">
        <v>122</v>
      </c>
      <c r="U182">
        <v>1234</v>
      </c>
      <c r="V182">
        <v>0</v>
      </c>
      <c r="W182" t="s">
        <v>200</v>
      </c>
      <c r="X182" t="s">
        <v>9</v>
      </c>
      <c r="Y182" t="s">
        <v>60</v>
      </c>
      <c r="Z182" t="s">
        <v>122</v>
      </c>
      <c r="AA182" t="s">
        <v>122</v>
      </c>
      <c r="AB182" t="s">
        <v>122</v>
      </c>
      <c r="AC182" t="s">
        <v>122</v>
      </c>
      <c r="AF182">
        <v>530</v>
      </c>
      <c r="AG182">
        <v>100</v>
      </c>
      <c r="AH182" t="s">
        <v>124</v>
      </c>
      <c r="AI182">
        <v>1</v>
      </c>
      <c r="AJ182">
        <v>53000</v>
      </c>
      <c r="AK182">
        <v>53000</v>
      </c>
      <c r="AL182">
        <v>0</v>
      </c>
      <c r="AM182">
        <v>0</v>
      </c>
      <c r="AN182">
        <v>0</v>
      </c>
      <c r="AO182">
        <v>0</v>
      </c>
      <c r="AP182">
        <v>74913.8</v>
      </c>
      <c r="AQ182">
        <v>74913.8</v>
      </c>
      <c r="AR182">
        <v>0</v>
      </c>
      <c r="AS182">
        <v>0</v>
      </c>
      <c r="AT182">
        <v>0</v>
      </c>
      <c r="AU182">
        <v>0</v>
      </c>
      <c r="AV182">
        <f>Table1[[#This Row],[CGST]]+Table1[[#This Row],[IGST]]+Table1[[#This Row],[SGST]]</f>
        <v>74913.8</v>
      </c>
      <c r="AW182">
        <f t="shared" si="5"/>
        <v>141</v>
      </c>
      <c r="AX182">
        <v>0</v>
      </c>
      <c r="AY182">
        <v>491101.6</v>
      </c>
      <c r="AZ182" t="s">
        <v>125</v>
      </c>
      <c r="BA182" t="s">
        <v>10</v>
      </c>
      <c r="BB182" t="s">
        <v>126</v>
      </c>
      <c r="BC182" t="s">
        <v>127</v>
      </c>
      <c r="BD182" t="s">
        <v>128</v>
      </c>
      <c r="BE182" t="s">
        <v>15</v>
      </c>
      <c r="BF182" t="s">
        <v>203</v>
      </c>
      <c r="BH182">
        <v>0</v>
      </c>
    </row>
    <row r="183" spans="1:60" x14ac:dyDescent="0.25">
      <c r="A183" t="s">
        <v>120</v>
      </c>
      <c r="B183" t="s">
        <v>121</v>
      </c>
      <c r="C183">
        <v>1234</v>
      </c>
      <c r="D183" t="s">
        <v>314</v>
      </c>
      <c r="E18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83" t="s">
        <v>8</v>
      </c>
      <c r="G183" t="s">
        <v>314</v>
      </c>
      <c r="H183" t="str">
        <f t="shared" si="4"/>
        <v>SI-2/1900-1856</v>
      </c>
      <c r="I183" t="s">
        <v>122</v>
      </c>
      <c r="J183" t="s">
        <v>122</v>
      </c>
      <c r="K183" t="s">
        <v>122</v>
      </c>
      <c r="L183" t="s">
        <v>122</v>
      </c>
      <c r="M183" s="21">
        <v>44593</v>
      </c>
      <c r="N183" t="s">
        <v>123</v>
      </c>
      <c r="O183" t="s">
        <v>198</v>
      </c>
      <c r="P183" t="s">
        <v>199</v>
      </c>
      <c r="Q183" t="s">
        <v>122</v>
      </c>
      <c r="R183" t="s">
        <v>122</v>
      </c>
      <c r="U183">
        <v>1234</v>
      </c>
      <c r="V183">
        <v>0</v>
      </c>
      <c r="W183" t="s">
        <v>200</v>
      </c>
      <c r="X183" t="s">
        <v>9</v>
      </c>
      <c r="Y183" t="s">
        <v>60</v>
      </c>
      <c r="Z183" t="s">
        <v>122</v>
      </c>
      <c r="AA183" t="s">
        <v>122</v>
      </c>
      <c r="AB183" t="s">
        <v>122</v>
      </c>
      <c r="AC183" t="s">
        <v>122</v>
      </c>
      <c r="AF183">
        <v>25</v>
      </c>
      <c r="AG183">
        <v>100</v>
      </c>
      <c r="AH183" t="s">
        <v>124</v>
      </c>
      <c r="AI183">
        <v>1</v>
      </c>
      <c r="AJ183">
        <v>2500</v>
      </c>
      <c r="AK183">
        <v>2500</v>
      </c>
      <c r="AL183">
        <v>0</v>
      </c>
      <c r="AM183">
        <v>0</v>
      </c>
      <c r="AN183">
        <v>0</v>
      </c>
      <c r="AO183">
        <v>0</v>
      </c>
      <c r="AP183">
        <v>4468.5</v>
      </c>
      <c r="AQ183">
        <v>4468.5</v>
      </c>
      <c r="AR183">
        <v>0</v>
      </c>
      <c r="AS183">
        <v>0</v>
      </c>
      <c r="AT183">
        <v>0</v>
      </c>
      <c r="AU183">
        <v>0</v>
      </c>
      <c r="AV183">
        <f>Table1[[#This Row],[CGST]]+Table1[[#This Row],[IGST]]+Table1[[#This Row],[SGST]]</f>
        <v>4468.5</v>
      </c>
      <c r="AW183">
        <f t="shared" si="5"/>
        <v>179</v>
      </c>
      <c r="AX183">
        <v>0</v>
      </c>
      <c r="AY183">
        <v>29293.5</v>
      </c>
      <c r="AZ183" t="s">
        <v>125</v>
      </c>
      <c r="BA183" t="s">
        <v>10</v>
      </c>
      <c r="BB183" t="s">
        <v>126</v>
      </c>
      <c r="BC183" t="s">
        <v>127</v>
      </c>
      <c r="BD183" t="s">
        <v>128</v>
      </c>
      <c r="BE183" t="s">
        <v>15</v>
      </c>
      <c r="BF183" t="s">
        <v>203</v>
      </c>
      <c r="BH183">
        <v>0</v>
      </c>
    </row>
    <row r="184" spans="1:60" x14ac:dyDescent="0.25">
      <c r="A184" t="s">
        <v>120</v>
      </c>
      <c r="B184" t="s">
        <v>121</v>
      </c>
      <c r="C184">
        <v>1234</v>
      </c>
      <c r="D184" t="s">
        <v>314</v>
      </c>
      <c r="E18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84" t="s">
        <v>8</v>
      </c>
      <c r="G184" t="s">
        <v>314</v>
      </c>
      <c r="H184" t="str">
        <f t="shared" si="4"/>
        <v>SI-2/1900-1856</v>
      </c>
      <c r="I184" t="s">
        <v>122</v>
      </c>
      <c r="J184" t="s">
        <v>122</v>
      </c>
      <c r="K184" t="s">
        <v>122</v>
      </c>
      <c r="L184" t="s">
        <v>122</v>
      </c>
      <c r="M184" s="21">
        <v>44593</v>
      </c>
      <c r="N184" t="s">
        <v>123</v>
      </c>
      <c r="O184" t="s">
        <v>198</v>
      </c>
      <c r="P184" t="s">
        <v>199</v>
      </c>
      <c r="Q184" t="s">
        <v>122</v>
      </c>
      <c r="R184" t="s">
        <v>122</v>
      </c>
      <c r="U184">
        <v>1234</v>
      </c>
      <c r="V184">
        <v>0</v>
      </c>
      <c r="W184" t="s">
        <v>200</v>
      </c>
      <c r="X184" t="s">
        <v>9</v>
      </c>
      <c r="Y184" t="s">
        <v>60</v>
      </c>
      <c r="Z184" t="s">
        <v>122</v>
      </c>
      <c r="AA184" t="s">
        <v>122</v>
      </c>
      <c r="AB184" t="s">
        <v>122</v>
      </c>
      <c r="AC184" t="s">
        <v>122</v>
      </c>
      <c r="AF184">
        <v>50</v>
      </c>
      <c r="AG184">
        <v>100</v>
      </c>
      <c r="AH184" t="s">
        <v>124</v>
      </c>
      <c r="AI184">
        <v>1</v>
      </c>
      <c r="AJ184">
        <v>5000</v>
      </c>
      <c r="AK184">
        <v>5000</v>
      </c>
      <c r="AL184">
        <v>0</v>
      </c>
      <c r="AM184">
        <v>0</v>
      </c>
      <c r="AN184">
        <v>0</v>
      </c>
      <c r="AO184">
        <v>0</v>
      </c>
      <c r="AP184">
        <v>9761.4</v>
      </c>
      <c r="AQ184">
        <v>9761.4</v>
      </c>
      <c r="AR184">
        <v>0</v>
      </c>
      <c r="AS184">
        <v>0</v>
      </c>
      <c r="AT184">
        <v>0</v>
      </c>
      <c r="AU184">
        <v>0</v>
      </c>
      <c r="AV184">
        <f>Table1[[#This Row],[CGST]]+Table1[[#This Row],[IGST]]+Table1[[#This Row],[SGST]]</f>
        <v>9761.4</v>
      </c>
      <c r="AW184">
        <f t="shared" si="5"/>
        <v>195</v>
      </c>
      <c r="AX184">
        <v>0</v>
      </c>
      <c r="AY184">
        <v>63991.4</v>
      </c>
      <c r="AZ184" t="s">
        <v>125</v>
      </c>
      <c r="BA184" t="s">
        <v>10</v>
      </c>
      <c r="BB184" t="s">
        <v>126</v>
      </c>
      <c r="BC184" t="s">
        <v>127</v>
      </c>
      <c r="BD184" t="s">
        <v>128</v>
      </c>
      <c r="BE184" t="s">
        <v>15</v>
      </c>
      <c r="BF184" t="s">
        <v>211</v>
      </c>
      <c r="BH184">
        <v>0</v>
      </c>
    </row>
    <row r="185" spans="1:60" x14ac:dyDescent="0.25">
      <c r="A185" t="s">
        <v>120</v>
      </c>
      <c r="B185" t="s">
        <v>121</v>
      </c>
      <c r="C185">
        <v>1234</v>
      </c>
      <c r="D185" t="s">
        <v>314</v>
      </c>
      <c r="E18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85" t="s">
        <v>8</v>
      </c>
      <c r="G185" t="s">
        <v>314</v>
      </c>
      <c r="H185" t="str">
        <f t="shared" si="4"/>
        <v>SI-2/1900-1856</v>
      </c>
      <c r="I185" t="s">
        <v>122</v>
      </c>
      <c r="J185" t="s">
        <v>122</v>
      </c>
      <c r="K185" t="s">
        <v>122</v>
      </c>
      <c r="L185" t="s">
        <v>122</v>
      </c>
      <c r="M185" s="21">
        <v>44593</v>
      </c>
      <c r="N185" t="s">
        <v>123</v>
      </c>
      <c r="O185" t="s">
        <v>198</v>
      </c>
      <c r="P185" t="s">
        <v>199</v>
      </c>
      <c r="Q185" t="s">
        <v>122</v>
      </c>
      <c r="R185" t="s">
        <v>122</v>
      </c>
      <c r="U185">
        <v>1234</v>
      </c>
      <c r="V185">
        <v>0</v>
      </c>
      <c r="W185" t="s">
        <v>200</v>
      </c>
      <c r="X185" t="s">
        <v>9</v>
      </c>
      <c r="Y185" t="s">
        <v>60</v>
      </c>
      <c r="Z185" t="s">
        <v>122</v>
      </c>
      <c r="AA185" t="s">
        <v>122</v>
      </c>
      <c r="AB185" t="s">
        <v>122</v>
      </c>
      <c r="AC185" t="s">
        <v>122</v>
      </c>
      <c r="AF185">
        <v>30</v>
      </c>
      <c r="AG185">
        <v>100</v>
      </c>
      <c r="AH185" t="s">
        <v>124</v>
      </c>
      <c r="AI185">
        <v>1</v>
      </c>
      <c r="AJ185">
        <v>3000</v>
      </c>
      <c r="AK185">
        <v>3000</v>
      </c>
      <c r="AL185">
        <v>0</v>
      </c>
      <c r="AM185">
        <v>0</v>
      </c>
      <c r="AN185">
        <v>0</v>
      </c>
      <c r="AO185">
        <v>0</v>
      </c>
      <c r="AP185">
        <v>4903.2</v>
      </c>
      <c r="AQ185">
        <v>4903.2</v>
      </c>
      <c r="AR185">
        <v>0</v>
      </c>
      <c r="AS185">
        <v>0</v>
      </c>
      <c r="AT185">
        <v>0</v>
      </c>
      <c r="AU185">
        <v>0</v>
      </c>
      <c r="AV185">
        <f>Table1[[#This Row],[CGST]]+Table1[[#This Row],[IGST]]+Table1[[#This Row],[SGST]]</f>
        <v>4903.2</v>
      </c>
      <c r="AW185">
        <f t="shared" si="5"/>
        <v>163</v>
      </c>
      <c r="AX185">
        <v>0</v>
      </c>
      <c r="AY185">
        <v>32143.200000000001</v>
      </c>
      <c r="AZ185" t="s">
        <v>125</v>
      </c>
      <c r="BA185" t="s">
        <v>10</v>
      </c>
      <c r="BB185" t="s">
        <v>126</v>
      </c>
      <c r="BC185" t="s">
        <v>127</v>
      </c>
      <c r="BD185" t="s">
        <v>128</v>
      </c>
      <c r="BE185" t="s">
        <v>15</v>
      </c>
      <c r="BF185" t="s">
        <v>211</v>
      </c>
      <c r="BH185">
        <v>0</v>
      </c>
    </row>
    <row r="186" spans="1:60" x14ac:dyDescent="0.25">
      <c r="A186" t="s">
        <v>120</v>
      </c>
      <c r="B186" t="s">
        <v>121</v>
      </c>
      <c r="C186">
        <v>1234</v>
      </c>
      <c r="D186" t="s">
        <v>315</v>
      </c>
      <c r="E18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86" t="s">
        <v>8</v>
      </c>
      <c r="G186" t="s">
        <v>315</v>
      </c>
      <c r="H186" t="str">
        <f t="shared" si="4"/>
        <v>SI-2/1900-1857</v>
      </c>
      <c r="I186" t="s">
        <v>122</v>
      </c>
      <c r="J186" t="s">
        <v>122</v>
      </c>
      <c r="K186" t="s">
        <v>122</v>
      </c>
      <c r="L186" t="s">
        <v>122</v>
      </c>
      <c r="M186" s="21">
        <v>44593</v>
      </c>
      <c r="N186" t="s">
        <v>123</v>
      </c>
      <c r="O186" t="s">
        <v>198</v>
      </c>
      <c r="P186" t="s">
        <v>199</v>
      </c>
      <c r="Q186" t="s">
        <v>122</v>
      </c>
      <c r="R186" t="s">
        <v>122</v>
      </c>
      <c r="U186">
        <v>1234</v>
      </c>
      <c r="V186">
        <v>0</v>
      </c>
      <c r="W186" t="s">
        <v>200</v>
      </c>
      <c r="X186" t="s">
        <v>9</v>
      </c>
      <c r="Y186" t="s">
        <v>60</v>
      </c>
      <c r="Z186" t="s">
        <v>122</v>
      </c>
      <c r="AA186" t="s">
        <v>122</v>
      </c>
      <c r="AB186" t="s">
        <v>122</v>
      </c>
      <c r="AC186" t="s">
        <v>122</v>
      </c>
      <c r="AF186">
        <v>540</v>
      </c>
      <c r="AG186">
        <v>100</v>
      </c>
      <c r="AH186" t="s">
        <v>124</v>
      </c>
      <c r="AI186">
        <v>1</v>
      </c>
      <c r="AJ186">
        <v>54000</v>
      </c>
      <c r="AK186">
        <v>54000</v>
      </c>
      <c r="AL186">
        <v>0</v>
      </c>
      <c r="AM186">
        <v>0</v>
      </c>
      <c r="AN186">
        <v>0</v>
      </c>
      <c r="AO186">
        <v>0</v>
      </c>
      <c r="AP186">
        <v>92613.13</v>
      </c>
      <c r="AQ186">
        <v>92613.13</v>
      </c>
      <c r="AR186">
        <v>0</v>
      </c>
      <c r="AS186">
        <v>0</v>
      </c>
      <c r="AT186">
        <v>0</v>
      </c>
      <c r="AU186">
        <v>0</v>
      </c>
      <c r="AV186">
        <f>Table1[[#This Row],[CGST]]+Table1[[#This Row],[IGST]]+Table1[[#This Row],[SGST]]</f>
        <v>92613.13</v>
      </c>
      <c r="AW186">
        <f t="shared" si="5"/>
        <v>172</v>
      </c>
      <c r="AX186">
        <v>0</v>
      </c>
      <c r="AY186">
        <v>607130.53</v>
      </c>
      <c r="AZ186" t="s">
        <v>125</v>
      </c>
      <c r="BA186" t="s">
        <v>10</v>
      </c>
      <c r="BB186" t="s">
        <v>126</v>
      </c>
      <c r="BC186" t="s">
        <v>127</v>
      </c>
      <c r="BD186" t="s">
        <v>128</v>
      </c>
      <c r="BE186" t="s">
        <v>16</v>
      </c>
      <c r="BF186" t="s">
        <v>316</v>
      </c>
      <c r="BH186">
        <v>0</v>
      </c>
    </row>
    <row r="187" spans="1:60" x14ac:dyDescent="0.25">
      <c r="A187" t="s">
        <v>120</v>
      </c>
      <c r="B187" t="s">
        <v>121</v>
      </c>
      <c r="C187">
        <v>1234</v>
      </c>
      <c r="D187" t="s">
        <v>315</v>
      </c>
      <c r="E18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87" t="s">
        <v>8</v>
      </c>
      <c r="G187" t="s">
        <v>315</v>
      </c>
      <c r="H187" t="str">
        <f t="shared" si="4"/>
        <v>SI-2/1900-1857</v>
      </c>
      <c r="I187" t="s">
        <v>122</v>
      </c>
      <c r="J187" t="s">
        <v>122</v>
      </c>
      <c r="K187" t="s">
        <v>122</v>
      </c>
      <c r="L187" t="s">
        <v>122</v>
      </c>
      <c r="M187" s="21">
        <v>44593</v>
      </c>
      <c r="N187" t="s">
        <v>123</v>
      </c>
      <c r="O187" t="s">
        <v>198</v>
      </c>
      <c r="P187" t="s">
        <v>199</v>
      </c>
      <c r="Q187" t="s">
        <v>122</v>
      </c>
      <c r="R187" t="s">
        <v>122</v>
      </c>
      <c r="U187">
        <v>1234</v>
      </c>
      <c r="V187">
        <v>0</v>
      </c>
      <c r="W187" t="s">
        <v>200</v>
      </c>
      <c r="X187" t="s">
        <v>9</v>
      </c>
      <c r="Y187" t="s">
        <v>60</v>
      </c>
      <c r="Z187" t="s">
        <v>122</v>
      </c>
      <c r="AA187" t="s">
        <v>122</v>
      </c>
      <c r="AB187" t="s">
        <v>122</v>
      </c>
      <c r="AC187" t="s">
        <v>122</v>
      </c>
      <c r="AF187">
        <v>200</v>
      </c>
      <c r="AG187">
        <v>100</v>
      </c>
      <c r="AH187" t="s">
        <v>124</v>
      </c>
      <c r="AI187">
        <v>1</v>
      </c>
      <c r="AJ187">
        <v>20000</v>
      </c>
      <c r="AK187">
        <v>20000</v>
      </c>
      <c r="AL187">
        <v>0</v>
      </c>
      <c r="AM187">
        <v>0</v>
      </c>
      <c r="AN187">
        <v>0</v>
      </c>
      <c r="AO187">
        <v>0</v>
      </c>
      <c r="AP187">
        <v>26084.880000000001</v>
      </c>
      <c r="AQ187">
        <v>26084.880000000001</v>
      </c>
      <c r="AR187">
        <v>0</v>
      </c>
      <c r="AS187">
        <v>0</v>
      </c>
      <c r="AT187">
        <v>0</v>
      </c>
      <c r="AU187">
        <v>0</v>
      </c>
      <c r="AV187">
        <f>Table1[[#This Row],[CGST]]+Table1[[#This Row],[IGST]]+Table1[[#This Row],[SGST]]</f>
        <v>26084.880000000001</v>
      </c>
      <c r="AW187">
        <f t="shared" si="5"/>
        <v>130</v>
      </c>
      <c r="AX187">
        <v>0</v>
      </c>
      <c r="AY187">
        <v>171000.88</v>
      </c>
      <c r="AZ187" t="s">
        <v>125</v>
      </c>
      <c r="BA187" t="s">
        <v>10</v>
      </c>
      <c r="BB187" t="s">
        <v>126</v>
      </c>
      <c r="BC187" t="s">
        <v>127</v>
      </c>
      <c r="BD187" t="s">
        <v>128</v>
      </c>
      <c r="BE187" t="s">
        <v>16</v>
      </c>
      <c r="BF187" t="s">
        <v>316</v>
      </c>
      <c r="BH187">
        <v>0</v>
      </c>
    </row>
    <row r="188" spans="1:60" x14ac:dyDescent="0.25">
      <c r="A188" t="s">
        <v>120</v>
      </c>
      <c r="B188" t="s">
        <v>121</v>
      </c>
      <c r="C188">
        <v>1234</v>
      </c>
      <c r="D188" t="s">
        <v>317</v>
      </c>
      <c r="E18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88" t="s">
        <v>8</v>
      </c>
      <c r="G188" t="s">
        <v>317</v>
      </c>
      <c r="H188" t="str">
        <f t="shared" si="4"/>
        <v>SI-2/1900-1858</v>
      </c>
      <c r="I188" t="s">
        <v>122</v>
      </c>
      <c r="J188" t="s">
        <v>122</v>
      </c>
      <c r="K188" t="s">
        <v>122</v>
      </c>
      <c r="L188" t="s">
        <v>122</v>
      </c>
      <c r="M188" s="21">
        <v>44593</v>
      </c>
      <c r="N188" t="s">
        <v>123</v>
      </c>
      <c r="O188" t="s">
        <v>198</v>
      </c>
      <c r="P188" t="s">
        <v>199</v>
      </c>
      <c r="Q188" t="s">
        <v>122</v>
      </c>
      <c r="R188" t="s">
        <v>122</v>
      </c>
      <c r="U188">
        <v>1234</v>
      </c>
      <c r="V188">
        <v>0</v>
      </c>
      <c r="W188" t="s">
        <v>200</v>
      </c>
      <c r="X188" t="s">
        <v>9</v>
      </c>
      <c r="Y188" t="s">
        <v>60</v>
      </c>
      <c r="Z188" t="s">
        <v>122</v>
      </c>
      <c r="AA188" t="s">
        <v>122</v>
      </c>
      <c r="AB188" t="s">
        <v>122</v>
      </c>
      <c r="AC188" t="s">
        <v>122</v>
      </c>
      <c r="AF188">
        <v>75</v>
      </c>
      <c r="AG188">
        <v>100</v>
      </c>
      <c r="AH188" t="s">
        <v>124</v>
      </c>
      <c r="AI188">
        <v>1</v>
      </c>
      <c r="AJ188">
        <v>7500</v>
      </c>
      <c r="AK188">
        <v>7500</v>
      </c>
      <c r="AL188">
        <v>0</v>
      </c>
      <c r="AM188">
        <v>5739.53</v>
      </c>
      <c r="AN188">
        <v>0</v>
      </c>
      <c r="AO188">
        <v>5739.53</v>
      </c>
      <c r="AP188">
        <v>0</v>
      </c>
      <c r="AQ188">
        <v>0</v>
      </c>
      <c r="AR188">
        <v>0</v>
      </c>
      <c r="AS188">
        <v>5739.53</v>
      </c>
      <c r="AT188">
        <v>0</v>
      </c>
      <c r="AU188">
        <v>5739.53</v>
      </c>
      <c r="AV188">
        <f>Table1[[#This Row],[CGST]]+Table1[[#This Row],[IGST]]+Table1[[#This Row],[SGST]]</f>
        <v>11479.06</v>
      </c>
      <c r="AW188">
        <f t="shared" si="5"/>
        <v>153</v>
      </c>
      <c r="AX188">
        <v>0</v>
      </c>
      <c r="AY188">
        <v>75251.56</v>
      </c>
      <c r="AZ188" t="s">
        <v>129</v>
      </c>
      <c r="BA188" t="s">
        <v>10</v>
      </c>
      <c r="BB188" t="s">
        <v>126</v>
      </c>
      <c r="BC188" t="s">
        <v>127</v>
      </c>
      <c r="BD188" t="s">
        <v>128</v>
      </c>
      <c r="BE188" t="s">
        <v>12</v>
      </c>
      <c r="BF188" t="s">
        <v>213</v>
      </c>
      <c r="BH188">
        <v>0</v>
      </c>
    </row>
    <row r="189" spans="1:60" x14ac:dyDescent="0.25">
      <c r="A189" t="s">
        <v>120</v>
      </c>
      <c r="B189" t="s">
        <v>121</v>
      </c>
      <c r="C189">
        <v>1234</v>
      </c>
      <c r="D189" t="s">
        <v>317</v>
      </c>
      <c r="E18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89" t="s">
        <v>8</v>
      </c>
      <c r="G189" t="s">
        <v>317</v>
      </c>
      <c r="H189" t="str">
        <f t="shared" si="4"/>
        <v>SI-2/1900-1858</v>
      </c>
      <c r="I189" t="s">
        <v>122</v>
      </c>
      <c r="J189" t="s">
        <v>122</v>
      </c>
      <c r="K189" t="s">
        <v>122</v>
      </c>
      <c r="L189" t="s">
        <v>122</v>
      </c>
      <c r="M189" s="21">
        <v>44593</v>
      </c>
      <c r="N189" t="s">
        <v>123</v>
      </c>
      <c r="O189" t="s">
        <v>198</v>
      </c>
      <c r="P189" t="s">
        <v>199</v>
      </c>
      <c r="Q189" t="s">
        <v>122</v>
      </c>
      <c r="R189" t="s">
        <v>122</v>
      </c>
      <c r="U189">
        <v>1234</v>
      </c>
      <c r="V189">
        <v>0</v>
      </c>
      <c r="W189" t="s">
        <v>200</v>
      </c>
      <c r="X189" t="s">
        <v>9</v>
      </c>
      <c r="Y189" t="s">
        <v>60</v>
      </c>
      <c r="Z189" t="s">
        <v>122</v>
      </c>
      <c r="AA189" t="s">
        <v>122</v>
      </c>
      <c r="AB189" t="s">
        <v>122</v>
      </c>
      <c r="AC189" t="s">
        <v>122</v>
      </c>
      <c r="AF189">
        <v>20</v>
      </c>
      <c r="AG189">
        <v>100</v>
      </c>
      <c r="AH189" t="s">
        <v>124</v>
      </c>
      <c r="AI189">
        <v>1</v>
      </c>
      <c r="AJ189">
        <v>2000</v>
      </c>
      <c r="AK189">
        <v>2000</v>
      </c>
      <c r="AL189">
        <v>0</v>
      </c>
      <c r="AM189">
        <v>1787.4</v>
      </c>
      <c r="AN189">
        <v>0</v>
      </c>
      <c r="AO189">
        <v>1787.4</v>
      </c>
      <c r="AP189">
        <v>0</v>
      </c>
      <c r="AQ189">
        <v>0</v>
      </c>
      <c r="AR189">
        <v>0</v>
      </c>
      <c r="AS189">
        <v>1787.4</v>
      </c>
      <c r="AT189">
        <v>0</v>
      </c>
      <c r="AU189">
        <v>1787.4</v>
      </c>
      <c r="AV189">
        <f>Table1[[#This Row],[CGST]]+Table1[[#This Row],[IGST]]+Table1[[#This Row],[SGST]]</f>
        <v>3574.8</v>
      </c>
      <c r="AW189">
        <f t="shared" si="5"/>
        <v>179</v>
      </c>
      <c r="AX189">
        <v>0</v>
      </c>
      <c r="AY189">
        <v>23434.799999999999</v>
      </c>
      <c r="AZ189" t="s">
        <v>129</v>
      </c>
      <c r="BA189" t="s">
        <v>10</v>
      </c>
      <c r="BB189" t="s">
        <v>126</v>
      </c>
      <c r="BC189" t="s">
        <v>127</v>
      </c>
      <c r="BD189" t="s">
        <v>128</v>
      </c>
      <c r="BE189" t="s">
        <v>12</v>
      </c>
      <c r="BF189" t="s">
        <v>213</v>
      </c>
      <c r="BH189">
        <v>0</v>
      </c>
    </row>
    <row r="190" spans="1:60" x14ac:dyDescent="0.25">
      <c r="A190" t="s">
        <v>120</v>
      </c>
      <c r="B190" t="s">
        <v>121</v>
      </c>
      <c r="C190">
        <v>1234</v>
      </c>
      <c r="D190" t="s">
        <v>318</v>
      </c>
      <c r="E19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90" t="s">
        <v>8</v>
      </c>
      <c r="G190" t="s">
        <v>318</v>
      </c>
      <c r="H190" t="str">
        <f t="shared" si="4"/>
        <v>SI-2/1900-1859</v>
      </c>
      <c r="I190" t="s">
        <v>122</v>
      </c>
      <c r="J190" t="s">
        <v>122</v>
      </c>
      <c r="K190" t="s">
        <v>122</v>
      </c>
      <c r="L190" t="s">
        <v>122</v>
      </c>
      <c r="M190" s="21">
        <v>44593</v>
      </c>
      <c r="N190" t="s">
        <v>123</v>
      </c>
      <c r="O190" t="s">
        <v>198</v>
      </c>
      <c r="P190" t="s">
        <v>199</v>
      </c>
      <c r="Q190" t="s">
        <v>122</v>
      </c>
      <c r="R190" t="s">
        <v>122</v>
      </c>
      <c r="U190">
        <v>1234</v>
      </c>
      <c r="V190">
        <v>0</v>
      </c>
      <c r="W190" t="s">
        <v>200</v>
      </c>
      <c r="X190" t="s">
        <v>9</v>
      </c>
      <c r="Y190" t="s">
        <v>60</v>
      </c>
      <c r="Z190" t="s">
        <v>122</v>
      </c>
      <c r="AA190" t="s">
        <v>122</v>
      </c>
      <c r="AB190" t="s">
        <v>122</v>
      </c>
      <c r="AC190" t="s">
        <v>122</v>
      </c>
      <c r="AF190">
        <v>1800</v>
      </c>
      <c r="AG190">
        <v>100</v>
      </c>
      <c r="AH190" t="s">
        <v>124</v>
      </c>
      <c r="AI190">
        <v>1</v>
      </c>
      <c r="AJ190">
        <v>180000</v>
      </c>
      <c r="AK190">
        <v>180000</v>
      </c>
      <c r="AL190">
        <v>0</v>
      </c>
      <c r="AM190">
        <v>0</v>
      </c>
      <c r="AN190">
        <v>0</v>
      </c>
      <c r="AO190">
        <v>0</v>
      </c>
      <c r="AP190">
        <v>154159.20000000001</v>
      </c>
      <c r="AQ190">
        <v>154159.20000000001</v>
      </c>
      <c r="AR190">
        <v>0</v>
      </c>
      <c r="AS190">
        <v>0</v>
      </c>
      <c r="AT190">
        <v>0</v>
      </c>
      <c r="AU190">
        <v>0</v>
      </c>
      <c r="AV190">
        <f>Table1[[#This Row],[CGST]]+Table1[[#This Row],[IGST]]+Table1[[#This Row],[SGST]]</f>
        <v>154159.20000000001</v>
      </c>
      <c r="AW190">
        <f t="shared" si="5"/>
        <v>86</v>
      </c>
      <c r="AX190">
        <v>0</v>
      </c>
      <c r="AY190">
        <v>1010599.2</v>
      </c>
      <c r="AZ190" t="s">
        <v>125</v>
      </c>
      <c r="BA190" t="s">
        <v>10</v>
      </c>
      <c r="BB190" t="s">
        <v>126</v>
      </c>
      <c r="BC190" t="s">
        <v>127</v>
      </c>
      <c r="BD190" t="s">
        <v>128</v>
      </c>
      <c r="BE190" t="s">
        <v>16</v>
      </c>
      <c r="BF190" t="s">
        <v>319</v>
      </c>
      <c r="BH190">
        <v>0</v>
      </c>
    </row>
    <row r="191" spans="1:60" x14ac:dyDescent="0.25">
      <c r="A191" t="s">
        <v>120</v>
      </c>
      <c r="B191" t="s">
        <v>121</v>
      </c>
      <c r="C191">
        <v>1234</v>
      </c>
      <c r="D191" t="s">
        <v>320</v>
      </c>
      <c r="E19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91" t="s">
        <v>8</v>
      </c>
      <c r="G191" t="s">
        <v>320</v>
      </c>
      <c r="H191" t="str">
        <f t="shared" si="4"/>
        <v>SI-2/1900-1860</v>
      </c>
      <c r="I191" t="s">
        <v>122</v>
      </c>
      <c r="J191" t="s">
        <v>122</v>
      </c>
      <c r="K191" t="s">
        <v>122</v>
      </c>
      <c r="L191" t="s">
        <v>122</v>
      </c>
      <c r="M191" s="21">
        <v>44593</v>
      </c>
      <c r="N191" t="s">
        <v>123</v>
      </c>
      <c r="O191" t="s">
        <v>198</v>
      </c>
      <c r="P191" t="s">
        <v>199</v>
      </c>
      <c r="Q191" t="s">
        <v>122</v>
      </c>
      <c r="R191" t="s">
        <v>122</v>
      </c>
      <c r="U191">
        <v>1234</v>
      </c>
      <c r="V191">
        <v>0</v>
      </c>
      <c r="W191" t="s">
        <v>200</v>
      </c>
      <c r="X191" t="s">
        <v>9</v>
      </c>
      <c r="Y191" t="s">
        <v>60</v>
      </c>
      <c r="Z191" t="s">
        <v>122</v>
      </c>
      <c r="AA191" t="s">
        <v>122</v>
      </c>
      <c r="AB191" t="s">
        <v>122</v>
      </c>
      <c r="AC191" t="s">
        <v>122</v>
      </c>
      <c r="AF191">
        <v>1800</v>
      </c>
      <c r="AG191">
        <v>100</v>
      </c>
      <c r="AH191" t="s">
        <v>124</v>
      </c>
      <c r="AI191">
        <v>1</v>
      </c>
      <c r="AJ191">
        <v>180000</v>
      </c>
      <c r="AK191">
        <v>180000</v>
      </c>
      <c r="AL191">
        <v>0</v>
      </c>
      <c r="AM191">
        <v>0</v>
      </c>
      <c r="AN191">
        <v>0</v>
      </c>
      <c r="AO191">
        <v>0</v>
      </c>
      <c r="AP191">
        <v>154159.20000000001</v>
      </c>
      <c r="AQ191">
        <v>154159.20000000001</v>
      </c>
      <c r="AR191">
        <v>0</v>
      </c>
      <c r="AS191">
        <v>0</v>
      </c>
      <c r="AT191">
        <v>0</v>
      </c>
      <c r="AU191">
        <v>0</v>
      </c>
      <c r="AV191">
        <f>Table1[[#This Row],[CGST]]+Table1[[#This Row],[IGST]]+Table1[[#This Row],[SGST]]</f>
        <v>154159.20000000001</v>
      </c>
      <c r="AW191">
        <f t="shared" si="5"/>
        <v>86</v>
      </c>
      <c r="AX191">
        <v>0</v>
      </c>
      <c r="AY191">
        <v>1010599.2</v>
      </c>
      <c r="AZ191" t="s">
        <v>125</v>
      </c>
      <c r="BA191" t="s">
        <v>10</v>
      </c>
      <c r="BB191" t="s">
        <v>126</v>
      </c>
      <c r="BC191" t="s">
        <v>127</v>
      </c>
      <c r="BD191" t="s">
        <v>128</v>
      </c>
      <c r="BE191" t="s">
        <v>16</v>
      </c>
      <c r="BF191" t="s">
        <v>319</v>
      </c>
      <c r="BH191">
        <v>0</v>
      </c>
    </row>
    <row r="192" spans="1:60" x14ac:dyDescent="0.25">
      <c r="A192" t="s">
        <v>120</v>
      </c>
      <c r="B192" t="s">
        <v>121</v>
      </c>
      <c r="C192">
        <v>1234</v>
      </c>
      <c r="D192" t="s">
        <v>321</v>
      </c>
      <c r="E19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92" t="s">
        <v>8</v>
      </c>
      <c r="G192" t="s">
        <v>321</v>
      </c>
      <c r="H192" t="str">
        <f t="shared" si="4"/>
        <v>SI-2/1900-1861</v>
      </c>
      <c r="I192" t="s">
        <v>122</v>
      </c>
      <c r="J192" t="s">
        <v>122</v>
      </c>
      <c r="K192" t="s">
        <v>122</v>
      </c>
      <c r="L192" t="s">
        <v>122</v>
      </c>
      <c r="M192" s="21">
        <v>44593</v>
      </c>
      <c r="N192" t="s">
        <v>123</v>
      </c>
      <c r="O192" t="s">
        <v>198</v>
      </c>
      <c r="P192" t="s">
        <v>199</v>
      </c>
      <c r="Q192" t="s">
        <v>122</v>
      </c>
      <c r="R192" t="s">
        <v>122</v>
      </c>
      <c r="U192">
        <v>1234</v>
      </c>
      <c r="V192">
        <v>0</v>
      </c>
      <c r="W192" t="s">
        <v>200</v>
      </c>
      <c r="X192" t="s">
        <v>9</v>
      </c>
      <c r="Y192" t="s">
        <v>60</v>
      </c>
      <c r="Z192" t="s">
        <v>122</v>
      </c>
      <c r="AA192" t="s">
        <v>122</v>
      </c>
      <c r="AB192" t="s">
        <v>122</v>
      </c>
      <c r="AC192" t="s">
        <v>122</v>
      </c>
      <c r="AF192">
        <v>66</v>
      </c>
      <c r="AG192">
        <v>100</v>
      </c>
      <c r="AH192" t="s">
        <v>124</v>
      </c>
      <c r="AI192">
        <v>1</v>
      </c>
      <c r="AJ192">
        <v>6600</v>
      </c>
      <c r="AK192">
        <v>6600</v>
      </c>
      <c r="AL192">
        <v>0</v>
      </c>
      <c r="AM192">
        <v>0</v>
      </c>
      <c r="AN192">
        <v>0</v>
      </c>
      <c r="AO192">
        <v>0</v>
      </c>
      <c r="AP192">
        <v>20439.060000000001</v>
      </c>
      <c r="AQ192">
        <v>20439.060000000001</v>
      </c>
      <c r="AR192">
        <v>0</v>
      </c>
      <c r="AS192">
        <v>0</v>
      </c>
      <c r="AT192">
        <v>0</v>
      </c>
      <c r="AU192">
        <v>0</v>
      </c>
      <c r="AV192">
        <f>Table1[[#This Row],[CGST]]+Table1[[#This Row],[IGST]]+Table1[[#This Row],[SGST]]</f>
        <v>20439.060000000001</v>
      </c>
      <c r="AW192">
        <f t="shared" si="5"/>
        <v>310</v>
      </c>
      <c r="AX192">
        <v>0</v>
      </c>
      <c r="AY192">
        <v>133989.42000000001</v>
      </c>
      <c r="AZ192" t="s">
        <v>130</v>
      </c>
      <c r="BA192" t="s">
        <v>10</v>
      </c>
      <c r="BB192" t="s">
        <v>126</v>
      </c>
      <c r="BC192" t="s">
        <v>127</v>
      </c>
      <c r="BD192" t="s">
        <v>128</v>
      </c>
      <c r="BE192" t="s">
        <v>20</v>
      </c>
      <c r="BF192" t="s">
        <v>319</v>
      </c>
      <c r="BH192">
        <v>0</v>
      </c>
    </row>
    <row r="193" spans="1:60" x14ac:dyDescent="0.25">
      <c r="A193" t="s">
        <v>120</v>
      </c>
      <c r="B193" t="s">
        <v>121</v>
      </c>
      <c r="C193">
        <v>1234</v>
      </c>
      <c r="D193" t="s">
        <v>321</v>
      </c>
      <c r="E19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93" t="s">
        <v>8</v>
      </c>
      <c r="G193" t="s">
        <v>321</v>
      </c>
      <c r="H193" t="str">
        <f t="shared" ref="H193:H256" si="6">F193 &amp; "/"&amp; G193</f>
        <v>SI-2/1900-1861</v>
      </c>
      <c r="I193" t="s">
        <v>122</v>
      </c>
      <c r="J193" t="s">
        <v>122</v>
      </c>
      <c r="K193" t="s">
        <v>122</v>
      </c>
      <c r="L193" t="s">
        <v>122</v>
      </c>
      <c r="M193" s="21">
        <v>44593</v>
      </c>
      <c r="N193" t="s">
        <v>123</v>
      </c>
      <c r="O193" t="s">
        <v>198</v>
      </c>
      <c r="P193" t="s">
        <v>199</v>
      </c>
      <c r="Q193" t="s">
        <v>122</v>
      </c>
      <c r="R193" t="s">
        <v>122</v>
      </c>
      <c r="U193">
        <v>1234</v>
      </c>
      <c r="V193">
        <v>0</v>
      </c>
      <c r="W193" t="s">
        <v>200</v>
      </c>
      <c r="X193" t="s">
        <v>9</v>
      </c>
      <c r="Y193" t="s">
        <v>60</v>
      </c>
      <c r="Z193" t="s">
        <v>122</v>
      </c>
      <c r="AA193" t="s">
        <v>122</v>
      </c>
      <c r="AB193" t="s">
        <v>122</v>
      </c>
      <c r="AC193" t="s">
        <v>122</v>
      </c>
      <c r="AF193">
        <v>122</v>
      </c>
      <c r="AG193">
        <v>100</v>
      </c>
      <c r="AH193" t="s">
        <v>124</v>
      </c>
      <c r="AI193">
        <v>1</v>
      </c>
      <c r="AJ193">
        <v>12200</v>
      </c>
      <c r="AK193">
        <v>12200</v>
      </c>
      <c r="AL193">
        <v>0</v>
      </c>
      <c r="AM193">
        <v>0</v>
      </c>
      <c r="AN193">
        <v>0</v>
      </c>
      <c r="AO193">
        <v>0</v>
      </c>
      <c r="AP193">
        <v>44131.47</v>
      </c>
      <c r="AQ193">
        <v>44131.47</v>
      </c>
      <c r="AR193">
        <v>0</v>
      </c>
      <c r="AS193">
        <v>0</v>
      </c>
      <c r="AT193">
        <v>0</v>
      </c>
      <c r="AU193">
        <v>0</v>
      </c>
      <c r="AV193">
        <f>Table1[[#This Row],[CGST]]+Table1[[#This Row],[IGST]]+Table1[[#This Row],[SGST]]</f>
        <v>44131.47</v>
      </c>
      <c r="AW193">
        <f t="shared" si="5"/>
        <v>362</v>
      </c>
      <c r="AX193">
        <v>0</v>
      </c>
      <c r="AY193">
        <v>289306.33</v>
      </c>
      <c r="AZ193" t="s">
        <v>130</v>
      </c>
      <c r="BA193" t="s">
        <v>10</v>
      </c>
      <c r="BB193" t="s">
        <v>126</v>
      </c>
      <c r="BC193" t="s">
        <v>127</v>
      </c>
      <c r="BD193" t="s">
        <v>128</v>
      </c>
      <c r="BE193" t="s">
        <v>20</v>
      </c>
      <c r="BF193" t="s">
        <v>322</v>
      </c>
      <c r="BH193">
        <v>0</v>
      </c>
    </row>
    <row r="194" spans="1:60" x14ac:dyDescent="0.25">
      <c r="A194" t="s">
        <v>120</v>
      </c>
      <c r="B194" t="s">
        <v>121</v>
      </c>
      <c r="C194">
        <v>1234</v>
      </c>
      <c r="D194" t="s">
        <v>321</v>
      </c>
      <c r="E19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94" t="s">
        <v>8</v>
      </c>
      <c r="G194" t="s">
        <v>321</v>
      </c>
      <c r="H194" t="str">
        <f t="shared" si="6"/>
        <v>SI-2/1900-1861</v>
      </c>
      <c r="I194" t="s">
        <v>122</v>
      </c>
      <c r="J194" t="s">
        <v>122</v>
      </c>
      <c r="K194" t="s">
        <v>122</v>
      </c>
      <c r="L194" t="s">
        <v>122</v>
      </c>
      <c r="M194" s="21">
        <v>44593</v>
      </c>
      <c r="N194" t="s">
        <v>123</v>
      </c>
      <c r="O194" t="s">
        <v>198</v>
      </c>
      <c r="P194" t="s">
        <v>199</v>
      </c>
      <c r="Q194" t="s">
        <v>122</v>
      </c>
      <c r="R194" t="s">
        <v>122</v>
      </c>
      <c r="U194">
        <v>1234</v>
      </c>
      <c r="V194">
        <v>0</v>
      </c>
      <c r="W194" t="s">
        <v>200</v>
      </c>
      <c r="X194" t="s">
        <v>9</v>
      </c>
      <c r="Y194" t="s">
        <v>60</v>
      </c>
      <c r="Z194" t="s">
        <v>122</v>
      </c>
      <c r="AA194" t="s">
        <v>122</v>
      </c>
      <c r="AB194" t="s">
        <v>122</v>
      </c>
      <c r="AC194" t="s">
        <v>122</v>
      </c>
      <c r="AF194">
        <v>240</v>
      </c>
      <c r="AG194">
        <v>100</v>
      </c>
      <c r="AH194" t="s">
        <v>124</v>
      </c>
      <c r="AI194">
        <v>1</v>
      </c>
      <c r="AJ194">
        <v>24000</v>
      </c>
      <c r="AK194">
        <v>24000</v>
      </c>
      <c r="AL194">
        <v>0</v>
      </c>
      <c r="AM194">
        <v>0</v>
      </c>
      <c r="AN194">
        <v>0</v>
      </c>
      <c r="AO194">
        <v>0</v>
      </c>
      <c r="AP194">
        <v>96346.37</v>
      </c>
      <c r="AQ194">
        <v>96346.37</v>
      </c>
      <c r="AR194">
        <v>0</v>
      </c>
      <c r="AS194">
        <v>0</v>
      </c>
      <c r="AT194">
        <v>0</v>
      </c>
      <c r="AU194">
        <v>0</v>
      </c>
      <c r="AV194">
        <f>Table1[[#This Row],[CGST]]+Table1[[#This Row],[IGST]]+Table1[[#This Row],[SGST]]</f>
        <v>96346.37</v>
      </c>
      <c r="AW194">
        <f t="shared" ref="AW194:AW257" si="7">ROUND((AV194/AJ194)*100,0.5)</f>
        <v>401</v>
      </c>
      <c r="AX194">
        <v>0</v>
      </c>
      <c r="AY194">
        <v>631603.97</v>
      </c>
      <c r="AZ194" t="s">
        <v>130</v>
      </c>
      <c r="BA194" t="s">
        <v>10</v>
      </c>
      <c r="BB194" t="s">
        <v>126</v>
      </c>
      <c r="BC194" t="s">
        <v>127</v>
      </c>
      <c r="BD194" t="s">
        <v>128</v>
      </c>
      <c r="BE194" t="s">
        <v>20</v>
      </c>
      <c r="BF194" t="s">
        <v>322</v>
      </c>
      <c r="BH194">
        <v>0</v>
      </c>
    </row>
    <row r="195" spans="1:60" x14ac:dyDescent="0.25">
      <c r="A195" t="s">
        <v>120</v>
      </c>
      <c r="B195" t="s">
        <v>121</v>
      </c>
      <c r="C195">
        <v>1234</v>
      </c>
      <c r="D195" t="s">
        <v>323</v>
      </c>
      <c r="E19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95" t="s">
        <v>8</v>
      </c>
      <c r="G195" t="s">
        <v>323</v>
      </c>
      <c r="H195" t="str">
        <f t="shared" si="6"/>
        <v>SI-2/1900-1862</v>
      </c>
      <c r="I195" t="s">
        <v>122</v>
      </c>
      <c r="J195" t="s">
        <v>122</v>
      </c>
      <c r="K195" t="s">
        <v>122</v>
      </c>
      <c r="L195" t="s">
        <v>122</v>
      </c>
      <c r="M195" s="21">
        <v>44593</v>
      </c>
      <c r="N195" t="s">
        <v>123</v>
      </c>
      <c r="O195" t="s">
        <v>198</v>
      </c>
      <c r="P195" t="s">
        <v>199</v>
      </c>
      <c r="Q195" t="s">
        <v>122</v>
      </c>
      <c r="R195" t="s">
        <v>122</v>
      </c>
      <c r="U195">
        <v>1234</v>
      </c>
      <c r="V195">
        <v>0</v>
      </c>
      <c r="W195" t="s">
        <v>200</v>
      </c>
      <c r="X195" t="s">
        <v>9</v>
      </c>
      <c r="Y195" t="s">
        <v>60</v>
      </c>
      <c r="Z195" t="s">
        <v>122</v>
      </c>
      <c r="AA195" t="s">
        <v>122</v>
      </c>
      <c r="AB195" t="s">
        <v>122</v>
      </c>
      <c r="AC195" t="s">
        <v>122</v>
      </c>
      <c r="AF195">
        <v>40</v>
      </c>
      <c r="AG195">
        <v>100</v>
      </c>
      <c r="AH195" t="s">
        <v>124</v>
      </c>
      <c r="AI195">
        <v>1</v>
      </c>
      <c r="AJ195">
        <v>4000</v>
      </c>
      <c r="AK195">
        <v>4000</v>
      </c>
      <c r="AL195">
        <v>0</v>
      </c>
      <c r="AM195">
        <v>0</v>
      </c>
      <c r="AN195">
        <v>0</v>
      </c>
      <c r="AO195">
        <v>0</v>
      </c>
      <c r="AP195">
        <v>12387.31</v>
      </c>
      <c r="AQ195">
        <v>12387.31</v>
      </c>
      <c r="AR195">
        <v>0</v>
      </c>
      <c r="AS195">
        <v>0</v>
      </c>
      <c r="AT195">
        <v>0</v>
      </c>
      <c r="AU195">
        <v>0</v>
      </c>
      <c r="AV195">
        <f>Table1[[#This Row],[CGST]]+Table1[[#This Row],[IGST]]+Table1[[#This Row],[SGST]]</f>
        <v>12387.31</v>
      </c>
      <c r="AW195">
        <f t="shared" si="7"/>
        <v>310</v>
      </c>
      <c r="AX195">
        <v>0</v>
      </c>
      <c r="AY195">
        <v>81205.710000000006</v>
      </c>
      <c r="AZ195" t="s">
        <v>125</v>
      </c>
      <c r="BA195" t="s">
        <v>10</v>
      </c>
      <c r="BB195" t="s">
        <v>126</v>
      </c>
      <c r="BC195" t="s">
        <v>127</v>
      </c>
      <c r="BD195" t="s">
        <v>128</v>
      </c>
      <c r="BE195" t="s">
        <v>17</v>
      </c>
      <c r="BF195" t="s">
        <v>322</v>
      </c>
      <c r="BH195">
        <v>0</v>
      </c>
    </row>
    <row r="196" spans="1:60" x14ac:dyDescent="0.25">
      <c r="A196" t="s">
        <v>120</v>
      </c>
      <c r="B196" t="s">
        <v>121</v>
      </c>
      <c r="C196">
        <v>1234</v>
      </c>
      <c r="D196" t="s">
        <v>323</v>
      </c>
      <c r="E19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96" t="s">
        <v>8</v>
      </c>
      <c r="G196" t="s">
        <v>323</v>
      </c>
      <c r="H196" t="str">
        <f t="shared" si="6"/>
        <v>SI-2/1900-1862</v>
      </c>
      <c r="I196" t="s">
        <v>122</v>
      </c>
      <c r="J196" t="s">
        <v>122</v>
      </c>
      <c r="K196" t="s">
        <v>122</v>
      </c>
      <c r="L196" t="s">
        <v>122</v>
      </c>
      <c r="M196" s="21">
        <v>44593</v>
      </c>
      <c r="N196" t="s">
        <v>123</v>
      </c>
      <c r="O196" t="s">
        <v>198</v>
      </c>
      <c r="P196" t="s">
        <v>199</v>
      </c>
      <c r="Q196" t="s">
        <v>122</v>
      </c>
      <c r="R196" t="s">
        <v>122</v>
      </c>
      <c r="U196">
        <v>1234</v>
      </c>
      <c r="V196">
        <v>0</v>
      </c>
      <c r="W196" t="s">
        <v>200</v>
      </c>
      <c r="X196" t="s">
        <v>9</v>
      </c>
      <c r="Y196" t="s">
        <v>60</v>
      </c>
      <c r="Z196" t="s">
        <v>122</v>
      </c>
      <c r="AA196" t="s">
        <v>122</v>
      </c>
      <c r="AB196" t="s">
        <v>122</v>
      </c>
      <c r="AC196" t="s">
        <v>122</v>
      </c>
      <c r="AF196">
        <v>70</v>
      </c>
      <c r="AG196">
        <v>100</v>
      </c>
      <c r="AH196" t="s">
        <v>124</v>
      </c>
      <c r="AI196">
        <v>1</v>
      </c>
      <c r="AJ196">
        <v>7000</v>
      </c>
      <c r="AK196">
        <v>7000</v>
      </c>
      <c r="AL196">
        <v>0</v>
      </c>
      <c r="AM196">
        <v>0</v>
      </c>
      <c r="AN196">
        <v>0</v>
      </c>
      <c r="AO196">
        <v>0</v>
      </c>
      <c r="AP196">
        <v>25321.34</v>
      </c>
      <c r="AQ196">
        <v>25321.34</v>
      </c>
      <c r="AR196">
        <v>0</v>
      </c>
      <c r="AS196">
        <v>0</v>
      </c>
      <c r="AT196">
        <v>0</v>
      </c>
      <c r="AU196">
        <v>0</v>
      </c>
      <c r="AV196">
        <f>Table1[[#This Row],[CGST]]+Table1[[#This Row],[IGST]]+Table1[[#This Row],[SGST]]</f>
        <v>25321.34</v>
      </c>
      <c r="AW196">
        <f t="shared" si="7"/>
        <v>362</v>
      </c>
      <c r="AX196">
        <v>0</v>
      </c>
      <c r="AY196">
        <v>165995.44</v>
      </c>
      <c r="AZ196" t="s">
        <v>125</v>
      </c>
      <c r="BA196" t="s">
        <v>10</v>
      </c>
      <c r="BB196" t="s">
        <v>126</v>
      </c>
      <c r="BC196" t="s">
        <v>127</v>
      </c>
      <c r="BD196" t="s">
        <v>128</v>
      </c>
      <c r="BE196" t="s">
        <v>17</v>
      </c>
      <c r="BF196" t="s">
        <v>226</v>
      </c>
      <c r="BH196">
        <v>0</v>
      </c>
    </row>
    <row r="197" spans="1:60" x14ac:dyDescent="0.25">
      <c r="A197" t="s">
        <v>120</v>
      </c>
      <c r="B197" t="s">
        <v>121</v>
      </c>
      <c r="C197">
        <v>1234</v>
      </c>
      <c r="D197" t="s">
        <v>323</v>
      </c>
      <c r="E19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97" t="s">
        <v>8</v>
      </c>
      <c r="G197" t="s">
        <v>323</v>
      </c>
      <c r="H197" t="str">
        <f t="shared" si="6"/>
        <v>SI-2/1900-1862</v>
      </c>
      <c r="I197" t="s">
        <v>122</v>
      </c>
      <c r="J197" t="s">
        <v>122</v>
      </c>
      <c r="K197" t="s">
        <v>122</v>
      </c>
      <c r="L197" t="s">
        <v>122</v>
      </c>
      <c r="M197" s="21">
        <v>44593</v>
      </c>
      <c r="N197" t="s">
        <v>123</v>
      </c>
      <c r="O197" t="s">
        <v>198</v>
      </c>
      <c r="P197" t="s">
        <v>199</v>
      </c>
      <c r="Q197" t="s">
        <v>122</v>
      </c>
      <c r="R197" t="s">
        <v>122</v>
      </c>
      <c r="U197">
        <v>1234</v>
      </c>
      <c r="V197">
        <v>0</v>
      </c>
      <c r="W197" t="s">
        <v>200</v>
      </c>
      <c r="X197" t="s">
        <v>9</v>
      </c>
      <c r="Y197" t="s">
        <v>60</v>
      </c>
      <c r="Z197" t="s">
        <v>122</v>
      </c>
      <c r="AA197" t="s">
        <v>122</v>
      </c>
      <c r="AB197" t="s">
        <v>122</v>
      </c>
      <c r="AC197" t="s">
        <v>122</v>
      </c>
      <c r="AF197">
        <v>120</v>
      </c>
      <c r="AG197">
        <v>100</v>
      </c>
      <c r="AH197" t="s">
        <v>124</v>
      </c>
      <c r="AI197">
        <v>1</v>
      </c>
      <c r="AJ197">
        <v>12000</v>
      </c>
      <c r="AK197">
        <v>12000</v>
      </c>
      <c r="AL197">
        <v>0</v>
      </c>
      <c r="AM197">
        <v>0</v>
      </c>
      <c r="AN197">
        <v>0</v>
      </c>
      <c r="AO197">
        <v>0</v>
      </c>
      <c r="AP197">
        <v>48173.18</v>
      </c>
      <c r="AQ197">
        <v>48173.18</v>
      </c>
      <c r="AR197">
        <v>0</v>
      </c>
      <c r="AS197">
        <v>0</v>
      </c>
      <c r="AT197">
        <v>0</v>
      </c>
      <c r="AU197">
        <v>0</v>
      </c>
      <c r="AV197">
        <f>Table1[[#This Row],[CGST]]+Table1[[#This Row],[IGST]]+Table1[[#This Row],[SGST]]</f>
        <v>48173.18</v>
      </c>
      <c r="AW197">
        <f t="shared" si="7"/>
        <v>401</v>
      </c>
      <c r="AX197">
        <v>0</v>
      </c>
      <c r="AY197">
        <v>315801.98</v>
      </c>
      <c r="AZ197" t="s">
        <v>125</v>
      </c>
      <c r="BA197" t="s">
        <v>10</v>
      </c>
      <c r="BB197" t="s">
        <v>126</v>
      </c>
      <c r="BC197" t="s">
        <v>127</v>
      </c>
      <c r="BD197" t="s">
        <v>128</v>
      </c>
      <c r="BE197" t="s">
        <v>17</v>
      </c>
      <c r="BF197" t="s">
        <v>226</v>
      </c>
      <c r="BH197">
        <v>0</v>
      </c>
    </row>
    <row r="198" spans="1:60" x14ac:dyDescent="0.25">
      <c r="A198" t="s">
        <v>120</v>
      </c>
      <c r="B198" t="s">
        <v>121</v>
      </c>
      <c r="C198">
        <v>1234</v>
      </c>
      <c r="D198" t="s">
        <v>324</v>
      </c>
      <c r="E19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98" t="s">
        <v>8</v>
      </c>
      <c r="G198" t="s">
        <v>324</v>
      </c>
      <c r="H198" t="str">
        <f t="shared" si="6"/>
        <v>SI-2/1900-1863</v>
      </c>
      <c r="I198" t="s">
        <v>122</v>
      </c>
      <c r="J198" t="s">
        <v>122</v>
      </c>
      <c r="K198" t="s">
        <v>122</v>
      </c>
      <c r="L198" t="s">
        <v>122</v>
      </c>
      <c r="M198" s="21">
        <v>44593</v>
      </c>
      <c r="N198" t="s">
        <v>123</v>
      </c>
      <c r="O198" t="s">
        <v>198</v>
      </c>
      <c r="P198" t="s">
        <v>199</v>
      </c>
      <c r="Q198" t="s">
        <v>122</v>
      </c>
      <c r="R198" t="s">
        <v>122</v>
      </c>
      <c r="U198">
        <v>1234</v>
      </c>
      <c r="V198">
        <v>0</v>
      </c>
      <c r="W198" t="s">
        <v>200</v>
      </c>
      <c r="X198" t="s">
        <v>9</v>
      </c>
      <c r="Y198" t="s">
        <v>60</v>
      </c>
      <c r="Z198" t="s">
        <v>122</v>
      </c>
      <c r="AA198" t="s">
        <v>122</v>
      </c>
      <c r="AB198" t="s">
        <v>122</v>
      </c>
      <c r="AC198" t="s">
        <v>122</v>
      </c>
      <c r="AF198">
        <v>800</v>
      </c>
      <c r="AG198">
        <v>100</v>
      </c>
      <c r="AH198" t="s">
        <v>124</v>
      </c>
      <c r="AI198">
        <v>1</v>
      </c>
      <c r="AJ198">
        <v>80000</v>
      </c>
      <c r="AK198">
        <v>80000</v>
      </c>
      <c r="AL198">
        <v>0</v>
      </c>
      <c r="AM198">
        <v>0</v>
      </c>
      <c r="AN198">
        <v>0</v>
      </c>
      <c r="AO198">
        <v>0</v>
      </c>
      <c r="AP198">
        <v>104339.52</v>
      </c>
      <c r="AQ198">
        <v>104339.52</v>
      </c>
      <c r="AR198">
        <v>0</v>
      </c>
      <c r="AS198">
        <v>0</v>
      </c>
      <c r="AT198">
        <v>0</v>
      </c>
      <c r="AU198">
        <v>0</v>
      </c>
      <c r="AV198">
        <f>Table1[[#This Row],[CGST]]+Table1[[#This Row],[IGST]]+Table1[[#This Row],[SGST]]</f>
        <v>104339.52</v>
      </c>
      <c r="AW198">
        <f t="shared" si="7"/>
        <v>130</v>
      </c>
      <c r="AX198">
        <v>0</v>
      </c>
      <c r="AY198">
        <v>684003.52</v>
      </c>
      <c r="AZ198" t="s">
        <v>125</v>
      </c>
      <c r="BA198" t="s">
        <v>10</v>
      </c>
      <c r="BB198" t="s">
        <v>126</v>
      </c>
      <c r="BC198" t="s">
        <v>127</v>
      </c>
      <c r="BD198" t="s">
        <v>128</v>
      </c>
      <c r="BE198" t="s">
        <v>19</v>
      </c>
      <c r="BF198" t="s">
        <v>211</v>
      </c>
      <c r="BH198">
        <v>0</v>
      </c>
    </row>
    <row r="199" spans="1:60" x14ac:dyDescent="0.25">
      <c r="A199" t="s">
        <v>120</v>
      </c>
      <c r="B199" t="s">
        <v>121</v>
      </c>
      <c r="C199">
        <v>1234</v>
      </c>
      <c r="D199" t="s">
        <v>324</v>
      </c>
      <c r="E19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199" t="s">
        <v>8</v>
      </c>
      <c r="G199" t="s">
        <v>324</v>
      </c>
      <c r="H199" t="str">
        <f t="shared" si="6"/>
        <v>SI-2/1900-1863</v>
      </c>
      <c r="I199" t="s">
        <v>122</v>
      </c>
      <c r="J199" t="s">
        <v>122</v>
      </c>
      <c r="K199" t="s">
        <v>122</v>
      </c>
      <c r="L199" t="s">
        <v>122</v>
      </c>
      <c r="M199" s="21">
        <v>44593</v>
      </c>
      <c r="N199" t="s">
        <v>123</v>
      </c>
      <c r="O199" t="s">
        <v>198</v>
      </c>
      <c r="P199" t="s">
        <v>199</v>
      </c>
      <c r="Q199" t="s">
        <v>122</v>
      </c>
      <c r="R199" t="s">
        <v>122</v>
      </c>
      <c r="U199">
        <v>1234</v>
      </c>
      <c r="V199">
        <v>0</v>
      </c>
      <c r="W199" t="s">
        <v>200</v>
      </c>
      <c r="X199" t="s">
        <v>9</v>
      </c>
      <c r="Y199" t="s">
        <v>60</v>
      </c>
      <c r="Z199" t="s">
        <v>122</v>
      </c>
      <c r="AA199" t="s">
        <v>122</v>
      </c>
      <c r="AB199" t="s">
        <v>122</v>
      </c>
      <c r="AC199" t="s">
        <v>122</v>
      </c>
      <c r="AF199">
        <v>20</v>
      </c>
      <c r="AG199">
        <v>100</v>
      </c>
      <c r="AH199" t="s">
        <v>124</v>
      </c>
      <c r="AI199">
        <v>1</v>
      </c>
      <c r="AJ199">
        <v>2000</v>
      </c>
      <c r="AK199">
        <v>2000</v>
      </c>
      <c r="AL199">
        <v>0</v>
      </c>
      <c r="AM199">
        <v>0</v>
      </c>
      <c r="AN199">
        <v>0</v>
      </c>
      <c r="AO199">
        <v>0</v>
      </c>
      <c r="AP199">
        <v>3904.56</v>
      </c>
      <c r="AQ199">
        <v>3904.56</v>
      </c>
      <c r="AR199">
        <v>0</v>
      </c>
      <c r="AS199">
        <v>0</v>
      </c>
      <c r="AT199">
        <v>0</v>
      </c>
      <c r="AU199">
        <v>0</v>
      </c>
      <c r="AV199">
        <f>Table1[[#This Row],[CGST]]+Table1[[#This Row],[IGST]]+Table1[[#This Row],[SGST]]</f>
        <v>3904.56</v>
      </c>
      <c r="AW199">
        <f t="shared" si="7"/>
        <v>195</v>
      </c>
      <c r="AX199">
        <v>0</v>
      </c>
      <c r="AY199">
        <v>25596.560000000001</v>
      </c>
      <c r="AZ199" t="s">
        <v>125</v>
      </c>
      <c r="BA199" t="s">
        <v>10</v>
      </c>
      <c r="BB199" t="s">
        <v>126</v>
      </c>
      <c r="BC199" t="s">
        <v>127</v>
      </c>
      <c r="BD199" t="s">
        <v>128</v>
      </c>
      <c r="BE199" t="s">
        <v>19</v>
      </c>
      <c r="BF199" t="s">
        <v>211</v>
      </c>
      <c r="BH199">
        <v>0</v>
      </c>
    </row>
    <row r="200" spans="1:60" x14ac:dyDescent="0.25">
      <c r="A200" t="s">
        <v>120</v>
      </c>
      <c r="B200" t="s">
        <v>121</v>
      </c>
      <c r="C200">
        <v>1234</v>
      </c>
      <c r="D200" t="s">
        <v>325</v>
      </c>
      <c r="E20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00" t="s">
        <v>8</v>
      </c>
      <c r="G200" t="s">
        <v>325</v>
      </c>
      <c r="H200" t="str">
        <f t="shared" si="6"/>
        <v>SI-2/1900-1864</v>
      </c>
      <c r="I200" t="s">
        <v>122</v>
      </c>
      <c r="J200" t="s">
        <v>122</v>
      </c>
      <c r="K200" t="s">
        <v>122</v>
      </c>
      <c r="L200" t="s">
        <v>122</v>
      </c>
      <c r="M200" s="21">
        <v>44593</v>
      </c>
      <c r="N200" t="s">
        <v>123</v>
      </c>
      <c r="O200" t="s">
        <v>198</v>
      </c>
      <c r="P200" t="s">
        <v>199</v>
      </c>
      <c r="Q200" t="s">
        <v>122</v>
      </c>
      <c r="R200" t="s">
        <v>122</v>
      </c>
      <c r="U200">
        <v>1234</v>
      </c>
      <c r="V200">
        <v>0</v>
      </c>
      <c r="W200" t="s">
        <v>200</v>
      </c>
      <c r="X200" t="s">
        <v>9</v>
      </c>
      <c r="Y200" t="s">
        <v>60</v>
      </c>
      <c r="Z200" t="s">
        <v>122</v>
      </c>
      <c r="AA200" t="s">
        <v>122</v>
      </c>
      <c r="AB200" t="s">
        <v>122</v>
      </c>
      <c r="AC200" t="s">
        <v>122</v>
      </c>
      <c r="AF200">
        <v>870</v>
      </c>
      <c r="AG200">
        <v>100</v>
      </c>
      <c r="AH200" t="s">
        <v>124</v>
      </c>
      <c r="AI200">
        <v>1</v>
      </c>
      <c r="AJ200">
        <v>87000</v>
      </c>
      <c r="AK200">
        <v>87000</v>
      </c>
      <c r="AL200">
        <v>0</v>
      </c>
      <c r="AM200">
        <v>0</v>
      </c>
      <c r="AN200">
        <v>0</v>
      </c>
      <c r="AO200">
        <v>0</v>
      </c>
      <c r="AP200">
        <v>113469.23</v>
      </c>
      <c r="AQ200">
        <v>113469.23</v>
      </c>
      <c r="AR200">
        <v>0</v>
      </c>
      <c r="AS200">
        <v>0</v>
      </c>
      <c r="AT200">
        <v>0</v>
      </c>
      <c r="AU200">
        <v>0</v>
      </c>
      <c r="AV200">
        <f>Table1[[#This Row],[CGST]]+Table1[[#This Row],[IGST]]+Table1[[#This Row],[SGST]]</f>
        <v>113469.23</v>
      </c>
      <c r="AW200">
        <f t="shared" si="7"/>
        <v>130</v>
      </c>
      <c r="AX200">
        <v>0</v>
      </c>
      <c r="AY200">
        <v>743853.83</v>
      </c>
      <c r="AZ200" t="s">
        <v>125</v>
      </c>
      <c r="BA200" t="s">
        <v>10</v>
      </c>
      <c r="BB200" t="s">
        <v>126</v>
      </c>
      <c r="BC200" t="s">
        <v>127</v>
      </c>
      <c r="BD200" t="s">
        <v>128</v>
      </c>
      <c r="BE200" t="s">
        <v>16</v>
      </c>
      <c r="BF200" t="s">
        <v>207</v>
      </c>
      <c r="BH200">
        <v>0</v>
      </c>
    </row>
    <row r="201" spans="1:60" x14ac:dyDescent="0.25">
      <c r="A201" t="s">
        <v>120</v>
      </c>
      <c r="B201" t="s">
        <v>121</v>
      </c>
      <c r="C201">
        <v>1234</v>
      </c>
      <c r="D201" t="s">
        <v>325</v>
      </c>
      <c r="E20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01" t="s">
        <v>8</v>
      </c>
      <c r="G201" t="s">
        <v>325</v>
      </c>
      <c r="H201" t="str">
        <f t="shared" si="6"/>
        <v>SI-2/1900-1864</v>
      </c>
      <c r="I201" t="s">
        <v>122</v>
      </c>
      <c r="J201" t="s">
        <v>122</v>
      </c>
      <c r="K201" t="s">
        <v>122</v>
      </c>
      <c r="L201" t="s">
        <v>122</v>
      </c>
      <c r="M201" s="21">
        <v>44593</v>
      </c>
      <c r="N201" t="s">
        <v>123</v>
      </c>
      <c r="O201" t="s">
        <v>198</v>
      </c>
      <c r="P201" t="s">
        <v>199</v>
      </c>
      <c r="Q201" t="s">
        <v>122</v>
      </c>
      <c r="R201" t="s">
        <v>122</v>
      </c>
      <c r="U201">
        <v>1234</v>
      </c>
      <c r="V201">
        <v>0</v>
      </c>
      <c r="W201" t="s">
        <v>200</v>
      </c>
      <c r="X201" t="s">
        <v>9</v>
      </c>
      <c r="Y201" t="s">
        <v>60</v>
      </c>
      <c r="Z201" t="s">
        <v>122</v>
      </c>
      <c r="AA201" t="s">
        <v>122</v>
      </c>
      <c r="AB201" t="s">
        <v>122</v>
      </c>
      <c r="AC201" t="s">
        <v>122</v>
      </c>
      <c r="AF201">
        <v>230</v>
      </c>
      <c r="AG201">
        <v>100</v>
      </c>
      <c r="AH201" t="s">
        <v>124</v>
      </c>
      <c r="AI201">
        <v>1</v>
      </c>
      <c r="AJ201">
        <v>23000</v>
      </c>
      <c r="AK201">
        <v>23000</v>
      </c>
      <c r="AL201">
        <v>0</v>
      </c>
      <c r="AM201">
        <v>0</v>
      </c>
      <c r="AN201">
        <v>0</v>
      </c>
      <c r="AO201">
        <v>0</v>
      </c>
      <c r="AP201">
        <v>37591.199999999997</v>
      </c>
      <c r="AQ201">
        <v>37591.199999999997</v>
      </c>
      <c r="AR201">
        <v>0</v>
      </c>
      <c r="AS201">
        <v>0</v>
      </c>
      <c r="AT201">
        <v>0</v>
      </c>
      <c r="AU201">
        <v>0</v>
      </c>
      <c r="AV201">
        <f>Table1[[#This Row],[CGST]]+Table1[[#This Row],[IGST]]+Table1[[#This Row],[SGST]]</f>
        <v>37591.199999999997</v>
      </c>
      <c r="AW201">
        <f t="shared" si="7"/>
        <v>163</v>
      </c>
      <c r="AX201">
        <v>0</v>
      </c>
      <c r="AY201">
        <v>246431.2</v>
      </c>
      <c r="AZ201" t="s">
        <v>125</v>
      </c>
      <c r="BA201" t="s">
        <v>10</v>
      </c>
      <c r="BB201" t="s">
        <v>126</v>
      </c>
      <c r="BC201" t="s">
        <v>127</v>
      </c>
      <c r="BD201" t="s">
        <v>128</v>
      </c>
      <c r="BE201" t="s">
        <v>16</v>
      </c>
      <c r="BF201" t="s">
        <v>207</v>
      </c>
      <c r="BH201">
        <v>0</v>
      </c>
    </row>
    <row r="202" spans="1:60" x14ac:dyDescent="0.25">
      <c r="A202" t="s">
        <v>120</v>
      </c>
      <c r="B202" t="s">
        <v>121</v>
      </c>
      <c r="C202">
        <v>1234</v>
      </c>
      <c r="D202" t="s">
        <v>326</v>
      </c>
      <c r="E20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02" t="s">
        <v>8</v>
      </c>
      <c r="G202" t="s">
        <v>326</v>
      </c>
      <c r="H202" t="str">
        <f t="shared" si="6"/>
        <v>SI-2/1900-1865</v>
      </c>
      <c r="I202" t="s">
        <v>122</v>
      </c>
      <c r="J202" t="s">
        <v>122</v>
      </c>
      <c r="K202" t="s">
        <v>122</v>
      </c>
      <c r="L202" t="s">
        <v>122</v>
      </c>
      <c r="M202" s="21">
        <v>44593</v>
      </c>
      <c r="N202" t="s">
        <v>123</v>
      </c>
      <c r="O202" t="s">
        <v>198</v>
      </c>
      <c r="P202" t="s">
        <v>199</v>
      </c>
      <c r="Q202" t="s">
        <v>122</v>
      </c>
      <c r="R202" t="s">
        <v>122</v>
      </c>
      <c r="U202">
        <v>1234</v>
      </c>
      <c r="V202">
        <v>0</v>
      </c>
      <c r="W202" t="s">
        <v>200</v>
      </c>
      <c r="X202" t="s">
        <v>9</v>
      </c>
      <c r="Y202" t="s">
        <v>60</v>
      </c>
      <c r="Z202" t="s">
        <v>122</v>
      </c>
      <c r="AA202" t="s">
        <v>122</v>
      </c>
      <c r="AB202" t="s">
        <v>122</v>
      </c>
      <c r="AC202" t="s">
        <v>122</v>
      </c>
      <c r="AF202">
        <v>100</v>
      </c>
      <c r="AG202">
        <v>100</v>
      </c>
      <c r="AH202" t="s">
        <v>124</v>
      </c>
      <c r="AI202">
        <v>1</v>
      </c>
      <c r="AJ202">
        <v>10000</v>
      </c>
      <c r="AK202">
        <v>10000</v>
      </c>
      <c r="AL202">
        <v>0</v>
      </c>
      <c r="AM202">
        <v>0</v>
      </c>
      <c r="AN202">
        <v>0</v>
      </c>
      <c r="AO202">
        <v>0</v>
      </c>
      <c r="AP202">
        <v>17150.580000000002</v>
      </c>
      <c r="AQ202">
        <v>17150.580000000002</v>
      </c>
      <c r="AR202">
        <v>0</v>
      </c>
      <c r="AS202">
        <v>0</v>
      </c>
      <c r="AT202">
        <v>0</v>
      </c>
      <c r="AU202">
        <v>0</v>
      </c>
      <c r="AV202">
        <f>Table1[[#This Row],[CGST]]+Table1[[#This Row],[IGST]]+Table1[[#This Row],[SGST]]</f>
        <v>17150.580000000002</v>
      </c>
      <c r="AW202">
        <f t="shared" si="7"/>
        <v>172</v>
      </c>
      <c r="AX202">
        <v>0</v>
      </c>
      <c r="AY202">
        <v>112431.58</v>
      </c>
      <c r="AZ202" t="s">
        <v>125</v>
      </c>
      <c r="BA202" t="s">
        <v>10</v>
      </c>
      <c r="BB202" t="s">
        <v>126</v>
      </c>
      <c r="BC202" t="s">
        <v>127</v>
      </c>
      <c r="BD202" t="s">
        <v>128</v>
      </c>
      <c r="BE202" t="s">
        <v>18</v>
      </c>
      <c r="BF202" t="s">
        <v>207</v>
      </c>
      <c r="BH202">
        <v>0</v>
      </c>
    </row>
    <row r="203" spans="1:60" x14ac:dyDescent="0.25">
      <c r="A203" t="s">
        <v>120</v>
      </c>
      <c r="B203" t="s">
        <v>121</v>
      </c>
      <c r="C203">
        <v>1234</v>
      </c>
      <c r="D203" t="s">
        <v>326</v>
      </c>
      <c r="E20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03" t="s">
        <v>8</v>
      </c>
      <c r="G203" t="s">
        <v>326</v>
      </c>
      <c r="H203" t="str">
        <f t="shared" si="6"/>
        <v>SI-2/1900-1865</v>
      </c>
      <c r="I203" t="s">
        <v>122</v>
      </c>
      <c r="J203" t="s">
        <v>122</v>
      </c>
      <c r="K203" t="s">
        <v>122</v>
      </c>
      <c r="L203" t="s">
        <v>122</v>
      </c>
      <c r="M203" s="21">
        <v>44593</v>
      </c>
      <c r="N203" t="s">
        <v>123</v>
      </c>
      <c r="O203" t="s">
        <v>198</v>
      </c>
      <c r="P203" t="s">
        <v>199</v>
      </c>
      <c r="Q203" t="s">
        <v>122</v>
      </c>
      <c r="R203" t="s">
        <v>122</v>
      </c>
      <c r="U203">
        <v>1234</v>
      </c>
      <c r="V203">
        <v>0</v>
      </c>
      <c r="W203" t="s">
        <v>200</v>
      </c>
      <c r="X203" t="s">
        <v>9</v>
      </c>
      <c r="Y203" t="s">
        <v>60</v>
      </c>
      <c r="Z203" t="s">
        <v>122</v>
      </c>
      <c r="AA203" t="s">
        <v>122</v>
      </c>
      <c r="AB203" t="s">
        <v>122</v>
      </c>
      <c r="AC203" t="s">
        <v>122</v>
      </c>
      <c r="AF203">
        <v>750</v>
      </c>
      <c r="AG203">
        <v>100</v>
      </c>
      <c r="AH203" t="s">
        <v>124</v>
      </c>
      <c r="AI203">
        <v>1</v>
      </c>
      <c r="AJ203">
        <v>75000</v>
      </c>
      <c r="AK203">
        <v>75000</v>
      </c>
      <c r="AL203">
        <v>0</v>
      </c>
      <c r="AM203">
        <v>0</v>
      </c>
      <c r="AN203">
        <v>0</v>
      </c>
      <c r="AO203">
        <v>0</v>
      </c>
      <c r="AP203">
        <v>106010.1</v>
      </c>
      <c r="AQ203">
        <v>106010.1</v>
      </c>
      <c r="AR203">
        <v>0</v>
      </c>
      <c r="AS203">
        <v>0</v>
      </c>
      <c r="AT203">
        <v>0</v>
      </c>
      <c r="AU203">
        <v>0</v>
      </c>
      <c r="AV203">
        <f>Table1[[#This Row],[CGST]]+Table1[[#This Row],[IGST]]+Table1[[#This Row],[SGST]]</f>
        <v>106010.1</v>
      </c>
      <c r="AW203">
        <f t="shared" si="7"/>
        <v>141</v>
      </c>
      <c r="AX203">
        <v>0</v>
      </c>
      <c r="AY203">
        <v>694955.1</v>
      </c>
      <c r="AZ203" t="s">
        <v>125</v>
      </c>
      <c r="BA203" t="s">
        <v>10</v>
      </c>
      <c r="BB203" t="s">
        <v>126</v>
      </c>
      <c r="BC203" t="s">
        <v>127</v>
      </c>
      <c r="BD203" t="s">
        <v>128</v>
      </c>
      <c r="BE203" t="s">
        <v>18</v>
      </c>
      <c r="BF203" t="s">
        <v>237</v>
      </c>
      <c r="BH203">
        <v>0</v>
      </c>
    </row>
    <row r="204" spans="1:60" x14ac:dyDescent="0.25">
      <c r="A204" t="s">
        <v>120</v>
      </c>
      <c r="B204" t="s">
        <v>121</v>
      </c>
      <c r="C204">
        <v>1234</v>
      </c>
      <c r="D204" t="s">
        <v>326</v>
      </c>
      <c r="E20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04" t="s">
        <v>8</v>
      </c>
      <c r="G204" t="s">
        <v>326</v>
      </c>
      <c r="H204" t="str">
        <f t="shared" si="6"/>
        <v>SI-2/1900-1865</v>
      </c>
      <c r="I204" t="s">
        <v>122</v>
      </c>
      <c r="J204" t="s">
        <v>122</v>
      </c>
      <c r="K204" t="s">
        <v>122</v>
      </c>
      <c r="L204" t="s">
        <v>122</v>
      </c>
      <c r="M204" s="21">
        <v>44593</v>
      </c>
      <c r="N204" t="s">
        <v>123</v>
      </c>
      <c r="O204" t="s">
        <v>198</v>
      </c>
      <c r="P204" t="s">
        <v>199</v>
      </c>
      <c r="Q204" t="s">
        <v>122</v>
      </c>
      <c r="R204" t="s">
        <v>122</v>
      </c>
      <c r="U204">
        <v>1234</v>
      </c>
      <c r="V204">
        <v>0</v>
      </c>
      <c r="W204" t="s">
        <v>200</v>
      </c>
      <c r="X204" t="s">
        <v>9</v>
      </c>
      <c r="Y204" t="s">
        <v>60</v>
      </c>
      <c r="Z204" t="s">
        <v>122</v>
      </c>
      <c r="AA204" t="s">
        <v>122</v>
      </c>
      <c r="AB204" t="s">
        <v>122</v>
      </c>
      <c r="AC204" t="s">
        <v>122</v>
      </c>
      <c r="AF204">
        <v>15</v>
      </c>
      <c r="AG204">
        <v>100</v>
      </c>
      <c r="AH204" t="s">
        <v>124</v>
      </c>
      <c r="AI204">
        <v>1</v>
      </c>
      <c r="AJ204">
        <v>1500</v>
      </c>
      <c r="AK204">
        <v>1500</v>
      </c>
      <c r="AL204">
        <v>0</v>
      </c>
      <c r="AM204">
        <v>0</v>
      </c>
      <c r="AN204">
        <v>0</v>
      </c>
      <c r="AO204">
        <v>0</v>
      </c>
      <c r="AP204">
        <v>2295.81</v>
      </c>
      <c r="AQ204">
        <v>2295.81</v>
      </c>
      <c r="AR204">
        <v>0</v>
      </c>
      <c r="AS204">
        <v>0</v>
      </c>
      <c r="AT204">
        <v>0</v>
      </c>
      <c r="AU204">
        <v>0</v>
      </c>
      <c r="AV204">
        <f>Table1[[#This Row],[CGST]]+Table1[[#This Row],[IGST]]+Table1[[#This Row],[SGST]]</f>
        <v>2295.81</v>
      </c>
      <c r="AW204">
        <f t="shared" si="7"/>
        <v>153</v>
      </c>
      <c r="AX204">
        <v>0</v>
      </c>
      <c r="AY204">
        <v>15050.31</v>
      </c>
      <c r="AZ204" t="s">
        <v>125</v>
      </c>
      <c r="BA204" t="s">
        <v>10</v>
      </c>
      <c r="BB204" t="s">
        <v>126</v>
      </c>
      <c r="BC204" t="s">
        <v>127</v>
      </c>
      <c r="BD204" t="s">
        <v>128</v>
      </c>
      <c r="BE204" t="s">
        <v>18</v>
      </c>
      <c r="BF204" t="s">
        <v>237</v>
      </c>
      <c r="BH204">
        <v>0</v>
      </c>
    </row>
    <row r="205" spans="1:60" x14ac:dyDescent="0.25">
      <c r="A205" t="s">
        <v>120</v>
      </c>
      <c r="B205" t="s">
        <v>121</v>
      </c>
      <c r="C205">
        <v>1234</v>
      </c>
      <c r="D205" t="s">
        <v>327</v>
      </c>
      <c r="E20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05" t="s">
        <v>8</v>
      </c>
      <c r="G205" t="s">
        <v>327</v>
      </c>
      <c r="H205" t="str">
        <f t="shared" si="6"/>
        <v>SI-2/1900-1866</v>
      </c>
      <c r="I205" t="s">
        <v>122</v>
      </c>
      <c r="J205" t="s">
        <v>122</v>
      </c>
      <c r="K205" t="s">
        <v>122</v>
      </c>
      <c r="L205" t="s">
        <v>122</v>
      </c>
      <c r="M205" s="21">
        <v>44593</v>
      </c>
      <c r="N205" t="s">
        <v>123</v>
      </c>
      <c r="O205" t="s">
        <v>198</v>
      </c>
      <c r="P205" t="s">
        <v>199</v>
      </c>
      <c r="Q205" t="s">
        <v>122</v>
      </c>
      <c r="R205" t="s">
        <v>122</v>
      </c>
      <c r="U205">
        <v>1234</v>
      </c>
      <c r="V205">
        <v>0</v>
      </c>
      <c r="W205" t="s">
        <v>200</v>
      </c>
      <c r="X205" t="s">
        <v>9</v>
      </c>
      <c r="Y205" t="s">
        <v>60</v>
      </c>
      <c r="Z205" t="s">
        <v>122</v>
      </c>
      <c r="AA205" t="s">
        <v>122</v>
      </c>
      <c r="AB205" t="s">
        <v>122</v>
      </c>
      <c r="AC205" t="s">
        <v>122</v>
      </c>
      <c r="AF205">
        <v>50</v>
      </c>
      <c r="AG205">
        <v>100</v>
      </c>
      <c r="AH205" t="s">
        <v>124</v>
      </c>
      <c r="AI205">
        <v>1</v>
      </c>
      <c r="AJ205">
        <v>5000</v>
      </c>
      <c r="AK205">
        <v>5000</v>
      </c>
      <c r="AL205">
        <v>0</v>
      </c>
      <c r="AM205">
        <v>0</v>
      </c>
      <c r="AN205">
        <v>0</v>
      </c>
      <c r="AO205">
        <v>0</v>
      </c>
      <c r="AP205">
        <v>6268.5</v>
      </c>
      <c r="AQ205">
        <v>6268.5</v>
      </c>
      <c r="AR205">
        <v>0</v>
      </c>
      <c r="AS205">
        <v>0</v>
      </c>
      <c r="AT205">
        <v>0</v>
      </c>
      <c r="AU205">
        <v>0</v>
      </c>
      <c r="AV205">
        <f>Table1[[#This Row],[CGST]]+Table1[[#This Row],[IGST]]+Table1[[#This Row],[SGST]]</f>
        <v>6268.5</v>
      </c>
      <c r="AW205">
        <f t="shared" si="7"/>
        <v>125</v>
      </c>
      <c r="AX205">
        <v>0</v>
      </c>
      <c r="AY205">
        <v>41093.5</v>
      </c>
      <c r="AZ205" t="s">
        <v>125</v>
      </c>
      <c r="BA205" t="s">
        <v>10</v>
      </c>
      <c r="BB205" t="s">
        <v>126</v>
      </c>
      <c r="BC205" t="s">
        <v>127</v>
      </c>
      <c r="BD205" t="s">
        <v>128</v>
      </c>
      <c r="BE205" t="s">
        <v>14</v>
      </c>
      <c r="BF205" t="s">
        <v>328</v>
      </c>
      <c r="BH205">
        <v>0</v>
      </c>
    </row>
    <row r="206" spans="1:60" x14ac:dyDescent="0.25">
      <c r="A206" t="s">
        <v>120</v>
      </c>
      <c r="B206" t="s">
        <v>121</v>
      </c>
      <c r="C206">
        <v>1234</v>
      </c>
      <c r="D206" t="s">
        <v>327</v>
      </c>
      <c r="E20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06" t="s">
        <v>8</v>
      </c>
      <c r="G206" t="s">
        <v>327</v>
      </c>
      <c r="H206" t="str">
        <f t="shared" si="6"/>
        <v>SI-2/1900-1866</v>
      </c>
      <c r="I206" t="s">
        <v>122</v>
      </c>
      <c r="J206" t="s">
        <v>122</v>
      </c>
      <c r="K206" t="s">
        <v>122</v>
      </c>
      <c r="L206" t="s">
        <v>122</v>
      </c>
      <c r="M206" s="21">
        <v>44593</v>
      </c>
      <c r="N206" t="s">
        <v>123</v>
      </c>
      <c r="O206" t="s">
        <v>198</v>
      </c>
      <c r="P206" t="s">
        <v>199</v>
      </c>
      <c r="Q206" t="s">
        <v>122</v>
      </c>
      <c r="R206" t="s">
        <v>122</v>
      </c>
      <c r="U206">
        <v>1234</v>
      </c>
      <c r="V206">
        <v>0</v>
      </c>
      <c r="W206" t="s">
        <v>200</v>
      </c>
      <c r="X206" t="s">
        <v>9</v>
      </c>
      <c r="Y206" t="s">
        <v>60</v>
      </c>
      <c r="Z206" t="s">
        <v>122</v>
      </c>
      <c r="AA206" t="s">
        <v>122</v>
      </c>
      <c r="AB206" t="s">
        <v>122</v>
      </c>
      <c r="AC206" t="s">
        <v>122</v>
      </c>
      <c r="AF206">
        <v>50</v>
      </c>
      <c r="AG206">
        <v>100</v>
      </c>
      <c r="AH206" t="s">
        <v>124</v>
      </c>
      <c r="AI206">
        <v>1</v>
      </c>
      <c r="AJ206">
        <v>5000</v>
      </c>
      <c r="AK206">
        <v>5000</v>
      </c>
      <c r="AL206">
        <v>0</v>
      </c>
      <c r="AM206">
        <v>0</v>
      </c>
      <c r="AN206">
        <v>0</v>
      </c>
      <c r="AO206">
        <v>0</v>
      </c>
      <c r="AP206">
        <v>8937</v>
      </c>
      <c r="AQ206">
        <v>8937</v>
      </c>
      <c r="AR206">
        <v>0</v>
      </c>
      <c r="AS206">
        <v>0</v>
      </c>
      <c r="AT206">
        <v>0</v>
      </c>
      <c r="AU206">
        <v>0</v>
      </c>
      <c r="AV206">
        <f>Table1[[#This Row],[CGST]]+Table1[[#This Row],[IGST]]+Table1[[#This Row],[SGST]]</f>
        <v>8937</v>
      </c>
      <c r="AW206">
        <f t="shared" si="7"/>
        <v>179</v>
      </c>
      <c r="AX206">
        <v>0</v>
      </c>
      <c r="AY206">
        <v>58587</v>
      </c>
      <c r="AZ206" t="s">
        <v>125</v>
      </c>
      <c r="BA206" t="s">
        <v>10</v>
      </c>
      <c r="BB206" t="s">
        <v>126</v>
      </c>
      <c r="BC206" t="s">
        <v>127</v>
      </c>
      <c r="BD206" t="s">
        <v>128</v>
      </c>
      <c r="BE206" t="s">
        <v>14</v>
      </c>
      <c r="BF206" t="s">
        <v>207</v>
      </c>
      <c r="BH206">
        <v>0</v>
      </c>
    </row>
    <row r="207" spans="1:60" x14ac:dyDescent="0.25">
      <c r="A207" t="s">
        <v>120</v>
      </c>
      <c r="B207" t="s">
        <v>121</v>
      </c>
      <c r="C207">
        <v>1234</v>
      </c>
      <c r="D207" t="s">
        <v>329</v>
      </c>
      <c r="E20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07" t="s">
        <v>8</v>
      </c>
      <c r="G207" t="s">
        <v>329</v>
      </c>
      <c r="H207" t="str">
        <f t="shared" si="6"/>
        <v>SI-2/1900-1868</v>
      </c>
      <c r="I207" t="s">
        <v>122</v>
      </c>
      <c r="J207" t="s">
        <v>122</v>
      </c>
      <c r="K207" t="s">
        <v>122</v>
      </c>
      <c r="L207" t="s">
        <v>122</v>
      </c>
      <c r="M207" s="21">
        <v>44593</v>
      </c>
      <c r="N207" t="s">
        <v>123</v>
      </c>
      <c r="O207" t="s">
        <v>198</v>
      </c>
      <c r="P207" t="s">
        <v>199</v>
      </c>
      <c r="Q207" t="s">
        <v>122</v>
      </c>
      <c r="R207" t="s">
        <v>122</v>
      </c>
      <c r="U207">
        <v>1234</v>
      </c>
      <c r="V207">
        <v>0</v>
      </c>
      <c r="W207" t="s">
        <v>200</v>
      </c>
      <c r="X207" t="s">
        <v>9</v>
      </c>
      <c r="Y207" t="s">
        <v>60</v>
      </c>
      <c r="Z207" t="s">
        <v>122</v>
      </c>
      <c r="AA207" t="s">
        <v>122</v>
      </c>
      <c r="AB207" t="s">
        <v>122</v>
      </c>
      <c r="AC207" t="s">
        <v>122</v>
      </c>
      <c r="AF207">
        <v>480</v>
      </c>
      <c r="AG207">
        <v>100</v>
      </c>
      <c r="AH207" t="s">
        <v>124</v>
      </c>
      <c r="AI207">
        <v>1</v>
      </c>
      <c r="AJ207">
        <v>48000</v>
      </c>
      <c r="AK207">
        <v>48000</v>
      </c>
      <c r="AL207">
        <v>0</v>
      </c>
      <c r="AM207">
        <v>0</v>
      </c>
      <c r="AN207">
        <v>0</v>
      </c>
      <c r="AO207">
        <v>0</v>
      </c>
      <c r="AP207">
        <v>64912.32</v>
      </c>
      <c r="AQ207">
        <v>64912.32</v>
      </c>
      <c r="AR207">
        <v>0</v>
      </c>
      <c r="AS207">
        <v>0</v>
      </c>
      <c r="AT207">
        <v>0</v>
      </c>
      <c r="AU207">
        <v>0</v>
      </c>
      <c r="AV207">
        <f>Table1[[#This Row],[CGST]]+Table1[[#This Row],[IGST]]+Table1[[#This Row],[SGST]]</f>
        <v>64912.32</v>
      </c>
      <c r="AW207">
        <f t="shared" si="7"/>
        <v>135</v>
      </c>
      <c r="AX207">
        <v>0</v>
      </c>
      <c r="AY207">
        <v>425536.32</v>
      </c>
      <c r="AZ207" t="s">
        <v>125</v>
      </c>
      <c r="BA207" t="s">
        <v>10</v>
      </c>
      <c r="BB207" t="s">
        <v>126</v>
      </c>
      <c r="BC207" t="s">
        <v>127</v>
      </c>
      <c r="BD207" t="s">
        <v>128</v>
      </c>
      <c r="BE207" t="s">
        <v>18</v>
      </c>
      <c r="BF207" t="s">
        <v>207</v>
      </c>
      <c r="BH207">
        <v>0</v>
      </c>
    </row>
    <row r="208" spans="1:60" x14ac:dyDescent="0.25">
      <c r="A208" t="s">
        <v>120</v>
      </c>
      <c r="B208" t="s">
        <v>121</v>
      </c>
      <c r="C208">
        <v>1234</v>
      </c>
      <c r="D208" t="s">
        <v>329</v>
      </c>
      <c r="E20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08" t="s">
        <v>8</v>
      </c>
      <c r="G208" t="s">
        <v>329</v>
      </c>
      <c r="H208" t="str">
        <f t="shared" si="6"/>
        <v>SI-2/1900-1868</v>
      </c>
      <c r="I208" t="s">
        <v>122</v>
      </c>
      <c r="J208" t="s">
        <v>122</v>
      </c>
      <c r="K208" t="s">
        <v>122</v>
      </c>
      <c r="L208" t="s">
        <v>122</v>
      </c>
      <c r="M208" s="21">
        <v>44593</v>
      </c>
      <c r="N208" t="s">
        <v>123</v>
      </c>
      <c r="O208" t="s">
        <v>198</v>
      </c>
      <c r="P208" t="s">
        <v>199</v>
      </c>
      <c r="Q208" t="s">
        <v>122</v>
      </c>
      <c r="R208" t="s">
        <v>122</v>
      </c>
      <c r="U208">
        <v>1234</v>
      </c>
      <c r="V208">
        <v>0</v>
      </c>
      <c r="W208" t="s">
        <v>200</v>
      </c>
      <c r="X208" t="s">
        <v>9</v>
      </c>
      <c r="Y208" t="s">
        <v>60</v>
      </c>
      <c r="Z208" t="s">
        <v>122</v>
      </c>
      <c r="AA208" t="s">
        <v>122</v>
      </c>
      <c r="AB208" t="s">
        <v>122</v>
      </c>
      <c r="AC208" t="s">
        <v>122</v>
      </c>
      <c r="AF208">
        <v>300</v>
      </c>
      <c r="AG208">
        <v>100</v>
      </c>
      <c r="AH208" t="s">
        <v>124</v>
      </c>
      <c r="AI208">
        <v>1</v>
      </c>
      <c r="AJ208">
        <v>30000</v>
      </c>
      <c r="AK208">
        <v>30000</v>
      </c>
      <c r="AL208">
        <v>0</v>
      </c>
      <c r="AM208">
        <v>0</v>
      </c>
      <c r="AN208">
        <v>0</v>
      </c>
      <c r="AO208">
        <v>0</v>
      </c>
      <c r="AP208">
        <v>39127.32</v>
      </c>
      <c r="AQ208">
        <v>39127.32</v>
      </c>
      <c r="AR208">
        <v>0</v>
      </c>
      <c r="AS208">
        <v>0</v>
      </c>
      <c r="AT208">
        <v>0</v>
      </c>
      <c r="AU208">
        <v>0</v>
      </c>
      <c r="AV208">
        <f>Table1[[#This Row],[CGST]]+Table1[[#This Row],[IGST]]+Table1[[#This Row],[SGST]]</f>
        <v>39127.32</v>
      </c>
      <c r="AW208">
        <f t="shared" si="7"/>
        <v>130</v>
      </c>
      <c r="AX208">
        <v>0</v>
      </c>
      <c r="AY208">
        <v>256501.32</v>
      </c>
      <c r="AZ208" t="s">
        <v>125</v>
      </c>
      <c r="BA208" t="s">
        <v>10</v>
      </c>
      <c r="BB208" t="s">
        <v>126</v>
      </c>
      <c r="BC208" t="s">
        <v>127</v>
      </c>
      <c r="BD208" t="s">
        <v>128</v>
      </c>
      <c r="BE208" t="s">
        <v>18</v>
      </c>
      <c r="BF208" t="s">
        <v>207</v>
      </c>
      <c r="BH208">
        <v>0</v>
      </c>
    </row>
    <row r="209" spans="1:60" x14ac:dyDescent="0.25">
      <c r="A209" t="s">
        <v>120</v>
      </c>
      <c r="B209" t="s">
        <v>121</v>
      </c>
      <c r="C209">
        <v>1234</v>
      </c>
      <c r="D209" t="s">
        <v>329</v>
      </c>
      <c r="E20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09" t="s">
        <v>8</v>
      </c>
      <c r="G209" t="s">
        <v>329</v>
      </c>
      <c r="H209" t="str">
        <f t="shared" si="6"/>
        <v>SI-2/1900-1868</v>
      </c>
      <c r="I209" t="s">
        <v>122</v>
      </c>
      <c r="J209" t="s">
        <v>122</v>
      </c>
      <c r="K209" t="s">
        <v>122</v>
      </c>
      <c r="L209" t="s">
        <v>122</v>
      </c>
      <c r="M209" s="21">
        <v>44593</v>
      </c>
      <c r="N209" t="s">
        <v>123</v>
      </c>
      <c r="O209" t="s">
        <v>198</v>
      </c>
      <c r="P209" t="s">
        <v>199</v>
      </c>
      <c r="Q209" t="s">
        <v>122</v>
      </c>
      <c r="R209" t="s">
        <v>122</v>
      </c>
      <c r="U209">
        <v>1234</v>
      </c>
      <c r="V209">
        <v>0</v>
      </c>
      <c r="W209" t="s">
        <v>200</v>
      </c>
      <c r="X209" t="s">
        <v>9</v>
      </c>
      <c r="Y209" t="s">
        <v>60</v>
      </c>
      <c r="Z209" t="s">
        <v>122</v>
      </c>
      <c r="AA209" t="s">
        <v>122</v>
      </c>
      <c r="AB209" t="s">
        <v>122</v>
      </c>
      <c r="AC209" t="s">
        <v>122</v>
      </c>
      <c r="AF209">
        <v>240</v>
      </c>
      <c r="AG209">
        <v>100</v>
      </c>
      <c r="AH209" t="s">
        <v>124</v>
      </c>
      <c r="AI209">
        <v>1</v>
      </c>
      <c r="AJ209">
        <v>24000</v>
      </c>
      <c r="AK209">
        <v>24000</v>
      </c>
      <c r="AL209">
        <v>0</v>
      </c>
      <c r="AM209">
        <v>0</v>
      </c>
      <c r="AN209">
        <v>0</v>
      </c>
      <c r="AO209">
        <v>0</v>
      </c>
      <c r="AP209">
        <v>33923.230000000003</v>
      </c>
      <c r="AQ209">
        <v>33923.230000000003</v>
      </c>
      <c r="AR209">
        <v>0</v>
      </c>
      <c r="AS209">
        <v>0</v>
      </c>
      <c r="AT209">
        <v>0</v>
      </c>
      <c r="AU209">
        <v>0</v>
      </c>
      <c r="AV209">
        <f>Table1[[#This Row],[CGST]]+Table1[[#This Row],[IGST]]+Table1[[#This Row],[SGST]]</f>
        <v>33923.230000000003</v>
      </c>
      <c r="AW209">
        <f t="shared" si="7"/>
        <v>141</v>
      </c>
      <c r="AX209">
        <v>0</v>
      </c>
      <c r="AY209">
        <v>222385.63</v>
      </c>
      <c r="AZ209" t="s">
        <v>125</v>
      </c>
      <c r="BA209" t="s">
        <v>10</v>
      </c>
      <c r="BB209" t="s">
        <v>126</v>
      </c>
      <c r="BC209" t="s">
        <v>127</v>
      </c>
      <c r="BD209" t="s">
        <v>128</v>
      </c>
      <c r="BE209" t="s">
        <v>18</v>
      </c>
      <c r="BF209" t="s">
        <v>205</v>
      </c>
      <c r="BH209">
        <v>0</v>
      </c>
    </row>
    <row r="210" spans="1:60" x14ac:dyDescent="0.25">
      <c r="A210" t="s">
        <v>120</v>
      </c>
      <c r="B210" t="s">
        <v>121</v>
      </c>
      <c r="C210">
        <v>1234</v>
      </c>
      <c r="D210" t="s">
        <v>329</v>
      </c>
      <c r="E21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10" t="s">
        <v>8</v>
      </c>
      <c r="G210" t="s">
        <v>329</v>
      </c>
      <c r="H210" t="str">
        <f t="shared" si="6"/>
        <v>SI-2/1900-1868</v>
      </c>
      <c r="I210" t="s">
        <v>122</v>
      </c>
      <c r="J210" t="s">
        <v>122</v>
      </c>
      <c r="K210" t="s">
        <v>122</v>
      </c>
      <c r="L210" t="s">
        <v>122</v>
      </c>
      <c r="M210" s="21">
        <v>44593</v>
      </c>
      <c r="N210" t="s">
        <v>123</v>
      </c>
      <c r="O210" t="s">
        <v>198</v>
      </c>
      <c r="P210" t="s">
        <v>199</v>
      </c>
      <c r="Q210" t="s">
        <v>122</v>
      </c>
      <c r="R210" t="s">
        <v>122</v>
      </c>
      <c r="U210">
        <v>1234</v>
      </c>
      <c r="V210">
        <v>0</v>
      </c>
      <c r="W210" t="s">
        <v>200</v>
      </c>
      <c r="X210" t="s">
        <v>9</v>
      </c>
      <c r="Y210" t="s">
        <v>60</v>
      </c>
      <c r="Z210" t="s">
        <v>122</v>
      </c>
      <c r="AA210" t="s">
        <v>122</v>
      </c>
      <c r="AB210" t="s">
        <v>122</v>
      </c>
      <c r="AC210" t="s">
        <v>122</v>
      </c>
      <c r="AF210">
        <v>50</v>
      </c>
      <c r="AG210">
        <v>100</v>
      </c>
      <c r="AH210" t="s">
        <v>124</v>
      </c>
      <c r="AI210">
        <v>1</v>
      </c>
      <c r="AJ210">
        <v>5000</v>
      </c>
      <c r="AK210">
        <v>5000</v>
      </c>
      <c r="AL210">
        <v>0</v>
      </c>
      <c r="AM210">
        <v>0</v>
      </c>
      <c r="AN210">
        <v>0</v>
      </c>
      <c r="AO210">
        <v>0</v>
      </c>
      <c r="AP210">
        <v>6268.5</v>
      </c>
      <c r="AQ210">
        <v>6268.5</v>
      </c>
      <c r="AR210">
        <v>0</v>
      </c>
      <c r="AS210">
        <v>0</v>
      </c>
      <c r="AT210">
        <v>0</v>
      </c>
      <c r="AU210">
        <v>0</v>
      </c>
      <c r="AV210">
        <f>Table1[[#This Row],[CGST]]+Table1[[#This Row],[IGST]]+Table1[[#This Row],[SGST]]</f>
        <v>6268.5</v>
      </c>
      <c r="AW210">
        <f t="shared" si="7"/>
        <v>125</v>
      </c>
      <c r="AX210">
        <v>0</v>
      </c>
      <c r="AY210">
        <v>41093.5</v>
      </c>
      <c r="AZ210" t="s">
        <v>125</v>
      </c>
      <c r="BA210" t="s">
        <v>10</v>
      </c>
      <c r="BB210" t="s">
        <v>126</v>
      </c>
      <c r="BC210" t="s">
        <v>127</v>
      </c>
      <c r="BD210" t="s">
        <v>128</v>
      </c>
      <c r="BE210" t="s">
        <v>18</v>
      </c>
      <c r="BF210" t="s">
        <v>211</v>
      </c>
      <c r="BH210">
        <v>0</v>
      </c>
    </row>
    <row r="211" spans="1:60" x14ac:dyDescent="0.25">
      <c r="A211" t="s">
        <v>120</v>
      </c>
      <c r="B211" t="s">
        <v>121</v>
      </c>
      <c r="C211">
        <v>1234</v>
      </c>
      <c r="D211" t="s">
        <v>330</v>
      </c>
      <c r="E21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11" t="s">
        <v>8</v>
      </c>
      <c r="G211" t="s">
        <v>330</v>
      </c>
      <c r="H211" t="str">
        <f t="shared" si="6"/>
        <v>SI-2/1900-1869</v>
      </c>
      <c r="I211" t="s">
        <v>122</v>
      </c>
      <c r="J211" t="s">
        <v>122</v>
      </c>
      <c r="K211" t="s">
        <v>122</v>
      </c>
      <c r="L211" t="s">
        <v>122</v>
      </c>
      <c r="M211" s="21">
        <v>44593</v>
      </c>
      <c r="N211" t="s">
        <v>123</v>
      </c>
      <c r="O211" t="s">
        <v>198</v>
      </c>
      <c r="P211" t="s">
        <v>199</v>
      </c>
      <c r="Q211" t="s">
        <v>122</v>
      </c>
      <c r="R211" t="s">
        <v>122</v>
      </c>
      <c r="U211">
        <v>1234</v>
      </c>
      <c r="V211">
        <v>0</v>
      </c>
      <c r="W211" t="s">
        <v>200</v>
      </c>
      <c r="X211" t="s">
        <v>9</v>
      </c>
      <c r="Y211" t="s">
        <v>60</v>
      </c>
      <c r="Z211" t="s">
        <v>122</v>
      </c>
      <c r="AA211" t="s">
        <v>122</v>
      </c>
      <c r="AB211" t="s">
        <v>122</v>
      </c>
      <c r="AC211" t="s">
        <v>122</v>
      </c>
      <c r="AF211">
        <v>1100</v>
      </c>
      <c r="AG211">
        <v>100</v>
      </c>
      <c r="AH211" t="s">
        <v>124</v>
      </c>
      <c r="AI211">
        <v>1</v>
      </c>
      <c r="AJ211">
        <v>110000</v>
      </c>
      <c r="AK211">
        <v>110000</v>
      </c>
      <c r="AL211">
        <v>0</v>
      </c>
      <c r="AM211">
        <v>0</v>
      </c>
      <c r="AN211">
        <v>0</v>
      </c>
      <c r="AO211">
        <v>0</v>
      </c>
      <c r="AP211">
        <v>155481.48000000001</v>
      </c>
      <c r="AQ211">
        <v>155481.48000000001</v>
      </c>
      <c r="AR211">
        <v>0</v>
      </c>
      <c r="AS211">
        <v>0</v>
      </c>
      <c r="AT211">
        <v>0</v>
      </c>
      <c r="AU211">
        <v>0</v>
      </c>
      <c r="AV211">
        <f>Table1[[#This Row],[CGST]]+Table1[[#This Row],[IGST]]+Table1[[#This Row],[SGST]]</f>
        <v>155481.48000000001</v>
      </c>
      <c r="AW211">
        <f t="shared" si="7"/>
        <v>141</v>
      </c>
      <c r="AX211">
        <v>0</v>
      </c>
      <c r="AY211">
        <v>1019267.48</v>
      </c>
      <c r="AZ211" t="s">
        <v>125</v>
      </c>
      <c r="BA211" t="s">
        <v>10</v>
      </c>
      <c r="BB211" t="s">
        <v>126</v>
      </c>
      <c r="BC211" t="s">
        <v>127</v>
      </c>
      <c r="BD211" t="s">
        <v>128</v>
      </c>
      <c r="BE211" t="s">
        <v>13</v>
      </c>
      <c r="BF211" t="s">
        <v>211</v>
      </c>
      <c r="BH211">
        <v>0</v>
      </c>
    </row>
    <row r="212" spans="1:60" x14ac:dyDescent="0.25">
      <c r="A212" t="s">
        <v>120</v>
      </c>
      <c r="B212" t="s">
        <v>121</v>
      </c>
      <c r="C212">
        <v>1234</v>
      </c>
      <c r="D212" t="s">
        <v>331</v>
      </c>
      <c r="E21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12" t="s">
        <v>8</v>
      </c>
      <c r="G212" t="s">
        <v>331</v>
      </c>
      <c r="H212" t="str">
        <f t="shared" si="6"/>
        <v>SI-2/1900-1870</v>
      </c>
      <c r="I212" t="s">
        <v>122</v>
      </c>
      <c r="J212" t="s">
        <v>122</v>
      </c>
      <c r="K212" t="s">
        <v>122</v>
      </c>
      <c r="L212" t="s">
        <v>122</v>
      </c>
      <c r="M212" s="21">
        <v>44593</v>
      </c>
      <c r="N212" t="s">
        <v>123</v>
      </c>
      <c r="O212" t="s">
        <v>198</v>
      </c>
      <c r="P212" t="s">
        <v>199</v>
      </c>
      <c r="Q212" t="s">
        <v>122</v>
      </c>
      <c r="R212" t="s">
        <v>122</v>
      </c>
      <c r="U212">
        <v>1234</v>
      </c>
      <c r="V212">
        <v>0</v>
      </c>
      <c r="W212" t="s">
        <v>200</v>
      </c>
      <c r="X212" t="s">
        <v>9</v>
      </c>
      <c r="Y212" t="s">
        <v>60</v>
      </c>
      <c r="Z212" t="s">
        <v>122</v>
      </c>
      <c r="AA212" t="s">
        <v>122</v>
      </c>
      <c r="AB212" t="s">
        <v>122</v>
      </c>
      <c r="AC212" t="s">
        <v>122</v>
      </c>
      <c r="AF212">
        <v>450</v>
      </c>
      <c r="AG212">
        <v>100</v>
      </c>
      <c r="AH212" t="s">
        <v>124</v>
      </c>
      <c r="AI212">
        <v>1</v>
      </c>
      <c r="AJ212">
        <v>45000</v>
      </c>
      <c r="AK212">
        <v>45000</v>
      </c>
      <c r="AL212">
        <v>0</v>
      </c>
      <c r="AM212">
        <v>0</v>
      </c>
      <c r="AN212">
        <v>0</v>
      </c>
      <c r="AO212">
        <v>0</v>
      </c>
      <c r="AP212">
        <v>58690.98</v>
      </c>
      <c r="AQ212">
        <v>58690.98</v>
      </c>
      <c r="AR212">
        <v>0</v>
      </c>
      <c r="AS212">
        <v>0</v>
      </c>
      <c r="AT212">
        <v>0</v>
      </c>
      <c r="AU212">
        <v>0</v>
      </c>
      <c r="AV212">
        <f>Table1[[#This Row],[CGST]]+Table1[[#This Row],[IGST]]+Table1[[#This Row],[SGST]]</f>
        <v>58690.98</v>
      </c>
      <c r="AW212">
        <f t="shared" si="7"/>
        <v>130</v>
      </c>
      <c r="AX212">
        <v>0</v>
      </c>
      <c r="AY212">
        <v>384751.98</v>
      </c>
      <c r="AZ212" t="s">
        <v>125</v>
      </c>
      <c r="BA212" t="s">
        <v>10</v>
      </c>
      <c r="BB212" t="s">
        <v>126</v>
      </c>
      <c r="BC212" t="s">
        <v>127</v>
      </c>
      <c r="BD212" t="s">
        <v>128</v>
      </c>
      <c r="BE212" t="s">
        <v>16</v>
      </c>
      <c r="BF212" t="s">
        <v>332</v>
      </c>
      <c r="BH212">
        <v>0</v>
      </c>
    </row>
    <row r="213" spans="1:60" x14ac:dyDescent="0.25">
      <c r="A213" t="s">
        <v>120</v>
      </c>
      <c r="B213" t="s">
        <v>121</v>
      </c>
      <c r="C213">
        <v>1234</v>
      </c>
      <c r="D213" t="s">
        <v>331</v>
      </c>
      <c r="E21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13" t="s">
        <v>8</v>
      </c>
      <c r="G213" t="s">
        <v>331</v>
      </c>
      <c r="H213" t="str">
        <f t="shared" si="6"/>
        <v>SI-2/1900-1870</v>
      </c>
      <c r="I213" t="s">
        <v>122</v>
      </c>
      <c r="J213" t="s">
        <v>122</v>
      </c>
      <c r="K213" t="s">
        <v>122</v>
      </c>
      <c r="L213" t="s">
        <v>122</v>
      </c>
      <c r="M213" s="21">
        <v>44593</v>
      </c>
      <c r="N213" t="s">
        <v>123</v>
      </c>
      <c r="O213" t="s">
        <v>198</v>
      </c>
      <c r="P213" t="s">
        <v>199</v>
      </c>
      <c r="Q213" t="s">
        <v>122</v>
      </c>
      <c r="R213" t="s">
        <v>122</v>
      </c>
      <c r="U213">
        <v>1234</v>
      </c>
      <c r="V213">
        <v>0</v>
      </c>
      <c r="W213" t="s">
        <v>200</v>
      </c>
      <c r="X213" t="s">
        <v>9</v>
      </c>
      <c r="Y213" t="s">
        <v>60</v>
      </c>
      <c r="Z213" t="s">
        <v>122</v>
      </c>
      <c r="AA213" t="s">
        <v>122</v>
      </c>
      <c r="AB213" t="s">
        <v>122</v>
      </c>
      <c r="AC213" t="s">
        <v>122</v>
      </c>
      <c r="AF213">
        <v>450</v>
      </c>
      <c r="AG213">
        <v>100</v>
      </c>
      <c r="AH213" t="s">
        <v>124</v>
      </c>
      <c r="AI213">
        <v>1</v>
      </c>
      <c r="AJ213">
        <v>45000</v>
      </c>
      <c r="AK213">
        <v>45000</v>
      </c>
      <c r="AL213">
        <v>0</v>
      </c>
      <c r="AM213">
        <v>0</v>
      </c>
      <c r="AN213">
        <v>0</v>
      </c>
      <c r="AO213">
        <v>0</v>
      </c>
      <c r="AP213">
        <v>63606.06</v>
      </c>
      <c r="AQ213">
        <v>63606.06</v>
      </c>
      <c r="AR213">
        <v>0</v>
      </c>
      <c r="AS213">
        <v>0</v>
      </c>
      <c r="AT213">
        <v>0</v>
      </c>
      <c r="AU213">
        <v>0</v>
      </c>
      <c r="AV213">
        <f>Table1[[#This Row],[CGST]]+Table1[[#This Row],[IGST]]+Table1[[#This Row],[SGST]]</f>
        <v>63606.06</v>
      </c>
      <c r="AW213">
        <f t="shared" si="7"/>
        <v>141</v>
      </c>
      <c r="AX213">
        <v>0</v>
      </c>
      <c r="AY213">
        <v>416973.06</v>
      </c>
      <c r="AZ213" t="s">
        <v>125</v>
      </c>
      <c r="BA213" t="s">
        <v>10</v>
      </c>
      <c r="BB213" t="s">
        <v>126</v>
      </c>
      <c r="BC213" t="s">
        <v>127</v>
      </c>
      <c r="BD213" t="s">
        <v>128</v>
      </c>
      <c r="BE213" t="s">
        <v>16</v>
      </c>
      <c r="BF213" t="s">
        <v>332</v>
      </c>
      <c r="BH213">
        <v>0</v>
      </c>
    </row>
    <row r="214" spans="1:60" x14ac:dyDescent="0.25">
      <c r="A214" t="s">
        <v>120</v>
      </c>
      <c r="B214" t="s">
        <v>121</v>
      </c>
      <c r="C214">
        <v>1234</v>
      </c>
      <c r="D214" t="s">
        <v>333</v>
      </c>
      <c r="E21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14" t="s">
        <v>8</v>
      </c>
      <c r="G214" t="s">
        <v>333</v>
      </c>
      <c r="H214" t="str">
        <f t="shared" si="6"/>
        <v>SI-2/1900-1871</v>
      </c>
      <c r="I214" t="s">
        <v>122</v>
      </c>
      <c r="J214" t="s">
        <v>122</v>
      </c>
      <c r="K214" t="s">
        <v>122</v>
      </c>
      <c r="L214" t="s">
        <v>122</v>
      </c>
      <c r="M214" s="21">
        <v>44593</v>
      </c>
      <c r="N214" t="s">
        <v>123</v>
      </c>
      <c r="O214" t="s">
        <v>198</v>
      </c>
      <c r="P214" t="s">
        <v>199</v>
      </c>
      <c r="Q214" t="s">
        <v>122</v>
      </c>
      <c r="R214" t="s">
        <v>122</v>
      </c>
      <c r="U214">
        <v>1234</v>
      </c>
      <c r="V214">
        <v>0</v>
      </c>
      <c r="W214" t="s">
        <v>200</v>
      </c>
      <c r="X214" t="s">
        <v>9</v>
      </c>
      <c r="Y214" t="s">
        <v>60</v>
      </c>
      <c r="Z214" t="s">
        <v>122</v>
      </c>
      <c r="AA214" t="s">
        <v>122</v>
      </c>
      <c r="AB214" t="s">
        <v>122</v>
      </c>
      <c r="AC214" t="s">
        <v>122</v>
      </c>
      <c r="AF214">
        <v>30</v>
      </c>
      <c r="AG214">
        <v>100</v>
      </c>
      <c r="AH214" t="s">
        <v>124</v>
      </c>
      <c r="AI214">
        <v>1</v>
      </c>
      <c r="AJ214">
        <v>3000</v>
      </c>
      <c r="AK214">
        <v>3000</v>
      </c>
      <c r="AL214">
        <v>0</v>
      </c>
      <c r="AM214">
        <v>0</v>
      </c>
      <c r="AN214">
        <v>0</v>
      </c>
      <c r="AO214">
        <v>0</v>
      </c>
      <c r="AP214">
        <v>9290.48</v>
      </c>
      <c r="AQ214">
        <v>9290.48</v>
      </c>
      <c r="AR214">
        <v>0</v>
      </c>
      <c r="AS214">
        <v>0</v>
      </c>
      <c r="AT214">
        <v>0</v>
      </c>
      <c r="AU214">
        <v>0</v>
      </c>
      <c r="AV214">
        <f>Table1[[#This Row],[CGST]]+Table1[[#This Row],[IGST]]+Table1[[#This Row],[SGST]]</f>
        <v>9290.48</v>
      </c>
      <c r="AW214">
        <f t="shared" si="7"/>
        <v>310</v>
      </c>
      <c r="AX214">
        <v>0</v>
      </c>
      <c r="AY214">
        <v>60904.28</v>
      </c>
      <c r="AZ214" t="s">
        <v>125</v>
      </c>
      <c r="BA214" t="s">
        <v>10</v>
      </c>
      <c r="BB214" t="s">
        <v>126</v>
      </c>
      <c r="BC214" t="s">
        <v>127</v>
      </c>
      <c r="BD214" t="s">
        <v>128</v>
      </c>
      <c r="BE214" t="s">
        <v>18</v>
      </c>
      <c r="BF214" t="s">
        <v>332</v>
      </c>
      <c r="BH214">
        <v>0</v>
      </c>
    </row>
    <row r="215" spans="1:60" x14ac:dyDescent="0.25">
      <c r="A215" t="s">
        <v>120</v>
      </c>
      <c r="B215" t="s">
        <v>121</v>
      </c>
      <c r="C215">
        <v>1234</v>
      </c>
      <c r="D215" t="s">
        <v>333</v>
      </c>
      <c r="E21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15" t="s">
        <v>8</v>
      </c>
      <c r="G215" t="s">
        <v>333</v>
      </c>
      <c r="H215" t="str">
        <f t="shared" si="6"/>
        <v>SI-2/1900-1871</v>
      </c>
      <c r="I215" t="s">
        <v>122</v>
      </c>
      <c r="J215" t="s">
        <v>122</v>
      </c>
      <c r="K215" t="s">
        <v>122</v>
      </c>
      <c r="L215" t="s">
        <v>122</v>
      </c>
      <c r="M215" s="21">
        <v>44593</v>
      </c>
      <c r="N215" t="s">
        <v>123</v>
      </c>
      <c r="O215" t="s">
        <v>198</v>
      </c>
      <c r="P215" t="s">
        <v>199</v>
      </c>
      <c r="Q215" t="s">
        <v>122</v>
      </c>
      <c r="R215" t="s">
        <v>122</v>
      </c>
      <c r="U215">
        <v>1234</v>
      </c>
      <c r="V215">
        <v>0</v>
      </c>
      <c r="W215" t="s">
        <v>200</v>
      </c>
      <c r="X215" t="s">
        <v>9</v>
      </c>
      <c r="Y215" t="s">
        <v>60</v>
      </c>
      <c r="Z215" t="s">
        <v>122</v>
      </c>
      <c r="AA215" t="s">
        <v>122</v>
      </c>
      <c r="AB215" t="s">
        <v>122</v>
      </c>
      <c r="AC215" t="s">
        <v>122</v>
      </c>
      <c r="AF215">
        <v>60</v>
      </c>
      <c r="AG215">
        <v>100</v>
      </c>
      <c r="AH215" t="s">
        <v>124</v>
      </c>
      <c r="AI215">
        <v>1</v>
      </c>
      <c r="AJ215">
        <v>6000</v>
      </c>
      <c r="AK215">
        <v>6000</v>
      </c>
      <c r="AL215">
        <v>0</v>
      </c>
      <c r="AM215">
        <v>0</v>
      </c>
      <c r="AN215">
        <v>0</v>
      </c>
      <c r="AO215">
        <v>0</v>
      </c>
      <c r="AP215">
        <v>21704</v>
      </c>
      <c r="AQ215">
        <v>21704</v>
      </c>
      <c r="AR215">
        <v>0</v>
      </c>
      <c r="AS215">
        <v>0</v>
      </c>
      <c r="AT215">
        <v>0</v>
      </c>
      <c r="AU215">
        <v>0</v>
      </c>
      <c r="AV215">
        <f>Table1[[#This Row],[CGST]]+Table1[[#This Row],[IGST]]+Table1[[#This Row],[SGST]]</f>
        <v>21704</v>
      </c>
      <c r="AW215">
        <f t="shared" si="7"/>
        <v>362</v>
      </c>
      <c r="AX215">
        <v>0</v>
      </c>
      <c r="AY215">
        <v>142281.79999999999</v>
      </c>
      <c r="AZ215" t="s">
        <v>125</v>
      </c>
      <c r="BA215" t="s">
        <v>10</v>
      </c>
      <c r="BB215" t="s">
        <v>126</v>
      </c>
      <c r="BC215" t="s">
        <v>127</v>
      </c>
      <c r="BD215" t="s">
        <v>128</v>
      </c>
      <c r="BE215" t="s">
        <v>18</v>
      </c>
      <c r="BF215" t="s">
        <v>334</v>
      </c>
      <c r="BH215">
        <v>0</v>
      </c>
    </row>
    <row r="216" spans="1:60" x14ac:dyDescent="0.25">
      <c r="A216" t="s">
        <v>120</v>
      </c>
      <c r="B216" t="s">
        <v>121</v>
      </c>
      <c r="C216">
        <v>1234</v>
      </c>
      <c r="D216" t="s">
        <v>333</v>
      </c>
      <c r="E21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16" t="s">
        <v>8</v>
      </c>
      <c r="G216" t="s">
        <v>333</v>
      </c>
      <c r="H216" t="str">
        <f t="shared" si="6"/>
        <v>SI-2/1900-1871</v>
      </c>
      <c r="I216" t="s">
        <v>122</v>
      </c>
      <c r="J216" t="s">
        <v>122</v>
      </c>
      <c r="K216" t="s">
        <v>122</v>
      </c>
      <c r="L216" t="s">
        <v>122</v>
      </c>
      <c r="M216" s="21">
        <v>44593</v>
      </c>
      <c r="N216" t="s">
        <v>123</v>
      </c>
      <c r="O216" t="s">
        <v>198</v>
      </c>
      <c r="P216" t="s">
        <v>199</v>
      </c>
      <c r="Q216" t="s">
        <v>122</v>
      </c>
      <c r="R216" t="s">
        <v>122</v>
      </c>
      <c r="U216">
        <v>1234</v>
      </c>
      <c r="V216">
        <v>0</v>
      </c>
      <c r="W216" t="s">
        <v>200</v>
      </c>
      <c r="X216" t="s">
        <v>9</v>
      </c>
      <c r="Y216" t="s">
        <v>60</v>
      </c>
      <c r="Z216" t="s">
        <v>122</v>
      </c>
      <c r="AA216" t="s">
        <v>122</v>
      </c>
      <c r="AB216" t="s">
        <v>122</v>
      </c>
      <c r="AC216" t="s">
        <v>122</v>
      </c>
      <c r="AF216">
        <v>140</v>
      </c>
      <c r="AG216">
        <v>100</v>
      </c>
      <c r="AH216" t="s">
        <v>124</v>
      </c>
      <c r="AI216">
        <v>1</v>
      </c>
      <c r="AJ216">
        <v>14000</v>
      </c>
      <c r="AK216">
        <v>14000</v>
      </c>
      <c r="AL216">
        <v>0</v>
      </c>
      <c r="AM216">
        <v>0</v>
      </c>
      <c r="AN216">
        <v>0</v>
      </c>
      <c r="AO216">
        <v>0</v>
      </c>
      <c r="AP216">
        <v>56202.05</v>
      </c>
      <c r="AQ216">
        <v>56202.05</v>
      </c>
      <c r="AR216">
        <v>0</v>
      </c>
      <c r="AS216">
        <v>0</v>
      </c>
      <c r="AT216">
        <v>0</v>
      </c>
      <c r="AU216">
        <v>0</v>
      </c>
      <c r="AV216">
        <f>Table1[[#This Row],[CGST]]+Table1[[#This Row],[IGST]]+Table1[[#This Row],[SGST]]</f>
        <v>56202.05</v>
      </c>
      <c r="AW216">
        <f t="shared" si="7"/>
        <v>401</v>
      </c>
      <c r="AX216">
        <v>0</v>
      </c>
      <c r="AY216">
        <v>368435.65</v>
      </c>
      <c r="AZ216" t="s">
        <v>125</v>
      </c>
      <c r="BA216" t="s">
        <v>10</v>
      </c>
      <c r="BB216" t="s">
        <v>126</v>
      </c>
      <c r="BC216" t="s">
        <v>127</v>
      </c>
      <c r="BD216" t="s">
        <v>128</v>
      </c>
      <c r="BE216" t="s">
        <v>18</v>
      </c>
      <c r="BF216" t="s">
        <v>334</v>
      </c>
      <c r="BH216">
        <v>0</v>
      </c>
    </row>
    <row r="217" spans="1:60" x14ac:dyDescent="0.25">
      <c r="A217" t="s">
        <v>120</v>
      </c>
      <c r="B217" t="s">
        <v>121</v>
      </c>
      <c r="C217">
        <v>1234</v>
      </c>
      <c r="D217" t="s">
        <v>335</v>
      </c>
      <c r="E21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17" t="s">
        <v>8</v>
      </c>
      <c r="G217" t="s">
        <v>335</v>
      </c>
      <c r="H217" t="str">
        <f t="shared" si="6"/>
        <v>SI-2/1900-1872</v>
      </c>
      <c r="I217" t="s">
        <v>122</v>
      </c>
      <c r="J217" t="s">
        <v>122</v>
      </c>
      <c r="K217" t="s">
        <v>122</v>
      </c>
      <c r="L217" t="s">
        <v>122</v>
      </c>
      <c r="M217" s="21">
        <v>44593</v>
      </c>
      <c r="N217" t="s">
        <v>123</v>
      </c>
      <c r="O217" t="s">
        <v>198</v>
      </c>
      <c r="P217" t="s">
        <v>199</v>
      </c>
      <c r="Q217" t="s">
        <v>122</v>
      </c>
      <c r="R217" t="s">
        <v>122</v>
      </c>
      <c r="U217">
        <v>1234</v>
      </c>
      <c r="V217">
        <v>0</v>
      </c>
      <c r="W217" t="s">
        <v>200</v>
      </c>
      <c r="X217" t="s">
        <v>59</v>
      </c>
      <c r="Y217" t="s">
        <v>62</v>
      </c>
      <c r="Z217" t="s">
        <v>122</v>
      </c>
      <c r="AA217" t="s">
        <v>122</v>
      </c>
      <c r="AB217" t="s">
        <v>122</v>
      </c>
      <c r="AC217" t="s">
        <v>122</v>
      </c>
      <c r="AF217">
        <v>20</v>
      </c>
      <c r="AG217">
        <v>100</v>
      </c>
      <c r="AH217" t="s">
        <v>124</v>
      </c>
      <c r="AI217">
        <v>1</v>
      </c>
      <c r="AJ217">
        <v>2000</v>
      </c>
      <c r="AK217">
        <v>2000</v>
      </c>
      <c r="AL217">
        <v>0</v>
      </c>
      <c r="AM217">
        <v>139.94999999999999</v>
      </c>
      <c r="AN217">
        <v>0</v>
      </c>
      <c r="AO217">
        <v>139.94999999999999</v>
      </c>
      <c r="AP217">
        <v>0</v>
      </c>
      <c r="AQ217">
        <v>0</v>
      </c>
      <c r="AR217">
        <v>0</v>
      </c>
      <c r="AS217">
        <v>139.94999999999999</v>
      </c>
      <c r="AT217">
        <v>0</v>
      </c>
      <c r="AU217">
        <v>139.94999999999999</v>
      </c>
      <c r="AV217">
        <f>Table1[[#This Row],[CGST]]+Table1[[#This Row],[IGST]]+Table1[[#This Row],[SGST]]</f>
        <v>279.89999999999998</v>
      </c>
      <c r="AW217">
        <f t="shared" si="7"/>
        <v>14</v>
      </c>
      <c r="AX217">
        <v>0</v>
      </c>
      <c r="AY217">
        <v>1834.9</v>
      </c>
      <c r="AZ217" t="s">
        <v>129</v>
      </c>
      <c r="BA217" t="s">
        <v>10</v>
      </c>
      <c r="BB217" t="s">
        <v>126</v>
      </c>
      <c r="BC217" t="s">
        <v>127</v>
      </c>
      <c r="BD217" t="s">
        <v>128</v>
      </c>
      <c r="BE217" t="s">
        <v>12</v>
      </c>
      <c r="BF217" t="s">
        <v>334</v>
      </c>
      <c r="BH217">
        <v>0</v>
      </c>
    </row>
    <row r="218" spans="1:60" x14ac:dyDescent="0.25">
      <c r="A218" t="s">
        <v>120</v>
      </c>
      <c r="B218" t="s">
        <v>121</v>
      </c>
      <c r="C218">
        <v>1234</v>
      </c>
      <c r="D218" t="s">
        <v>335</v>
      </c>
      <c r="E21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18" t="s">
        <v>8</v>
      </c>
      <c r="G218" t="s">
        <v>335</v>
      </c>
      <c r="H218" t="str">
        <f t="shared" si="6"/>
        <v>SI-2/1900-1872</v>
      </c>
      <c r="I218" t="s">
        <v>122</v>
      </c>
      <c r="J218" t="s">
        <v>122</v>
      </c>
      <c r="K218" t="s">
        <v>122</v>
      </c>
      <c r="L218" t="s">
        <v>122</v>
      </c>
      <c r="M218" s="21">
        <v>44593</v>
      </c>
      <c r="N218" t="s">
        <v>123</v>
      </c>
      <c r="O218" t="s">
        <v>198</v>
      </c>
      <c r="P218" t="s">
        <v>199</v>
      </c>
      <c r="Q218" t="s">
        <v>122</v>
      </c>
      <c r="R218" t="s">
        <v>122</v>
      </c>
      <c r="U218">
        <v>1234</v>
      </c>
      <c r="V218">
        <v>0</v>
      </c>
      <c r="W218" t="s">
        <v>200</v>
      </c>
      <c r="X218" t="s">
        <v>30</v>
      </c>
      <c r="Y218" t="s">
        <v>60</v>
      </c>
      <c r="Z218" t="s">
        <v>122</v>
      </c>
      <c r="AA218" t="s">
        <v>122</v>
      </c>
      <c r="AB218" t="s">
        <v>122</v>
      </c>
      <c r="AC218" t="s">
        <v>122</v>
      </c>
      <c r="AF218">
        <v>40</v>
      </c>
      <c r="AG218">
        <v>100</v>
      </c>
      <c r="AH218" t="s">
        <v>124</v>
      </c>
      <c r="AI218">
        <v>1</v>
      </c>
      <c r="AJ218">
        <v>4000</v>
      </c>
      <c r="AK218">
        <v>4000</v>
      </c>
      <c r="AL218">
        <v>0</v>
      </c>
      <c r="AM218">
        <v>279.89999999999998</v>
      </c>
      <c r="AN218">
        <v>0</v>
      </c>
      <c r="AO218">
        <v>279.89999999999998</v>
      </c>
      <c r="AP218">
        <v>0</v>
      </c>
      <c r="AQ218">
        <v>0</v>
      </c>
      <c r="AR218">
        <v>0</v>
      </c>
      <c r="AS218">
        <v>279.89999999999998</v>
      </c>
      <c r="AT218">
        <v>0</v>
      </c>
      <c r="AU218">
        <v>279.89999999999998</v>
      </c>
      <c r="AV218">
        <f>Table1[[#This Row],[CGST]]+Table1[[#This Row],[IGST]]+Table1[[#This Row],[SGST]]</f>
        <v>559.79999999999995</v>
      </c>
      <c r="AW218">
        <f t="shared" si="7"/>
        <v>14</v>
      </c>
      <c r="AX218">
        <v>0</v>
      </c>
      <c r="AY218">
        <v>3669.8</v>
      </c>
      <c r="AZ218" t="s">
        <v>129</v>
      </c>
      <c r="BA218" t="s">
        <v>10</v>
      </c>
      <c r="BB218" t="s">
        <v>126</v>
      </c>
      <c r="BC218" t="s">
        <v>127</v>
      </c>
      <c r="BD218" t="s">
        <v>128</v>
      </c>
      <c r="BE218" t="s">
        <v>12</v>
      </c>
      <c r="BF218" t="s">
        <v>218</v>
      </c>
      <c r="BH218">
        <v>0</v>
      </c>
    </row>
    <row r="219" spans="1:60" x14ac:dyDescent="0.25">
      <c r="A219" t="s">
        <v>120</v>
      </c>
      <c r="B219" t="s">
        <v>121</v>
      </c>
      <c r="C219">
        <v>1234</v>
      </c>
      <c r="D219" t="s">
        <v>335</v>
      </c>
      <c r="E21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19" t="s">
        <v>8</v>
      </c>
      <c r="G219" t="s">
        <v>335</v>
      </c>
      <c r="H219" t="str">
        <f t="shared" si="6"/>
        <v>SI-2/1900-1872</v>
      </c>
      <c r="I219" t="s">
        <v>122</v>
      </c>
      <c r="J219" t="s">
        <v>122</v>
      </c>
      <c r="K219" t="s">
        <v>122</v>
      </c>
      <c r="L219" t="s">
        <v>122</v>
      </c>
      <c r="M219" s="21">
        <v>44593</v>
      </c>
      <c r="N219" t="s">
        <v>123</v>
      </c>
      <c r="O219" t="s">
        <v>198</v>
      </c>
      <c r="P219" t="s">
        <v>199</v>
      </c>
      <c r="Q219" t="s">
        <v>122</v>
      </c>
      <c r="R219" t="s">
        <v>122</v>
      </c>
      <c r="U219">
        <v>1234</v>
      </c>
      <c r="V219">
        <v>0</v>
      </c>
      <c r="W219" t="s">
        <v>200</v>
      </c>
      <c r="X219" t="s">
        <v>9</v>
      </c>
      <c r="Y219" t="s">
        <v>60</v>
      </c>
      <c r="Z219" t="s">
        <v>122</v>
      </c>
      <c r="AA219" t="s">
        <v>122</v>
      </c>
      <c r="AB219" t="s">
        <v>122</v>
      </c>
      <c r="AC219" t="s">
        <v>122</v>
      </c>
      <c r="AF219">
        <v>20</v>
      </c>
      <c r="AG219">
        <v>100</v>
      </c>
      <c r="AH219" t="s">
        <v>124</v>
      </c>
      <c r="AI219">
        <v>1</v>
      </c>
      <c r="AJ219">
        <v>2000</v>
      </c>
      <c r="AK219">
        <v>2000</v>
      </c>
      <c r="AL219">
        <v>0</v>
      </c>
      <c r="AM219">
        <v>139.94999999999999</v>
      </c>
      <c r="AN219">
        <v>0</v>
      </c>
      <c r="AO219">
        <v>139.94999999999999</v>
      </c>
      <c r="AP219">
        <v>0</v>
      </c>
      <c r="AQ219">
        <v>0</v>
      </c>
      <c r="AR219">
        <v>0</v>
      </c>
      <c r="AS219">
        <v>139.94999999999999</v>
      </c>
      <c r="AT219">
        <v>0</v>
      </c>
      <c r="AU219">
        <v>139.94999999999999</v>
      </c>
      <c r="AV219">
        <f>Table1[[#This Row],[CGST]]+Table1[[#This Row],[IGST]]+Table1[[#This Row],[SGST]]</f>
        <v>279.89999999999998</v>
      </c>
      <c r="AW219">
        <f t="shared" si="7"/>
        <v>14</v>
      </c>
      <c r="AX219">
        <v>0</v>
      </c>
      <c r="AY219">
        <v>1834.9</v>
      </c>
      <c r="AZ219" t="s">
        <v>129</v>
      </c>
      <c r="BA219" t="s">
        <v>10</v>
      </c>
      <c r="BB219" t="s">
        <v>126</v>
      </c>
      <c r="BC219" t="s">
        <v>127</v>
      </c>
      <c r="BD219" t="s">
        <v>128</v>
      </c>
      <c r="BE219" t="s">
        <v>12</v>
      </c>
      <c r="BF219" t="s">
        <v>203</v>
      </c>
      <c r="BH219">
        <v>0</v>
      </c>
    </row>
    <row r="220" spans="1:60" x14ac:dyDescent="0.25">
      <c r="A220" t="s">
        <v>120</v>
      </c>
      <c r="B220" t="s">
        <v>121</v>
      </c>
      <c r="C220">
        <v>1234</v>
      </c>
      <c r="D220" t="s">
        <v>336</v>
      </c>
      <c r="E22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20" t="s">
        <v>8</v>
      </c>
      <c r="G220" t="s">
        <v>336</v>
      </c>
      <c r="H220" t="str">
        <f t="shared" si="6"/>
        <v>SI-2/1900-1874</v>
      </c>
      <c r="I220" t="s">
        <v>122</v>
      </c>
      <c r="J220" t="s">
        <v>122</v>
      </c>
      <c r="K220" t="s">
        <v>122</v>
      </c>
      <c r="L220" t="s">
        <v>122</v>
      </c>
      <c r="M220" s="21">
        <v>44593</v>
      </c>
      <c r="N220" t="s">
        <v>123</v>
      </c>
      <c r="O220" t="s">
        <v>198</v>
      </c>
      <c r="P220" t="s">
        <v>199</v>
      </c>
      <c r="Q220" t="s">
        <v>122</v>
      </c>
      <c r="R220" t="s">
        <v>122</v>
      </c>
      <c r="U220">
        <v>1234</v>
      </c>
      <c r="V220">
        <v>0</v>
      </c>
      <c r="W220" t="s">
        <v>200</v>
      </c>
      <c r="X220" t="s">
        <v>9</v>
      </c>
      <c r="Y220" t="s">
        <v>60</v>
      </c>
      <c r="Z220" t="s">
        <v>122</v>
      </c>
      <c r="AA220" t="s">
        <v>122</v>
      </c>
      <c r="AB220" t="s">
        <v>122</v>
      </c>
      <c r="AC220" t="s">
        <v>122</v>
      </c>
      <c r="AF220">
        <v>395</v>
      </c>
      <c r="AG220">
        <v>100</v>
      </c>
      <c r="AH220" t="s">
        <v>124</v>
      </c>
      <c r="AI220">
        <v>1</v>
      </c>
      <c r="AJ220">
        <v>39500</v>
      </c>
      <c r="AK220">
        <v>39500</v>
      </c>
      <c r="AL220">
        <v>0</v>
      </c>
      <c r="AM220">
        <v>0</v>
      </c>
      <c r="AN220">
        <v>0</v>
      </c>
      <c r="AO220">
        <v>0</v>
      </c>
      <c r="AP220">
        <v>55831.99</v>
      </c>
      <c r="AQ220">
        <v>55831.99</v>
      </c>
      <c r="AR220">
        <v>0</v>
      </c>
      <c r="AS220">
        <v>0</v>
      </c>
      <c r="AT220">
        <v>0</v>
      </c>
      <c r="AU220">
        <v>0</v>
      </c>
      <c r="AV220">
        <f>Table1[[#This Row],[CGST]]+Table1[[#This Row],[IGST]]+Table1[[#This Row],[SGST]]</f>
        <v>55831.99</v>
      </c>
      <c r="AW220">
        <f t="shared" si="7"/>
        <v>141</v>
      </c>
      <c r="AX220">
        <v>0</v>
      </c>
      <c r="AY220">
        <v>366009.69</v>
      </c>
      <c r="AZ220" t="s">
        <v>125</v>
      </c>
      <c r="BA220" t="s">
        <v>10</v>
      </c>
      <c r="BB220" t="s">
        <v>126</v>
      </c>
      <c r="BC220" t="s">
        <v>127</v>
      </c>
      <c r="BD220" t="s">
        <v>128</v>
      </c>
      <c r="BE220" t="s">
        <v>15</v>
      </c>
      <c r="BF220" t="s">
        <v>203</v>
      </c>
      <c r="BH220">
        <v>0</v>
      </c>
    </row>
    <row r="221" spans="1:60" x14ac:dyDescent="0.25">
      <c r="A221" t="s">
        <v>120</v>
      </c>
      <c r="B221" t="s">
        <v>121</v>
      </c>
      <c r="C221">
        <v>1234</v>
      </c>
      <c r="D221" t="s">
        <v>336</v>
      </c>
      <c r="E22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21" t="s">
        <v>8</v>
      </c>
      <c r="G221" t="s">
        <v>336</v>
      </c>
      <c r="H221" t="str">
        <f t="shared" si="6"/>
        <v>SI-2/1900-1874</v>
      </c>
      <c r="I221" t="s">
        <v>122</v>
      </c>
      <c r="J221" t="s">
        <v>122</v>
      </c>
      <c r="K221" t="s">
        <v>122</v>
      </c>
      <c r="L221" t="s">
        <v>122</v>
      </c>
      <c r="M221" s="21">
        <v>44593</v>
      </c>
      <c r="N221" t="s">
        <v>123</v>
      </c>
      <c r="O221" t="s">
        <v>198</v>
      </c>
      <c r="P221" t="s">
        <v>199</v>
      </c>
      <c r="Q221" t="s">
        <v>122</v>
      </c>
      <c r="R221" t="s">
        <v>122</v>
      </c>
      <c r="U221">
        <v>1234</v>
      </c>
      <c r="V221">
        <v>0</v>
      </c>
      <c r="W221" t="s">
        <v>200</v>
      </c>
      <c r="X221" t="s">
        <v>9</v>
      </c>
      <c r="Y221" t="s">
        <v>60</v>
      </c>
      <c r="Z221" t="s">
        <v>122</v>
      </c>
      <c r="AA221" t="s">
        <v>122</v>
      </c>
      <c r="AB221" t="s">
        <v>122</v>
      </c>
      <c r="AC221" t="s">
        <v>122</v>
      </c>
      <c r="AF221">
        <v>40</v>
      </c>
      <c r="AG221">
        <v>100</v>
      </c>
      <c r="AH221" t="s">
        <v>124</v>
      </c>
      <c r="AI221">
        <v>1</v>
      </c>
      <c r="AJ221">
        <v>4000</v>
      </c>
      <c r="AK221">
        <v>4000</v>
      </c>
      <c r="AL221">
        <v>0</v>
      </c>
      <c r="AM221">
        <v>0</v>
      </c>
      <c r="AN221">
        <v>0</v>
      </c>
      <c r="AO221">
        <v>0</v>
      </c>
      <c r="AP221">
        <v>7002</v>
      </c>
      <c r="AQ221">
        <v>7002</v>
      </c>
      <c r="AR221">
        <v>0</v>
      </c>
      <c r="AS221">
        <v>0</v>
      </c>
      <c r="AT221">
        <v>0</v>
      </c>
      <c r="AU221">
        <v>0</v>
      </c>
      <c r="AV221">
        <f>Table1[[#This Row],[CGST]]+Table1[[#This Row],[IGST]]+Table1[[#This Row],[SGST]]</f>
        <v>7002</v>
      </c>
      <c r="AW221">
        <f t="shared" si="7"/>
        <v>175</v>
      </c>
      <c r="AX221">
        <v>0</v>
      </c>
      <c r="AY221">
        <v>45902</v>
      </c>
      <c r="AZ221" t="s">
        <v>125</v>
      </c>
      <c r="BA221" t="s">
        <v>10</v>
      </c>
      <c r="BB221" t="s">
        <v>126</v>
      </c>
      <c r="BC221" t="s">
        <v>127</v>
      </c>
      <c r="BD221" t="s">
        <v>128</v>
      </c>
      <c r="BE221" t="s">
        <v>15</v>
      </c>
      <c r="BF221" t="s">
        <v>203</v>
      </c>
      <c r="BH221">
        <v>0</v>
      </c>
    </row>
    <row r="222" spans="1:60" x14ac:dyDescent="0.25">
      <c r="A222" t="s">
        <v>120</v>
      </c>
      <c r="B222" t="s">
        <v>121</v>
      </c>
      <c r="C222">
        <v>1234</v>
      </c>
      <c r="D222" t="s">
        <v>336</v>
      </c>
      <c r="E22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22" t="s">
        <v>8</v>
      </c>
      <c r="G222" t="s">
        <v>336</v>
      </c>
      <c r="H222" t="str">
        <f t="shared" si="6"/>
        <v>SI-2/1900-1874</v>
      </c>
      <c r="I222" t="s">
        <v>122</v>
      </c>
      <c r="J222" t="s">
        <v>122</v>
      </c>
      <c r="K222" t="s">
        <v>122</v>
      </c>
      <c r="L222" t="s">
        <v>122</v>
      </c>
      <c r="M222" s="21">
        <v>44593</v>
      </c>
      <c r="N222" t="s">
        <v>123</v>
      </c>
      <c r="O222" t="s">
        <v>198</v>
      </c>
      <c r="P222" t="s">
        <v>199</v>
      </c>
      <c r="Q222" t="s">
        <v>122</v>
      </c>
      <c r="R222" t="s">
        <v>122</v>
      </c>
      <c r="U222">
        <v>1234</v>
      </c>
      <c r="V222">
        <v>0</v>
      </c>
      <c r="W222" t="s">
        <v>200</v>
      </c>
      <c r="X222" t="s">
        <v>9</v>
      </c>
      <c r="Y222" t="s">
        <v>60</v>
      </c>
      <c r="Z222" t="s">
        <v>122</v>
      </c>
      <c r="AA222" t="s">
        <v>122</v>
      </c>
      <c r="AB222" t="s">
        <v>122</v>
      </c>
      <c r="AC222" t="s">
        <v>122</v>
      </c>
      <c r="AF222">
        <v>30</v>
      </c>
      <c r="AG222">
        <v>100</v>
      </c>
      <c r="AH222" t="s">
        <v>124</v>
      </c>
      <c r="AI222">
        <v>1</v>
      </c>
      <c r="AJ222">
        <v>3000</v>
      </c>
      <c r="AK222">
        <v>3000</v>
      </c>
      <c r="AL222">
        <v>0</v>
      </c>
      <c r="AM222">
        <v>0</v>
      </c>
      <c r="AN222">
        <v>0</v>
      </c>
      <c r="AO222">
        <v>0</v>
      </c>
      <c r="AP222">
        <v>5856.84</v>
      </c>
      <c r="AQ222">
        <v>5856.84</v>
      </c>
      <c r="AR222">
        <v>0</v>
      </c>
      <c r="AS222">
        <v>0</v>
      </c>
      <c r="AT222">
        <v>0</v>
      </c>
      <c r="AU222">
        <v>0</v>
      </c>
      <c r="AV222">
        <f>Table1[[#This Row],[CGST]]+Table1[[#This Row],[IGST]]+Table1[[#This Row],[SGST]]</f>
        <v>5856.84</v>
      </c>
      <c r="AW222">
        <f t="shared" si="7"/>
        <v>195</v>
      </c>
      <c r="AX222">
        <v>0</v>
      </c>
      <c r="AY222">
        <v>38394.839999999997</v>
      </c>
      <c r="AZ222" t="s">
        <v>125</v>
      </c>
      <c r="BA222" t="s">
        <v>10</v>
      </c>
      <c r="BB222" t="s">
        <v>126</v>
      </c>
      <c r="BC222" t="s">
        <v>127</v>
      </c>
      <c r="BD222" t="s">
        <v>128</v>
      </c>
      <c r="BE222" t="s">
        <v>15</v>
      </c>
      <c r="BF222" t="s">
        <v>221</v>
      </c>
      <c r="BH222">
        <v>0</v>
      </c>
    </row>
    <row r="223" spans="1:60" x14ac:dyDescent="0.25">
      <c r="A223" t="s">
        <v>120</v>
      </c>
      <c r="B223" t="s">
        <v>121</v>
      </c>
      <c r="C223">
        <v>1234</v>
      </c>
      <c r="D223" t="s">
        <v>336</v>
      </c>
      <c r="E22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23" t="s">
        <v>8</v>
      </c>
      <c r="G223" t="s">
        <v>336</v>
      </c>
      <c r="H223" t="str">
        <f t="shared" si="6"/>
        <v>SI-2/1900-1874</v>
      </c>
      <c r="I223" t="s">
        <v>122</v>
      </c>
      <c r="J223" t="s">
        <v>122</v>
      </c>
      <c r="K223" t="s">
        <v>122</v>
      </c>
      <c r="L223" t="s">
        <v>122</v>
      </c>
      <c r="M223" s="21">
        <v>44593</v>
      </c>
      <c r="N223" t="s">
        <v>123</v>
      </c>
      <c r="O223" t="s">
        <v>198</v>
      </c>
      <c r="P223" t="s">
        <v>199</v>
      </c>
      <c r="Q223" t="s">
        <v>122</v>
      </c>
      <c r="R223" t="s">
        <v>122</v>
      </c>
      <c r="U223">
        <v>1234</v>
      </c>
      <c r="V223">
        <v>0</v>
      </c>
      <c r="W223" t="s">
        <v>200</v>
      </c>
      <c r="X223" t="s">
        <v>9</v>
      </c>
      <c r="Y223" t="s">
        <v>60</v>
      </c>
      <c r="Z223" t="s">
        <v>122</v>
      </c>
      <c r="AA223" t="s">
        <v>122</v>
      </c>
      <c r="AB223" t="s">
        <v>122</v>
      </c>
      <c r="AC223" t="s">
        <v>122</v>
      </c>
      <c r="AF223">
        <v>150</v>
      </c>
      <c r="AG223">
        <v>100</v>
      </c>
      <c r="AH223" t="s">
        <v>124</v>
      </c>
      <c r="AI223">
        <v>1</v>
      </c>
      <c r="AJ223">
        <v>15000</v>
      </c>
      <c r="AK223">
        <v>15000</v>
      </c>
      <c r="AL223">
        <v>0</v>
      </c>
      <c r="AM223">
        <v>0</v>
      </c>
      <c r="AN223">
        <v>0</v>
      </c>
      <c r="AO223">
        <v>0</v>
      </c>
      <c r="AP223">
        <v>24516</v>
      </c>
      <c r="AQ223">
        <v>24516</v>
      </c>
      <c r="AR223">
        <v>0</v>
      </c>
      <c r="AS223">
        <v>0</v>
      </c>
      <c r="AT223">
        <v>0</v>
      </c>
      <c r="AU223">
        <v>0</v>
      </c>
      <c r="AV223">
        <f>Table1[[#This Row],[CGST]]+Table1[[#This Row],[IGST]]+Table1[[#This Row],[SGST]]</f>
        <v>24516</v>
      </c>
      <c r="AW223">
        <f t="shared" si="7"/>
        <v>163</v>
      </c>
      <c r="AX223">
        <v>0</v>
      </c>
      <c r="AY223">
        <v>160716</v>
      </c>
      <c r="AZ223" t="s">
        <v>125</v>
      </c>
      <c r="BA223" t="s">
        <v>10</v>
      </c>
      <c r="BB223" t="s">
        <v>126</v>
      </c>
      <c r="BC223" t="s">
        <v>127</v>
      </c>
      <c r="BD223" t="s">
        <v>128</v>
      </c>
      <c r="BE223" t="s">
        <v>15</v>
      </c>
      <c r="BF223" t="s">
        <v>221</v>
      </c>
      <c r="BH223">
        <v>0</v>
      </c>
    </row>
    <row r="224" spans="1:60" x14ac:dyDescent="0.25">
      <c r="A224" t="s">
        <v>120</v>
      </c>
      <c r="B224" t="s">
        <v>121</v>
      </c>
      <c r="C224">
        <v>1234</v>
      </c>
      <c r="D224" t="s">
        <v>337</v>
      </c>
      <c r="E22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24" t="s">
        <v>8</v>
      </c>
      <c r="G224" t="s">
        <v>337</v>
      </c>
      <c r="H224" t="str">
        <f t="shared" si="6"/>
        <v>SI-2/1900-1875</v>
      </c>
      <c r="I224" t="s">
        <v>122</v>
      </c>
      <c r="J224" t="s">
        <v>122</v>
      </c>
      <c r="K224" t="s">
        <v>122</v>
      </c>
      <c r="L224" t="s">
        <v>122</v>
      </c>
      <c r="M224" s="21">
        <v>44593</v>
      </c>
      <c r="N224" t="s">
        <v>123</v>
      </c>
      <c r="O224" t="s">
        <v>198</v>
      </c>
      <c r="P224" t="s">
        <v>199</v>
      </c>
      <c r="Q224" t="s">
        <v>122</v>
      </c>
      <c r="R224" t="s">
        <v>122</v>
      </c>
      <c r="U224">
        <v>1234</v>
      </c>
      <c r="V224">
        <v>0</v>
      </c>
      <c r="W224" t="s">
        <v>200</v>
      </c>
      <c r="X224" t="s">
        <v>9</v>
      </c>
      <c r="Y224" t="s">
        <v>60</v>
      </c>
      <c r="Z224" t="s">
        <v>122</v>
      </c>
      <c r="AA224" t="s">
        <v>122</v>
      </c>
      <c r="AB224" t="s">
        <v>122</v>
      </c>
      <c r="AC224" t="s">
        <v>122</v>
      </c>
      <c r="AF224">
        <v>550</v>
      </c>
      <c r="AG224">
        <v>100</v>
      </c>
      <c r="AH224" t="s">
        <v>124</v>
      </c>
      <c r="AI224">
        <v>1</v>
      </c>
      <c r="AJ224">
        <v>55000</v>
      </c>
      <c r="AK224">
        <v>55000</v>
      </c>
      <c r="AL224">
        <v>0</v>
      </c>
      <c r="AM224">
        <v>0</v>
      </c>
      <c r="AN224">
        <v>0</v>
      </c>
      <c r="AO224">
        <v>0</v>
      </c>
      <c r="AP224">
        <v>77740.740000000005</v>
      </c>
      <c r="AQ224">
        <v>77740.740000000005</v>
      </c>
      <c r="AR224">
        <v>0</v>
      </c>
      <c r="AS224">
        <v>0</v>
      </c>
      <c r="AT224">
        <v>0</v>
      </c>
      <c r="AU224">
        <v>0</v>
      </c>
      <c r="AV224">
        <f>Table1[[#This Row],[CGST]]+Table1[[#This Row],[IGST]]+Table1[[#This Row],[SGST]]</f>
        <v>77740.740000000005</v>
      </c>
      <c r="AW224">
        <f t="shared" si="7"/>
        <v>141</v>
      </c>
      <c r="AX224">
        <v>0</v>
      </c>
      <c r="AY224">
        <v>509633.74</v>
      </c>
      <c r="AZ224" t="s">
        <v>125</v>
      </c>
      <c r="BA224" t="s">
        <v>10</v>
      </c>
      <c r="BB224" t="s">
        <v>126</v>
      </c>
      <c r="BC224" t="s">
        <v>127</v>
      </c>
      <c r="BD224" t="s">
        <v>128</v>
      </c>
      <c r="BE224" t="s">
        <v>32</v>
      </c>
      <c r="BF224" t="s">
        <v>221</v>
      </c>
      <c r="BH224">
        <v>0</v>
      </c>
    </row>
    <row r="225" spans="1:60" x14ac:dyDescent="0.25">
      <c r="A225" t="s">
        <v>120</v>
      </c>
      <c r="B225" t="s">
        <v>121</v>
      </c>
      <c r="C225">
        <v>1234</v>
      </c>
      <c r="D225" t="s">
        <v>337</v>
      </c>
      <c r="E22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25" t="s">
        <v>8</v>
      </c>
      <c r="G225" t="s">
        <v>337</v>
      </c>
      <c r="H225" t="str">
        <f t="shared" si="6"/>
        <v>SI-2/1900-1875</v>
      </c>
      <c r="I225" t="s">
        <v>122</v>
      </c>
      <c r="J225" t="s">
        <v>122</v>
      </c>
      <c r="K225" t="s">
        <v>122</v>
      </c>
      <c r="L225" t="s">
        <v>122</v>
      </c>
      <c r="M225" s="21">
        <v>44593</v>
      </c>
      <c r="N225" t="s">
        <v>123</v>
      </c>
      <c r="O225" t="s">
        <v>198</v>
      </c>
      <c r="P225" t="s">
        <v>199</v>
      </c>
      <c r="Q225" t="s">
        <v>122</v>
      </c>
      <c r="R225" t="s">
        <v>122</v>
      </c>
      <c r="U225">
        <v>1234</v>
      </c>
      <c r="V225">
        <v>0</v>
      </c>
      <c r="W225" t="s">
        <v>200</v>
      </c>
      <c r="X225" t="s">
        <v>9</v>
      </c>
      <c r="Y225" t="s">
        <v>60</v>
      </c>
      <c r="Z225" t="s">
        <v>122</v>
      </c>
      <c r="AA225" t="s">
        <v>122</v>
      </c>
      <c r="AB225" t="s">
        <v>122</v>
      </c>
      <c r="AC225" t="s">
        <v>122</v>
      </c>
      <c r="AF225">
        <v>150</v>
      </c>
      <c r="AG225">
        <v>100</v>
      </c>
      <c r="AH225" t="s">
        <v>124</v>
      </c>
      <c r="AI225">
        <v>1</v>
      </c>
      <c r="AJ225">
        <v>15000</v>
      </c>
      <c r="AK225">
        <v>15000</v>
      </c>
      <c r="AL225">
        <v>0</v>
      </c>
      <c r="AM225">
        <v>0</v>
      </c>
      <c r="AN225">
        <v>0</v>
      </c>
      <c r="AO225">
        <v>0</v>
      </c>
      <c r="AP225">
        <v>18805.5</v>
      </c>
      <c r="AQ225">
        <v>18805.5</v>
      </c>
      <c r="AR225">
        <v>0</v>
      </c>
      <c r="AS225">
        <v>0</v>
      </c>
      <c r="AT225">
        <v>0</v>
      </c>
      <c r="AU225">
        <v>0</v>
      </c>
      <c r="AV225">
        <f>Table1[[#This Row],[CGST]]+Table1[[#This Row],[IGST]]+Table1[[#This Row],[SGST]]</f>
        <v>18805.5</v>
      </c>
      <c r="AW225">
        <f t="shared" si="7"/>
        <v>125</v>
      </c>
      <c r="AX225">
        <v>0</v>
      </c>
      <c r="AY225">
        <v>123280.5</v>
      </c>
      <c r="AZ225" t="s">
        <v>125</v>
      </c>
      <c r="BA225" t="s">
        <v>10</v>
      </c>
      <c r="BB225" t="s">
        <v>126</v>
      </c>
      <c r="BC225" t="s">
        <v>127</v>
      </c>
      <c r="BD225" t="s">
        <v>128</v>
      </c>
      <c r="BE225" t="s">
        <v>32</v>
      </c>
      <c r="BF225" t="s">
        <v>205</v>
      </c>
      <c r="BH225">
        <v>0</v>
      </c>
    </row>
    <row r="226" spans="1:60" x14ac:dyDescent="0.25">
      <c r="A226" t="s">
        <v>120</v>
      </c>
      <c r="B226" t="s">
        <v>121</v>
      </c>
      <c r="C226">
        <v>1234</v>
      </c>
      <c r="D226" t="s">
        <v>337</v>
      </c>
      <c r="E22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26" t="s">
        <v>8</v>
      </c>
      <c r="G226" t="s">
        <v>337</v>
      </c>
      <c r="H226" t="str">
        <f t="shared" si="6"/>
        <v>SI-2/1900-1875</v>
      </c>
      <c r="I226" t="s">
        <v>122</v>
      </c>
      <c r="J226" t="s">
        <v>122</v>
      </c>
      <c r="K226" t="s">
        <v>122</v>
      </c>
      <c r="L226" t="s">
        <v>122</v>
      </c>
      <c r="M226" s="21">
        <v>44593</v>
      </c>
      <c r="N226" t="s">
        <v>123</v>
      </c>
      <c r="O226" t="s">
        <v>198</v>
      </c>
      <c r="P226" t="s">
        <v>199</v>
      </c>
      <c r="Q226" t="s">
        <v>122</v>
      </c>
      <c r="R226" t="s">
        <v>122</v>
      </c>
      <c r="U226">
        <v>1234</v>
      </c>
      <c r="V226">
        <v>0</v>
      </c>
      <c r="W226" t="s">
        <v>200</v>
      </c>
      <c r="X226" t="s">
        <v>9</v>
      </c>
      <c r="Y226" t="s">
        <v>60</v>
      </c>
      <c r="Z226" t="s">
        <v>122</v>
      </c>
      <c r="AA226" t="s">
        <v>122</v>
      </c>
      <c r="AB226" t="s">
        <v>122</v>
      </c>
      <c r="AC226" t="s">
        <v>122</v>
      </c>
      <c r="AF226">
        <v>30</v>
      </c>
      <c r="AG226">
        <v>100</v>
      </c>
      <c r="AH226" t="s">
        <v>124</v>
      </c>
      <c r="AI226">
        <v>1</v>
      </c>
      <c r="AJ226">
        <v>3000</v>
      </c>
      <c r="AK226">
        <v>3000</v>
      </c>
      <c r="AL226">
        <v>0</v>
      </c>
      <c r="AM226">
        <v>0</v>
      </c>
      <c r="AN226">
        <v>0</v>
      </c>
      <c r="AO226">
        <v>0</v>
      </c>
      <c r="AP226">
        <v>5251.5</v>
      </c>
      <c r="AQ226">
        <v>5251.5</v>
      </c>
      <c r="AR226">
        <v>0</v>
      </c>
      <c r="AS226">
        <v>0</v>
      </c>
      <c r="AT226">
        <v>0</v>
      </c>
      <c r="AU226">
        <v>0</v>
      </c>
      <c r="AV226">
        <f>Table1[[#This Row],[CGST]]+Table1[[#This Row],[IGST]]+Table1[[#This Row],[SGST]]</f>
        <v>5251.5</v>
      </c>
      <c r="AW226">
        <f t="shared" si="7"/>
        <v>175</v>
      </c>
      <c r="AX226">
        <v>0</v>
      </c>
      <c r="AY226">
        <v>34426.5</v>
      </c>
      <c r="AZ226" t="s">
        <v>125</v>
      </c>
      <c r="BA226" t="s">
        <v>10</v>
      </c>
      <c r="BB226" t="s">
        <v>126</v>
      </c>
      <c r="BC226" t="s">
        <v>127</v>
      </c>
      <c r="BD226" t="s">
        <v>128</v>
      </c>
      <c r="BE226" t="s">
        <v>32</v>
      </c>
      <c r="BF226" t="s">
        <v>205</v>
      </c>
      <c r="BH226">
        <v>0</v>
      </c>
    </row>
    <row r="227" spans="1:60" x14ac:dyDescent="0.25">
      <c r="A227" t="s">
        <v>120</v>
      </c>
      <c r="B227" t="s">
        <v>121</v>
      </c>
      <c r="C227">
        <v>1234</v>
      </c>
      <c r="D227" t="s">
        <v>338</v>
      </c>
      <c r="E22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27" t="s">
        <v>8</v>
      </c>
      <c r="G227" t="s">
        <v>338</v>
      </c>
      <c r="H227" t="str">
        <f t="shared" si="6"/>
        <v>SI-2/1900-1876</v>
      </c>
      <c r="I227" t="s">
        <v>122</v>
      </c>
      <c r="J227" t="s">
        <v>122</v>
      </c>
      <c r="K227" t="s">
        <v>122</v>
      </c>
      <c r="L227" t="s">
        <v>122</v>
      </c>
      <c r="M227" s="21">
        <v>44593</v>
      </c>
      <c r="N227" t="s">
        <v>123</v>
      </c>
      <c r="O227" t="s">
        <v>198</v>
      </c>
      <c r="P227" t="s">
        <v>199</v>
      </c>
      <c r="Q227" t="s">
        <v>122</v>
      </c>
      <c r="R227" t="s">
        <v>122</v>
      </c>
      <c r="U227">
        <v>1234</v>
      </c>
      <c r="V227">
        <v>0</v>
      </c>
      <c r="W227" t="s">
        <v>200</v>
      </c>
      <c r="X227" t="s">
        <v>9</v>
      </c>
      <c r="Y227" t="s">
        <v>60</v>
      </c>
      <c r="Z227" t="s">
        <v>122</v>
      </c>
      <c r="AA227" t="s">
        <v>122</v>
      </c>
      <c r="AB227" t="s">
        <v>122</v>
      </c>
      <c r="AC227" t="s">
        <v>122</v>
      </c>
      <c r="AF227">
        <v>1000</v>
      </c>
      <c r="AG227">
        <v>100</v>
      </c>
      <c r="AH227" t="s">
        <v>124</v>
      </c>
      <c r="AI227">
        <v>1</v>
      </c>
      <c r="AJ227">
        <v>100000</v>
      </c>
      <c r="AK227">
        <v>100000</v>
      </c>
      <c r="AL227">
        <v>0</v>
      </c>
      <c r="AM227">
        <v>0</v>
      </c>
      <c r="AN227">
        <v>0</v>
      </c>
      <c r="AO227">
        <v>0</v>
      </c>
      <c r="AP227">
        <v>130424.4</v>
      </c>
      <c r="AQ227">
        <v>130424.4</v>
      </c>
      <c r="AR227">
        <v>0</v>
      </c>
      <c r="AS227">
        <v>0</v>
      </c>
      <c r="AT227">
        <v>0</v>
      </c>
      <c r="AU227">
        <v>0</v>
      </c>
      <c r="AV227">
        <f>Table1[[#This Row],[CGST]]+Table1[[#This Row],[IGST]]+Table1[[#This Row],[SGST]]</f>
        <v>130424.4</v>
      </c>
      <c r="AW227">
        <f t="shared" si="7"/>
        <v>130</v>
      </c>
      <c r="AX227">
        <v>0</v>
      </c>
      <c r="AY227">
        <v>855004.4</v>
      </c>
      <c r="AZ227" t="s">
        <v>125</v>
      </c>
      <c r="BA227" t="s">
        <v>10</v>
      </c>
      <c r="BB227" t="s">
        <v>126</v>
      </c>
      <c r="BC227" t="s">
        <v>127</v>
      </c>
      <c r="BD227" t="s">
        <v>128</v>
      </c>
      <c r="BE227" t="s">
        <v>13</v>
      </c>
      <c r="BF227" t="s">
        <v>339</v>
      </c>
      <c r="BH227">
        <v>0</v>
      </c>
    </row>
    <row r="228" spans="1:60" x14ac:dyDescent="0.25">
      <c r="A228" t="s">
        <v>120</v>
      </c>
      <c r="B228" t="s">
        <v>121</v>
      </c>
      <c r="C228">
        <v>1234</v>
      </c>
      <c r="D228" t="s">
        <v>338</v>
      </c>
      <c r="E22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28" t="s">
        <v>8</v>
      </c>
      <c r="G228" t="s">
        <v>338</v>
      </c>
      <c r="H228" t="str">
        <f t="shared" si="6"/>
        <v>SI-2/1900-1876</v>
      </c>
      <c r="I228" t="s">
        <v>122</v>
      </c>
      <c r="J228" t="s">
        <v>122</v>
      </c>
      <c r="K228" t="s">
        <v>122</v>
      </c>
      <c r="L228" t="s">
        <v>122</v>
      </c>
      <c r="M228" s="21">
        <v>44593</v>
      </c>
      <c r="N228" t="s">
        <v>123</v>
      </c>
      <c r="O228" t="s">
        <v>198</v>
      </c>
      <c r="P228" t="s">
        <v>199</v>
      </c>
      <c r="Q228" t="s">
        <v>122</v>
      </c>
      <c r="R228" t="s">
        <v>122</v>
      </c>
      <c r="U228">
        <v>1234</v>
      </c>
      <c r="V228">
        <v>0</v>
      </c>
      <c r="W228" t="s">
        <v>200</v>
      </c>
      <c r="X228" t="s">
        <v>9</v>
      </c>
      <c r="Y228" t="s">
        <v>60</v>
      </c>
      <c r="Z228" t="s">
        <v>122</v>
      </c>
      <c r="AA228" t="s">
        <v>122</v>
      </c>
      <c r="AB228" t="s">
        <v>122</v>
      </c>
      <c r="AC228" t="s">
        <v>122</v>
      </c>
      <c r="AF228">
        <v>15</v>
      </c>
      <c r="AG228">
        <v>100</v>
      </c>
      <c r="AH228" t="s">
        <v>124</v>
      </c>
      <c r="AI228">
        <v>1</v>
      </c>
      <c r="AJ228">
        <v>1500</v>
      </c>
      <c r="AK228">
        <v>1500</v>
      </c>
      <c r="AL228">
        <v>0</v>
      </c>
      <c r="AM228">
        <v>0</v>
      </c>
      <c r="AN228">
        <v>0</v>
      </c>
      <c r="AO228">
        <v>0</v>
      </c>
      <c r="AP228">
        <v>2625.75</v>
      </c>
      <c r="AQ228">
        <v>2625.75</v>
      </c>
      <c r="AR228">
        <v>0</v>
      </c>
      <c r="AS228">
        <v>0</v>
      </c>
      <c r="AT228">
        <v>0</v>
      </c>
      <c r="AU228">
        <v>0</v>
      </c>
      <c r="AV228">
        <f>Table1[[#This Row],[CGST]]+Table1[[#This Row],[IGST]]+Table1[[#This Row],[SGST]]</f>
        <v>2625.75</v>
      </c>
      <c r="AW228">
        <f t="shared" si="7"/>
        <v>175</v>
      </c>
      <c r="AX228">
        <v>0</v>
      </c>
      <c r="AY228">
        <v>17213.25</v>
      </c>
      <c r="AZ228" t="s">
        <v>125</v>
      </c>
      <c r="BA228" t="s">
        <v>10</v>
      </c>
      <c r="BB228" t="s">
        <v>126</v>
      </c>
      <c r="BC228" t="s">
        <v>127</v>
      </c>
      <c r="BD228" t="s">
        <v>128</v>
      </c>
      <c r="BE228" t="s">
        <v>13</v>
      </c>
      <c r="BF228" t="s">
        <v>339</v>
      </c>
      <c r="BH228">
        <v>0</v>
      </c>
    </row>
    <row r="229" spans="1:60" x14ac:dyDescent="0.25">
      <c r="A229" t="s">
        <v>120</v>
      </c>
      <c r="B229" t="s">
        <v>121</v>
      </c>
      <c r="C229">
        <v>1234</v>
      </c>
      <c r="D229" t="s">
        <v>340</v>
      </c>
      <c r="E22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29" t="s">
        <v>8</v>
      </c>
      <c r="G229" t="s">
        <v>340</v>
      </c>
      <c r="H229" t="str">
        <f t="shared" si="6"/>
        <v>SI-2/1900-1877</v>
      </c>
      <c r="I229" t="s">
        <v>122</v>
      </c>
      <c r="J229" t="s">
        <v>122</v>
      </c>
      <c r="K229" t="s">
        <v>122</v>
      </c>
      <c r="L229" t="s">
        <v>122</v>
      </c>
      <c r="M229" s="21">
        <v>44593</v>
      </c>
      <c r="N229" t="s">
        <v>123</v>
      </c>
      <c r="O229" t="s">
        <v>198</v>
      </c>
      <c r="P229" t="s">
        <v>199</v>
      </c>
      <c r="Q229" t="s">
        <v>122</v>
      </c>
      <c r="R229" t="s">
        <v>122</v>
      </c>
      <c r="U229">
        <v>1234</v>
      </c>
      <c r="V229">
        <v>0</v>
      </c>
      <c r="W229" t="s">
        <v>200</v>
      </c>
      <c r="X229" t="s">
        <v>9</v>
      </c>
      <c r="Y229" t="s">
        <v>60</v>
      </c>
      <c r="Z229" t="s">
        <v>122</v>
      </c>
      <c r="AA229" t="s">
        <v>122</v>
      </c>
      <c r="AB229" t="s">
        <v>122</v>
      </c>
      <c r="AC229" t="s">
        <v>122</v>
      </c>
      <c r="AF229">
        <v>700</v>
      </c>
      <c r="AG229">
        <v>100</v>
      </c>
      <c r="AH229" t="s">
        <v>124</v>
      </c>
      <c r="AI229">
        <v>1</v>
      </c>
      <c r="AJ229">
        <v>70000</v>
      </c>
      <c r="AK229">
        <v>70000</v>
      </c>
      <c r="AL229">
        <v>0</v>
      </c>
      <c r="AM229">
        <v>0</v>
      </c>
      <c r="AN229">
        <v>0</v>
      </c>
      <c r="AO229">
        <v>0</v>
      </c>
      <c r="AP229">
        <v>59950.8</v>
      </c>
      <c r="AQ229">
        <v>59950.8</v>
      </c>
      <c r="AR229">
        <v>0</v>
      </c>
      <c r="AS229">
        <v>0</v>
      </c>
      <c r="AT229">
        <v>0</v>
      </c>
      <c r="AU229">
        <v>0</v>
      </c>
      <c r="AV229">
        <f>Table1[[#This Row],[CGST]]+Table1[[#This Row],[IGST]]+Table1[[#This Row],[SGST]]</f>
        <v>59950.8</v>
      </c>
      <c r="AW229">
        <f t="shared" si="7"/>
        <v>86</v>
      </c>
      <c r="AX229">
        <v>0</v>
      </c>
      <c r="AY229">
        <v>393010.8</v>
      </c>
      <c r="AZ229" t="s">
        <v>125</v>
      </c>
      <c r="BA229" t="s">
        <v>10</v>
      </c>
      <c r="BB229" t="s">
        <v>126</v>
      </c>
      <c r="BC229" t="s">
        <v>127</v>
      </c>
      <c r="BD229" t="s">
        <v>128</v>
      </c>
      <c r="BE229" t="s">
        <v>341</v>
      </c>
      <c r="BF229" t="s">
        <v>207</v>
      </c>
      <c r="BH229">
        <v>0</v>
      </c>
    </row>
    <row r="230" spans="1:60" x14ac:dyDescent="0.25">
      <c r="A230" t="s">
        <v>120</v>
      </c>
      <c r="B230" t="s">
        <v>121</v>
      </c>
      <c r="C230">
        <v>1234</v>
      </c>
      <c r="D230" t="s">
        <v>340</v>
      </c>
      <c r="E23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30" t="s">
        <v>8</v>
      </c>
      <c r="G230" t="s">
        <v>340</v>
      </c>
      <c r="H230" t="str">
        <f t="shared" si="6"/>
        <v>SI-2/1900-1877</v>
      </c>
      <c r="I230" t="s">
        <v>122</v>
      </c>
      <c r="J230" t="s">
        <v>122</v>
      </c>
      <c r="K230" t="s">
        <v>122</v>
      </c>
      <c r="L230" t="s">
        <v>122</v>
      </c>
      <c r="M230" s="21">
        <v>44593</v>
      </c>
      <c r="N230" t="s">
        <v>123</v>
      </c>
      <c r="O230" t="s">
        <v>198</v>
      </c>
      <c r="P230" t="s">
        <v>199</v>
      </c>
      <c r="Q230" t="s">
        <v>122</v>
      </c>
      <c r="R230" t="s">
        <v>122</v>
      </c>
      <c r="U230">
        <v>1234</v>
      </c>
      <c r="V230">
        <v>0</v>
      </c>
      <c r="W230" t="s">
        <v>200</v>
      </c>
      <c r="X230" t="s">
        <v>9</v>
      </c>
      <c r="Y230" t="s">
        <v>60</v>
      </c>
      <c r="Z230" t="s">
        <v>122</v>
      </c>
      <c r="AA230" t="s">
        <v>122</v>
      </c>
      <c r="AB230" t="s">
        <v>122</v>
      </c>
      <c r="AC230" t="s">
        <v>122</v>
      </c>
      <c r="AF230">
        <v>253</v>
      </c>
      <c r="AG230">
        <v>100</v>
      </c>
      <c r="AH230" t="s">
        <v>124</v>
      </c>
      <c r="AI230">
        <v>1</v>
      </c>
      <c r="AJ230">
        <v>25300</v>
      </c>
      <c r="AK230">
        <v>25300</v>
      </c>
      <c r="AL230">
        <v>0</v>
      </c>
      <c r="AM230">
        <v>0</v>
      </c>
      <c r="AN230">
        <v>0</v>
      </c>
      <c r="AO230">
        <v>0</v>
      </c>
      <c r="AP230">
        <v>46718.58</v>
      </c>
      <c r="AQ230">
        <v>46718.58</v>
      </c>
      <c r="AR230">
        <v>0</v>
      </c>
      <c r="AS230">
        <v>0</v>
      </c>
      <c r="AT230">
        <v>0</v>
      </c>
      <c r="AU230">
        <v>0</v>
      </c>
      <c r="AV230">
        <f>Table1[[#This Row],[CGST]]+Table1[[#This Row],[IGST]]+Table1[[#This Row],[SGST]]</f>
        <v>46718.58</v>
      </c>
      <c r="AW230">
        <f t="shared" si="7"/>
        <v>185</v>
      </c>
      <c r="AX230">
        <v>0</v>
      </c>
      <c r="AY230">
        <v>306266.21999999997</v>
      </c>
      <c r="AZ230" t="s">
        <v>125</v>
      </c>
      <c r="BA230" t="s">
        <v>10</v>
      </c>
      <c r="BB230" t="s">
        <v>126</v>
      </c>
      <c r="BC230" t="s">
        <v>127</v>
      </c>
      <c r="BD230" t="s">
        <v>128</v>
      </c>
      <c r="BE230" t="s">
        <v>341</v>
      </c>
      <c r="BF230" t="s">
        <v>207</v>
      </c>
      <c r="BH230">
        <v>0</v>
      </c>
    </row>
    <row r="231" spans="1:60" x14ac:dyDescent="0.25">
      <c r="A231" t="s">
        <v>120</v>
      </c>
      <c r="B231" t="s">
        <v>121</v>
      </c>
      <c r="C231">
        <v>1234</v>
      </c>
      <c r="D231" t="s">
        <v>342</v>
      </c>
      <c r="E23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31" t="s">
        <v>8</v>
      </c>
      <c r="G231" t="s">
        <v>342</v>
      </c>
      <c r="H231" t="str">
        <f t="shared" si="6"/>
        <v>SI-2/1900-1878</v>
      </c>
      <c r="I231" t="s">
        <v>122</v>
      </c>
      <c r="J231" t="s">
        <v>122</v>
      </c>
      <c r="K231" t="s">
        <v>122</v>
      </c>
      <c r="L231" t="s">
        <v>122</v>
      </c>
      <c r="M231" s="21">
        <v>44593</v>
      </c>
      <c r="N231" t="s">
        <v>123</v>
      </c>
      <c r="O231" t="s">
        <v>198</v>
      </c>
      <c r="P231" t="s">
        <v>199</v>
      </c>
      <c r="Q231" t="s">
        <v>122</v>
      </c>
      <c r="R231" t="s">
        <v>122</v>
      </c>
      <c r="U231">
        <v>1234</v>
      </c>
      <c r="V231">
        <v>0</v>
      </c>
      <c r="W231" t="s">
        <v>200</v>
      </c>
      <c r="X231" t="s">
        <v>9</v>
      </c>
      <c r="Y231" t="s">
        <v>60</v>
      </c>
      <c r="Z231" t="s">
        <v>122</v>
      </c>
      <c r="AA231" t="s">
        <v>122</v>
      </c>
      <c r="AB231" t="s">
        <v>122</v>
      </c>
      <c r="AC231" t="s">
        <v>122</v>
      </c>
      <c r="AF231">
        <v>1000</v>
      </c>
      <c r="AG231">
        <v>100</v>
      </c>
      <c r="AH231" t="s">
        <v>124</v>
      </c>
      <c r="AI231">
        <v>1</v>
      </c>
      <c r="AJ231">
        <v>100000</v>
      </c>
      <c r="AK231">
        <v>100000</v>
      </c>
      <c r="AL231">
        <v>0</v>
      </c>
      <c r="AM231">
        <v>0</v>
      </c>
      <c r="AN231">
        <v>0</v>
      </c>
      <c r="AO231">
        <v>0</v>
      </c>
      <c r="AP231">
        <v>141346.79999999999</v>
      </c>
      <c r="AQ231">
        <v>141346.79999999999</v>
      </c>
      <c r="AR231">
        <v>0</v>
      </c>
      <c r="AS231">
        <v>0</v>
      </c>
      <c r="AT231">
        <v>0</v>
      </c>
      <c r="AU231">
        <v>0</v>
      </c>
      <c r="AV231">
        <f>Table1[[#This Row],[CGST]]+Table1[[#This Row],[IGST]]+Table1[[#This Row],[SGST]]</f>
        <v>141346.79999999999</v>
      </c>
      <c r="AW231">
        <f t="shared" si="7"/>
        <v>141</v>
      </c>
      <c r="AX231">
        <v>0</v>
      </c>
      <c r="AY231">
        <v>926606.8</v>
      </c>
      <c r="AZ231" t="s">
        <v>125</v>
      </c>
      <c r="BA231" t="s">
        <v>10</v>
      </c>
      <c r="BB231" t="s">
        <v>126</v>
      </c>
      <c r="BC231" t="s">
        <v>127</v>
      </c>
      <c r="BD231" t="s">
        <v>128</v>
      </c>
      <c r="BE231" t="s">
        <v>18</v>
      </c>
      <c r="BF231" t="s">
        <v>211</v>
      </c>
      <c r="BH231">
        <v>0</v>
      </c>
    </row>
    <row r="232" spans="1:60" x14ac:dyDescent="0.25">
      <c r="A232" t="s">
        <v>120</v>
      </c>
      <c r="B232" t="s">
        <v>121</v>
      </c>
      <c r="C232">
        <v>1234</v>
      </c>
      <c r="D232" t="s">
        <v>342</v>
      </c>
      <c r="E23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32" t="s">
        <v>8</v>
      </c>
      <c r="G232" t="s">
        <v>342</v>
      </c>
      <c r="H232" t="str">
        <f t="shared" si="6"/>
        <v>SI-2/1900-1878</v>
      </c>
      <c r="I232" t="s">
        <v>122</v>
      </c>
      <c r="J232" t="s">
        <v>122</v>
      </c>
      <c r="K232" t="s">
        <v>122</v>
      </c>
      <c r="L232" t="s">
        <v>122</v>
      </c>
      <c r="M232" s="21">
        <v>44593</v>
      </c>
      <c r="N232" t="s">
        <v>123</v>
      </c>
      <c r="O232" t="s">
        <v>198</v>
      </c>
      <c r="P232" t="s">
        <v>199</v>
      </c>
      <c r="Q232" t="s">
        <v>122</v>
      </c>
      <c r="R232" t="s">
        <v>122</v>
      </c>
      <c r="U232">
        <v>1234</v>
      </c>
      <c r="V232">
        <v>0</v>
      </c>
      <c r="W232" t="s">
        <v>200</v>
      </c>
      <c r="X232" t="s">
        <v>9</v>
      </c>
      <c r="Y232" t="s">
        <v>60</v>
      </c>
      <c r="Z232" t="s">
        <v>122</v>
      </c>
      <c r="AA232" t="s">
        <v>122</v>
      </c>
      <c r="AB232" t="s">
        <v>122</v>
      </c>
      <c r="AC232" t="s">
        <v>122</v>
      </c>
      <c r="AF232">
        <v>30</v>
      </c>
      <c r="AG232">
        <v>100</v>
      </c>
      <c r="AH232" t="s">
        <v>124</v>
      </c>
      <c r="AI232">
        <v>1</v>
      </c>
      <c r="AJ232">
        <v>3000</v>
      </c>
      <c r="AK232">
        <v>3000</v>
      </c>
      <c r="AL232">
        <v>0</v>
      </c>
      <c r="AM232">
        <v>0</v>
      </c>
      <c r="AN232">
        <v>0</v>
      </c>
      <c r="AO232">
        <v>0</v>
      </c>
      <c r="AP232">
        <v>5251.5</v>
      </c>
      <c r="AQ232">
        <v>5251.5</v>
      </c>
      <c r="AR232">
        <v>0</v>
      </c>
      <c r="AS232">
        <v>0</v>
      </c>
      <c r="AT232">
        <v>0</v>
      </c>
      <c r="AU232">
        <v>0</v>
      </c>
      <c r="AV232">
        <f>Table1[[#This Row],[CGST]]+Table1[[#This Row],[IGST]]+Table1[[#This Row],[SGST]]</f>
        <v>5251.5</v>
      </c>
      <c r="AW232">
        <f t="shared" si="7"/>
        <v>175</v>
      </c>
      <c r="AX232">
        <v>0</v>
      </c>
      <c r="AY232">
        <v>34426.5</v>
      </c>
      <c r="AZ232" t="s">
        <v>125</v>
      </c>
      <c r="BA232" t="s">
        <v>10</v>
      </c>
      <c r="BB232" t="s">
        <v>126</v>
      </c>
      <c r="BC232" t="s">
        <v>127</v>
      </c>
      <c r="BD232" t="s">
        <v>128</v>
      </c>
      <c r="BE232" t="s">
        <v>18</v>
      </c>
      <c r="BF232" t="s">
        <v>211</v>
      </c>
      <c r="BH232">
        <v>0</v>
      </c>
    </row>
    <row r="233" spans="1:60" x14ac:dyDescent="0.25">
      <c r="A233" t="s">
        <v>120</v>
      </c>
      <c r="B233" t="s">
        <v>121</v>
      </c>
      <c r="C233">
        <v>1234</v>
      </c>
      <c r="D233" t="s">
        <v>343</v>
      </c>
      <c r="E23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33" t="s">
        <v>8</v>
      </c>
      <c r="G233" t="s">
        <v>343</v>
      </c>
      <c r="H233" t="str">
        <f t="shared" si="6"/>
        <v>SI-2/1900-1879</v>
      </c>
      <c r="I233" t="s">
        <v>122</v>
      </c>
      <c r="J233" t="s">
        <v>122</v>
      </c>
      <c r="K233" t="s">
        <v>122</v>
      </c>
      <c r="L233" t="s">
        <v>122</v>
      </c>
      <c r="M233" s="21">
        <v>44593</v>
      </c>
      <c r="N233" t="s">
        <v>123</v>
      </c>
      <c r="O233" t="s">
        <v>198</v>
      </c>
      <c r="P233" t="s">
        <v>199</v>
      </c>
      <c r="Q233" t="s">
        <v>122</v>
      </c>
      <c r="R233" t="s">
        <v>122</v>
      </c>
      <c r="U233">
        <v>1234</v>
      </c>
      <c r="V233">
        <v>0</v>
      </c>
      <c r="W233" t="s">
        <v>200</v>
      </c>
      <c r="X233" t="s">
        <v>9</v>
      </c>
      <c r="Y233" t="s">
        <v>60</v>
      </c>
      <c r="Z233" t="s">
        <v>122</v>
      </c>
      <c r="AA233" t="s">
        <v>122</v>
      </c>
      <c r="AB233" t="s">
        <v>122</v>
      </c>
      <c r="AC233" t="s">
        <v>122</v>
      </c>
      <c r="AF233">
        <v>550</v>
      </c>
      <c r="AG233">
        <v>100</v>
      </c>
      <c r="AH233" t="s">
        <v>124</v>
      </c>
      <c r="AI233">
        <v>1</v>
      </c>
      <c r="AJ233">
        <v>55000</v>
      </c>
      <c r="AK233">
        <v>55000</v>
      </c>
      <c r="AL233">
        <v>0</v>
      </c>
      <c r="AM233">
        <v>0</v>
      </c>
      <c r="AN233">
        <v>0</v>
      </c>
      <c r="AO233">
        <v>0</v>
      </c>
      <c r="AP233">
        <v>94328.19</v>
      </c>
      <c r="AQ233">
        <v>94328.19</v>
      </c>
      <c r="AR233">
        <v>0</v>
      </c>
      <c r="AS233">
        <v>0</v>
      </c>
      <c r="AT233">
        <v>0</v>
      </c>
      <c r="AU233">
        <v>0</v>
      </c>
      <c r="AV233">
        <f>Table1[[#This Row],[CGST]]+Table1[[#This Row],[IGST]]+Table1[[#This Row],[SGST]]</f>
        <v>94328.19</v>
      </c>
      <c r="AW233">
        <f t="shared" si="7"/>
        <v>172</v>
      </c>
      <c r="AX233">
        <v>0</v>
      </c>
      <c r="AY233">
        <v>618373.68999999994</v>
      </c>
      <c r="AZ233" t="s">
        <v>125</v>
      </c>
      <c r="BA233" t="s">
        <v>10</v>
      </c>
      <c r="BB233" t="s">
        <v>126</v>
      </c>
      <c r="BC233" t="s">
        <v>127</v>
      </c>
      <c r="BD233" t="s">
        <v>128</v>
      </c>
      <c r="BE233" t="s">
        <v>16</v>
      </c>
      <c r="BF233" t="s">
        <v>211</v>
      </c>
      <c r="BH233">
        <v>0</v>
      </c>
    </row>
    <row r="234" spans="1:60" x14ac:dyDescent="0.25">
      <c r="A234" t="s">
        <v>120</v>
      </c>
      <c r="B234" t="s">
        <v>121</v>
      </c>
      <c r="C234">
        <v>1234</v>
      </c>
      <c r="D234" t="s">
        <v>343</v>
      </c>
      <c r="E23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34" t="s">
        <v>8</v>
      </c>
      <c r="G234" t="s">
        <v>343</v>
      </c>
      <c r="H234" t="str">
        <f t="shared" si="6"/>
        <v>SI-2/1900-1879</v>
      </c>
      <c r="I234" t="s">
        <v>122</v>
      </c>
      <c r="J234" t="s">
        <v>122</v>
      </c>
      <c r="K234" t="s">
        <v>122</v>
      </c>
      <c r="L234" t="s">
        <v>122</v>
      </c>
      <c r="M234" s="21">
        <v>44593</v>
      </c>
      <c r="N234" t="s">
        <v>123</v>
      </c>
      <c r="O234" t="s">
        <v>198</v>
      </c>
      <c r="P234" t="s">
        <v>199</v>
      </c>
      <c r="Q234" t="s">
        <v>122</v>
      </c>
      <c r="R234" t="s">
        <v>122</v>
      </c>
      <c r="U234">
        <v>1234</v>
      </c>
      <c r="V234">
        <v>0</v>
      </c>
      <c r="W234" t="s">
        <v>200</v>
      </c>
      <c r="X234" t="s">
        <v>9</v>
      </c>
      <c r="Y234" t="s">
        <v>60</v>
      </c>
      <c r="Z234" t="s">
        <v>122</v>
      </c>
      <c r="AA234" t="s">
        <v>122</v>
      </c>
      <c r="AB234" t="s">
        <v>122</v>
      </c>
      <c r="AC234" t="s">
        <v>122</v>
      </c>
      <c r="AF234">
        <v>70</v>
      </c>
      <c r="AG234">
        <v>100</v>
      </c>
      <c r="AH234" t="s">
        <v>124</v>
      </c>
      <c r="AI234">
        <v>1</v>
      </c>
      <c r="AJ234">
        <v>7000</v>
      </c>
      <c r="AK234">
        <v>7000</v>
      </c>
      <c r="AL234">
        <v>0</v>
      </c>
      <c r="AM234">
        <v>0</v>
      </c>
      <c r="AN234">
        <v>0</v>
      </c>
      <c r="AO234">
        <v>0</v>
      </c>
      <c r="AP234">
        <v>12253.5</v>
      </c>
      <c r="AQ234">
        <v>12253.5</v>
      </c>
      <c r="AR234">
        <v>0</v>
      </c>
      <c r="AS234">
        <v>0</v>
      </c>
      <c r="AT234">
        <v>0</v>
      </c>
      <c r="AU234">
        <v>0</v>
      </c>
      <c r="AV234">
        <f>Table1[[#This Row],[CGST]]+Table1[[#This Row],[IGST]]+Table1[[#This Row],[SGST]]</f>
        <v>12253.5</v>
      </c>
      <c r="AW234">
        <f t="shared" si="7"/>
        <v>175</v>
      </c>
      <c r="AX234">
        <v>0</v>
      </c>
      <c r="AY234">
        <v>80328.5</v>
      </c>
      <c r="AZ234" t="s">
        <v>125</v>
      </c>
      <c r="BA234" t="s">
        <v>10</v>
      </c>
      <c r="BB234" t="s">
        <v>126</v>
      </c>
      <c r="BC234" t="s">
        <v>127</v>
      </c>
      <c r="BD234" t="s">
        <v>128</v>
      </c>
      <c r="BE234" t="s">
        <v>16</v>
      </c>
      <c r="BF234" t="s">
        <v>201</v>
      </c>
      <c r="BH234">
        <v>0</v>
      </c>
    </row>
    <row r="235" spans="1:60" x14ac:dyDescent="0.25">
      <c r="A235" t="s">
        <v>120</v>
      </c>
      <c r="B235" t="s">
        <v>121</v>
      </c>
      <c r="C235">
        <v>1234</v>
      </c>
      <c r="D235" t="s">
        <v>343</v>
      </c>
      <c r="E23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35" t="s">
        <v>8</v>
      </c>
      <c r="G235" t="s">
        <v>343</v>
      </c>
      <c r="H235" t="str">
        <f t="shared" si="6"/>
        <v>SI-2/1900-1879</v>
      </c>
      <c r="I235" t="s">
        <v>122</v>
      </c>
      <c r="J235" t="s">
        <v>122</v>
      </c>
      <c r="K235" t="s">
        <v>122</v>
      </c>
      <c r="L235" t="s">
        <v>122</v>
      </c>
      <c r="M235" s="21">
        <v>44593</v>
      </c>
      <c r="N235" t="s">
        <v>123</v>
      </c>
      <c r="O235" t="s">
        <v>198</v>
      </c>
      <c r="P235" t="s">
        <v>199</v>
      </c>
      <c r="Q235" t="s">
        <v>122</v>
      </c>
      <c r="R235" t="s">
        <v>122</v>
      </c>
      <c r="U235">
        <v>1234</v>
      </c>
      <c r="V235">
        <v>0</v>
      </c>
      <c r="W235" t="s">
        <v>200</v>
      </c>
      <c r="X235" t="s">
        <v>9</v>
      </c>
      <c r="Y235" t="s">
        <v>60</v>
      </c>
      <c r="Z235" t="s">
        <v>122</v>
      </c>
      <c r="AA235" t="s">
        <v>122</v>
      </c>
      <c r="AB235" t="s">
        <v>122</v>
      </c>
      <c r="AC235" t="s">
        <v>122</v>
      </c>
      <c r="AF235">
        <v>150</v>
      </c>
      <c r="AG235">
        <v>100</v>
      </c>
      <c r="AH235" t="s">
        <v>124</v>
      </c>
      <c r="AI235">
        <v>1</v>
      </c>
      <c r="AJ235">
        <v>15000</v>
      </c>
      <c r="AK235">
        <v>15000</v>
      </c>
      <c r="AL235">
        <v>0</v>
      </c>
      <c r="AM235">
        <v>0</v>
      </c>
      <c r="AN235">
        <v>0</v>
      </c>
      <c r="AO235">
        <v>0</v>
      </c>
      <c r="AP235">
        <v>24516</v>
      </c>
      <c r="AQ235">
        <v>24516</v>
      </c>
      <c r="AR235">
        <v>0</v>
      </c>
      <c r="AS235">
        <v>0</v>
      </c>
      <c r="AT235">
        <v>0</v>
      </c>
      <c r="AU235">
        <v>0</v>
      </c>
      <c r="AV235">
        <f>Table1[[#This Row],[CGST]]+Table1[[#This Row],[IGST]]+Table1[[#This Row],[SGST]]</f>
        <v>24516</v>
      </c>
      <c r="AW235">
        <f t="shared" si="7"/>
        <v>163</v>
      </c>
      <c r="AX235">
        <v>0</v>
      </c>
      <c r="AY235">
        <v>160716</v>
      </c>
      <c r="AZ235" t="s">
        <v>125</v>
      </c>
      <c r="BA235" t="s">
        <v>10</v>
      </c>
      <c r="BB235" t="s">
        <v>126</v>
      </c>
      <c r="BC235" t="s">
        <v>127</v>
      </c>
      <c r="BD235" t="s">
        <v>128</v>
      </c>
      <c r="BE235" t="s">
        <v>16</v>
      </c>
      <c r="BF235" t="s">
        <v>201</v>
      </c>
      <c r="BH235">
        <v>0</v>
      </c>
    </row>
    <row r="236" spans="1:60" x14ac:dyDescent="0.25">
      <c r="A236" t="s">
        <v>120</v>
      </c>
      <c r="B236" t="s">
        <v>121</v>
      </c>
      <c r="C236">
        <v>1234</v>
      </c>
      <c r="D236" t="s">
        <v>344</v>
      </c>
      <c r="E23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36" t="s">
        <v>8</v>
      </c>
      <c r="G236" t="s">
        <v>344</v>
      </c>
      <c r="H236" t="str">
        <f t="shared" si="6"/>
        <v>SI-2/1900-1880</v>
      </c>
      <c r="I236" t="s">
        <v>122</v>
      </c>
      <c r="J236" t="s">
        <v>122</v>
      </c>
      <c r="K236" t="s">
        <v>122</v>
      </c>
      <c r="L236" t="s">
        <v>122</v>
      </c>
      <c r="M236" s="21">
        <v>44593</v>
      </c>
      <c r="N236" t="s">
        <v>123</v>
      </c>
      <c r="O236" t="s">
        <v>198</v>
      </c>
      <c r="P236" t="s">
        <v>199</v>
      </c>
      <c r="Q236" t="s">
        <v>122</v>
      </c>
      <c r="R236" t="s">
        <v>122</v>
      </c>
      <c r="U236">
        <v>1234</v>
      </c>
      <c r="V236">
        <v>0</v>
      </c>
      <c r="W236" t="s">
        <v>200</v>
      </c>
      <c r="X236" t="s">
        <v>9</v>
      </c>
      <c r="Y236" t="s">
        <v>60</v>
      </c>
      <c r="Z236" t="s">
        <v>122</v>
      </c>
      <c r="AA236" t="s">
        <v>122</v>
      </c>
      <c r="AB236" t="s">
        <v>122</v>
      </c>
      <c r="AC236" t="s">
        <v>122</v>
      </c>
      <c r="AF236">
        <v>900</v>
      </c>
      <c r="AG236">
        <v>100</v>
      </c>
      <c r="AH236" t="s">
        <v>124</v>
      </c>
      <c r="AI236">
        <v>1</v>
      </c>
      <c r="AJ236">
        <v>90000</v>
      </c>
      <c r="AK236">
        <v>90000</v>
      </c>
      <c r="AL236">
        <v>0</v>
      </c>
      <c r="AM236">
        <v>0</v>
      </c>
      <c r="AN236">
        <v>0</v>
      </c>
      <c r="AO236">
        <v>0</v>
      </c>
      <c r="AP236">
        <v>117381.96</v>
      </c>
      <c r="AQ236">
        <v>117381.96</v>
      </c>
      <c r="AR236">
        <v>0</v>
      </c>
      <c r="AS236">
        <v>0</v>
      </c>
      <c r="AT236">
        <v>0</v>
      </c>
      <c r="AU236">
        <v>0</v>
      </c>
      <c r="AV236">
        <f>Table1[[#This Row],[CGST]]+Table1[[#This Row],[IGST]]+Table1[[#This Row],[SGST]]</f>
        <v>117381.96</v>
      </c>
      <c r="AW236">
        <f t="shared" si="7"/>
        <v>130</v>
      </c>
      <c r="AX236">
        <v>0</v>
      </c>
      <c r="AY236">
        <v>769503.96</v>
      </c>
      <c r="AZ236" t="s">
        <v>125</v>
      </c>
      <c r="BA236" t="s">
        <v>10</v>
      </c>
      <c r="BB236" t="s">
        <v>126</v>
      </c>
      <c r="BC236" t="s">
        <v>127</v>
      </c>
      <c r="BD236" t="s">
        <v>128</v>
      </c>
      <c r="BE236" t="s">
        <v>11</v>
      </c>
      <c r="BF236" t="s">
        <v>201</v>
      </c>
      <c r="BH236">
        <v>0</v>
      </c>
    </row>
    <row r="237" spans="1:60" x14ac:dyDescent="0.25">
      <c r="A237" t="s">
        <v>120</v>
      </c>
      <c r="B237" t="s">
        <v>121</v>
      </c>
      <c r="C237">
        <v>1234</v>
      </c>
      <c r="D237" t="s">
        <v>344</v>
      </c>
      <c r="E23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37" t="s">
        <v>8</v>
      </c>
      <c r="G237" t="s">
        <v>344</v>
      </c>
      <c r="H237" t="str">
        <f t="shared" si="6"/>
        <v>SI-2/1900-1880</v>
      </c>
      <c r="I237" t="s">
        <v>122</v>
      </c>
      <c r="J237" t="s">
        <v>122</v>
      </c>
      <c r="K237" t="s">
        <v>122</v>
      </c>
      <c r="L237" t="s">
        <v>122</v>
      </c>
      <c r="M237" s="21">
        <v>44593</v>
      </c>
      <c r="N237" t="s">
        <v>123</v>
      </c>
      <c r="O237" t="s">
        <v>198</v>
      </c>
      <c r="P237" t="s">
        <v>199</v>
      </c>
      <c r="Q237" t="s">
        <v>122</v>
      </c>
      <c r="R237" t="s">
        <v>122</v>
      </c>
      <c r="U237">
        <v>1234</v>
      </c>
      <c r="V237">
        <v>0</v>
      </c>
      <c r="W237" t="s">
        <v>200</v>
      </c>
      <c r="X237" t="s">
        <v>9</v>
      </c>
      <c r="Y237" t="s">
        <v>60</v>
      </c>
      <c r="Z237" t="s">
        <v>122</v>
      </c>
      <c r="AA237" t="s">
        <v>122</v>
      </c>
      <c r="AB237" t="s">
        <v>122</v>
      </c>
      <c r="AC237" t="s">
        <v>122</v>
      </c>
      <c r="AF237">
        <v>10</v>
      </c>
      <c r="AG237">
        <v>100</v>
      </c>
      <c r="AH237" t="s">
        <v>124</v>
      </c>
      <c r="AI237">
        <v>1</v>
      </c>
      <c r="AJ237">
        <v>1000</v>
      </c>
      <c r="AK237">
        <v>1000</v>
      </c>
      <c r="AL237">
        <v>0</v>
      </c>
      <c r="AM237">
        <v>0</v>
      </c>
      <c r="AN237">
        <v>0</v>
      </c>
      <c r="AO237">
        <v>0</v>
      </c>
      <c r="AP237">
        <v>1530.54</v>
      </c>
      <c r="AQ237">
        <v>1530.54</v>
      </c>
      <c r="AR237">
        <v>0</v>
      </c>
      <c r="AS237">
        <v>0</v>
      </c>
      <c r="AT237">
        <v>0</v>
      </c>
      <c r="AU237">
        <v>0</v>
      </c>
      <c r="AV237">
        <f>Table1[[#This Row],[CGST]]+Table1[[#This Row],[IGST]]+Table1[[#This Row],[SGST]]</f>
        <v>1530.54</v>
      </c>
      <c r="AW237">
        <f t="shared" si="7"/>
        <v>153</v>
      </c>
      <c r="AX237">
        <v>0</v>
      </c>
      <c r="AY237">
        <v>10033.540000000001</v>
      </c>
      <c r="AZ237" t="s">
        <v>125</v>
      </c>
      <c r="BA237" t="s">
        <v>10</v>
      </c>
      <c r="BB237" t="s">
        <v>126</v>
      </c>
      <c r="BC237" t="s">
        <v>127</v>
      </c>
      <c r="BD237" t="s">
        <v>128</v>
      </c>
      <c r="BE237" t="s">
        <v>11</v>
      </c>
      <c r="BF237" t="s">
        <v>226</v>
      </c>
      <c r="BH237">
        <v>0</v>
      </c>
    </row>
    <row r="238" spans="1:60" x14ac:dyDescent="0.25">
      <c r="A238" t="s">
        <v>120</v>
      </c>
      <c r="B238" t="s">
        <v>121</v>
      </c>
      <c r="C238">
        <v>1234</v>
      </c>
      <c r="D238" t="s">
        <v>344</v>
      </c>
      <c r="E23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38" t="s">
        <v>8</v>
      </c>
      <c r="G238" t="s">
        <v>344</v>
      </c>
      <c r="H238" t="str">
        <f t="shared" si="6"/>
        <v>SI-2/1900-1880</v>
      </c>
      <c r="I238" t="s">
        <v>122</v>
      </c>
      <c r="J238" t="s">
        <v>122</v>
      </c>
      <c r="K238" t="s">
        <v>122</v>
      </c>
      <c r="L238" t="s">
        <v>122</v>
      </c>
      <c r="M238" s="21">
        <v>44593</v>
      </c>
      <c r="N238" t="s">
        <v>123</v>
      </c>
      <c r="O238" t="s">
        <v>198</v>
      </c>
      <c r="P238" t="s">
        <v>199</v>
      </c>
      <c r="Q238" t="s">
        <v>122</v>
      </c>
      <c r="R238" t="s">
        <v>122</v>
      </c>
      <c r="U238">
        <v>1234</v>
      </c>
      <c r="V238">
        <v>0</v>
      </c>
      <c r="W238" t="s">
        <v>200</v>
      </c>
      <c r="X238" t="s">
        <v>9</v>
      </c>
      <c r="Y238" t="s">
        <v>60</v>
      </c>
      <c r="Z238" t="s">
        <v>122</v>
      </c>
      <c r="AA238" t="s">
        <v>122</v>
      </c>
      <c r="AB238" t="s">
        <v>122</v>
      </c>
      <c r="AC238" t="s">
        <v>122</v>
      </c>
      <c r="AF238">
        <v>20</v>
      </c>
      <c r="AG238">
        <v>100</v>
      </c>
      <c r="AH238" t="s">
        <v>124</v>
      </c>
      <c r="AI238">
        <v>1</v>
      </c>
      <c r="AJ238">
        <v>2000</v>
      </c>
      <c r="AK238">
        <v>2000</v>
      </c>
      <c r="AL238">
        <v>0</v>
      </c>
      <c r="AM238">
        <v>0</v>
      </c>
      <c r="AN238">
        <v>0</v>
      </c>
      <c r="AO238">
        <v>0</v>
      </c>
      <c r="AP238">
        <v>3501</v>
      </c>
      <c r="AQ238">
        <v>3501</v>
      </c>
      <c r="AR238">
        <v>0</v>
      </c>
      <c r="AS238">
        <v>0</v>
      </c>
      <c r="AT238">
        <v>0</v>
      </c>
      <c r="AU238">
        <v>0</v>
      </c>
      <c r="AV238">
        <f>Table1[[#This Row],[CGST]]+Table1[[#This Row],[IGST]]+Table1[[#This Row],[SGST]]</f>
        <v>3501</v>
      </c>
      <c r="AW238">
        <f t="shared" si="7"/>
        <v>175</v>
      </c>
      <c r="AX238">
        <v>0</v>
      </c>
      <c r="AY238">
        <v>22951</v>
      </c>
      <c r="AZ238" t="s">
        <v>125</v>
      </c>
      <c r="BA238" t="s">
        <v>10</v>
      </c>
      <c r="BB238" t="s">
        <v>126</v>
      </c>
      <c r="BC238" t="s">
        <v>127</v>
      </c>
      <c r="BD238" t="s">
        <v>128</v>
      </c>
      <c r="BE238" t="s">
        <v>11</v>
      </c>
      <c r="BF238" t="s">
        <v>226</v>
      </c>
      <c r="BH238">
        <v>0</v>
      </c>
    </row>
    <row r="239" spans="1:60" x14ac:dyDescent="0.25">
      <c r="A239" t="s">
        <v>120</v>
      </c>
      <c r="B239" t="s">
        <v>121</v>
      </c>
      <c r="C239">
        <v>1234</v>
      </c>
      <c r="D239" t="s">
        <v>345</v>
      </c>
      <c r="E23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39" t="s">
        <v>8</v>
      </c>
      <c r="G239" t="s">
        <v>345</v>
      </c>
      <c r="H239" t="str">
        <f t="shared" si="6"/>
        <v>SI-2/1900-1881</v>
      </c>
      <c r="I239" t="s">
        <v>122</v>
      </c>
      <c r="J239" t="s">
        <v>122</v>
      </c>
      <c r="K239" t="s">
        <v>122</v>
      </c>
      <c r="L239" t="s">
        <v>122</v>
      </c>
      <c r="M239" s="21">
        <v>44593</v>
      </c>
      <c r="N239" t="s">
        <v>123</v>
      </c>
      <c r="O239" t="s">
        <v>198</v>
      </c>
      <c r="P239" t="s">
        <v>199</v>
      </c>
      <c r="Q239" t="s">
        <v>122</v>
      </c>
      <c r="R239" t="s">
        <v>122</v>
      </c>
      <c r="U239">
        <v>1234</v>
      </c>
      <c r="V239">
        <v>0</v>
      </c>
      <c r="W239" t="s">
        <v>200</v>
      </c>
      <c r="X239" t="s">
        <v>9</v>
      </c>
      <c r="Y239" t="s">
        <v>60</v>
      </c>
      <c r="Z239" t="s">
        <v>122</v>
      </c>
      <c r="AA239" t="s">
        <v>122</v>
      </c>
      <c r="AB239" t="s">
        <v>122</v>
      </c>
      <c r="AC239" t="s">
        <v>122</v>
      </c>
      <c r="AF239">
        <v>300</v>
      </c>
      <c r="AG239">
        <v>100</v>
      </c>
      <c r="AH239" t="s">
        <v>124</v>
      </c>
      <c r="AI239">
        <v>1</v>
      </c>
      <c r="AJ239">
        <v>30000</v>
      </c>
      <c r="AK239">
        <v>30000</v>
      </c>
      <c r="AL239">
        <v>0</v>
      </c>
      <c r="AM239">
        <v>0</v>
      </c>
      <c r="AN239">
        <v>0</v>
      </c>
      <c r="AO239">
        <v>0</v>
      </c>
      <c r="AP239">
        <v>39127.32</v>
      </c>
      <c r="AQ239">
        <v>39127.32</v>
      </c>
      <c r="AR239">
        <v>0</v>
      </c>
      <c r="AS239">
        <v>0</v>
      </c>
      <c r="AT239">
        <v>0</v>
      </c>
      <c r="AU239">
        <v>0</v>
      </c>
      <c r="AV239">
        <f>Table1[[#This Row],[CGST]]+Table1[[#This Row],[IGST]]+Table1[[#This Row],[SGST]]</f>
        <v>39127.32</v>
      </c>
      <c r="AW239">
        <f t="shared" si="7"/>
        <v>130</v>
      </c>
      <c r="AX239">
        <v>0</v>
      </c>
      <c r="AY239">
        <v>256501.32</v>
      </c>
      <c r="AZ239" t="s">
        <v>125</v>
      </c>
      <c r="BA239" t="s">
        <v>10</v>
      </c>
      <c r="BB239" t="s">
        <v>126</v>
      </c>
      <c r="BC239" t="s">
        <v>127</v>
      </c>
      <c r="BD239" t="s">
        <v>128</v>
      </c>
      <c r="BE239" t="s">
        <v>19</v>
      </c>
      <c r="BF239" t="s">
        <v>207</v>
      </c>
      <c r="BH239">
        <v>0</v>
      </c>
    </row>
    <row r="240" spans="1:60" x14ac:dyDescent="0.25">
      <c r="A240" t="s">
        <v>120</v>
      </c>
      <c r="B240" t="s">
        <v>121</v>
      </c>
      <c r="C240">
        <v>1234</v>
      </c>
      <c r="D240" t="s">
        <v>345</v>
      </c>
      <c r="E24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40" t="s">
        <v>8</v>
      </c>
      <c r="G240" t="s">
        <v>345</v>
      </c>
      <c r="H240" t="str">
        <f t="shared" si="6"/>
        <v>SI-2/1900-1881</v>
      </c>
      <c r="I240" t="s">
        <v>122</v>
      </c>
      <c r="J240" t="s">
        <v>122</v>
      </c>
      <c r="K240" t="s">
        <v>122</v>
      </c>
      <c r="L240" t="s">
        <v>122</v>
      </c>
      <c r="M240" s="21">
        <v>44593</v>
      </c>
      <c r="N240" t="s">
        <v>123</v>
      </c>
      <c r="O240" t="s">
        <v>198</v>
      </c>
      <c r="P240" t="s">
        <v>199</v>
      </c>
      <c r="Q240" t="s">
        <v>122</v>
      </c>
      <c r="R240" t="s">
        <v>122</v>
      </c>
      <c r="U240">
        <v>1234</v>
      </c>
      <c r="V240">
        <v>0</v>
      </c>
      <c r="W240" t="s">
        <v>200</v>
      </c>
      <c r="X240" t="s">
        <v>9</v>
      </c>
      <c r="Y240" t="s">
        <v>60</v>
      </c>
      <c r="Z240" t="s">
        <v>122</v>
      </c>
      <c r="AA240" t="s">
        <v>122</v>
      </c>
      <c r="AB240" t="s">
        <v>122</v>
      </c>
      <c r="AC240" t="s">
        <v>122</v>
      </c>
      <c r="AF240">
        <v>5</v>
      </c>
      <c r="AG240">
        <v>100</v>
      </c>
      <c r="AH240" t="s">
        <v>124</v>
      </c>
      <c r="AI240">
        <v>1</v>
      </c>
      <c r="AJ240">
        <v>500</v>
      </c>
      <c r="AK240">
        <v>500</v>
      </c>
      <c r="AL240">
        <v>0</v>
      </c>
      <c r="AM240">
        <v>0</v>
      </c>
      <c r="AN240">
        <v>0</v>
      </c>
      <c r="AO240">
        <v>0</v>
      </c>
      <c r="AP240">
        <v>875.25</v>
      </c>
      <c r="AQ240">
        <v>875.25</v>
      </c>
      <c r="AR240">
        <v>0</v>
      </c>
      <c r="AS240">
        <v>0</v>
      </c>
      <c r="AT240">
        <v>0</v>
      </c>
      <c r="AU240">
        <v>0</v>
      </c>
      <c r="AV240">
        <f>Table1[[#This Row],[CGST]]+Table1[[#This Row],[IGST]]+Table1[[#This Row],[SGST]]</f>
        <v>875.25</v>
      </c>
      <c r="AW240">
        <f t="shared" si="7"/>
        <v>175</v>
      </c>
      <c r="AX240">
        <v>0</v>
      </c>
      <c r="AY240">
        <v>5737.75</v>
      </c>
      <c r="AZ240" t="s">
        <v>125</v>
      </c>
      <c r="BA240" t="s">
        <v>10</v>
      </c>
      <c r="BB240" t="s">
        <v>126</v>
      </c>
      <c r="BC240" t="s">
        <v>127</v>
      </c>
      <c r="BD240" t="s">
        <v>128</v>
      </c>
      <c r="BE240" t="s">
        <v>19</v>
      </c>
      <c r="BF240" t="s">
        <v>237</v>
      </c>
      <c r="BH240">
        <v>0</v>
      </c>
    </row>
    <row r="241" spans="1:60" x14ac:dyDescent="0.25">
      <c r="A241" t="s">
        <v>120</v>
      </c>
      <c r="B241" t="s">
        <v>121</v>
      </c>
      <c r="C241">
        <v>1234</v>
      </c>
      <c r="D241" t="s">
        <v>346</v>
      </c>
      <c r="E24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41" t="s">
        <v>8</v>
      </c>
      <c r="G241" t="s">
        <v>346</v>
      </c>
      <c r="H241" t="str">
        <f t="shared" si="6"/>
        <v>SI-2/1900-1882</v>
      </c>
      <c r="I241" t="s">
        <v>122</v>
      </c>
      <c r="J241" t="s">
        <v>122</v>
      </c>
      <c r="K241" t="s">
        <v>122</v>
      </c>
      <c r="L241" t="s">
        <v>122</v>
      </c>
      <c r="M241" s="21">
        <v>44593</v>
      </c>
      <c r="N241" t="s">
        <v>123</v>
      </c>
      <c r="O241" t="s">
        <v>198</v>
      </c>
      <c r="P241" t="s">
        <v>199</v>
      </c>
      <c r="Q241" t="s">
        <v>122</v>
      </c>
      <c r="R241" t="s">
        <v>122</v>
      </c>
      <c r="U241">
        <v>1234</v>
      </c>
      <c r="V241">
        <v>0</v>
      </c>
      <c r="W241" t="s">
        <v>200</v>
      </c>
      <c r="X241" t="s">
        <v>9</v>
      </c>
      <c r="Y241" t="s">
        <v>60</v>
      </c>
      <c r="Z241" t="s">
        <v>122</v>
      </c>
      <c r="AA241" t="s">
        <v>122</v>
      </c>
      <c r="AB241" t="s">
        <v>122</v>
      </c>
      <c r="AC241" t="s">
        <v>122</v>
      </c>
      <c r="AF241">
        <v>550</v>
      </c>
      <c r="AG241">
        <v>100</v>
      </c>
      <c r="AH241" t="s">
        <v>124</v>
      </c>
      <c r="AI241">
        <v>1</v>
      </c>
      <c r="AJ241">
        <v>55000</v>
      </c>
      <c r="AK241">
        <v>55000</v>
      </c>
      <c r="AL241">
        <v>0</v>
      </c>
      <c r="AM241">
        <v>0</v>
      </c>
      <c r="AN241">
        <v>0</v>
      </c>
      <c r="AO241">
        <v>0</v>
      </c>
      <c r="AP241">
        <v>77740.740000000005</v>
      </c>
      <c r="AQ241">
        <v>77740.740000000005</v>
      </c>
      <c r="AR241">
        <v>0</v>
      </c>
      <c r="AS241">
        <v>0</v>
      </c>
      <c r="AT241">
        <v>0</v>
      </c>
      <c r="AU241">
        <v>0</v>
      </c>
      <c r="AV241">
        <f>Table1[[#This Row],[CGST]]+Table1[[#This Row],[IGST]]+Table1[[#This Row],[SGST]]</f>
        <v>77740.740000000005</v>
      </c>
      <c r="AW241">
        <f t="shared" si="7"/>
        <v>141</v>
      </c>
      <c r="AX241">
        <v>0</v>
      </c>
      <c r="AY241">
        <v>509633.74</v>
      </c>
      <c r="AZ241" t="s">
        <v>125</v>
      </c>
      <c r="BA241" t="s">
        <v>10</v>
      </c>
      <c r="BB241" t="s">
        <v>126</v>
      </c>
      <c r="BC241" t="s">
        <v>127</v>
      </c>
      <c r="BD241" t="s">
        <v>128</v>
      </c>
      <c r="BE241" t="s">
        <v>18</v>
      </c>
      <c r="BF241" t="s">
        <v>237</v>
      </c>
      <c r="BH241">
        <v>0</v>
      </c>
    </row>
    <row r="242" spans="1:60" x14ac:dyDescent="0.25">
      <c r="A242" t="s">
        <v>120</v>
      </c>
      <c r="B242" t="s">
        <v>121</v>
      </c>
      <c r="C242">
        <v>1234</v>
      </c>
      <c r="D242" t="s">
        <v>347</v>
      </c>
      <c r="E24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42" t="s">
        <v>8</v>
      </c>
      <c r="G242" t="s">
        <v>347</v>
      </c>
      <c r="H242" t="str">
        <f t="shared" si="6"/>
        <v>SI-2/1900-1883</v>
      </c>
      <c r="I242" t="s">
        <v>122</v>
      </c>
      <c r="J242" t="s">
        <v>122</v>
      </c>
      <c r="K242" t="s">
        <v>122</v>
      </c>
      <c r="L242" t="s">
        <v>122</v>
      </c>
      <c r="M242" s="21">
        <v>44593</v>
      </c>
      <c r="N242" t="s">
        <v>123</v>
      </c>
      <c r="O242" t="s">
        <v>198</v>
      </c>
      <c r="P242" t="s">
        <v>199</v>
      </c>
      <c r="Q242" t="s">
        <v>122</v>
      </c>
      <c r="R242" t="s">
        <v>122</v>
      </c>
      <c r="U242">
        <v>1234</v>
      </c>
      <c r="V242">
        <v>0</v>
      </c>
      <c r="W242" t="s">
        <v>200</v>
      </c>
      <c r="X242" t="s">
        <v>9</v>
      </c>
      <c r="Y242" t="s">
        <v>60</v>
      </c>
      <c r="Z242" t="s">
        <v>122</v>
      </c>
      <c r="AA242" t="s">
        <v>122</v>
      </c>
      <c r="AB242" t="s">
        <v>122</v>
      </c>
      <c r="AC242" t="s">
        <v>122</v>
      </c>
      <c r="AF242">
        <v>50</v>
      </c>
      <c r="AG242">
        <v>100</v>
      </c>
      <c r="AH242" t="s">
        <v>124</v>
      </c>
      <c r="AI242">
        <v>1</v>
      </c>
      <c r="AJ242">
        <v>5000</v>
      </c>
      <c r="AK242">
        <v>5000</v>
      </c>
      <c r="AL242">
        <v>0</v>
      </c>
      <c r="AM242">
        <v>0</v>
      </c>
      <c r="AN242">
        <v>0</v>
      </c>
      <c r="AO242">
        <v>0</v>
      </c>
      <c r="AP242">
        <v>7652.7</v>
      </c>
      <c r="AQ242">
        <v>7652.7</v>
      </c>
      <c r="AR242">
        <v>0</v>
      </c>
      <c r="AS242">
        <v>0</v>
      </c>
      <c r="AT242">
        <v>0</v>
      </c>
      <c r="AU242">
        <v>0</v>
      </c>
      <c r="AV242">
        <f>Table1[[#This Row],[CGST]]+Table1[[#This Row],[IGST]]+Table1[[#This Row],[SGST]]</f>
        <v>7652.7</v>
      </c>
      <c r="AW242">
        <f t="shared" si="7"/>
        <v>153</v>
      </c>
      <c r="AX242">
        <v>0</v>
      </c>
      <c r="AY242">
        <v>50167.7</v>
      </c>
      <c r="AZ242" t="s">
        <v>125</v>
      </c>
      <c r="BA242" t="s">
        <v>10</v>
      </c>
      <c r="BB242" t="s">
        <v>126</v>
      </c>
      <c r="BC242" t="s">
        <v>127</v>
      </c>
      <c r="BD242" t="s">
        <v>128</v>
      </c>
      <c r="BE242" t="s">
        <v>14</v>
      </c>
      <c r="BF242" t="s">
        <v>316</v>
      </c>
      <c r="BH242">
        <v>0</v>
      </c>
    </row>
    <row r="243" spans="1:60" x14ac:dyDescent="0.25">
      <c r="A243" t="s">
        <v>120</v>
      </c>
      <c r="B243" t="s">
        <v>121</v>
      </c>
      <c r="C243">
        <v>1234</v>
      </c>
      <c r="D243" t="s">
        <v>347</v>
      </c>
      <c r="E24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43" t="s">
        <v>8</v>
      </c>
      <c r="G243" t="s">
        <v>347</v>
      </c>
      <c r="H243" t="str">
        <f t="shared" si="6"/>
        <v>SI-2/1900-1883</v>
      </c>
      <c r="I243" t="s">
        <v>122</v>
      </c>
      <c r="J243" t="s">
        <v>122</v>
      </c>
      <c r="K243" t="s">
        <v>122</v>
      </c>
      <c r="L243" t="s">
        <v>122</v>
      </c>
      <c r="M243" s="21">
        <v>44593</v>
      </c>
      <c r="N243" t="s">
        <v>123</v>
      </c>
      <c r="O243" t="s">
        <v>198</v>
      </c>
      <c r="P243" t="s">
        <v>199</v>
      </c>
      <c r="Q243" t="s">
        <v>122</v>
      </c>
      <c r="R243" t="s">
        <v>122</v>
      </c>
      <c r="U243">
        <v>1234</v>
      </c>
      <c r="V243">
        <v>0</v>
      </c>
      <c r="W243" t="s">
        <v>200</v>
      </c>
      <c r="X243" t="s">
        <v>9</v>
      </c>
      <c r="Y243" t="s">
        <v>60</v>
      </c>
      <c r="Z243" t="s">
        <v>122</v>
      </c>
      <c r="AA243" t="s">
        <v>122</v>
      </c>
      <c r="AB243" t="s">
        <v>122</v>
      </c>
      <c r="AC243" t="s">
        <v>122</v>
      </c>
      <c r="AF243">
        <v>8</v>
      </c>
      <c r="AG243">
        <v>100</v>
      </c>
      <c r="AH243" t="s">
        <v>124</v>
      </c>
      <c r="AI243">
        <v>1</v>
      </c>
      <c r="AJ243">
        <v>800</v>
      </c>
      <c r="AK243">
        <v>800</v>
      </c>
      <c r="AL243">
        <v>0</v>
      </c>
      <c r="AM243">
        <v>0</v>
      </c>
      <c r="AN243">
        <v>0</v>
      </c>
      <c r="AO243">
        <v>0</v>
      </c>
      <c r="AP243">
        <v>1400.4</v>
      </c>
      <c r="AQ243">
        <v>1400.4</v>
      </c>
      <c r="AR243">
        <v>0</v>
      </c>
      <c r="AS243">
        <v>0</v>
      </c>
      <c r="AT243">
        <v>0</v>
      </c>
      <c r="AU243">
        <v>0</v>
      </c>
      <c r="AV243">
        <f>Table1[[#This Row],[CGST]]+Table1[[#This Row],[IGST]]+Table1[[#This Row],[SGST]]</f>
        <v>1400.4</v>
      </c>
      <c r="AW243">
        <f t="shared" si="7"/>
        <v>175</v>
      </c>
      <c r="AX243">
        <v>0</v>
      </c>
      <c r="AY243">
        <v>9180.4</v>
      </c>
      <c r="AZ243" t="s">
        <v>125</v>
      </c>
      <c r="BA243" t="s">
        <v>10</v>
      </c>
      <c r="BB243" t="s">
        <v>126</v>
      </c>
      <c r="BC243" t="s">
        <v>127</v>
      </c>
      <c r="BD243" t="s">
        <v>128</v>
      </c>
      <c r="BE243" t="s">
        <v>14</v>
      </c>
      <c r="BF243" t="s">
        <v>316</v>
      </c>
      <c r="BH243">
        <v>0</v>
      </c>
    </row>
    <row r="244" spans="1:60" x14ac:dyDescent="0.25">
      <c r="A244" t="s">
        <v>120</v>
      </c>
      <c r="B244" t="s">
        <v>121</v>
      </c>
      <c r="C244">
        <v>1234</v>
      </c>
      <c r="D244" t="s">
        <v>348</v>
      </c>
      <c r="E244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44" t="s">
        <v>8</v>
      </c>
      <c r="G244" t="s">
        <v>348</v>
      </c>
      <c r="H244" t="str">
        <f t="shared" si="6"/>
        <v>SI-2/1900-1884</v>
      </c>
      <c r="I244" t="s">
        <v>122</v>
      </c>
      <c r="J244" t="s">
        <v>122</v>
      </c>
      <c r="K244" t="s">
        <v>122</v>
      </c>
      <c r="L244" t="s">
        <v>122</v>
      </c>
      <c r="M244" s="21">
        <v>44593</v>
      </c>
      <c r="N244" t="s">
        <v>123</v>
      </c>
      <c r="O244" t="s">
        <v>198</v>
      </c>
      <c r="P244" t="s">
        <v>199</v>
      </c>
      <c r="Q244" t="s">
        <v>122</v>
      </c>
      <c r="R244" t="s">
        <v>122</v>
      </c>
      <c r="U244">
        <v>1234</v>
      </c>
      <c r="V244">
        <v>0</v>
      </c>
      <c r="W244" t="s">
        <v>200</v>
      </c>
      <c r="X244" t="s">
        <v>9</v>
      </c>
      <c r="Y244" t="s">
        <v>60</v>
      </c>
      <c r="Z244" t="s">
        <v>122</v>
      </c>
      <c r="AA244" t="s">
        <v>122</v>
      </c>
      <c r="AB244" t="s">
        <v>122</v>
      </c>
      <c r="AC244" t="s">
        <v>122</v>
      </c>
      <c r="AF244">
        <v>1200</v>
      </c>
      <c r="AG244">
        <v>100</v>
      </c>
      <c r="AH244" t="s">
        <v>124</v>
      </c>
      <c r="AI244">
        <v>1</v>
      </c>
      <c r="AJ244">
        <v>120000</v>
      </c>
      <c r="AK244">
        <v>120000</v>
      </c>
      <c r="AL244">
        <v>0</v>
      </c>
      <c r="AM244">
        <v>106812</v>
      </c>
      <c r="AN244">
        <v>0</v>
      </c>
      <c r="AO244">
        <v>106812</v>
      </c>
      <c r="AP244">
        <v>0</v>
      </c>
      <c r="AQ244">
        <v>0</v>
      </c>
      <c r="AR244">
        <v>0</v>
      </c>
      <c r="AS244">
        <v>106812</v>
      </c>
      <c r="AT244">
        <v>0</v>
      </c>
      <c r="AU244">
        <v>106812</v>
      </c>
      <c r="AV244">
        <f>Table1[[#This Row],[CGST]]+Table1[[#This Row],[IGST]]+Table1[[#This Row],[SGST]]</f>
        <v>213624</v>
      </c>
      <c r="AW244">
        <f t="shared" si="7"/>
        <v>178</v>
      </c>
      <c r="AX244">
        <v>0</v>
      </c>
      <c r="AY244">
        <v>1400424</v>
      </c>
      <c r="AZ244" t="s">
        <v>129</v>
      </c>
      <c r="BA244" t="s">
        <v>10</v>
      </c>
      <c r="BB244" t="s">
        <v>126</v>
      </c>
      <c r="BC244" t="s">
        <v>127</v>
      </c>
      <c r="BD244" t="s">
        <v>128</v>
      </c>
      <c r="BE244" t="s">
        <v>12</v>
      </c>
      <c r="BF244" t="s">
        <v>316</v>
      </c>
      <c r="BH244">
        <v>0</v>
      </c>
    </row>
    <row r="245" spans="1:60" x14ac:dyDescent="0.25">
      <c r="A245" t="s">
        <v>120</v>
      </c>
      <c r="B245" t="s">
        <v>121</v>
      </c>
      <c r="C245">
        <v>1234</v>
      </c>
      <c r="D245" t="s">
        <v>349</v>
      </c>
      <c r="E245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45" t="s">
        <v>8</v>
      </c>
      <c r="G245" t="s">
        <v>349</v>
      </c>
      <c r="H245" t="str">
        <f t="shared" si="6"/>
        <v>SI-2/1900-1885</v>
      </c>
      <c r="I245" t="s">
        <v>122</v>
      </c>
      <c r="J245" t="s">
        <v>122</v>
      </c>
      <c r="K245" t="s">
        <v>122</v>
      </c>
      <c r="L245" t="s">
        <v>122</v>
      </c>
      <c r="M245" s="21">
        <v>44593</v>
      </c>
      <c r="N245" t="s">
        <v>123</v>
      </c>
      <c r="O245" t="s">
        <v>198</v>
      </c>
      <c r="P245" t="s">
        <v>199</v>
      </c>
      <c r="Q245" t="s">
        <v>122</v>
      </c>
      <c r="R245" t="s">
        <v>122</v>
      </c>
      <c r="U245">
        <v>1234</v>
      </c>
      <c r="V245">
        <v>0</v>
      </c>
      <c r="W245" t="s">
        <v>200</v>
      </c>
      <c r="X245" t="s">
        <v>9</v>
      </c>
      <c r="Y245" t="s">
        <v>60</v>
      </c>
      <c r="Z245" t="s">
        <v>122</v>
      </c>
      <c r="AA245" t="s">
        <v>122</v>
      </c>
      <c r="AB245" t="s">
        <v>122</v>
      </c>
      <c r="AC245" t="s">
        <v>122</v>
      </c>
      <c r="AF245">
        <v>360</v>
      </c>
      <c r="AG245">
        <v>100</v>
      </c>
      <c r="AH245" t="s">
        <v>124</v>
      </c>
      <c r="AI245">
        <v>1</v>
      </c>
      <c r="AJ245">
        <v>36000</v>
      </c>
      <c r="AK245">
        <v>36000</v>
      </c>
      <c r="AL245">
        <v>0</v>
      </c>
      <c r="AM245">
        <v>39583.08</v>
      </c>
      <c r="AN245">
        <v>0</v>
      </c>
      <c r="AO245">
        <v>39583.08</v>
      </c>
      <c r="AP245">
        <v>0</v>
      </c>
      <c r="AQ245">
        <v>0</v>
      </c>
      <c r="AR245">
        <v>0</v>
      </c>
      <c r="AS245">
        <v>39583.08</v>
      </c>
      <c r="AT245">
        <v>0</v>
      </c>
      <c r="AU245">
        <v>39583.08</v>
      </c>
      <c r="AV245">
        <f>Table1[[#This Row],[CGST]]+Table1[[#This Row],[IGST]]+Table1[[#This Row],[SGST]]</f>
        <v>79166.16</v>
      </c>
      <c r="AW245">
        <f t="shared" si="7"/>
        <v>220</v>
      </c>
      <c r="AX245">
        <v>0</v>
      </c>
      <c r="AY245">
        <v>518978.16</v>
      </c>
      <c r="AZ245" t="s">
        <v>129</v>
      </c>
      <c r="BA245" t="s">
        <v>10</v>
      </c>
      <c r="BB245" t="s">
        <v>126</v>
      </c>
      <c r="BC245" t="s">
        <v>127</v>
      </c>
      <c r="BD245" t="s">
        <v>128</v>
      </c>
      <c r="BE245" t="s">
        <v>12</v>
      </c>
      <c r="BF245" t="s">
        <v>316</v>
      </c>
      <c r="BH245">
        <v>0</v>
      </c>
    </row>
    <row r="246" spans="1:60" x14ac:dyDescent="0.25">
      <c r="A246" t="s">
        <v>120</v>
      </c>
      <c r="B246" t="s">
        <v>121</v>
      </c>
      <c r="C246">
        <v>1234</v>
      </c>
      <c r="D246" t="s">
        <v>349</v>
      </c>
      <c r="E246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46" t="s">
        <v>8</v>
      </c>
      <c r="G246" t="s">
        <v>349</v>
      </c>
      <c r="H246" t="str">
        <f t="shared" si="6"/>
        <v>SI-2/1900-1885</v>
      </c>
      <c r="I246" t="s">
        <v>122</v>
      </c>
      <c r="J246" t="s">
        <v>122</v>
      </c>
      <c r="K246" t="s">
        <v>122</v>
      </c>
      <c r="L246" t="s">
        <v>122</v>
      </c>
      <c r="M246" s="21">
        <v>44593</v>
      </c>
      <c r="N246" t="s">
        <v>123</v>
      </c>
      <c r="O246" t="s">
        <v>198</v>
      </c>
      <c r="P246" t="s">
        <v>199</v>
      </c>
      <c r="Q246" t="s">
        <v>122</v>
      </c>
      <c r="R246" t="s">
        <v>122</v>
      </c>
      <c r="U246">
        <v>1234</v>
      </c>
      <c r="V246">
        <v>0</v>
      </c>
      <c r="W246" t="s">
        <v>200</v>
      </c>
      <c r="X246" t="s">
        <v>9</v>
      </c>
      <c r="Y246" t="s">
        <v>60</v>
      </c>
      <c r="Z246" t="s">
        <v>122</v>
      </c>
      <c r="AA246" t="s">
        <v>122</v>
      </c>
      <c r="AB246" t="s">
        <v>122</v>
      </c>
      <c r="AC246" t="s">
        <v>122</v>
      </c>
      <c r="AF246">
        <v>104</v>
      </c>
      <c r="AG246">
        <v>100</v>
      </c>
      <c r="AH246" t="s">
        <v>124</v>
      </c>
      <c r="AI246">
        <v>1</v>
      </c>
      <c r="AJ246">
        <v>10400</v>
      </c>
      <c r="AK246">
        <v>10400</v>
      </c>
      <c r="AL246">
        <v>0</v>
      </c>
      <c r="AM246">
        <v>9257.0400000000009</v>
      </c>
      <c r="AN246">
        <v>0</v>
      </c>
      <c r="AO246">
        <v>9257.0400000000009</v>
      </c>
      <c r="AP246">
        <v>0</v>
      </c>
      <c r="AQ246">
        <v>0</v>
      </c>
      <c r="AR246">
        <v>0</v>
      </c>
      <c r="AS246">
        <v>9257.0400000000009</v>
      </c>
      <c r="AT246">
        <v>0</v>
      </c>
      <c r="AU246">
        <v>9257.0400000000009</v>
      </c>
      <c r="AV246">
        <f>Table1[[#This Row],[CGST]]+Table1[[#This Row],[IGST]]+Table1[[#This Row],[SGST]]</f>
        <v>18514.080000000002</v>
      </c>
      <c r="AW246">
        <f t="shared" si="7"/>
        <v>178</v>
      </c>
      <c r="AX246">
        <v>0</v>
      </c>
      <c r="AY246">
        <v>121370.08</v>
      </c>
      <c r="AZ246" t="s">
        <v>129</v>
      </c>
      <c r="BA246" t="s">
        <v>10</v>
      </c>
      <c r="BB246" t="s">
        <v>126</v>
      </c>
      <c r="BC246" t="s">
        <v>127</v>
      </c>
      <c r="BD246" t="s">
        <v>128</v>
      </c>
      <c r="BE246" t="s">
        <v>12</v>
      </c>
      <c r="BF246" t="s">
        <v>316</v>
      </c>
      <c r="BH246">
        <v>0</v>
      </c>
    </row>
    <row r="247" spans="1:60" x14ac:dyDescent="0.25">
      <c r="A247" t="s">
        <v>120</v>
      </c>
      <c r="B247" t="s">
        <v>121</v>
      </c>
      <c r="C247">
        <v>1234</v>
      </c>
      <c r="D247" t="s">
        <v>349</v>
      </c>
      <c r="E247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47" t="s">
        <v>8</v>
      </c>
      <c r="G247" t="s">
        <v>349</v>
      </c>
      <c r="H247" t="str">
        <f t="shared" si="6"/>
        <v>SI-2/1900-1885</v>
      </c>
      <c r="I247" t="s">
        <v>122</v>
      </c>
      <c r="J247" t="s">
        <v>122</v>
      </c>
      <c r="K247" t="s">
        <v>122</v>
      </c>
      <c r="L247" t="s">
        <v>122</v>
      </c>
      <c r="M247" s="21">
        <v>44593</v>
      </c>
      <c r="N247" t="s">
        <v>123</v>
      </c>
      <c r="O247" t="s">
        <v>198</v>
      </c>
      <c r="P247" t="s">
        <v>199</v>
      </c>
      <c r="Q247" t="s">
        <v>122</v>
      </c>
      <c r="R247" t="s">
        <v>122</v>
      </c>
      <c r="U247">
        <v>1234</v>
      </c>
      <c r="V247">
        <v>0</v>
      </c>
      <c r="W247" t="s">
        <v>200</v>
      </c>
      <c r="X247" t="s">
        <v>9</v>
      </c>
      <c r="Y247" t="s">
        <v>60</v>
      </c>
      <c r="Z247" t="s">
        <v>122</v>
      </c>
      <c r="AA247" t="s">
        <v>122</v>
      </c>
      <c r="AB247" t="s">
        <v>122</v>
      </c>
      <c r="AC247" t="s">
        <v>122</v>
      </c>
      <c r="AF247">
        <v>236</v>
      </c>
      <c r="AG247">
        <v>100</v>
      </c>
      <c r="AH247" t="s">
        <v>124</v>
      </c>
      <c r="AI247">
        <v>1</v>
      </c>
      <c r="AJ247">
        <v>23600</v>
      </c>
      <c r="AK247">
        <v>23600</v>
      </c>
      <c r="AL247">
        <v>0</v>
      </c>
      <c r="AM247">
        <v>23070.89</v>
      </c>
      <c r="AN247">
        <v>0</v>
      </c>
      <c r="AO247">
        <v>23070.89</v>
      </c>
      <c r="AP247">
        <v>0</v>
      </c>
      <c r="AQ247">
        <v>0</v>
      </c>
      <c r="AR247">
        <v>0</v>
      </c>
      <c r="AS247">
        <v>23070.89</v>
      </c>
      <c r="AT247">
        <v>0</v>
      </c>
      <c r="AU247">
        <v>23070.89</v>
      </c>
      <c r="AV247">
        <f>Table1[[#This Row],[CGST]]+Table1[[#This Row],[IGST]]+Table1[[#This Row],[SGST]]</f>
        <v>46141.78</v>
      </c>
      <c r="AW247">
        <f t="shared" si="7"/>
        <v>196</v>
      </c>
      <c r="AX247">
        <v>0</v>
      </c>
      <c r="AY247">
        <v>302484.98</v>
      </c>
      <c r="AZ247" t="s">
        <v>129</v>
      </c>
      <c r="BA247" t="s">
        <v>10</v>
      </c>
      <c r="BB247" t="s">
        <v>126</v>
      </c>
      <c r="BC247" t="s">
        <v>127</v>
      </c>
      <c r="BD247" t="s">
        <v>128</v>
      </c>
      <c r="BE247" t="s">
        <v>12</v>
      </c>
      <c r="BF247" t="s">
        <v>316</v>
      </c>
      <c r="BH247">
        <v>0</v>
      </c>
    </row>
    <row r="248" spans="1:60" x14ac:dyDescent="0.25">
      <c r="A248" t="s">
        <v>120</v>
      </c>
      <c r="B248" t="s">
        <v>121</v>
      </c>
      <c r="C248">
        <v>1234</v>
      </c>
      <c r="D248" t="s">
        <v>349</v>
      </c>
      <c r="E248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48" t="s">
        <v>8</v>
      </c>
      <c r="G248" t="s">
        <v>349</v>
      </c>
      <c r="H248" t="str">
        <f t="shared" si="6"/>
        <v>SI-2/1900-1885</v>
      </c>
      <c r="I248" t="s">
        <v>122</v>
      </c>
      <c r="J248" t="s">
        <v>122</v>
      </c>
      <c r="K248" t="s">
        <v>122</v>
      </c>
      <c r="L248" t="s">
        <v>122</v>
      </c>
      <c r="M248" s="21">
        <v>44593</v>
      </c>
      <c r="N248" t="s">
        <v>123</v>
      </c>
      <c r="O248" t="s">
        <v>198</v>
      </c>
      <c r="P248" t="s">
        <v>199</v>
      </c>
      <c r="Q248" t="s">
        <v>122</v>
      </c>
      <c r="R248" t="s">
        <v>122</v>
      </c>
      <c r="U248">
        <v>1234</v>
      </c>
      <c r="V248">
        <v>0</v>
      </c>
      <c r="W248" t="s">
        <v>200</v>
      </c>
      <c r="X248" t="s">
        <v>9</v>
      </c>
      <c r="Y248" t="s">
        <v>60</v>
      </c>
      <c r="Z248" t="s">
        <v>122</v>
      </c>
      <c r="AA248" t="s">
        <v>122</v>
      </c>
      <c r="AB248" t="s">
        <v>122</v>
      </c>
      <c r="AC248" t="s">
        <v>122</v>
      </c>
      <c r="AF248">
        <v>258</v>
      </c>
      <c r="AG248">
        <v>100</v>
      </c>
      <c r="AH248" t="s">
        <v>124</v>
      </c>
      <c r="AI248">
        <v>1</v>
      </c>
      <c r="AJ248">
        <v>25800</v>
      </c>
      <c r="AK248">
        <v>25800</v>
      </c>
      <c r="AL248">
        <v>0</v>
      </c>
      <c r="AM248">
        <v>25184.41</v>
      </c>
      <c r="AN248">
        <v>0</v>
      </c>
      <c r="AO248">
        <v>25184.41</v>
      </c>
      <c r="AP248">
        <v>0</v>
      </c>
      <c r="AQ248">
        <v>0</v>
      </c>
      <c r="AR248">
        <v>0</v>
      </c>
      <c r="AS248">
        <v>25184.41</v>
      </c>
      <c r="AT248">
        <v>0</v>
      </c>
      <c r="AU248">
        <v>25184.41</v>
      </c>
      <c r="AV248">
        <f>Table1[[#This Row],[CGST]]+Table1[[#This Row],[IGST]]+Table1[[#This Row],[SGST]]</f>
        <v>50368.82</v>
      </c>
      <c r="AW248">
        <f t="shared" si="7"/>
        <v>195</v>
      </c>
      <c r="AX248">
        <v>0</v>
      </c>
      <c r="AY248">
        <v>330195.62</v>
      </c>
      <c r="AZ248" t="s">
        <v>129</v>
      </c>
      <c r="BA248" t="s">
        <v>10</v>
      </c>
      <c r="BB248" t="s">
        <v>126</v>
      </c>
      <c r="BC248" t="s">
        <v>127</v>
      </c>
      <c r="BD248" t="s">
        <v>128</v>
      </c>
      <c r="BE248" t="s">
        <v>12</v>
      </c>
      <c r="BF248" t="s">
        <v>205</v>
      </c>
      <c r="BH248">
        <v>0</v>
      </c>
    </row>
    <row r="249" spans="1:60" x14ac:dyDescent="0.25">
      <c r="A249" t="s">
        <v>120</v>
      </c>
      <c r="B249" t="s">
        <v>121</v>
      </c>
      <c r="C249">
        <v>1234</v>
      </c>
      <c r="D249" t="s">
        <v>349</v>
      </c>
      <c r="E249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49" t="s">
        <v>8</v>
      </c>
      <c r="G249" t="s">
        <v>349</v>
      </c>
      <c r="H249" t="str">
        <f t="shared" si="6"/>
        <v>SI-2/1900-1885</v>
      </c>
      <c r="I249" t="s">
        <v>122</v>
      </c>
      <c r="J249" t="s">
        <v>122</v>
      </c>
      <c r="K249" t="s">
        <v>122</v>
      </c>
      <c r="L249" t="s">
        <v>122</v>
      </c>
      <c r="M249" s="21">
        <v>44593</v>
      </c>
      <c r="N249" t="s">
        <v>123</v>
      </c>
      <c r="O249" t="s">
        <v>198</v>
      </c>
      <c r="P249" t="s">
        <v>199</v>
      </c>
      <c r="Q249" t="s">
        <v>122</v>
      </c>
      <c r="R249" t="s">
        <v>122</v>
      </c>
      <c r="U249">
        <v>1234</v>
      </c>
      <c r="V249">
        <v>0</v>
      </c>
      <c r="W249" t="s">
        <v>200</v>
      </c>
      <c r="X249" t="s">
        <v>9</v>
      </c>
      <c r="Y249" t="s">
        <v>60</v>
      </c>
      <c r="Z249" t="s">
        <v>122</v>
      </c>
      <c r="AA249" t="s">
        <v>122</v>
      </c>
      <c r="AB249" t="s">
        <v>122</v>
      </c>
      <c r="AC249" t="s">
        <v>122</v>
      </c>
      <c r="AF249">
        <v>138</v>
      </c>
      <c r="AG249">
        <v>100</v>
      </c>
      <c r="AH249" t="s">
        <v>124</v>
      </c>
      <c r="AI249">
        <v>1</v>
      </c>
      <c r="AJ249">
        <v>13800</v>
      </c>
      <c r="AK249">
        <v>13800</v>
      </c>
      <c r="AL249">
        <v>0</v>
      </c>
      <c r="AM249">
        <v>11277.36</v>
      </c>
      <c r="AN249">
        <v>0</v>
      </c>
      <c r="AO249">
        <v>11277.36</v>
      </c>
      <c r="AP249">
        <v>0</v>
      </c>
      <c r="AQ249">
        <v>0</v>
      </c>
      <c r="AR249">
        <v>0</v>
      </c>
      <c r="AS249">
        <v>11277.36</v>
      </c>
      <c r="AT249">
        <v>0</v>
      </c>
      <c r="AU249">
        <v>11277.36</v>
      </c>
      <c r="AV249">
        <f>Table1[[#This Row],[CGST]]+Table1[[#This Row],[IGST]]+Table1[[#This Row],[SGST]]</f>
        <v>22554.720000000001</v>
      </c>
      <c r="AW249">
        <f t="shared" si="7"/>
        <v>163</v>
      </c>
      <c r="AX249">
        <v>0</v>
      </c>
      <c r="AY249">
        <v>147858.72</v>
      </c>
      <c r="AZ249" t="s">
        <v>129</v>
      </c>
      <c r="BA249" t="s">
        <v>10</v>
      </c>
      <c r="BB249" t="s">
        <v>126</v>
      </c>
      <c r="BC249" t="s">
        <v>127</v>
      </c>
      <c r="BD249" t="s">
        <v>128</v>
      </c>
      <c r="BE249" t="s">
        <v>12</v>
      </c>
      <c r="BF249" t="s">
        <v>211</v>
      </c>
      <c r="BH249">
        <v>0</v>
      </c>
    </row>
    <row r="250" spans="1:60" x14ac:dyDescent="0.25">
      <c r="A250" t="s">
        <v>120</v>
      </c>
      <c r="B250" t="s">
        <v>121</v>
      </c>
      <c r="C250">
        <v>1234</v>
      </c>
      <c r="D250" t="s">
        <v>350</v>
      </c>
      <c r="E250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50" t="s">
        <v>8</v>
      </c>
      <c r="G250" t="s">
        <v>350</v>
      </c>
      <c r="H250" t="str">
        <f t="shared" si="6"/>
        <v>SI-2/1900-1886</v>
      </c>
      <c r="I250" t="s">
        <v>122</v>
      </c>
      <c r="J250" t="s">
        <v>122</v>
      </c>
      <c r="K250" t="s">
        <v>122</v>
      </c>
      <c r="L250" t="s">
        <v>122</v>
      </c>
      <c r="M250" s="21">
        <v>44593</v>
      </c>
      <c r="N250" t="s">
        <v>123</v>
      </c>
      <c r="O250" t="s">
        <v>198</v>
      </c>
      <c r="P250" t="s">
        <v>199</v>
      </c>
      <c r="Q250" t="s">
        <v>122</v>
      </c>
      <c r="R250" t="s">
        <v>122</v>
      </c>
      <c r="U250">
        <v>1234</v>
      </c>
      <c r="V250">
        <v>0</v>
      </c>
      <c r="W250" t="s">
        <v>200</v>
      </c>
      <c r="X250" t="s">
        <v>9</v>
      </c>
      <c r="Y250" t="s">
        <v>60</v>
      </c>
      <c r="Z250" t="s">
        <v>122</v>
      </c>
      <c r="AA250" t="s">
        <v>122</v>
      </c>
      <c r="AB250" t="s">
        <v>122</v>
      </c>
      <c r="AC250" t="s">
        <v>122</v>
      </c>
      <c r="AF250">
        <v>1050</v>
      </c>
      <c r="AG250">
        <v>100</v>
      </c>
      <c r="AH250" t="s">
        <v>124</v>
      </c>
      <c r="AI250">
        <v>1</v>
      </c>
      <c r="AJ250">
        <v>105000</v>
      </c>
      <c r="AK250">
        <v>105000</v>
      </c>
      <c r="AL250">
        <v>0</v>
      </c>
      <c r="AM250">
        <v>0</v>
      </c>
      <c r="AN250">
        <v>0</v>
      </c>
      <c r="AO250">
        <v>0</v>
      </c>
      <c r="AP250">
        <v>136945.62</v>
      </c>
      <c r="AQ250">
        <v>136945.62</v>
      </c>
      <c r="AR250">
        <v>0</v>
      </c>
      <c r="AS250">
        <v>0</v>
      </c>
      <c r="AT250">
        <v>0</v>
      </c>
      <c r="AU250">
        <v>0</v>
      </c>
      <c r="AV250">
        <f>Table1[[#This Row],[CGST]]+Table1[[#This Row],[IGST]]+Table1[[#This Row],[SGST]]</f>
        <v>136945.62</v>
      </c>
      <c r="AW250">
        <f t="shared" si="7"/>
        <v>130</v>
      </c>
      <c r="AX250">
        <v>0</v>
      </c>
      <c r="AY250">
        <v>897754.62</v>
      </c>
      <c r="AZ250" t="s">
        <v>125</v>
      </c>
      <c r="BA250" t="s">
        <v>10</v>
      </c>
      <c r="BB250" t="s">
        <v>126</v>
      </c>
      <c r="BC250" t="s">
        <v>127</v>
      </c>
      <c r="BD250" t="s">
        <v>128</v>
      </c>
      <c r="BE250" t="s">
        <v>13</v>
      </c>
      <c r="BF250" t="s">
        <v>211</v>
      </c>
      <c r="BH250">
        <v>0</v>
      </c>
    </row>
    <row r="251" spans="1:60" x14ac:dyDescent="0.25">
      <c r="A251" t="s">
        <v>120</v>
      </c>
      <c r="B251" t="s">
        <v>121</v>
      </c>
      <c r="C251">
        <v>1234</v>
      </c>
      <c r="D251" t="s">
        <v>351</v>
      </c>
      <c r="E251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51" t="s">
        <v>8</v>
      </c>
      <c r="G251" t="s">
        <v>351</v>
      </c>
      <c r="H251" t="str">
        <f t="shared" si="6"/>
        <v>SI-2/1900-1887</v>
      </c>
      <c r="I251" t="s">
        <v>122</v>
      </c>
      <c r="J251" t="s">
        <v>122</v>
      </c>
      <c r="K251" t="s">
        <v>122</v>
      </c>
      <c r="L251" t="s">
        <v>122</v>
      </c>
      <c r="M251" s="21">
        <v>44593</v>
      </c>
      <c r="N251" t="s">
        <v>123</v>
      </c>
      <c r="O251" t="s">
        <v>198</v>
      </c>
      <c r="P251" t="s">
        <v>199</v>
      </c>
      <c r="Q251" t="s">
        <v>122</v>
      </c>
      <c r="R251" t="s">
        <v>122</v>
      </c>
      <c r="U251">
        <v>1234</v>
      </c>
      <c r="V251">
        <v>0</v>
      </c>
      <c r="W251" t="s">
        <v>200</v>
      </c>
      <c r="X251" t="s">
        <v>9</v>
      </c>
      <c r="Y251" t="s">
        <v>60</v>
      </c>
      <c r="Z251" t="s">
        <v>122</v>
      </c>
      <c r="AA251" t="s">
        <v>122</v>
      </c>
      <c r="AB251" t="s">
        <v>122</v>
      </c>
      <c r="AC251" t="s">
        <v>122</v>
      </c>
      <c r="AF251">
        <v>660</v>
      </c>
      <c r="AG251">
        <v>100</v>
      </c>
      <c r="AH251" t="s">
        <v>124</v>
      </c>
      <c r="AI251">
        <v>1</v>
      </c>
      <c r="AJ251">
        <v>66000</v>
      </c>
      <c r="AK251">
        <v>66000</v>
      </c>
      <c r="AL251">
        <v>0</v>
      </c>
      <c r="AM251">
        <v>0</v>
      </c>
      <c r="AN251">
        <v>0</v>
      </c>
      <c r="AO251">
        <v>0</v>
      </c>
      <c r="AP251">
        <v>113193.83</v>
      </c>
      <c r="AQ251">
        <v>113193.83</v>
      </c>
      <c r="AR251">
        <v>0</v>
      </c>
      <c r="AS251">
        <v>0</v>
      </c>
      <c r="AT251">
        <v>0</v>
      </c>
      <c r="AU251">
        <v>0</v>
      </c>
      <c r="AV251">
        <f>Table1[[#This Row],[CGST]]+Table1[[#This Row],[IGST]]+Table1[[#This Row],[SGST]]</f>
        <v>113193.83</v>
      </c>
      <c r="AW251">
        <f t="shared" si="7"/>
        <v>172</v>
      </c>
      <c r="AX251">
        <v>0</v>
      </c>
      <c r="AY251">
        <v>742048.43</v>
      </c>
      <c r="AZ251" t="s">
        <v>125</v>
      </c>
      <c r="BA251" t="s">
        <v>10</v>
      </c>
      <c r="BB251" t="s">
        <v>126</v>
      </c>
      <c r="BC251" t="s">
        <v>127</v>
      </c>
      <c r="BD251" t="s">
        <v>128</v>
      </c>
      <c r="BE251" t="s">
        <v>16</v>
      </c>
      <c r="BF251" t="s">
        <v>213</v>
      </c>
      <c r="BH251">
        <v>0</v>
      </c>
    </row>
    <row r="252" spans="1:60" x14ac:dyDescent="0.25">
      <c r="A252" t="s">
        <v>120</v>
      </c>
      <c r="B252" t="s">
        <v>121</v>
      </c>
      <c r="C252">
        <v>1234</v>
      </c>
      <c r="D252" t="s">
        <v>351</v>
      </c>
      <c r="E252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52" t="s">
        <v>8</v>
      </c>
      <c r="G252" t="s">
        <v>351</v>
      </c>
      <c r="H252" t="str">
        <f t="shared" si="6"/>
        <v>SI-2/1900-1887</v>
      </c>
      <c r="I252" t="s">
        <v>122</v>
      </c>
      <c r="J252" t="s">
        <v>122</v>
      </c>
      <c r="K252" t="s">
        <v>122</v>
      </c>
      <c r="L252" t="s">
        <v>122</v>
      </c>
      <c r="M252" s="21">
        <v>44593</v>
      </c>
      <c r="N252" t="s">
        <v>123</v>
      </c>
      <c r="O252" t="s">
        <v>198</v>
      </c>
      <c r="P252" t="s">
        <v>199</v>
      </c>
      <c r="Q252" t="s">
        <v>122</v>
      </c>
      <c r="R252" t="s">
        <v>122</v>
      </c>
      <c r="U252">
        <v>1234</v>
      </c>
      <c r="V252">
        <v>0</v>
      </c>
      <c r="W252" t="s">
        <v>200</v>
      </c>
      <c r="X252" t="s">
        <v>9</v>
      </c>
      <c r="Y252" t="s">
        <v>60</v>
      </c>
      <c r="Z252" t="s">
        <v>122</v>
      </c>
      <c r="AA252" t="s">
        <v>122</v>
      </c>
      <c r="AB252" t="s">
        <v>122</v>
      </c>
      <c r="AC252" t="s">
        <v>122</v>
      </c>
      <c r="AF252">
        <v>25</v>
      </c>
      <c r="AG252">
        <v>100</v>
      </c>
      <c r="AH252" t="s">
        <v>124</v>
      </c>
      <c r="AI252">
        <v>1</v>
      </c>
      <c r="AJ252">
        <v>2500</v>
      </c>
      <c r="AK252">
        <v>2500</v>
      </c>
      <c r="AL252">
        <v>0</v>
      </c>
      <c r="AM252">
        <v>0</v>
      </c>
      <c r="AN252">
        <v>0</v>
      </c>
      <c r="AO252">
        <v>0</v>
      </c>
      <c r="AP252">
        <v>3695.85</v>
      </c>
      <c r="AQ252">
        <v>3695.85</v>
      </c>
      <c r="AR252">
        <v>0</v>
      </c>
      <c r="AS252">
        <v>0</v>
      </c>
      <c r="AT252">
        <v>0</v>
      </c>
      <c r="AU252">
        <v>0</v>
      </c>
      <c r="AV252">
        <f>Table1[[#This Row],[CGST]]+Table1[[#This Row],[IGST]]+Table1[[#This Row],[SGST]]</f>
        <v>3695.85</v>
      </c>
      <c r="AW252">
        <f t="shared" si="7"/>
        <v>148</v>
      </c>
      <c r="AX252">
        <v>0</v>
      </c>
      <c r="AY252">
        <v>24228.35</v>
      </c>
      <c r="AZ252" t="s">
        <v>125</v>
      </c>
      <c r="BA252" t="s">
        <v>10</v>
      </c>
      <c r="BB252" t="s">
        <v>126</v>
      </c>
      <c r="BC252" t="s">
        <v>127</v>
      </c>
      <c r="BD252" t="s">
        <v>128</v>
      </c>
      <c r="BE252" t="s">
        <v>16</v>
      </c>
      <c r="BF252" t="s">
        <v>211</v>
      </c>
      <c r="BH252">
        <v>0</v>
      </c>
    </row>
    <row r="253" spans="1:60" x14ac:dyDescent="0.25">
      <c r="A253" t="s">
        <v>120</v>
      </c>
      <c r="B253" t="s">
        <v>121</v>
      </c>
      <c r="C253">
        <v>1234</v>
      </c>
      <c r="D253" t="s">
        <v>352</v>
      </c>
      <c r="E253" t="str">
        <f>IF(Table1[[#This Row],[Inv. Pfx.]]="SI-2","Invoices for outward supply",IF(Table1[[#This Row],[Inv. Pfx.]]="DN2","Debit Note",IF(Table1[[#This Row],[Inv. Pfx.]]="CN2","Credit Note","Please update")))</f>
        <v>Invoices for outward supply</v>
      </c>
      <c r="F253" t="s">
        <v>8</v>
      </c>
      <c r="G253" t="s">
        <v>352</v>
      </c>
      <c r="H253" t="str">
        <f t="shared" si="6"/>
        <v>SI-2/1900-1888</v>
      </c>
      <c r="I253" t="s">
        <v>122</v>
      </c>
      <c r="J253" t="s">
        <v>122</v>
      </c>
      <c r="K253" t="s">
        <v>122</v>
      </c>
      <c r="L253" t="s">
        <v>122</v>
      </c>
      <c r="M253" s="21">
        <v>44593</v>
      </c>
      <c r="N253" t="s">
        <v>123</v>
      </c>
      <c r="O253" t="s">
        <v>198</v>
      </c>
      <c r="P253" t="s">
        <v>199</v>
      </c>
      <c r="Q253" t="s">
        <v>122</v>
      </c>
      <c r="R253" t="s">
        <v>122</v>
      </c>
      <c r="U253">
        <v>1234</v>
      </c>
      <c r="V253">
        <v>0</v>
      </c>
      <c r="W253" t="s">
        <v>200</v>
      </c>
      <c r="X253" t="s">
        <v>9</v>
      </c>
      <c r="Y253" t="s">
        <v>60</v>
      </c>
      <c r="Z253" t="s">
        <v>122</v>
      </c>
      <c r="AA253" t="s">
        <v>122</v>
      </c>
      <c r="AB253" t="s">
        <v>122</v>
      </c>
      <c r="AC253" t="s">
        <v>122</v>
      </c>
      <c r="AF253">
        <v>1800</v>
      </c>
      <c r="AG253">
        <v>100</v>
      </c>
      <c r="AH253" t="s">
        <v>124</v>
      </c>
      <c r="AI253">
        <v>1</v>
      </c>
      <c r="AJ253">
        <v>180000</v>
      </c>
      <c r="AK253">
        <v>180000</v>
      </c>
      <c r="AL253">
        <v>0</v>
      </c>
      <c r="AM253">
        <v>0</v>
      </c>
      <c r="AN253">
        <v>0</v>
      </c>
      <c r="AO253">
        <v>0</v>
      </c>
      <c r="AP253">
        <v>154159.20000000001</v>
      </c>
      <c r="AQ253">
        <v>154159.20000000001</v>
      </c>
      <c r="AR253">
        <v>0</v>
      </c>
      <c r="AS253">
        <v>0</v>
      </c>
      <c r="AT253">
        <v>0</v>
      </c>
      <c r="AU253">
        <v>0</v>
      </c>
      <c r="AV253">
        <f>Table1[[#This Row],[CGST]]+Table1[[#This Row],[IGST]]+Table1[[#This Row],[SGST]]</f>
        <v>154159.20000000001</v>
      </c>
      <c r="AW253">
        <f t="shared" si="7"/>
        <v>86</v>
      </c>
      <c r="AX253">
        <v>0</v>
      </c>
      <c r="AY253">
        <v>1010599.2</v>
      </c>
      <c r="AZ253" t="s">
        <v>125</v>
      </c>
      <c r="BA253" t="s">
        <v>10</v>
      </c>
      <c r="BB253" t="s">
        <v>126</v>
      </c>
      <c r="BC253" t="s">
        <v>127</v>
      </c>
      <c r="BD253" t="s">
        <v>128</v>
      </c>
      <c r="BE253" t="s">
        <v>16</v>
      </c>
      <c r="BF253" t="s">
        <v>213</v>
      </c>
      <c r="BH253">
        <v>0</v>
      </c>
    </row>
  </sheetData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Dashboard</vt:lpstr>
      <vt:lpstr>Dashboard</vt:lpstr>
      <vt:lpstr>Events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Vishal Sharma</cp:lastModifiedBy>
  <dcterms:created xsi:type="dcterms:W3CDTF">2020-12-07T05:39:07Z</dcterms:created>
  <dcterms:modified xsi:type="dcterms:W3CDTF">2022-05-18T07:51:46Z</dcterms:modified>
</cp:coreProperties>
</file>