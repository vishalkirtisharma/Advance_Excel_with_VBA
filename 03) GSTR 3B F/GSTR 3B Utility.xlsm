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shal Sharma\Desktop\New folder (8)\03) GSTR 3B\"/>
    </mc:Choice>
  </mc:AlternateContent>
  <bookViews>
    <workbookView xWindow="0" yWindow="0" windowWidth="20490" windowHeight="7755" tabRatio="547" firstSheet="7" activeTab="7"/>
  </bookViews>
  <sheets>
    <sheet name="HSN" sheetId="13" state="veryHidden" r:id="rId1"/>
    <sheet name="RCM" sheetId="6" state="veryHidden" r:id="rId2"/>
    <sheet name="Not in GST" sheetId="8" state="veryHidden" r:id="rId3"/>
    <sheet name="Exempt" sheetId="7" state="veryHidden" r:id="rId4"/>
    <sheet name="NON GST" sheetId="5" state="veryHidden" r:id="rId5"/>
    <sheet name="Input" sheetId="4" state="veryHidden" r:id="rId6"/>
    <sheet name="Ineligible" sheetId="3" state="veryHidden" r:id="rId7"/>
    <sheet name="FORM GSTR-3B " sheetId="10" r:id="rId8"/>
    <sheet name="Import" sheetId="14" state="veryHidden" r:id="rId9"/>
    <sheet name="Working" sheetId="2" r:id="rId10"/>
    <sheet name="Temp" sheetId="16" state="veryHidden" r:id="rId11"/>
    <sheet name="Mis" sheetId="12" state="veryHidden" r:id="rId12"/>
  </sheets>
  <definedNames>
    <definedName name="_xlnm._FilterDatabase" localSheetId="10" hidden="1">Temp!$A$1:$BF$452</definedName>
    <definedName name="_xlnm._FilterDatabase" localSheetId="9" hidden="1">Working!#REF!</definedName>
    <definedName name="Mylist">Mis!$G$1:$G$8</definedName>
    <definedName name="Print">'FORM GSTR-3B '!$A$1:$AK$101</definedName>
  </definedNames>
  <calcPr calcId="152511"/>
  <pivotCaches>
    <pivotCache cacheId="44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" i="2" l="1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09" i="2"/>
  <c r="AF210" i="2"/>
  <c r="AF211" i="2"/>
  <c r="AF212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F240" i="2"/>
  <c r="AF241" i="2"/>
  <c r="AF242" i="2"/>
  <c r="AF243" i="2"/>
  <c r="AF244" i="2"/>
  <c r="AF245" i="2"/>
  <c r="AF246" i="2"/>
  <c r="AF247" i="2"/>
  <c r="AF248" i="2"/>
  <c r="AF249" i="2"/>
  <c r="AF250" i="2"/>
  <c r="AF251" i="2"/>
  <c r="AF252" i="2"/>
  <c r="AF253" i="2"/>
  <c r="AF254" i="2"/>
  <c r="AF255" i="2"/>
  <c r="AF256" i="2"/>
  <c r="AF257" i="2"/>
  <c r="AF258" i="2"/>
  <c r="AF259" i="2"/>
  <c r="AF260" i="2"/>
  <c r="AF261" i="2"/>
  <c r="AF262" i="2"/>
  <c r="AF263" i="2"/>
  <c r="AF264" i="2"/>
  <c r="AF265" i="2"/>
  <c r="AF266" i="2"/>
  <c r="AF267" i="2"/>
  <c r="AF268" i="2"/>
  <c r="AF269" i="2"/>
  <c r="AF270" i="2"/>
  <c r="AF271" i="2"/>
  <c r="AF272" i="2"/>
  <c r="AF273" i="2"/>
  <c r="AF274" i="2"/>
  <c r="AF275" i="2"/>
  <c r="AF276" i="2"/>
  <c r="AF277" i="2"/>
  <c r="AF278" i="2"/>
  <c r="AF279" i="2"/>
  <c r="AF280" i="2"/>
  <c r="AF281" i="2"/>
  <c r="AF282" i="2"/>
  <c r="AF283" i="2"/>
  <c r="AF284" i="2"/>
  <c r="AF285" i="2"/>
  <c r="AF286" i="2"/>
  <c r="AF287" i="2"/>
  <c r="AF288" i="2"/>
  <c r="AF289" i="2"/>
  <c r="AF290" i="2"/>
  <c r="AF291" i="2"/>
  <c r="AF292" i="2"/>
  <c r="AF293" i="2"/>
  <c r="AF294" i="2"/>
  <c r="AF295" i="2"/>
  <c r="AF296" i="2"/>
  <c r="AF297" i="2"/>
  <c r="AF298" i="2"/>
  <c r="AF299" i="2"/>
  <c r="AF300" i="2"/>
  <c r="AF301" i="2"/>
  <c r="AF302" i="2"/>
  <c r="AF303" i="2"/>
  <c r="AF304" i="2"/>
  <c r="AF305" i="2"/>
  <c r="AF306" i="2"/>
  <c r="AF307" i="2"/>
  <c r="AF308" i="2"/>
  <c r="AF309" i="2"/>
  <c r="AF310" i="2"/>
  <c r="AF311" i="2"/>
  <c r="AF312" i="2"/>
  <c r="AF313" i="2"/>
  <c r="AF314" i="2"/>
  <c r="AF315" i="2"/>
  <c r="AF316" i="2"/>
  <c r="AF317" i="2"/>
  <c r="AF318" i="2"/>
  <c r="AF319" i="2"/>
  <c r="AF320" i="2"/>
  <c r="AF321" i="2"/>
  <c r="AF322" i="2"/>
  <c r="AF323" i="2"/>
  <c r="AF324" i="2"/>
  <c r="AF325" i="2"/>
  <c r="AF326" i="2"/>
  <c r="AF327" i="2"/>
  <c r="AF328" i="2"/>
  <c r="AF329" i="2"/>
  <c r="AO2" i="2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119" i="2"/>
  <c r="AO120" i="2"/>
  <c r="AO121" i="2"/>
  <c r="AO122" i="2"/>
  <c r="AO123" i="2"/>
  <c r="AO124" i="2"/>
  <c r="AO125" i="2"/>
  <c r="AO126" i="2"/>
  <c r="AO127" i="2"/>
  <c r="AO128" i="2"/>
  <c r="AO129" i="2"/>
  <c r="AO130" i="2"/>
  <c r="AO131" i="2"/>
  <c r="AO132" i="2"/>
  <c r="AO133" i="2"/>
  <c r="AO134" i="2"/>
  <c r="AO135" i="2"/>
  <c r="AO136" i="2"/>
  <c r="AO137" i="2"/>
  <c r="AO138" i="2"/>
  <c r="AO139" i="2"/>
  <c r="AO140" i="2"/>
  <c r="AO141" i="2"/>
  <c r="AO142" i="2"/>
  <c r="AO143" i="2"/>
  <c r="AO144" i="2"/>
  <c r="AO145" i="2"/>
  <c r="AO146" i="2"/>
  <c r="AO147" i="2"/>
  <c r="AO148" i="2"/>
  <c r="AO149" i="2"/>
  <c r="AO150" i="2"/>
  <c r="AO151" i="2"/>
  <c r="AO152" i="2"/>
  <c r="AO153" i="2"/>
  <c r="AO154" i="2"/>
  <c r="AO155" i="2"/>
  <c r="AO156" i="2"/>
  <c r="AO157" i="2"/>
  <c r="AO158" i="2"/>
  <c r="AO159" i="2"/>
  <c r="AO160" i="2"/>
  <c r="AO161" i="2"/>
  <c r="AO162" i="2"/>
  <c r="AO163" i="2"/>
  <c r="AO164" i="2"/>
  <c r="AO165" i="2"/>
  <c r="AO166" i="2"/>
  <c r="AO167" i="2"/>
  <c r="AO168" i="2"/>
  <c r="AO169" i="2"/>
  <c r="AO170" i="2"/>
  <c r="AO171" i="2"/>
  <c r="AO172" i="2"/>
  <c r="AO173" i="2"/>
  <c r="AO174" i="2"/>
  <c r="AO175" i="2"/>
  <c r="AO176" i="2"/>
  <c r="AO177" i="2"/>
  <c r="AO178" i="2"/>
  <c r="AO179" i="2"/>
  <c r="AO180" i="2"/>
  <c r="AO181" i="2"/>
  <c r="AO182" i="2"/>
  <c r="AO183" i="2"/>
  <c r="AO184" i="2"/>
  <c r="AO185" i="2"/>
  <c r="AO186" i="2"/>
  <c r="AO187" i="2"/>
  <c r="AO188" i="2"/>
  <c r="AO189" i="2"/>
  <c r="AO190" i="2"/>
  <c r="AO191" i="2"/>
  <c r="AO192" i="2"/>
  <c r="AO193" i="2"/>
  <c r="AO194" i="2"/>
  <c r="AO195" i="2"/>
  <c r="AO196" i="2"/>
  <c r="AO197" i="2"/>
  <c r="AO198" i="2"/>
  <c r="AO199" i="2"/>
  <c r="AO200" i="2"/>
  <c r="AO201" i="2"/>
  <c r="AO202" i="2"/>
  <c r="AO203" i="2"/>
  <c r="AO204" i="2"/>
  <c r="AO205" i="2"/>
  <c r="AO206" i="2"/>
  <c r="AO207" i="2"/>
  <c r="AO208" i="2"/>
  <c r="AO209" i="2"/>
  <c r="AO210" i="2"/>
  <c r="AO211" i="2"/>
  <c r="AO212" i="2"/>
  <c r="AO213" i="2"/>
  <c r="AO214" i="2"/>
  <c r="AO215" i="2"/>
  <c r="AO216" i="2"/>
  <c r="AO217" i="2"/>
  <c r="AO218" i="2"/>
  <c r="AO219" i="2"/>
  <c r="AO220" i="2"/>
  <c r="AO221" i="2"/>
  <c r="AO222" i="2"/>
  <c r="AO223" i="2"/>
  <c r="AO224" i="2"/>
  <c r="AO225" i="2"/>
  <c r="AO226" i="2"/>
  <c r="AO227" i="2"/>
  <c r="AO228" i="2"/>
  <c r="AO229" i="2"/>
  <c r="AO230" i="2"/>
  <c r="AO231" i="2"/>
  <c r="AO232" i="2"/>
  <c r="AO233" i="2"/>
  <c r="AO234" i="2"/>
  <c r="AO235" i="2"/>
  <c r="AO236" i="2"/>
  <c r="AO237" i="2"/>
  <c r="AO238" i="2"/>
  <c r="AO239" i="2"/>
  <c r="AO240" i="2"/>
  <c r="AO241" i="2"/>
  <c r="AO242" i="2"/>
  <c r="AO243" i="2"/>
  <c r="AO244" i="2"/>
  <c r="AO245" i="2"/>
  <c r="AO246" i="2"/>
  <c r="AO247" i="2"/>
  <c r="AO248" i="2"/>
  <c r="AO249" i="2"/>
  <c r="AO250" i="2"/>
  <c r="AO251" i="2"/>
  <c r="AO252" i="2"/>
  <c r="AO253" i="2"/>
  <c r="AO254" i="2"/>
  <c r="AO255" i="2"/>
  <c r="AO256" i="2"/>
  <c r="AO257" i="2"/>
  <c r="AO258" i="2"/>
  <c r="AO259" i="2"/>
  <c r="AO260" i="2"/>
  <c r="AO261" i="2"/>
  <c r="AO262" i="2"/>
  <c r="AO263" i="2"/>
  <c r="AO264" i="2"/>
  <c r="AO265" i="2"/>
  <c r="AO266" i="2"/>
  <c r="AO267" i="2"/>
  <c r="AO268" i="2"/>
  <c r="AO269" i="2"/>
  <c r="AO270" i="2"/>
  <c r="AO271" i="2"/>
  <c r="AO272" i="2"/>
  <c r="AO273" i="2"/>
  <c r="AO274" i="2"/>
  <c r="AO275" i="2"/>
  <c r="AO276" i="2"/>
  <c r="AO277" i="2"/>
  <c r="AO278" i="2"/>
  <c r="AO279" i="2"/>
  <c r="AO280" i="2"/>
  <c r="AO281" i="2"/>
  <c r="AO282" i="2"/>
  <c r="AO283" i="2"/>
  <c r="AO284" i="2"/>
  <c r="AO285" i="2"/>
  <c r="AO286" i="2"/>
  <c r="AO287" i="2"/>
  <c r="AO288" i="2"/>
  <c r="AO289" i="2"/>
  <c r="AO290" i="2"/>
  <c r="AO291" i="2"/>
  <c r="AO292" i="2"/>
  <c r="AO293" i="2"/>
  <c r="AO294" i="2"/>
  <c r="AO295" i="2"/>
  <c r="AO296" i="2"/>
  <c r="AO297" i="2"/>
  <c r="AO298" i="2"/>
  <c r="AO299" i="2"/>
  <c r="AO300" i="2"/>
  <c r="AO301" i="2"/>
  <c r="AO302" i="2"/>
  <c r="AO303" i="2"/>
  <c r="AO304" i="2"/>
  <c r="AO305" i="2"/>
  <c r="AO306" i="2"/>
  <c r="AO307" i="2"/>
  <c r="AO308" i="2"/>
  <c r="AO309" i="2"/>
  <c r="AO310" i="2"/>
  <c r="AO311" i="2"/>
  <c r="AO312" i="2"/>
  <c r="AO313" i="2"/>
  <c r="AO314" i="2"/>
  <c r="AO315" i="2"/>
  <c r="AO316" i="2"/>
  <c r="AO317" i="2"/>
  <c r="AO318" i="2"/>
  <c r="AO319" i="2"/>
  <c r="AO320" i="2"/>
  <c r="AO321" i="2"/>
  <c r="AO322" i="2"/>
  <c r="AO323" i="2"/>
  <c r="AO324" i="2"/>
  <c r="AO325" i="2"/>
  <c r="AO326" i="2"/>
  <c r="AO327" i="2"/>
  <c r="AO328" i="2"/>
  <c r="AO329" i="2"/>
  <c r="AB45" i="10"/>
  <c r="W45" i="10"/>
  <c r="M45" i="10"/>
  <c r="AD17" i="10" l="1"/>
  <c r="Z17" i="10"/>
  <c r="S17" i="10"/>
  <c r="M17" i="10"/>
  <c r="R59" i="10"/>
  <c r="S20" i="10"/>
  <c r="AD20" i="10"/>
  <c r="AD58" i="10"/>
  <c r="M20" i="10"/>
  <c r="AB41" i="10"/>
  <c r="R58" i="10"/>
  <c r="M41" i="10"/>
  <c r="Z20" i="10"/>
  <c r="W41" i="10"/>
  <c r="AD59" i="10"/>
  <c r="AM45" i="10" l="1"/>
  <c r="AO45" i="10"/>
  <c r="AN45" i="10"/>
  <c r="M43" i="10"/>
  <c r="AM43" i="10" s="1"/>
  <c r="W43" i="10"/>
  <c r="AN43" i="10" s="1"/>
  <c r="AB43" i="10"/>
  <c r="AO43" i="10" s="1"/>
  <c r="AS23" i="10" l="1"/>
  <c r="AT23" i="10"/>
  <c r="AR23" i="10"/>
  <c r="M49" i="10"/>
  <c r="AS17" i="10"/>
  <c r="AR17" i="10"/>
  <c r="AT17" i="10"/>
  <c r="AN12" i="10"/>
  <c r="AY20" i="10" l="1"/>
  <c r="AR22" i="10"/>
  <c r="AY12" i="10" s="1"/>
  <c r="AD22" i="10"/>
  <c r="AT22" i="10"/>
  <c r="AY14" i="10" s="1"/>
  <c r="AB49" i="10"/>
  <c r="Z22" i="10"/>
  <c r="AS22" i="10"/>
  <c r="AY13" i="10" s="1"/>
  <c r="W49" i="10"/>
  <c r="AT18" i="10"/>
  <c r="AY22" i="10"/>
  <c r="M22" i="10"/>
  <c r="S22" i="10"/>
  <c r="AR18" i="10"/>
  <c r="AY21" i="10"/>
  <c r="AS18" i="10"/>
  <c r="AY27" i="10" l="1"/>
  <c r="AR24" i="10"/>
  <c r="AR29" i="10"/>
  <c r="AS29" i="10"/>
  <c r="AS24" i="10"/>
  <c r="AZ24" i="10" s="1"/>
  <c r="AT24" i="10"/>
  <c r="AZ25" i="10" s="1"/>
  <c r="AT29" i="10"/>
  <c r="AZ23" i="10" l="1"/>
  <c r="AR28" i="10"/>
  <c r="AZ26" i="10" s="1"/>
  <c r="AT28" i="10"/>
  <c r="AY29" i="10"/>
  <c r="AZ15" i="10"/>
  <c r="AY31" i="10"/>
  <c r="AZ17" i="10"/>
  <c r="AY30" i="10"/>
  <c r="AZ16" i="10"/>
  <c r="AS28" i="10"/>
  <c r="AR32" i="10" l="1"/>
  <c r="AY32" i="10" l="1"/>
  <c r="AZ33" i="10" s="1"/>
  <c r="AZ27" i="10"/>
</calcChain>
</file>

<file path=xl/sharedStrings.xml><?xml version="1.0" encoding="utf-8"?>
<sst xmlns="http://schemas.openxmlformats.org/spreadsheetml/2006/main" count="5362" uniqueCount="768">
  <si>
    <t>Vou. Pfx.</t>
  </si>
  <si>
    <t>Vou. No.</t>
  </si>
  <si>
    <t>Date</t>
  </si>
  <si>
    <t>Party</t>
  </si>
  <si>
    <t>Party Name</t>
  </si>
  <si>
    <t>Bill No.</t>
  </si>
  <si>
    <t>Bill Date</t>
  </si>
  <si>
    <t>Bill Amt.(TC)</t>
  </si>
  <si>
    <t>Import</t>
  </si>
  <si>
    <t>Tax Value</t>
  </si>
  <si>
    <t>Assbl. Val.</t>
  </si>
  <si>
    <t>GSTIN No.</t>
  </si>
  <si>
    <t>Ineligible</t>
  </si>
  <si>
    <t>SGST9</t>
  </si>
  <si>
    <t>CGST0</t>
  </si>
  <si>
    <t>IGSTR5</t>
  </si>
  <si>
    <t>IGST18</t>
  </si>
  <si>
    <t>CGST6</t>
  </si>
  <si>
    <t>SGST6</t>
  </si>
  <si>
    <t>IGST12</t>
  </si>
  <si>
    <t>CGSTR9</t>
  </si>
  <si>
    <t>CGSTR2.5</t>
  </si>
  <si>
    <t>SGST14</t>
  </si>
  <si>
    <t>SGST2.5</t>
  </si>
  <si>
    <t>IGST5</t>
  </si>
  <si>
    <t>CGST9</t>
  </si>
  <si>
    <t>CGST14</t>
  </si>
  <si>
    <t>SGSTR9</t>
  </si>
  <si>
    <t>SGSTR2.5</t>
  </si>
  <si>
    <t>CGST2.5</t>
  </si>
  <si>
    <t>SGST0</t>
  </si>
  <si>
    <t>IGST Total</t>
  </si>
  <si>
    <t>CGST Total</t>
  </si>
  <si>
    <t>SGST Total</t>
  </si>
  <si>
    <t>IGST RCM Total</t>
  </si>
  <si>
    <t>CGST RCM Total</t>
  </si>
  <si>
    <t>SGST RCM Total</t>
  </si>
  <si>
    <t/>
  </si>
  <si>
    <t>APD</t>
  </si>
  <si>
    <t>No</t>
  </si>
  <si>
    <t>SI</t>
  </si>
  <si>
    <t>DN2</t>
  </si>
  <si>
    <t>EIR-2</t>
  </si>
  <si>
    <t>Yes</t>
  </si>
  <si>
    <t>IR2</t>
  </si>
  <si>
    <t>OIR-2</t>
  </si>
  <si>
    <t>Input</t>
  </si>
  <si>
    <t>RCM Input</t>
  </si>
  <si>
    <t>RCM</t>
  </si>
  <si>
    <t>NON GST</t>
  </si>
  <si>
    <t>Not in GST</t>
  </si>
  <si>
    <t>TAX type</t>
  </si>
  <si>
    <t>Values</t>
  </si>
  <si>
    <t xml:space="preserve"> SGST Total</t>
  </si>
  <si>
    <t xml:space="preserve"> CGST Total</t>
  </si>
  <si>
    <t xml:space="preserve"> IGST Total</t>
  </si>
  <si>
    <t xml:space="preserve"> CGST RCM Total</t>
  </si>
  <si>
    <t xml:space="preserve"> SGST RCM Total</t>
  </si>
  <si>
    <t xml:space="preserve"> IGST RCM Total</t>
  </si>
  <si>
    <t>Grand Total</t>
  </si>
  <si>
    <t>Description</t>
  </si>
  <si>
    <t>FORM GSTR-3B</t>
  </si>
  <si>
    <t>[See rule 61(5)]</t>
  </si>
  <si>
    <t>Year</t>
  </si>
  <si>
    <t>Month</t>
  </si>
  <si>
    <t>GSTIN</t>
  </si>
  <si>
    <t>Legal name of the registered person</t>
  </si>
  <si>
    <t>IGST ON INPUTS</t>
  </si>
  <si>
    <t>GENERAL -U2</t>
  </si>
  <si>
    <t>DR</t>
  </si>
  <si>
    <t>CGST ON INPUTS</t>
  </si>
  <si>
    <t>3.1         Details of Outward Supplies and inward supplies liable to reverse charge</t>
  </si>
  <si>
    <t>Particulars</t>
  </si>
  <si>
    <t>IGST</t>
  </si>
  <si>
    <t>CGST</t>
  </si>
  <si>
    <t>SGST</t>
  </si>
  <si>
    <t>SGST ON INPUTS</t>
  </si>
  <si>
    <t>Nature of Supplies</t>
  </si>
  <si>
    <t>Total Taxable value</t>
  </si>
  <si>
    <t>Integrated Tax</t>
  </si>
  <si>
    <t>Central Tax</t>
  </si>
  <si>
    <t>State / UT Tax</t>
  </si>
  <si>
    <t>Cess</t>
  </si>
  <si>
    <t>IGST ON INPUTS RCM</t>
  </si>
  <si>
    <t>CR</t>
  </si>
  <si>
    <t>CGST ON INPUTS RCM</t>
  </si>
  <si>
    <t>(a) Outward taxable  supplies  (other than zero rated, nil rated and exempted)</t>
  </si>
  <si>
    <t>(A)</t>
  </si>
  <si>
    <t>Output</t>
  </si>
  <si>
    <t>SGST ON INPUTS RCM</t>
  </si>
  <si>
    <t>(b) Outward taxable  supplies  (zero rated )</t>
  </si>
  <si>
    <t>(c) Other outward supplies (Nil rated, exempted)</t>
  </si>
  <si>
    <t>(d) Inward supplies (liable to reverse charge)</t>
  </si>
  <si>
    <t>(B)</t>
  </si>
  <si>
    <t>IGST ON OUTPUTS</t>
  </si>
  <si>
    <t>(e) Non-GST outward supplies</t>
  </si>
  <si>
    <t>CGST ON OUTPUTS</t>
  </si>
  <si>
    <t>Total</t>
  </si>
  <si>
    <t>(a)</t>
  </si>
  <si>
    <t>SGST ON OUTPUTS</t>
  </si>
  <si>
    <t>(b)</t>
  </si>
  <si>
    <t>B= a+b</t>
  </si>
  <si>
    <t xml:space="preserve">3.2   Of the supplies shown in 3.1 (a)  above, details of inter-State supplies made to </t>
  </si>
  <si>
    <t>unregistered persons, composition taxable persons and UIN holders</t>
  </si>
  <si>
    <t>IGST PAYABLE</t>
  </si>
  <si>
    <t>(C)</t>
  </si>
  <si>
    <t>Payable</t>
  </si>
  <si>
    <t>Place of Supply (State/UT)</t>
  </si>
  <si>
    <t>Amount of Integrated Tax</t>
  </si>
  <si>
    <t>Tax</t>
  </si>
  <si>
    <t>C=A-B</t>
  </si>
  <si>
    <t>IGST RCM PAYABLE</t>
  </si>
  <si>
    <t>Total fund require</t>
  </si>
  <si>
    <t>CGST RCM PAYABLE</t>
  </si>
  <si>
    <t>Supplies made to Composition Taxable Persons</t>
  </si>
  <si>
    <t>SGST RCM PAYABLE</t>
  </si>
  <si>
    <t>Supplies made to UIN holders</t>
  </si>
  <si>
    <t>LOTUS BEAUTY CARE PRODUCTS PVT LIMITED - UNIT II</t>
  </si>
  <si>
    <t>4.    Eligible ITC</t>
  </si>
  <si>
    <t>Details</t>
  </si>
  <si>
    <t>(A) ITC Available (whether in full or part)</t>
  </si>
  <si>
    <t>(1)  Import of goods</t>
  </si>
  <si>
    <t>(2)  Import of services</t>
  </si>
  <si>
    <t>(3)  Inward supplies liable to reverse charge (other than 1 &amp; 2 above)</t>
  </si>
  <si>
    <t>(4)  Inward supplies from ISD</t>
  </si>
  <si>
    <t>(5)  All other ITC</t>
  </si>
  <si>
    <r>
      <rPr>
        <sz val="11"/>
        <rFont val="Arial"/>
        <family val="2"/>
      </rPr>
      <t>(</t>
    </r>
    <r>
      <rPr>
        <b/>
        <sz val="11"/>
        <rFont val="Arial"/>
        <family val="2"/>
      </rPr>
      <t>B) ITC Reversed</t>
    </r>
  </si>
  <si>
    <t>(1) As per rules 42 &amp; 43 of CGST Rules</t>
  </si>
  <si>
    <t>(2) Others</t>
  </si>
  <si>
    <t>(C) Net ITC Available (A) – (B)</t>
  </si>
  <si>
    <t>(D) Ineligible ITC</t>
  </si>
  <si>
    <t>(1) As per section 17(5)</t>
  </si>
  <si>
    <t>5.      Values of exempt, nil-rated and non-GST  inward supplies</t>
  </si>
  <si>
    <t>Nature of supplies</t>
  </si>
  <si>
    <t>Inter-State supplies</t>
  </si>
  <si>
    <t>Intra-State supplies</t>
  </si>
  <si>
    <t>From a supplier under composition scheme, Exempt and Nil rated supply</t>
  </si>
  <si>
    <t>Non GST supply</t>
  </si>
  <si>
    <t>5.1      Interest and Late Fee Payable</t>
  </si>
  <si>
    <t>Interest</t>
  </si>
  <si>
    <t>Late Fees</t>
  </si>
  <si>
    <t>6.1   Payment of tax</t>
  </si>
  <si>
    <t>Tax payable</t>
  </si>
  <si>
    <t>Paid through ITC</t>
  </si>
  <si>
    <t>Tax paid
TDS ./TCS</t>
  </si>
  <si>
    <t>Tax /Cess paid in cash</t>
  </si>
  <si>
    <t>Late Fee</t>
  </si>
  <si>
    <t>State /                UT Tax</t>
  </si>
  <si>
    <t>6.2 TDS/TCS Credit</t>
  </si>
  <si>
    <t>State/UT Tax</t>
  </si>
  <si>
    <t>TDS</t>
  </si>
  <si>
    <t>TCS</t>
  </si>
  <si>
    <t>Verification (by Authorised signatory)</t>
  </si>
  <si>
    <t>I  hereby solemnly affirm  and  declare  that  the  information  given  herein  above  is  true</t>
  </si>
  <si>
    <t xml:space="preserve">  and correct to the best of my knowledge and belief and nothing has been concealed there from.</t>
  </si>
  <si>
    <t>Instructions:</t>
  </si>
  <si>
    <t xml:space="preserve">1) Value of Taxable Supplies = Value of invoices + value of Debit Notes – value of credit notes </t>
  </si>
  <si>
    <t xml:space="preserve"> + same month value of advances received for which invoices have not been issued in the </t>
  </si>
  <si>
    <t>– value of advances adjusted against invoices</t>
  </si>
  <si>
    <t xml:space="preserve">2) Details of advances as well as adjustment of same against invoices to be adjusted and not </t>
  </si>
  <si>
    <t>shown separately</t>
  </si>
  <si>
    <t>3) Amendment in any details to be adjusted and not shown separately.</t>
  </si>
  <si>
    <t>Sum of Assbl. Val.</t>
  </si>
  <si>
    <t xml:space="preserve">   Supplies made to Unregistered Persons</t>
  </si>
  <si>
    <t>13)</t>
  </si>
  <si>
    <t xml:space="preserve">14) </t>
  </si>
  <si>
    <t>Add hsn to output</t>
  </si>
  <si>
    <t>Change range for all pivot &amp; Refreash</t>
  </si>
  <si>
    <t>State Tax</t>
  </si>
  <si>
    <t>Opening as per electronic ledger</t>
  </si>
  <si>
    <t>Interstate Tax</t>
  </si>
  <si>
    <t>IGST0</t>
  </si>
  <si>
    <t>Exempt</t>
  </si>
  <si>
    <t>Purchase</t>
  </si>
  <si>
    <t>GST Type</t>
  </si>
  <si>
    <t>Local</t>
  </si>
  <si>
    <t>Inter state</t>
  </si>
  <si>
    <t>Union Territory</t>
  </si>
  <si>
    <t>(Multiple Items)</t>
  </si>
  <si>
    <t>HSN</t>
  </si>
  <si>
    <t>UQC</t>
  </si>
  <si>
    <t>Total Quantity</t>
  </si>
  <si>
    <t>Total Value</t>
  </si>
  <si>
    <t>Taxable Value</t>
  </si>
  <si>
    <t>Integrated Tax Amount</t>
  </si>
  <si>
    <t>Central Tax Amount</t>
  </si>
  <si>
    <t>State/UT Tax Amount</t>
  </si>
  <si>
    <t>Cess Amount</t>
  </si>
  <si>
    <t>Rate</t>
  </si>
  <si>
    <t>BOX-BOX</t>
  </si>
  <si>
    <t>NOS-NUMBERS</t>
  </si>
  <si>
    <t>KGS-KILOGRAMS</t>
  </si>
  <si>
    <t>`</t>
  </si>
  <si>
    <t>272</t>
  </si>
  <si>
    <t>21-22/VBD/004272</t>
  </si>
  <si>
    <t>51</t>
  </si>
  <si>
    <t>56</t>
  </si>
  <si>
    <t>49</t>
  </si>
  <si>
    <t>50</t>
  </si>
  <si>
    <t>77</t>
  </si>
  <si>
    <t>2223-0001</t>
  </si>
  <si>
    <t>TEST</t>
  </si>
  <si>
    <t>Demo</t>
  </si>
  <si>
    <t>2223-0002</t>
  </si>
  <si>
    <t>2223-0003</t>
  </si>
  <si>
    <t>2223-0033</t>
  </si>
  <si>
    <t>2223-0057</t>
  </si>
  <si>
    <t>2223-0062</t>
  </si>
  <si>
    <t>2223-0083</t>
  </si>
  <si>
    <t>2223-0084</t>
  </si>
  <si>
    <t>2223-0085</t>
  </si>
  <si>
    <t>2223-0086</t>
  </si>
  <si>
    <t>2223-0088</t>
  </si>
  <si>
    <t>2223-0090</t>
  </si>
  <si>
    <t>2223-0091</t>
  </si>
  <si>
    <t>2223-0092</t>
  </si>
  <si>
    <t>2223-0093</t>
  </si>
  <si>
    <t>2223-0094</t>
  </si>
  <si>
    <t>2223-0095</t>
  </si>
  <si>
    <t>2223-0004</t>
  </si>
  <si>
    <t>2223-0005</t>
  </si>
  <si>
    <t>2223-0007</t>
  </si>
  <si>
    <t>2223-0008</t>
  </si>
  <si>
    <t>2223-0009</t>
  </si>
  <si>
    <t>2223-0010</t>
  </si>
  <si>
    <t>2223-0011</t>
  </si>
  <si>
    <t>2223-0012</t>
  </si>
  <si>
    <t>2223-0014</t>
  </si>
  <si>
    <t>2223-0015</t>
  </si>
  <si>
    <t>2223-0016</t>
  </si>
  <si>
    <t>2223-0017</t>
  </si>
  <si>
    <t>2223-0018</t>
  </si>
  <si>
    <t>2223-0019</t>
  </si>
  <si>
    <t>2223-0020</t>
  </si>
  <si>
    <t>2223-0021</t>
  </si>
  <si>
    <t>2223-0023</t>
  </si>
  <si>
    <t>2223-0024</t>
  </si>
  <si>
    <t>2223-0026</t>
  </si>
  <si>
    <t>2223-0006</t>
  </si>
  <si>
    <t>2223-0013</t>
  </si>
  <si>
    <t>2223-0022</t>
  </si>
  <si>
    <t>2223-0028</t>
  </si>
  <si>
    <t>CPX-2</t>
  </si>
  <si>
    <t>122</t>
  </si>
  <si>
    <t>05ABCEFGHIJK1Z5</t>
  </si>
  <si>
    <t>139</t>
  </si>
  <si>
    <t>121</t>
  </si>
  <si>
    <t>26ABCEFGHIJK1ZJ</t>
  </si>
  <si>
    <t>22-23/VBD/000056</t>
  </si>
  <si>
    <t>02ABCEFGHIJK1ZI</t>
  </si>
  <si>
    <t>DN21900-0004</t>
  </si>
  <si>
    <t>2022/A01004768</t>
  </si>
  <si>
    <t>05ABCEFGHIJK1Z8</t>
  </si>
  <si>
    <t>211/GST/22-23</t>
  </si>
  <si>
    <t>05ABCEFGHIJK1ZN</t>
  </si>
  <si>
    <t>VA21000000015859</t>
  </si>
  <si>
    <t>0000019</t>
  </si>
  <si>
    <t>05ABCEFGHIJK1ZP</t>
  </si>
  <si>
    <t>0000004</t>
  </si>
  <si>
    <t>38</t>
  </si>
  <si>
    <t>13</t>
  </si>
  <si>
    <t>TEC21221826</t>
  </si>
  <si>
    <t>05ABCEFGHIJK1ZT</t>
  </si>
  <si>
    <t>16707</t>
  </si>
  <si>
    <t>05ABCEFGHIJK1ZO</t>
  </si>
  <si>
    <t>16701</t>
  </si>
  <si>
    <t>16703</t>
  </si>
  <si>
    <t>001</t>
  </si>
  <si>
    <t>05ABCEFGHIJK1ZK</t>
  </si>
  <si>
    <t>005</t>
  </si>
  <si>
    <t>05ABCEFGHIJK1ZM</t>
  </si>
  <si>
    <t>002</t>
  </si>
  <si>
    <t>372</t>
  </si>
  <si>
    <t>05ABCEFGHIJK1ZH</t>
  </si>
  <si>
    <t>7</t>
  </si>
  <si>
    <t>05ABCEFGHIJK1Z2</t>
  </si>
  <si>
    <t>33</t>
  </si>
  <si>
    <t>39</t>
  </si>
  <si>
    <t>JVG/007</t>
  </si>
  <si>
    <t>JVG/008</t>
  </si>
  <si>
    <t>3169</t>
  </si>
  <si>
    <t>05ABCEFGHIJK1ZX</t>
  </si>
  <si>
    <t>108</t>
  </si>
  <si>
    <t>1168</t>
  </si>
  <si>
    <t>TIC/2022-23/108</t>
  </si>
  <si>
    <t>TIC/2022-23/107</t>
  </si>
  <si>
    <t>1167</t>
  </si>
  <si>
    <t>2223-0025</t>
  </si>
  <si>
    <t>128</t>
  </si>
  <si>
    <t>125</t>
  </si>
  <si>
    <t>07ABCEFGHIJK1ZQ</t>
  </si>
  <si>
    <t>2223-0027</t>
  </si>
  <si>
    <t>3177</t>
  </si>
  <si>
    <t>203</t>
  </si>
  <si>
    <t>2223-0029</t>
  </si>
  <si>
    <t>BJE/2022/4</t>
  </si>
  <si>
    <t>05ABCEFGHIJK2Z1</t>
  </si>
  <si>
    <t>2223-0030</t>
  </si>
  <si>
    <t>0000031</t>
  </si>
  <si>
    <t>2223-0031</t>
  </si>
  <si>
    <t>156</t>
  </si>
  <si>
    <t>2223-0032</t>
  </si>
  <si>
    <t>161</t>
  </si>
  <si>
    <t>351</t>
  </si>
  <si>
    <t>05ABCEFGHIJK1ZC</t>
  </si>
  <si>
    <t>2223-0034</t>
  </si>
  <si>
    <t>155</t>
  </si>
  <si>
    <t>2223-0035</t>
  </si>
  <si>
    <t>82</t>
  </si>
  <si>
    <t>2223-0036</t>
  </si>
  <si>
    <t>71</t>
  </si>
  <si>
    <t>2223-0037</t>
  </si>
  <si>
    <t>70</t>
  </si>
  <si>
    <t>2223-0038</t>
  </si>
  <si>
    <t>003</t>
  </si>
  <si>
    <t>2223-0039</t>
  </si>
  <si>
    <t>16</t>
  </si>
  <si>
    <t>05ABCEFGHIJK1ZU</t>
  </si>
  <si>
    <t>2223-0040</t>
  </si>
  <si>
    <t>16709</t>
  </si>
  <si>
    <t>2223-0041</t>
  </si>
  <si>
    <t>59</t>
  </si>
  <si>
    <t>2223-0042</t>
  </si>
  <si>
    <t>75</t>
  </si>
  <si>
    <t>2223-0043</t>
  </si>
  <si>
    <t>2223-0044</t>
  </si>
  <si>
    <t>88</t>
  </si>
  <si>
    <t>2223-0045</t>
  </si>
  <si>
    <t>S420309022300005</t>
  </si>
  <si>
    <t>05ABCEFGHIJK1ZJ</t>
  </si>
  <si>
    <t>2223-0046</t>
  </si>
  <si>
    <t>99</t>
  </si>
  <si>
    <t>2223-0047</t>
  </si>
  <si>
    <t>171</t>
  </si>
  <si>
    <t>05ABCEFGHIJK1ZR</t>
  </si>
  <si>
    <t>2223-0048</t>
  </si>
  <si>
    <t>123</t>
  </si>
  <si>
    <t>2223-0049</t>
  </si>
  <si>
    <t>2223-0051</t>
  </si>
  <si>
    <t>198</t>
  </si>
  <si>
    <t>2223-0052</t>
  </si>
  <si>
    <t>16711</t>
  </si>
  <si>
    <t>2223-0053</t>
  </si>
  <si>
    <t>3180</t>
  </si>
  <si>
    <t>2223-0054</t>
  </si>
  <si>
    <t>244</t>
  </si>
  <si>
    <t>2223-0055</t>
  </si>
  <si>
    <t>MH22-23/TI-105</t>
  </si>
  <si>
    <t>05ABCEFGHIJK2ZB</t>
  </si>
  <si>
    <t>2223-0056</t>
  </si>
  <si>
    <t>352</t>
  </si>
  <si>
    <t>256</t>
  </si>
  <si>
    <t>2223-0058</t>
  </si>
  <si>
    <t>3188</t>
  </si>
  <si>
    <t>2223-0059</t>
  </si>
  <si>
    <t>2223-0060</t>
  </si>
  <si>
    <t>H-190/22-23</t>
  </si>
  <si>
    <t>2223-0061</t>
  </si>
  <si>
    <t>0000047</t>
  </si>
  <si>
    <t>0002/2022-23</t>
  </si>
  <si>
    <t>09ABCEFGHIJK1Z5</t>
  </si>
  <si>
    <t>2223-0063</t>
  </si>
  <si>
    <t>0014/2022-23</t>
  </si>
  <si>
    <t>2223-0064</t>
  </si>
  <si>
    <t>BJE/2022-23/21</t>
  </si>
  <si>
    <t>2223-0065</t>
  </si>
  <si>
    <t>3192</t>
  </si>
  <si>
    <t>2223-0066</t>
  </si>
  <si>
    <t>182</t>
  </si>
  <si>
    <t>2223-0067</t>
  </si>
  <si>
    <t>332</t>
  </si>
  <si>
    <t>2223-0068</t>
  </si>
  <si>
    <t>0000058</t>
  </si>
  <si>
    <t>2223-0069</t>
  </si>
  <si>
    <t>195</t>
  </si>
  <si>
    <t>2223-0070</t>
  </si>
  <si>
    <t>373</t>
  </si>
  <si>
    <t>2223-0071</t>
  </si>
  <si>
    <t>220</t>
  </si>
  <si>
    <t>2223-0072</t>
  </si>
  <si>
    <t>BJE/2022-23/17</t>
  </si>
  <si>
    <t>2223-0073</t>
  </si>
  <si>
    <t>300</t>
  </si>
  <si>
    <t>2223-0074</t>
  </si>
  <si>
    <t>5919</t>
  </si>
  <si>
    <t>05ABCEFGHIJK1ZF</t>
  </si>
  <si>
    <t>2223-0075</t>
  </si>
  <si>
    <t>2223-0076</t>
  </si>
  <si>
    <t>364</t>
  </si>
  <si>
    <t>2223-0077</t>
  </si>
  <si>
    <t>0466</t>
  </si>
  <si>
    <t>2223-0078</t>
  </si>
  <si>
    <t>MH22-23/TI-94</t>
  </si>
  <si>
    <t>2223-0079</t>
  </si>
  <si>
    <t>MH22-23/TI-211</t>
  </si>
  <si>
    <t>2223-0080</t>
  </si>
  <si>
    <t>MH22-23/TI-212</t>
  </si>
  <si>
    <t>2223-0081</t>
  </si>
  <si>
    <t>JVG/030</t>
  </si>
  <si>
    <t>2223-0082</t>
  </si>
  <si>
    <t>004</t>
  </si>
  <si>
    <t>06ABCEFGHIJK1ZR</t>
  </si>
  <si>
    <t>252</t>
  </si>
  <si>
    <t>05ABCEFGHIJK1ZZ</t>
  </si>
  <si>
    <t>022</t>
  </si>
  <si>
    <t>023</t>
  </si>
  <si>
    <t>2223-0087</t>
  </si>
  <si>
    <t>971</t>
  </si>
  <si>
    <t>05ABCEFGHIJK1Z1</t>
  </si>
  <si>
    <t>2223-0089</t>
  </si>
  <si>
    <t>17</t>
  </si>
  <si>
    <t>0011</t>
  </si>
  <si>
    <t>174</t>
  </si>
  <si>
    <t>05ABCEFGHIJK1ZI</t>
  </si>
  <si>
    <t>JVG/015</t>
  </si>
  <si>
    <t>JVG/031</t>
  </si>
  <si>
    <t>BJE/2022/5</t>
  </si>
  <si>
    <t>2223-0096</t>
  </si>
  <si>
    <t>67</t>
  </si>
  <si>
    <t>2223-0097</t>
  </si>
  <si>
    <t>184</t>
  </si>
  <si>
    <t>2223-0098</t>
  </si>
  <si>
    <t>JVG/026</t>
  </si>
  <si>
    <t>2223-0099</t>
  </si>
  <si>
    <t>3165</t>
  </si>
  <si>
    <t>2223-0100</t>
  </si>
  <si>
    <t>INV-000434</t>
  </si>
  <si>
    <t>05ABCEFGHIJK1ZL</t>
  </si>
  <si>
    <t>2223-0101</t>
  </si>
  <si>
    <t>27</t>
  </si>
  <si>
    <t>2223-0103</t>
  </si>
  <si>
    <t>0000069</t>
  </si>
  <si>
    <t>2223-0104</t>
  </si>
  <si>
    <t>ASCH/22-23/258</t>
  </si>
  <si>
    <t>2223-0105</t>
  </si>
  <si>
    <t>16722</t>
  </si>
  <si>
    <t>2223-0106</t>
  </si>
  <si>
    <t>16715</t>
  </si>
  <si>
    <t>2223-0108</t>
  </si>
  <si>
    <t>120</t>
  </si>
  <si>
    <t>05ABCEFGHIJK1ZQ</t>
  </si>
  <si>
    <t>2223-0109</t>
  </si>
  <si>
    <t>14</t>
  </si>
  <si>
    <t>2223-0110</t>
  </si>
  <si>
    <t>220027</t>
  </si>
  <si>
    <t>06ABCEFGHIJK1ZH</t>
  </si>
  <si>
    <t>2223-0111</t>
  </si>
  <si>
    <t>220028</t>
  </si>
  <si>
    <t>2223-0112</t>
  </si>
  <si>
    <t>2223-0113</t>
  </si>
  <si>
    <t>423</t>
  </si>
  <si>
    <t>2223-0114</t>
  </si>
  <si>
    <t>429</t>
  </si>
  <si>
    <t>2223-0115</t>
  </si>
  <si>
    <t>455</t>
  </si>
  <si>
    <t>2223-0116</t>
  </si>
  <si>
    <t>029</t>
  </si>
  <si>
    <t>06ABCEFGHIJK1Z6</t>
  </si>
  <si>
    <t>2223-0117</t>
  </si>
  <si>
    <t>2223-0119</t>
  </si>
  <si>
    <t>24</t>
  </si>
  <si>
    <t>24ABCEFGHIJK1Z9</t>
  </si>
  <si>
    <t>9392111577</t>
  </si>
  <si>
    <t>33ABCEFGHIJK1Z6</t>
  </si>
  <si>
    <t>2122DH0275</t>
  </si>
  <si>
    <t>24ABCEFGHIJK1ZS</t>
  </si>
  <si>
    <t>9392111315</t>
  </si>
  <si>
    <t>2122/5546</t>
  </si>
  <si>
    <t>09ABCEFGHIJK1Z1</t>
  </si>
  <si>
    <t>846</t>
  </si>
  <si>
    <t>21-22/VBD/004334</t>
  </si>
  <si>
    <t>2022/A01004459</t>
  </si>
  <si>
    <t>1</t>
  </si>
  <si>
    <t>05ABCEFGHIJK1ZV</t>
  </si>
  <si>
    <t>21-22/VBD/004365</t>
  </si>
  <si>
    <t>21-22/VBD/004398</t>
  </si>
  <si>
    <t>3001/21-22</t>
  </si>
  <si>
    <t>RDDIN2108674</t>
  </si>
  <si>
    <t>5</t>
  </si>
  <si>
    <t>6/22-23</t>
  </si>
  <si>
    <t>4</t>
  </si>
  <si>
    <t>05ABCEFGHIJK1ZY</t>
  </si>
  <si>
    <t>RDDIN2108705</t>
  </si>
  <si>
    <t>3019/21-22</t>
  </si>
  <si>
    <t>103162</t>
  </si>
  <si>
    <t>27ABCEFGHIJK1Z2</t>
  </si>
  <si>
    <t>8135035264</t>
  </si>
  <si>
    <t>27ABCEFGHIJK1ZL</t>
  </si>
  <si>
    <t>2124005376</t>
  </si>
  <si>
    <t>24ABCEFGHIJK1ZH</t>
  </si>
  <si>
    <t>PLDOM/0391/21-22</t>
  </si>
  <si>
    <t>26</t>
  </si>
  <si>
    <t>26ABCEFGHIJK1Z1</t>
  </si>
  <si>
    <t>G00740/21-22</t>
  </si>
  <si>
    <t>2124005445</t>
  </si>
  <si>
    <t>GST756/21-22</t>
  </si>
  <si>
    <t>34ABCEFGHIJK1Z4</t>
  </si>
  <si>
    <t>2124005458</t>
  </si>
  <si>
    <t>19</t>
  </si>
  <si>
    <t>20/22-23</t>
  </si>
  <si>
    <t>12</t>
  </si>
  <si>
    <t>2127015938</t>
  </si>
  <si>
    <t>27ABCEFGHIJK1ZB</t>
  </si>
  <si>
    <t>2122G1451</t>
  </si>
  <si>
    <t>27ABCEFGHIJK1ZM</t>
  </si>
  <si>
    <t>LS2022500154</t>
  </si>
  <si>
    <t>27ABCEFGHIJK3ZE</t>
  </si>
  <si>
    <t>2223/34</t>
  </si>
  <si>
    <t>22/22-23</t>
  </si>
  <si>
    <t>RDDIN220079</t>
  </si>
  <si>
    <t>9392111657</t>
  </si>
  <si>
    <t>MDS/3573/21-22</t>
  </si>
  <si>
    <t>33ABCEFGHIJK1ZT</t>
  </si>
  <si>
    <t>IN0522000001</t>
  </si>
  <si>
    <t>05ABCEFGHIJK1ZB</t>
  </si>
  <si>
    <t>IV2022125427</t>
  </si>
  <si>
    <t>27ABCEFGHIJK1Z3</t>
  </si>
  <si>
    <t>XS188938</t>
  </si>
  <si>
    <t>27ABCEFGHIJK1ZI</t>
  </si>
  <si>
    <t>RDDIN2200080</t>
  </si>
  <si>
    <t>25/23-23</t>
  </si>
  <si>
    <t>2301</t>
  </si>
  <si>
    <t>RDDIN2200130</t>
  </si>
  <si>
    <t>2223-0050</t>
  </si>
  <si>
    <t>45</t>
  </si>
  <si>
    <t>22-23/VBD/000043</t>
  </si>
  <si>
    <t>2022/A01004588</t>
  </si>
  <si>
    <t>2305</t>
  </si>
  <si>
    <t>APNP/22-23/14</t>
  </si>
  <si>
    <t>05ABCEFGHIJK1ZW</t>
  </si>
  <si>
    <t>43/22-23</t>
  </si>
  <si>
    <t>2022/A01004608</t>
  </si>
  <si>
    <t>53</t>
  </si>
  <si>
    <t>58</t>
  </si>
  <si>
    <t>22-23/VBD/000045</t>
  </si>
  <si>
    <t>85/GST/22-23</t>
  </si>
  <si>
    <t>69</t>
  </si>
  <si>
    <t>2022/A01004630</t>
  </si>
  <si>
    <t>49/22-23</t>
  </si>
  <si>
    <t>RDDIN2200260</t>
  </si>
  <si>
    <t>75/22-23</t>
  </si>
  <si>
    <t>2230100074</t>
  </si>
  <si>
    <t>05ABCEFGHIJK1Z3</t>
  </si>
  <si>
    <t>22-23/VBD/000089</t>
  </si>
  <si>
    <t>RDDIN2200263</t>
  </si>
  <si>
    <t>APNP/22-23/23</t>
  </si>
  <si>
    <t>2022/A01004671</t>
  </si>
  <si>
    <t>LBDIN2200236</t>
  </si>
  <si>
    <t>02ABCEFGHIJK1ZX</t>
  </si>
  <si>
    <t>2022/A01004686</t>
  </si>
  <si>
    <t>111/GST/22-23</t>
  </si>
  <si>
    <t>84/22-23</t>
  </si>
  <si>
    <t>2317</t>
  </si>
  <si>
    <t>RDDIN2200354</t>
  </si>
  <si>
    <t>21</t>
  </si>
  <si>
    <t>94/22-23</t>
  </si>
  <si>
    <t>RKDP/22-23/17035</t>
  </si>
  <si>
    <t>05ABCEFGHIJK1Z7</t>
  </si>
  <si>
    <t>F20031200110</t>
  </si>
  <si>
    <t>36ABCEFGHIJK1ZW</t>
  </si>
  <si>
    <t>2321</t>
  </si>
  <si>
    <t>29</t>
  </si>
  <si>
    <t>108/22-23</t>
  </si>
  <si>
    <t>22-23/00056</t>
  </si>
  <si>
    <t>05ABCEFGHIJK1ZD</t>
  </si>
  <si>
    <t>PT01/LOC/01403</t>
  </si>
  <si>
    <t>23ABCEFGHIJK1Z0</t>
  </si>
  <si>
    <t>80062460</t>
  </si>
  <si>
    <t>27ABCEFGHIJK1ZN</t>
  </si>
  <si>
    <t>AVA/I/01489</t>
  </si>
  <si>
    <t>27ABCEFGHIJK1ZX</t>
  </si>
  <si>
    <t>SS01/LOC/02159</t>
  </si>
  <si>
    <t>26ABCEFGHIJK1ZU</t>
  </si>
  <si>
    <t>KG/00803/21-22</t>
  </si>
  <si>
    <t>24ABCEFGHIJK1ZI</t>
  </si>
  <si>
    <t>G00754/21-22</t>
  </si>
  <si>
    <t>2122302</t>
  </si>
  <si>
    <t>27ABCEFGHIJK1ZT</t>
  </si>
  <si>
    <t>103263</t>
  </si>
  <si>
    <t>9392200151</t>
  </si>
  <si>
    <t>2022200038</t>
  </si>
  <si>
    <t>33ABCEFGHIJK1ZO</t>
  </si>
  <si>
    <t>DD0015052189</t>
  </si>
  <si>
    <t>26ABCEFGHIJK1ZB</t>
  </si>
  <si>
    <t>2223-0102</t>
  </si>
  <si>
    <t>VIC/22-23/000132</t>
  </si>
  <si>
    <t>05ABCEFGHIJK1Z4</t>
  </si>
  <si>
    <t>OS2412200189</t>
  </si>
  <si>
    <t>24ABCEFGHIJK1ZR</t>
  </si>
  <si>
    <t>8488803071</t>
  </si>
  <si>
    <t>27ABCEFGHIJK1Z0</t>
  </si>
  <si>
    <t>OS2412200173</t>
  </si>
  <si>
    <t>2205000086</t>
  </si>
  <si>
    <t>05ABCEFGHIJKIZH</t>
  </si>
  <si>
    <t>2223-0107</t>
  </si>
  <si>
    <t>G00004/22-23</t>
  </si>
  <si>
    <t>G00022/22-23</t>
  </si>
  <si>
    <t>2223004</t>
  </si>
  <si>
    <t>8135035460</t>
  </si>
  <si>
    <t>AVA/I/00026</t>
  </si>
  <si>
    <t>MU/2223/22400031</t>
  </si>
  <si>
    <t>33ABCEFGHIJK2ZJ</t>
  </si>
  <si>
    <t>GST771/21-22</t>
  </si>
  <si>
    <t>CI0028105106</t>
  </si>
  <si>
    <t>MUM000361</t>
  </si>
  <si>
    <t>MUM000308</t>
  </si>
  <si>
    <t>CI0028105144</t>
  </si>
  <si>
    <t>2223-0118</t>
  </si>
  <si>
    <t>F20031200111</t>
  </si>
  <si>
    <t>CI0028105162</t>
  </si>
  <si>
    <t>2223-0120</t>
  </si>
  <si>
    <t>CI0028105163</t>
  </si>
  <si>
    <t>2223-0121</t>
  </si>
  <si>
    <t>APNP/22-23/41</t>
  </si>
  <si>
    <t>2223-0126</t>
  </si>
  <si>
    <t>14/22-23</t>
  </si>
  <si>
    <t>2223-0127</t>
  </si>
  <si>
    <t>2223-0128</t>
  </si>
  <si>
    <t>137</t>
  </si>
  <si>
    <t>2223-0129</t>
  </si>
  <si>
    <t>2223-0130</t>
  </si>
  <si>
    <t>2223-0131</t>
  </si>
  <si>
    <t>2022/A01004769</t>
  </si>
  <si>
    <t>2223-0132</t>
  </si>
  <si>
    <t>RDDIN2200447</t>
  </si>
  <si>
    <t>2223-0133</t>
  </si>
  <si>
    <t>113/22-23</t>
  </si>
  <si>
    <t>2223-0134</t>
  </si>
  <si>
    <t>119/22-23</t>
  </si>
  <si>
    <t>2223-0135</t>
  </si>
  <si>
    <t>133</t>
  </si>
  <si>
    <t>2223-0136</t>
  </si>
  <si>
    <t>140</t>
  </si>
  <si>
    <t>2223-0137</t>
  </si>
  <si>
    <t>164/GST/22-23</t>
  </si>
  <si>
    <t>2223-0138</t>
  </si>
  <si>
    <t>142</t>
  </si>
  <si>
    <t>2223-0139</t>
  </si>
  <si>
    <t>2223-0140</t>
  </si>
  <si>
    <t>RDDIN2200474</t>
  </si>
  <si>
    <t>2223-0141</t>
  </si>
  <si>
    <t>2022/A01004816</t>
  </si>
  <si>
    <t>2223-0142</t>
  </si>
  <si>
    <t>134/22-23</t>
  </si>
  <si>
    <t>2223-0143</t>
  </si>
  <si>
    <t>RPC1/22-23/0040</t>
  </si>
  <si>
    <t>36ABCEFGHIJK1ZY</t>
  </si>
  <si>
    <t>2223-0144</t>
  </si>
  <si>
    <t>APNP/22-23/66</t>
  </si>
  <si>
    <t>2223-0145</t>
  </si>
  <si>
    <t>59000332</t>
  </si>
  <si>
    <t>05ABCEFGHIJK1ZA</t>
  </si>
  <si>
    <t>2223-0147</t>
  </si>
  <si>
    <t>2223-0148</t>
  </si>
  <si>
    <t>2022/A01004841</t>
  </si>
  <si>
    <t>2223-0149</t>
  </si>
  <si>
    <t>2022/A01004842</t>
  </si>
  <si>
    <t>2223-0150</t>
  </si>
  <si>
    <t>193</t>
  </si>
  <si>
    <t>2223-0151</t>
  </si>
  <si>
    <t>SD-025/2022-23</t>
  </si>
  <si>
    <t>36ABCEFGHIJK2Z9</t>
  </si>
  <si>
    <t>2223-0152</t>
  </si>
  <si>
    <t>05ABCEFGHIJK2ZL</t>
  </si>
  <si>
    <t>2223-0154</t>
  </si>
  <si>
    <t>2223-0155</t>
  </si>
  <si>
    <t>RDDIN220586</t>
  </si>
  <si>
    <t>2223-0156</t>
  </si>
  <si>
    <t>186/Z/TI/22-23</t>
  </si>
  <si>
    <t>2223-0157</t>
  </si>
  <si>
    <t>187/Z/TI/22-23</t>
  </si>
  <si>
    <t>2223-0158</t>
  </si>
  <si>
    <t>199</t>
  </si>
  <si>
    <t>2223-0159</t>
  </si>
  <si>
    <t>169/22-23</t>
  </si>
  <si>
    <t>2223-0160</t>
  </si>
  <si>
    <t>22-23/VBD/000240</t>
  </si>
  <si>
    <t>2223-0161</t>
  </si>
  <si>
    <t>2124005417</t>
  </si>
  <si>
    <t>2223-0162</t>
  </si>
  <si>
    <t>2224000020</t>
  </si>
  <si>
    <t>2223-0163</t>
  </si>
  <si>
    <t>CH/2223/22000014</t>
  </si>
  <si>
    <t>2223-0164</t>
  </si>
  <si>
    <t>VA22000000000387</t>
  </si>
  <si>
    <t>2223-0165</t>
  </si>
  <si>
    <t>2223DH0115</t>
  </si>
  <si>
    <t>2223-0166</t>
  </si>
  <si>
    <t>012/22-23</t>
  </si>
  <si>
    <t>29ABCEFGHIJK1ZT</t>
  </si>
  <si>
    <t>2223-0167</t>
  </si>
  <si>
    <t>23INHH000231</t>
  </si>
  <si>
    <t>02ABCEFGHIJK1ZA</t>
  </si>
  <si>
    <t>2223-0169</t>
  </si>
  <si>
    <t>2223/357</t>
  </si>
  <si>
    <t>2223-0170</t>
  </si>
  <si>
    <t>MH0122100706</t>
  </si>
  <si>
    <t>27ABCEFGHIJK1ZU</t>
  </si>
  <si>
    <t>2223-0171</t>
  </si>
  <si>
    <t>DS2227100166</t>
  </si>
  <si>
    <t>27ABCEFGHIJK1Z1</t>
  </si>
  <si>
    <t>2223-0172</t>
  </si>
  <si>
    <t>DS2227100167</t>
  </si>
  <si>
    <t>2223-0173</t>
  </si>
  <si>
    <t>IN0522000029</t>
  </si>
  <si>
    <t>2223-0174</t>
  </si>
  <si>
    <t>DGS/M/029/22-23</t>
  </si>
  <si>
    <t>27ABCEFGHIJK1ZC</t>
  </si>
  <si>
    <t>2223-0175</t>
  </si>
  <si>
    <t>G00043/22-23</t>
  </si>
  <si>
    <t>2223-0176</t>
  </si>
  <si>
    <t>CI2228100117</t>
  </si>
  <si>
    <t>2223-0177</t>
  </si>
  <si>
    <t>GST020/22-23</t>
  </si>
  <si>
    <t>2223-0178</t>
  </si>
  <si>
    <t>DGS/M/031/22-23</t>
  </si>
  <si>
    <t>2223-0179</t>
  </si>
  <si>
    <t>2223012</t>
  </si>
  <si>
    <t>2223-0180</t>
  </si>
  <si>
    <t>666</t>
  </si>
  <si>
    <t>07ABCEFGHIJK1Z5</t>
  </si>
  <si>
    <t>2223-0181</t>
  </si>
  <si>
    <t>P082</t>
  </si>
  <si>
    <t>27ABCEFGHIJK1Z7</t>
  </si>
  <si>
    <t>2223-0182</t>
  </si>
  <si>
    <t>669</t>
  </si>
  <si>
    <t>2223-0183</t>
  </si>
  <si>
    <t>386</t>
  </si>
  <si>
    <t>33ABCEFGHIJK1ZE</t>
  </si>
  <si>
    <t>2223-0184</t>
  </si>
  <si>
    <t>OS2412200608</t>
  </si>
  <si>
    <t>2223-0185</t>
  </si>
  <si>
    <t>1932/22DOM/00343</t>
  </si>
  <si>
    <t>37ABCEFGHIJK1ZM</t>
  </si>
  <si>
    <t>2223-0186</t>
  </si>
  <si>
    <t>9392200603</t>
  </si>
  <si>
    <t>2223-0187</t>
  </si>
  <si>
    <t>9392200604</t>
  </si>
  <si>
    <t>2223-0188</t>
  </si>
  <si>
    <t>KA2250003063</t>
  </si>
  <si>
    <t>29ABCEFGHIJK1ZU</t>
  </si>
  <si>
    <t>28</t>
  </si>
  <si>
    <t>149</t>
  </si>
  <si>
    <t>627</t>
  </si>
  <si>
    <t>533</t>
  </si>
  <si>
    <t>28769</t>
  </si>
  <si>
    <t>3545</t>
  </si>
  <si>
    <t>3841</t>
  </si>
  <si>
    <t>BM2205I000767580</t>
  </si>
  <si>
    <t>13684</t>
  </si>
  <si>
    <t>13664</t>
  </si>
  <si>
    <t>2223100200</t>
  </si>
  <si>
    <t>60</t>
  </si>
  <si>
    <t>54</t>
  </si>
  <si>
    <t>48</t>
  </si>
  <si>
    <t>Vou. Type</t>
  </si>
  <si>
    <t>1166</t>
  </si>
  <si>
    <t>16862</t>
  </si>
  <si>
    <t>37</t>
  </si>
  <si>
    <t>2223-0189</t>
  </si>
  <si>
    <t>F25220000130</t>
  </si>
  <si>
    <t>06ABCEFGHIJK1ZF</t>
  </si>
  <si>
    <t>2223-0190</t>
  </si>
  <si>
    <t>2227000696</t>
  </si>
  <si>
    <t>36ABCEFGHIJK1ZJ</t>
  </si>
  <si>
    <t>ABC Limited</t>
  </si>
  <si>
    <t>05ABCDEFJIHSKA05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</si>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</sst>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"/>
    <numFmt numFmtId="165" formatCode="#,##0.0000"/>
    <numFmt numFmtId="166" formatCode="0.0"/>
    <numFmt numFmtId="167" formatCode="0.000000000000"/>
  </numFmts>
  <fonts count="25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b/>
      <sz val="14"/>
      <name val="Arial"/>
      <family val="2"/>
    </font>
    <font>
      <sz val="10"/>
      <color rgb="FF000000"/>
      <name val="Arial"/>
      <family val="2"/>
    </font>
    <font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u/>
      <sz val="20"/>
      <color theme="1"/>
      <name val="Calibri"/>
      <family val="2"/>
      <scheme val="minor"/>
    </font>
    <font>
      <b/>
      <sz val="11"/>
      <color rgb="FFFFFFFF"/>
      <name val="Arial"/>
      <family val="2"/>
    </font>
    <font>
      <b/>
      <sz val="11"/>
      <color rgb="FF000000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9CC2E5"/>
      </top>
      <bottom style="thin">
        <color rgb="FF000000"/>
      </bottom>
      <diagonal/>
    </border>
    <border>
      <left/>
      <right/>
      <top style="thin">
        <color rgb="FF9CC2E5"/>
      </top>
      <bottom style="thin">
        <color rgb="FF000000"/>
      </bottom>
      <diagonal/>
    </border>
    <border>
      <left/>
      <right style="thin">
        <color rgb="FF000000"/>
      </right>
      <top style="thin">
        <color rgb="FF9CC2E5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A8D08D"/>
      </top>
      <bottom style="thin">
        <color rgb="FF000000"/>
      </bottom>
      <diagonal/>
    </border>
    <border>
      <left/>
      <right/>
      <top style="thin">
        <color rgb="FFA8D08D"/>
      </top>
      <bottom style="thin">
        <color rgb="FF000000"/>
      </bottom>
      <diagonal/>
    </border>
    <border>
      <left/>
      <right style="thin">
        <color rgb="FF000000"/>
      </right>
      <top style="thin">
        <color rgb="FFA8D08D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8" fillId="0" borderId="0"/>
    <xf numFmtId="0" fontId="11" fillId="0" borderId="0"/>
    <xf numFmtId="0" fontId="7" fillId="0" borderId="0"/>
    <xf numFmtId="0" fontId="5" fillId="0" borderId="0"/>
  </cellStyleXfs>
  <cellXfs count="371">
    <xf numFmtId="0" fontId="0" fillId="0" borderId="0" xfId="0"/>
    <xf numFmtId="0" fontId="0" fillId="0" borderId="1" xfId="0" applyBorder="1"/>
    <xf numFmtId="0" fontId="0" fillId="0" borderId="1" xfId="0" applyNumberFormat="1" applyBorder="1"/>
    <xf numFmtId="0" fontId="0" fillId="0" borderId="0" xfId="0" pivotButton="1"/>
    <xf numFmtId="0" fontId="0" fillId="0" borderId="0" xfId="0" applyNumberFormat="1"/>
    <xf numFmtId="0" fontId="8" fillId="0" borderId="0" xfId="1"/>
    <xf numFmtId="0" fontId="8" fillId="0" borderId="0" xfId="1" applyBorder="1"/>
    <xf numFmtId="4" fontId="8" fillId="0" borderId="0" xfId="1" applyNumberFormat="1" applyBorder="1"/>
    <xf numFmtId="0" fontId="13" fillId="3" borderId="0" xfId="2" applyFont="1" applyFill="1" applyBorder="1" applyAlignment="1" applyProtection="1">
      <alignment horizontal="left" vertical="top"/>
      <protection locked="0"/>
    </xf>
    <xf numFmtId="0" fontId="13" fillId="3" borderId="0" xfId="2" applyFont="1" applyFill="1" applyBorder="1" applyAlignment="1" applyProtection="1">
      <alignment horizontal="left" vertical="top"/>
    </xf>
    <xf numFmtId="0" fontId="13" fillId="3" borderId="0" xfId="2" applyNumberFormat="1" applyFont="1" applyFill="1" applyBorder="1" applyAlignment="1" applyProtection="1">
      <alignment horizontal="left" vertical="top"/>
      <protection locked="0"/>
    </xf>
    <xf numFmtId="0" fontId="15" fillId="3" borderId="0" xfId="2" applyFont="1" applyFill="1" applyBorder="1" applyAlignment="1" applyProtection="1">
      <alignment horizontal="center" vertical="top"/>
      <protection locked="0"/>
    </xf>
    <xf numFmtId="0" fontId="17" fillId="3" borderId="6" xfId="2" applyFont="1" applyFill="1" applyBorder="1" applyAlignment="1" applyProtection="1">
      <alignment horizontal="left" wrapText="1"/>
      <protection locked="0"/>
    </xf>
    <xf numFmtId="0" fontId="18" fillId="3" borderId="0" xfId="2" applyFont="1" applyFill="1" applyBorder="1" applyAlignment="1" applyProtection="1">
      <alignment horizontal="right" vertical="top" wrapText="1" indent="1"/>
      <protection locked="0"/>
    </xf>
    <xf numFmtId="0" fontId="17" fillId="3" borderId="0" xfId="2" applyFont="1" applyFill="1" applyBorder="1" applyAlignment="1" applyProtection="1">
      <alignment horizontal="left" wrapText="1"/>
      <protection locked="0"/>
    </xf>
    <xf numFmtId="164" fontId="18" fillId="3" borderId="0" xfId="2" applyNumberFormat="1" applyFont="1" applyFill="1" applyBorder="1" applyAlignment="1" applyProtection="1">
      <alignment horizontal="center" vertical="top" wrapText="1"/>
      <protection locked="0"/>
    </xf>
    <xf numFmtId="0" fontId="18" fillId="3" borderId="0" xfId="2" applyFont="1" applyFill="1" applyBorder="1" applyAlignment="1" applyProtection="1">
      <alignment horizontal="left" vertical="top" wrapText="1"/>
      <protection locked="0"/>
    </xf>
    <xf numFmtId="0" fontId="18" fillId="3" borderId="0" xfId="2" applyNumberFormat="1" applyFont="1" applyFill="1" applyBorder="1" applyAlignment="1" applyProtection="1">
      <alignment horizontal="left" vertical="top" wrapText="1"/>
      <protection locked="0"/>
    </xf>
    <xf numFmtId="0" fontId="18" fillId="3" borderId="0" xfId="2" applyNumberFormat="1" applyFont="1" applyFill="1" applyBorder="1" applyAlignment="1" applyProtection="1">
      <alignment horizontal="center" vertical="top" wrapText="1"/>
      <protection locked="0"/>
    </xf>
    <xf numFmtId="0" fontId="16" fillId="3" borderId="0" xfId="2" applyFont="1" applyFill="1" applyBorder="1" applyAlignment="1" applyProtection="1">
      <alignment horizontal="left" vertical="top"/>
    </xf>
    <xf numFmtId="0" fontId="10" fillId="3" borderId="16" xfId="1" applyFont="1" applyFill="1" applyBorder="1" applyAlignment="1">
      <alignment horizontal="center"/>
    </xf>
    <xf numFmtId="0" fontId="18" fillId="4" borderId="1" xfId="2" applyNumberFormat="1" applyFont="1" applyFill="1" applyBorder="1" applyAlignment="1" applyProtection="1">
      <alignment vertical="top" wrapText="1"/>
    </xf>
    <xf numFmtId="0" fontId="18" fillId="4" borderId="1" xfId="2" applyNumberFormat="1" applyFont="1" applyFill="1" applyBorder="1" applyAlignment="1" applyProtection="1">
      <alignment horizontal="left" vertical="top" wrapText="1"/>
    </xf>
    <xf numFmtId="0" fontId="8" fillId="3" borderId="7" xfId="1" applyFill="1" applyBorder="1"/>
    <xf numFmtId="0" fontId="8" fillId="3" borderId="8" xfId="1" applyFill="1" applyBorder="1"/>
    <xf numFmtId="0" fontId="8" fillId="3" borderId="19" xfId="1" applyFill="1" applyBorder="1"/>
    <xf numFmtId="0" fontId="8" fillId="3" borderId="9" xfId="1" applyFill="1" applyBorder="1"/>
    <xf numFmtId="1" fontId="21" fillId="3" borderId="17" xfId="2" applyNumberFormat="1" applyFont="1" applyFill="1" applyBorder="1" applyAlignment="1" applyProtection="1">
      <alignment vertical="top"/>
      <protection locked="0"/>
    </xf>
    <xf numFmtId="1" fontId="21" fillId="3" borderId="18" xfId="2" applyNumberFormat="1" applyFont="1" applyFill="1" applyBorder="1" applyAlignment="1" applyProtection="1">
      <alignment vertical="top"/>
      <protection locked="0"/>
    </xf>
    <xf numFmtId="1" fontId="21" fillId="3" borderId="20" xfId="2" applyNumberFormat="1" applyFont="1" applyFill="1" applyBorder="1" applyAlignment="1" applyProtection="1">
      <alignment vertical="top"/>
      <protection locked="0"/>
    </xf>
    <xf numFmtId="0" fontId="18" fillId="3" borderId="3" xfId="2" applyNumberFormat="1" applyFont="1" applyFill="1" applyBorder="1" applyAlignment="1" applyProtection="1">
      <alignment vertical="top" wrapText="1"/>
      <protection locked="0"/>
    </xf>
    <xf numFmtId="0" fontId="18" fillId="3" borderId="4" xfId="2" applyNumberFormat="1" applyFont="1" applyFill="1" applyBorder="1" applyAlignment="1" applyProtection="1">
      <alignment vertical="top" wrapText="1"/>
      <protection locked="0"/>
    </xf>
    <xf numFmtId="0" fontId="18" fillId="3" borderId="5" xfId="2" applyNumberFormat="1" applyFont="1" applyFill="1" applyBorder="1" applyAlignment="1" applyProtection="1">
      <alignment vertical="top" wrapText="1"/>
      <protection locked="0"/>
    </xf>
    <xf numFmtId="0" fontId="18" fillId="3" borderId="1" xfId="2" applyNumberFormat="1" applyFont="1" applyFill="1" applyBorder="1" applyAlignment="1" applyProtection="1">
      <alignment vertical="top" wrapText="1"/>
      <protection locked="0"/>
    </xf>
    <xf numFmtId="0" fontId="21" fillId="3" borderId="18" xfId="2" applyNumberFormat="1" applyFont="1" applyFill="1" applyBorder="1" applyAlignment="1" applyProtection="1">
      <alignment vertical="top" wrapText="1"/>
      <protection locked="0"/>
    </xf>
    <xf numFmtId="0" fontId="21" fillId="3" borderId="1" xfId="2" applyNumberFormat="1" applyFont="1" applyFill="1" applyBorder="1" applyAlignment="1" applyProtection="1">
      <alignment horizontal="left" vertical="top" wrapText="1" indent="1"/>
      <protection locked="0"/>
    </xf>
    <xf numFmtId="0" fontId="8" fillId="3" borderId="21" xfId="1" applyFill="1" applyBorder="1"/>
    <xf numFmtId="0" fontId="8" fillId="3" borderId="0" xfId="1" applyFill="1" applyBorder="1"/>
    <xf numFmtId="0" fontId="8" fillId="3" borderId="22" xfId="1" applyFill="1" applyBorder="1"/>
    <xf numFmtId="0" fontId="8" fillId="3" borderId="23" xfId="1" applyFill="1" applyBorder="1"/>
    <xf numFmtId="0" fontId="17" fillId="0" borderId="1" xfId="2" applyNumberFormat="1" applyFont="1" applyFill="1" applyBorder="1" applyAlignment="1" applyProtection="1">
      <alignment horizontal="left" vertical="center" wrapText="1"/>
      <protection locked="0"/>
    </xf>
    <xf numFmtId="0" fontId="8" fillId="0" borderId="0" xfId="1" applyFill="1"/>
    <xf numFmtId="0" fontId="10" fillId="3" borderId="0" xfId="1" applyFont="1" applyFill="1" applyBorder="1"/>
    <xf numFmtId="4" fontId="8" fillId="0" borderId="0" xfId="1" applyNumberFormat="1" applyFill="1"/>
    <xf numFmtId="0" fontId="8" fillId="3" borderId="10" xfId="1" applyFill="1" applyBorder="1"/>
    <xf numFmtId="0" fontId="8" fillId="3" borderId="11" xfId="1" applyFill="1" applyBorder="1"/>
    <xf numFmtId="0" fontId="10" fillId="3" borderId="27" xfId="1" applyNumberFormat="1" applyFont="1" applyFill="1" applyBorder="1"/>
    <xf numFmtId="0" fontId="10" fillId="3" borderId="12" xfId="1" applyNumberFormat="1" applyFont="1" applyFill="1" applyBorder="1"/>
    <xf numFmtId="0" fontId="18" fillId="3" borderId="1" xfId="2" applyNumberFormat="1" applyFont="1" applyFill="1" applyBorder="1" applyAlignment="1" applyProtection="1">
      <alignment vertical="center" wrapText="1"/>
      <protection locked="0"/>
    </xf>
    <xf numFmtId="0" fontId="17" fillId="3" borderId="1" xfId="2" applyNumberFormat="1" applyFont="1" applyFill="1" applyBorder="1" applyAlignment="1" applyProtection="1">
      <alignment horizontal="left" vertical="center" wrapText="1"/>
      <protection locked="0"/>
    </xf>
    <xf numFmtId="2" fontId="8" fillId="0" borderId="0" xfId="1" applyNumberFormat="1"/>
    <xf numFmtId="4" fontId="0" fillId="0" borderId="0" xfId="0" applyNumberFormat="1"/>
    <xf numFmtId="0" fontId="10" fillId="3" borderId="21" xfId="1" applyFont="1" applyFill="1" applyBorder="1"/>
    <xf numFmtId="0" fontId="8" fillId="3" borderId="22" xfId="1" applyNumberFormat="1" applyFill="1" applyBorder="1"/>
    <xf numFmtId="0" fontId="8" fillId="3" borderId="23" xfId="1" applyNumberFormat="1" applyFill="1" applyBorder="1"/>
    <xf numFmtId="0" fontId="18" fillId="3" borderId="0" xfId="2" applyNumberFormat="1" applyFont="1" applyFill="1" applyBorder="1" applyAlignment="1" applyProtection="1">
      <alignment vertical="top" wrapText="1"/>
      <protection locked="0"/>
    </xf>
    <xf numFmtId="0" fontId="17" fillId="3" borderId="0" xfId="2" applyNumberFormat="1" applyFont="1" applyFill="1" applyBorder="1" applyAlignment="1" applyProtection="1">
      <alignment horizontal="left" wrapText="1"/>
      <protection locked="0"/>
    </xf>
    <xf numFmtId="0" fontId="8" fillId="3" borderId="27" xfId="1" applyFill="1" applyBorder="1"/>
    <xf numFmtId="0" fontId="8" fillId="3" borderId="12" xfId="1" applyFill="1" applyBorder="1"/>
    <xf numFmtId="0" fontId="17" fillId="3" borderId="0" xfId="2" applyFont="1" applyFill="1" applyBorder="1" applyAlignment="1" applyProtection="1">
      <alignment horizontal="right" vertical="top"/>
      <protection locked="0"/>
    </xf>
    <xf numFmtId="0" fontId="17" fillId="3" borderId="0" xfId="2" applyFont="1" applyFill="1" applyBorder="1" applyAlignment="1" applyProtection="1">
      <alignment horizontal="center" vertical="top"/>
      <protection locked="0"/>
    </xf>
    <xf numFmtId="4" fontId="8" fillId="0" borderId="0" xfId="1" applyNumberFormat="1"/>
    <xf numFmtId="4" fontId="10" fillId="3" borderId="19" xfId="1" applyNumberFormat="1" applyFont="1" applyFill="1" applyBorder="1"/>
    <xf numFmtId="4" fontId="10" fillId="3" borderId="9" xfId="1" applyNumberFormat="1" applyFont="1" applyFill="1" applyBorder="1"/>
    <xf numFmtId="0" fontId="16" fillId="3" borderId="0" xfId="2" applyFont="1" applyFill="1" applyBorder="1" applyAlignment="1" applyProtection="1">
      <alignment horizontal="left" vertical="top"/>
      <protection locked="0"/>
    </xf>
    <xf numFmtId="0" fontId="10" fillId="0" borderId="0" xfId="1" applyFont="1"/>
    <xf numFmtId="0" fontId="8" fillId="3" borderId="21" xfId="1" quotePrefix="1" applyFill="1" applyBorder="1"/>
    <xf numFmtId="0" fontId="10" fillId="3" borderId="22" xfId="1" applyNumberFormat="1" applyFont="1" applyFill="1" applyBorder="1"/>
    <xf numFmtId="0" fontId="10" fillId="3" borderId="23" xfId="1" applyNumberFormat="1" applyFont="1" applyFill="1" applyBorder="1"/>
    <xf numFmtId="0" fontId="10" fillId="3" borderId="11" xfId="1" applyFont="1" applyFill="1" applyBorder="1"/>
    <xf numFmtId="0" fontId="18" fillId="3" borderId="0" xfId="2" applyFont="1" applyFill="1" applyBorder="1" applyAlignment="1" applyProtection="1">
      <alignment horizontal="center" vertical="top" wrapText="1"/>
      <protection locked="0"/>
    </xf>
    <xf numFmtId="2" fontId="10" fillId="0" borderId="0" xfId="1" applyNumberFormat="1" applyFont="1"/>
    <xf numFmtId="0" fontId="8" fillId="0" borderId="0" xfId="1" applyFill="1" applyBorder="1"/>
    <xf numFmtId="165" fontId="10" fillId="0" borderId="0" xfId="1" applyNumberFormat="1" applyFont="1" applyFill="1" applyBorder="1"/>
    <xf numFmtId="4" fontId="8" fillId="0" borderId="0" xfId="1" applyNumberFormat="1" applyFill="1" applyBorder="1"/>
    <xf numFmtId="4" fontId="10" fillId="0" borderId="0" xfId="1" applyNumberFormat="1" applyFont="1" applyFill="1" applyBorder="1"/>
    <xf numFmtId="0" fontId="18" fillId="3" borderId="0" xfId="2" applyFont="1" applyFill="1" applyBorder="1" applyAlignment="1" applyProtection="1">
      <alignment horizontal="left" vertical="top" wrapText="1" indent="1"/>
      <protection locked="0"/>
    </xf>
    <xf numFmtId="0" fontId="18" fillId="3" borderId="0" xfId="2" applyFont="1" applyFill="1" applyBorder="1" applyAlignment="1" applyProtection="1">
      <alignment horizontal="left" vertical="top"/>
      <protection locked="0"/>
    </xf>
    <xf numFmtId="0" fontId="18" fillId="3" borderId="0" xfId="2" applyNumberFormat="1" applyFont="1" applyFill="1" applyBorder="1" applyAlignment="1" applyProtection="1">
      <alignment horizontal="left" vertical="top"/>
      <protection locked="0"/>
    </xf>
    <xf numFmtId="0" fontId="18" fillId="4" borderId="1" xfId="2" applyNumberFormat="1" applyFont="1" applyFill="1" applyBorder="1" applyAlignment="1" applyProtection="1">
      <alignment vertical="center" wrapText="1"/>
    </xf>
    <xf numFmtId="0" fontId="18" fillId="4" borderId="1" xfId="2" applyFont="1" applyFill="1" applyBorder="1" applyAlignment="1" applyProtection="1">
      <alignment horizontal="center" vertical="center" wrapText="1"/>
    </xf>
    <xf numFmtId="0" fontId="18" fillId="4" borderId="1" xfId="2" applyNumberFormat="1" applyFont="1" applyFill="1" applyBorder="1" applyAlignment="1" applyProtection="1">
      <alignment vertical="center"/>
    </xf>
    <xf numFmtId="1" fontId="21" fillId="3" borderId="28" xfId="2" applyNumberFormat="1" applyFont="1" applyFill="1" applyBorder="1" applyAlignment="1" applyProtection="1">
      <alignment vertical="top"/>
      <protection locked="0"/>
    </xf>
    <xf numFmtId="1" fontId="21" fillId="3" borderId="43" xfId="2" applyNumberFormat="1" applyFont="1" applyFill="1" applyBorder="1" applyAlignment="1" applyProtection="1">
      <alignment horizontal="center" vertical="top"/>
      <protection locked="0"/>
    </xf>
    <xf numFmtId="0" fontId="18" fillId="3" borderId="35" xfId="2" applyNumberFormat="1" applyFont="1" applyFill="1" applyBorder="1" applyAlignment="1" applyProtection="1">
      <alignment vertical="center"/>
      <protection locked="0"/>
    </xf>
    <xf numFmtId="0" fontId="18" fillId="3" borderId="36" xfId="2" applyNumberFormat="1" applyFont="1" applyFill="1" applyBorder="1" applyAlignment="1" applyProtection="1">
      <alignment vertical="center"/>
      <protection locked="0"/>
    </xf>
    <xf numFmtId="0" fontId="18" fillId="3" borderId="37" xfId="2" applyNumberFormat="1" applyFont="1" applyFill="1" applyBorder="1" applyAlignment="1" applyProtection="1">
      <alignment vertical="center"/>
      <protection locked="0"/>
    </xf>
    <xf numFmtId="0" fontId="18" fillId="3" borderId="0" xfId="2" applyNumberFormat="1" applyFont="1" applyFill="1" applyBorder="1" applyAlignment="1" applyProtection="1">
      <alignment vertical="center"/>
      <protection locked="0"/>
    </xf>
    <xf numFmtId="0" fontId="18" fillId="3" borderId="44" xfId="2" applyNumberFormat="1" applyFont="1" applyFill="1" applyBorder="1" applyAlignment="1" applyProtection="1">
      <alignment vertical="center"/>
      <protection locked="0"/>
    </xf>
    <xf numFmtId="0" fontId="18" fillId="3" borderId="40" xfId="2" applyNumberFormat="1" applyFont="1" applyFill="1" applyBorder="1" applyAlignment="1" applyProtection="1">
      <alignment vertical="center"/>
      <protection locked="0"/>
    </xf>
    <xf numFmtId="0" fontId="18" fillId="3" borderId="41" xfId="2" applyNumberFormat="1" applyFont="1" applyFill="1" applyBorder="1" applyAlignment="1" applyProtection="1">
      <alignment vertical="center"/>
      <protection locked="0"/>
    </xf>
    <xf numFmtId="0" fontId="18" fillId="3" borderId="42" xfId="2" applyNumberFormat="1" applyFont="1" applyFill="1" applyBorder="1" applyAlignment="1" applyProtection="1">
      <alignment vertical="center"/>
      <protection locked="0"/>
    </xf>
    <xf numFmtId="0" fontId="21" fillId="3" borderId="45" xfId="2" applyNumberFormat="1" applyFont="1" applyFill="1" applyBorder="1" applyAlignment="1" applyProtection="1">
      <alignment vertical="top"/>
      <protection locked="0"/>
    </xf>
    <xf numFmtId="0" fontId="21" fillId="3" borderId="0" xfId="2" applyNumberFormat="1" applyFont="1" applyFill="1" applyBorder="1" applyAlignment="1" applyProtection="1">
      <alignment vertical="top"/>
      <protection locked="0"/>
    </xf>
    <xf numFmtId="0" fontId="21" fillId="3" borderId="46" xfId="2" applyNumberFormat="1" applyFont="1" applyFill="1" applyBorder="1" applyAlignment="1" applyProtection="1">
      <alignment vertical="top"/>
      <protection locked="0"/>
    </xf>
    <xf numFmtId="0" fontId="21" fillId="3" borderId="17" xfId="2" applyNumberFormat="1" applyFont="1" applyFill="1" applyBorder="1" applyAlignment="1" applyProtection="1">
      <alignment vertical="top"/>
      <protection locked="0"/>
    </xf>
    <xf numFmtId="0" fontId="21" fillId="3" borderId="18" xfId="2" applyNumberFormat="1" applyFont="1" applyFill="1" applyBorder="1" applyAlignment="1" applyProtection="1">
      <alignment vertical="top"/>
      <protection locked="0"/>
    </xf>
    <xf numFmtId="0" fontId="21" fillId="3" borderId="28" xfId="2" applyNumberFormat="1" applyFont="1" applyFill="1" applyBorder="1" applyAlignment="1" applyProtection="1">
      <alignment vertical="top"/>
      <protection locked="0"/>
    </xf>
    <xf numFmtId="0" fontId="17" fillId="3" borderId="1" xfId="2" applyFont="1" applyFill="1" applyBorder="1" applyAlignment="1" applyProtection="1">
      <alignment horizontal="left" wrapText="1"/>
      <protection locked="0"/>
    </xf>
    <xf numFmtId="0" fontId="18" fillId="3" borderId="28" xfId="2" applyNumberFormat="1" applyFont="1" applyFill="1" applyBorder="1" applyAlignment="1" applyProtection="1">
      <alignment vertical="center" wrapText="1"/>
      <protection locked="0"/>
    </xf>
    <xf numFmtId="0" fontId="18" fillId="3" borderId="17" xfId="2" applyNumberFormat="1" applyFont="1" applyFill="1" applyBorder="1" applyAlignment="1" applyProtection="1">
      <alignment vertical="center" wrapText="1"/>
      <protection locked="0"/>
    </xf>
    <xf numFmtId="0" fontId="18" fillId="3" borderId="18" xfId="2" applyNumberFormat="1" applyFont="1" applyFill="1" applyBorder="1" applyAlignment="1" applyProtection="1">
      <alignment vertical="center" wrapText="1"/>
      <protection locked="0"/>
    </xf>
    <xf numFmtId="0" fontId="17" fillId="5" borderId="1" xfId="2" applyFont="1" applyFill="1" applyBorder="1" applyAlignment="1" applyProtection="1">
      <alignment horizontal="left" wrapText="1"/>
    </xf>
    <xf numFmtId="0" fontId="18" fillId="3" borderId="36" xfId="2" applyNumberFormat="1" applyFont="1" applyFill="1" applyBorder="1" applyAlignment="1" applyProtection="1">
      <alignment vertical="center" wrapText="1"/>
      <protection locked="0"/>
    </xf>
    <xf numFmtId="0" fontId="18" fillId="3" borderId="0" xfId="2" applyNumberFormat="1" applyFont="1" applyFill="1" applyBorder="1" applyAlignment="1" applyProtection="1">
      <alignment vertical="center" wrapText="1"/>
      <protection locked="0"/>
    </xf>
    <xf numFmtId="0" fontId="18" fillId="3" borderId="0" xfId="2" applyNumberFormat="1" applyFont="1" applyFill="1" applyBorder="1" applyAlignment="1" applyProtection="1">
      <alignment horizontal="center" vertical="center" wrapText="1"/>
      <protection locked="0"/>
    </xf>
    <xf numFmtId="0" fontId="17" fillId="3" borderId="0" xfId="2" applyFont="1" applyFill="1" applyBorder="1" applyAlignment="1" applyProtection="1">
      <alignment horizontal="left" vertical="top"/>
    </xf>
    <xf numFmtId="0" fontId="17" fillId="3" borderId="0" xfId="2" applyNumberFormat="1" applyFont="1" applyFill="1" applyBorder="1" applyAlignment="1" applyProtection="1">
      <alignment horizontal="left" vertical="top"/>
    </xf>
    <xf numFmtId="0" fontId="18" fillId="3" borderId="0" xfId="2" applyFont="1" applyFill="1" applyBorder="1" applyAlignment="1" applyProtection="1">
      <alignment horizontal="left" vertical="top"/>
    </xf>
    <xf numFmtId="1" fontId="18" fillId="0" borderId="1" xfId="2" applyNumberFormat="1" applyFont="1" applyFill="1" applyBorder="1" applyAlignment="1" applyProtection="1">
      <alignment vertical="center" wrapText="1"/>
      <protection locked="0"/>
    </xf>
    <xf numFmtId="1" fontId="16" fillId="3" borderId="1" xfId="2" applyNumberFormat="1" applyFont="1" applyFill="1" applyBorder="1" applyAlignment="1" applyProtection="1">
      <alignment vertical="center" wrapText="1"/>
      <protection locked="0"/>
    </xf>
    <xf numFmtId="0" fontId="17" fillId="0" borderId="0" xfId="2" applyNumberFormat="1" applyFont="1" applyFill="1" applyBorder="1" applyAlignment="1" applyProtection="1">
      <alignment horizontal="left" wrapText="1"/>
      <protection locked="0"/>
    </xf>
    <xf numFmtId="4" fontId="6" fillId="0" borderId="0" xfId="1" applyNumberFormat="1" applyFont="1"/>
    <xf numFmtId="0" fontId="10" fillId="3" borderId="21" xfId="1" applyNumberFormat="1" applyFont="1" applyFill="1" applyBorder="1"/>
    <xf numFmtId="0" fontId="10" fillId="3" borderId="0" xfId="1" applyNumberFormat="1" applyFont="1" applyFill="1" applyBorder="1"/>
    <xf numFmtId="3" fontId="8" fillId="0" borderId="0" xfId="1" applyNumberFormat="1"/>
    <xf numFmtId="1" fontId="8" fillId="0" borderId="0" xfId="1" applyNumberFormat="1"/>
    <xf numFmtId="4" fontId="8" fillId="3" borderId="0" xfId="1" applyNumberFormat="1" applyFill="1" applyBorder="1"/>
    <xf numFmtId="4" fontId="8" fillId="3" borderId="0" xfId="1" applyNumberFormat="1" applyFill="1"/>
    <xf numFmtId="0" fontId="6" fillId="3" borderId="0" xfId="1" applyFont="1" applyFill="1" applyBorder="1"/>
    <xf numFmtId="0" fontId="8" fillId="3" borderId="0" xfId="1" applyFill="1"/>
    <xf numFmtId="0" fontId="8" fillId="3" borderId="25" xfId="1" applyFill="1" applyBorder="1"/>
    <xf numFmtId="4" fontId="8" fillId="3" borderId="25" xfId="1" applyNumberFormat="1" applyFill="1" applyBorder="1"/>
    <xf numFmtId="4" fontId="8" fillId="3" borderId="26" xfId="1" applyNumberFormat="1" applyFill="1" applyBorder="1"/>
    <xf numFmtId="2" fontId="8" fillId="3" borderId="25" xfId="1" applyNumberFormat="1" applyFill="1" applyBorder="1"/>
    <xf numFmtId="1" fontId="8" fillId="3" borderId="25" xfId="1" applyNumberFormat="1" applyFill="1" applyBorder="1"/>
    <xf numFmtId="166" fontId="8" fillId="3" borderId="26" xfId="1" applyNumberFormat="1" applyFill="1" applyBorder="1"/>
    <xf numFmtId="4" fontId="4" fillId="3" borderId="0" xfId="1" applyNumberFormat="1" applyFont="1" applyFill="1"/>
    <xf numFmtId="0" fontId="3" fillId="0" borderId="0" xfId="1" applyNumberFormat="1" applyFont="1"/>
    <xf numFmtId="2" fontId="8" fillId="0" borderId="0" xfId="1" applyNumberFormat="1" applyFill="1" applyBorder="1"/>
    <xf numFmtId="1" fontId="17" fillId="0" borderId="0" xfId="2" applyNumberFormat="1" applyFont="1" applyFill="1" applyBorder="1" applyAlignment="1" applyProtection="1">
      <alignment vertical="center" wrapText="1"/>
      <protection locked="0"/>
    </xf>
    <xf numFmtId="1" fontId="18" fillId="0" borderId="0" xfId="2" applyNumberFormat="1" applyFont="1" applyFill="1" applyBorder="1" applyAlignment="1" applyProtection="1">
      <alignment vertical="center" wrapText="1"/>
      <protection locked="0"/>
    </xf>
    <xf numFmtId="1" fontId="8" fillId="0" borderId="0" xfId="1" applyNumberFormat="1" applyFill="1" applyBorder="1"/>
    <xf numFmtId="0" fontId="0" fillId="0" borderId="0" xfId="0" applyBorder="1"/>
    <xf numFmtId="0" fontId="10" fillId="0" borderId="0" xfId="0" applyFont="1" applyFill="1" applyBorder="1"/>
    <xf numFmtId="0" fontId="9" fillId="6" borderId="0" xfId="0" applyFont="1" applyFill="1" applyBorder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0" fillId="0" borderId="0" xfId="0" applyFill="1"/>
    <xf numFmtId="0" fontId="0" fillId="0" borderId="0" xfId="0" applyNumberFormat="1" applyFill="1"/>
    <xf numFmtId="0" fontId="24" fillId="0" borderId="54" xfId="0" applyFont="1" applyFill="1" applyBorder="1"/>
    <xf numFmtId="0" fontId="2" fillId="0" borderId="0" xfId="1" applyFont="1"/>
    <xf numFmtId="167" fontId="8" fillId="0" borderId="0" xfId="1" applyNumberFormat="1"/>
    <xf numFmtId="0" fontId="8" fillId="0" borderId="22" xfId="1" applyNumberFormat="1" applyFill="1" applyBorder="1"/>
    <xf numFmtId="0" fontId="8" fillId="0" borderId="23" xfId="1" applyNumberFormat="1" applyFill="1" applyBorder="1"/>
    <xf numFmtId="0" fontId="0" fillId="2" borderId="0" xfId="0" applyFill="1"/>
    <xf numFmtId="0" fontId="1" fillId="0" borderId="0" xfId="1" applyNumberFormat="1" applyFont="1"/>
    <xf numFmtId="0" fontId="8" fillId="0" borderId="0" xfId="1" applyNumberFormat="1" applyFill="1" applyBorder="1"/>
    <xf numFmtId="4" fontId="1" fillId="0" borderId="0" xfId="1" applyNumberFormat="1" applyFont="1"/>
    <xf numFmtId="0" fontId="0" fillId="2" borderId="0" xfId="0" applyNumberFormat="1" applyFill="1"/>
    <xf numFmtId="14" fontId="0" fillId="0" borderId="0" xfId="0" applyNumberFormat="1"/>
    <xf numFmtId="0" fontId="18" fillId="3" borderId="17" xfId="2" applyFont="1" applyFill="1" applyBorder="1" applyAlignment="1" applyProtection="1">
      <alignment horizontal="left" vertical="top" wrapText="1"/>
    </xf>
    <xf numFmtId="0" fontId="18" fillId="3" borderId="18" xfId="2" applyFont="1" applyFill="1" applyBorder="1" applyAlignment="1" applyProtection="1">
      <alignment horizontal="left" vertical="top" wrapText="1"/>
    </xf>
    <xf numFmtId="0" fontId="18" fillId="3" borderId="28" xfId="2" applyFont="1" applyFill="1" applyBorder="1" applyAlignment="1" applyProtection="1">
      <alignment horizontal="left" vertical="top" wrapText="1"/>
    </xf>
    <xf numFmtId="0" fontId="17" fillId="5" borderId="17" xfId="2" applyFont="1" applyFill="1" applyBorder="1" applyAlignment="1" applyProtection="1">
      <alignment horizontal="left" wrapText="1"/>
    </xf>
    <xf numFmtId="0" fontId="17" fillId="5" borderId="18" xfId="2" applyFont="1" applyFill="1" applyBorder="1" applyAlignment="1" applyProtection="1">
      <alignment horizontal="left" wrapText="1"/>
    </xf>
    <xf numFmtId="0" fontId="17" fillId="5" borderId="28" xfId="2" applyFont="1" applyFill="1" applyBorder="1" applyAlignment="1" applyProtection="1">
      <alignment horizontal="left" wrapText="1"/>
    </xf>
    <xf numFmtId="0" fontId="17" fillId="5" borderId="17" xfId="2" applyNumberFormat="1" applyFont="1" applyFill="1" applyBorder="1" applyAlignment="1" applyProtection="1">
      <alignment horizontal="left" wrapText="1"/>
    </xf>
    <xf numFmtId="0" fontId="17" fillId="5" borderId="18" xfId="2" applyNumberFormat="1" applyFont="1" applyFill="1" applyBorder="1" applyAlignment="1" applyProtection="1">
      <alignment horizontal="left" wrapText="1"/>
    </xf>
    <xf numFmtId="0" fontId="17" fillId="5" borderId="28" xfId="2" applyNumberFormat="1" applyFont="1" applyFill="1" applyBorder="1" applyAlignment="1" applyProtection="1">
      <alignment horizontal="left" wrapText="1"/>
    </xf>
    <xf numFmtId="0" fontId="17" fillId="3" borderId="18" xfId="2" applyNumberFormat="1" applyFont="1" applyFill="1" applyBorder="1" applyAlignment="1" applyProtection="1">
      <alignment horizontal="left" wrapText="1"/>
      <protection locked="0"/>
    </xf>
    <xf numFmtId="0" fontId="17" fillId="3" borderId="28" xfId="2" applyNumberFormat="1" applyFont="1" applyFill="1" applyBorder="1" applyAlignment="1" applyProtection="1">
      <alignment horizontal="left" wrapText="1"/>
      <protection locked="0"/>
    </xf>
    <xf numFmtId="0" fontId="18" fillId="4" borderId="17" xfId="2" applyFont="1" applyFill="1" applyBorder="1" applyAlignment="1" applyProtection="1">
      <alignment horizontal="center" vertical="top" wrapText="1"/>
    </xf>
    <xf numFmtId="0" fontId="18" fillId="4" borderId="18" xfId="2" applyFont="1" applyFill="1" applyBorder="1" applyAlignment="1" applyProtection="1">
      <alignment horizontal="center" vertical="top" wrapText="1"/>
    </xf>
    <xf numFmtId="0" fontId="18" fillId="4" borderId="28" xfId="2" applyFont="1" applyFill="1" applyBorder="1" applyAlignment="1" applyProtection="1">
      <alignment horizontal="center" vertical="top" wrapText="1"/>
    </xf>
    <xf numFmtId="0" fontId="18" fillId="4" borderId="17" xfId="2" applyNumberFormat="1" applyFont="1" applyFill="1" applyBorder="1" applyAlignment="1" applyProtection="1">
      <alignment horizontal="center" vertical="top" wrapText="1"/>
    </xf>
    <xf numFmtId="0" fontId="18" fillId="4" borderId="18" xfId="2" applyNumberFormat="1" applyFont="1" applyFill="1" applyBorder="1" applyAlignment="1" applyProtection="1">
      <alignment horizontal="center" vertical="top" wrapText="1"/>
    </xf>
    <xf numFmtId="0" fontId="18" fillId="4" borderId="28" xfId="2" applyNumberFormat="1" applyFont="1" applyFill="1" applyBorder="1" applyAlignment="1" applyProtection="1">
      <alignment horizontal="center" vertical="top" wrapText="1"/>
    </xf>
    <xf numFmtId="1" fontId="16" fillId="3" borderId="51" xfId="2" applyNumberFormat="1" applyFont="1" applyFill="1" applyBorder="1" applyAlignment="1" applyProtection="1">
      <alignment horizontal="center" vertical="top" wrapText="1"/>
    </xf>
    <xf numFmtId="1" fontId="16" fillId="3" borderId="52" xfId="2" applyNumberFormat="1" applyFont="1" applyFill="1" applyBorder="1" applyAlignment="1" applyProtection="1">
      <alignment horizontal="center" vertical="top" wrapText="1"/>
    </xf>
    <xf numFmtId="1" fontId="16" fillId="3" borderId="53" xfId="2" applyNumberFormat="1" applyFont="1" applyFill="1" applyBorder="1" applyAlignment="1" applyProtection="1">
      <alignment horizontal="center" vertical="top" wrapText="1"/>
    </xf>
    <xf numFmtId="0" fontId="16" fillId="3" borderId="51" xfId="2" applyNumberFormat="1" applyFont="1" applyFill="1" applyBorder="1" applyAlignment="1" applyProtection="1">
      <alignment horizontal="center" vertical="top" wrapText="1"/>
    </xf>
    <xf numFmtId="0" fontId="16" fillId="3" borderId="52" xfId="2" applyNumberFormat="1" applyFont="1" applyFill="1" applyBorder="1" applyAlignment="1" applyProtection="1">
      <alignment horizontal="center" vertical="top" wrapText="1"/>
    </xf>
    <xf numFmtId="0" fontId="16" fillId="3" borderId="53" xfId="2" applyNumberFormat="1" applyFont="1" applyFill="1" applyBorder="1" applyAlignment="1" applyProtection="1">
      <alignment horizontal="center" vertical="top" wrapText="1"/>
    </xf>
    <xf numFmtId="0" fontId="18" fillId="3" borderId="17" xfId="2" applyFont="1" applyFill="1" applyBorder="1" applyAlignment="1" applyProtection="1">
      <alignment horizontal="left" vertical="top" wrapText="1" indent="1"/>
    </xf>
    <xf numFmtId="0" fontId="18" fillId="3" borderId="18" xfId="2" applyFont="1" applyFill="1" applyBorder="1" applyAlignment="1" applyProtection="1">
      <alignment horizontal="left" vertical="top" wrapText="1" indent="1"/>
    </xf>
    <xf numFmtId="0" fontId="18" fillId="3" borderId="28" xfId="2" applyFont="1" applyFill="1" applyBorder="1" applyAlignment="1" applyProtection="1">
      <alignment horizontal="left" vertical="top" wrapText="1" indent="1"/>
    </xf>
    <xf numFmtId="0" fontId="17" fillId="3" borderId="17" xfId="2" applyFont="1" applyFill="1" applyBorder="1" applyAlignment="1" applyProtection="1">
      <alignment horizontal="left" wrapText="1"/>
      <protection locked="0"/>
    </xf>
    <xf numFmtId="0" fontId="17" fillId="3" borderId="18" xfId="2" applyFont="1" applyFill="1" applyBorder="1" applyAlignment="1" applyProtection="1">
      <alignment horizontal="left" wrapText="1"/>
      <protection locked="0"/>
    </xf>
    <xf numFmtId="0" fontId="18" fillId="5" borderId="24" xfId="2" applyNumberFormat="1" applyFont="1" applyFill="1" applyBorder="1" applyAlignment="1" applyProtection="1">
      <alignment horizontal="center" vertical="center" wrapText="1"/>
    </xf>
    <xf numFmtId="0" fontId="18" fillId="5" borderId="18" xfId="2" applyNumberFormat="1" applyFont="1" applyFill="1" applyBorder="1" applyAlignment="1" applyProtection="1">
      <alignment horizontal="center" vertical="center" wrapText="1"/>
    </xf>
    <xf numFmtId="0" fontId="18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18" fillId="3" borderId="4" xfId="2" applyNumberFormat="1" applyFont="1" applyFill="1" applyBorder="1" applyAlignment="1" applyProtection="1">
      <alignment horizontal="center" vertical="center" wrapText="1"/>
      <protection locked="0"/>
    </xf>
    <xf numFmtId="0" fontId="18" fillId="3" borderId="5" xfId="2" applyNumberFormat="1" applyFont="1" applyFill="1" applyBorder="1" applyAlignment="1" applyProtection="1">
      <alignment horizontal="center" vertical="center" wrapText="1"/>
      <protection locked="0"/>
    </xf>
    <xf numFmtId="0" fontId="17" fillId="3" borderId="1" xfId="2" applyNumberFormat="1" applyFont="1" applyFill="1" applyBorder="1" applyAlignment="1" applyProtection="1">
      <alignment horizontal="left" wrapText="1"/>
      <protection locked="0"/>
    </xf>
    <xf numFmtId="2" fontId="17" fillId="3" borderId="17" xfId="2" applyNumberFormat="1" applyFont="1" applyFill="1" applyBorder="1" applyAlignment="1" applyProtection="1">
      <alignment horizontal="left" wrapText="1"/>
      <protection locked="0"/>
    </xf>
    <xf numFmtId="0" fontId="18" fillId="3" borderId="49" xfId="2" applyNumberFormat="1" applyFont="1" applyFill="1" applyBorder="1" applyAlignment="1" applyProtection="1">
      <alignment horizontal="center" vertical="center" wrapText="1"/>
      <protection locked="0"/>
    </xf>
    <xf numFmtId="0" fontId="18" fillId="3" borderId="50" xfId="2" applyNumberFormat="1" applyFont="1" applyFill="1" applyBorder="1" applyAlignment="1" applyProtection="1">
      <alignment horizontal="center" vertical="center" wrapText="1"/>
      <protection locked="0"/>
    </xf>
    <xf numFmtId="0" fontId="18" fillId="5" borderId="3" xfId="2" applyNumberFormat="1" applyFont="1" applyFill="1" applyBorder="1" applyAlignment="1" applyProtection="1">
      <alignment horizontal="center" vertical="center" wrapText="1"/>
    </xf>
    <xf numFmtId="0" fontId="18" fillId="5" borderId="4" xfId="2" applyNumberFormat="1" applyFont="1" applyFill="1" applyBorder="1" applyAlignment="1" applyProtection="1">
      <alignment horizontal="center" vertical="center" wrapText="1"/>
    </xf>
    <xf numFmtId="0" fontId="18" fillId="5" borderId="5" xfId="2" applyNumberFormat="1" applyFont="1" applyFill="1" applyBorder="1" applyAlignment="1" applyProtection="1">
      <alignment horizontal="center" vertical="center" wrapText="1"/>
    </xf>
    <xf numFmtId="0" fontId="18" fillId="4" borderId="32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3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4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5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6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7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" xfId="2" applyNumberFormat="1" applyFont="1" applyFill="1" applyBorder="1" applyAlignment="1" applyProtection="1">
      <alignment horizontal="center" vertical="center" wrapText="1"/>
    </xf>
    <xf numFmtId="0" fontId="18" fillId="4" borderId="4" xfId="2" applyNumberFormat="1" applyFont="1" applyFill="1" applyBorder="1" applyAlignment="1" applyProtection="1">
      <alignment horizontal="center" vertical="center" wrapText="1"/>
    </xf>
    <xf numFmtId="0" fontId="18" fillId="4" borderId="5" xfId="2" applyNumberFormat="1" applyFont="1" applyFill="1" applyBorder="1" applyAlignment="1" applyProtection="1">
      <alignment horizontal="center" vertical="center" wrapText="1"/>
    </xf>
    <xf numFmtId="0" fontId="18" fillId="3" borderId="47" xfId="2" applyNumberFormat="1" applyFont="1" applyFill="1" applyBorder="1" applyAlignment="1" applyProtection="1">
      <alignment horizontal="center" vertical="center" wrapText="1"/>
      <protection locked="0"/>
    </xf>
    <xf numFmtId="0" fontId="18" fillId="3" borderId="48" xfId="2" applyNumberFormat="1" applyFont="1" applyFill="1" applyBorder="1" applyAlignment="1" applyProtection="1">
      <alignment horizontal="center" vertical="center" wrapText="1"/>
      <protection locked="0"/>
    </xf>
    <xf numFmtId="0" fontId="18" fillId="4" borderId="32" xfId="2" applyFont="1" applyFill="1" applyBorder="1" applyAlignment="1" applyProtection="1">
      <alignment horizontal="center" vertical="center" wrapText="1"/>
    </xf>
    <xf numFmtId="0" fontId="18" fillId="4" borderId="33" xfId="2" applyFont="1" applyFill="1" applyBorder="1" applyAlignment="1" applyProtection="1">
      <alignment horizontal="center" vertical="center" wrapText="1"/>
    </xf>
    <xf numFmtId="0" fontId="18" fillId="4" borderId="34" xfId="2" applyFont="1" applyFill="1" applyBorder="1" applyAlignment="1" applyProtection="1">
      <alignment horizontal="center" vertical="center" wrapText="1"/>
    </xf>
    <xf numFmtId="0" fontId="18" fillId="4" borderId="35" xfId="2" applyFont="1" applyFill="1" applyBorder="1" applyAlignment="1" applyProtection="1">
      <alignment horizontal="center" vertical="center" wrapText="1"/>
    </xf>
    <xf numFmtId="0" fontId="18" fillId="4" borderId="36" xfId="2" applyFont="1" applyFill="1" applyBorder="1" applyAlignment="1" applyProtection="1">
      <alignment horizontal="center" vertical="center" wrapText="1"/>
    </xf>
    <xf numFmtId="0" fontId="18" fillId="4" borderId="37" xfId="2" applyFont="1" applyFill="1" applyBorder="1" applyAlignment="1" applyProtection="1">
      <alignment horizontal="center" vertical="center" wrapText="1"/>
    </xf>
    <xf numFmtId="0" fontId="18" fillId="4" borderId="3" xfId="2" applyFont="1" applyFill="1" applyBorder="1" applyAlignment="1" applyProtection="1">
      <alignment horizontal="center" vertical="center" wrapText="1"/>
    </xf>
    <xf numFmtId="0" fontId="18" fillId="4" borderId="4" xfId="2" applyFont="1" applyFill="1" applyBorder="1" applyAlignment="1" applyProtection="1">
      <alignment horizontal="center" vertical="center" wrapText="1"/>
    </xf>
    <xf numFmtId="0" fontId="18" fillId="4" borderId="5" xfId="2" applyFont="1" applyFill="1" applyBorder="1" applyAlignment="1" applyProtection="1">
      <alignment horizontal="center" vertical="center" wrapText="1"/>
    </xf>
    <xf numFmtId="0" fontId="18" fillId="4" borderId="2" xfId="2" applyNumberFormat="1" applyFont="1" applyFill="1" applyBorder="1" applyAlignment="1" applyProtection="1">
      <alignment horizontal="center" vertical="center" wrapText="1"/>
    </xf>
    <xf numFmtId="0" fontId="18" fillId="4" borderId="38" xfId="2" applyNumberFormat="1" applyFont="1" applyFill="1" applyBorder="1" applyAlignment="1" applyProtection="1">
      <alignment horizontal="center" vertical="center" wrapText="1"/>
    </xf>
    <xf numFmtId="0" fontId="18" fillId="4" borderId="39" xfId="2" applyNumberFormat="1" applyFont="1" applyFill="1" applyBorder="1" applyAlignment="1" applyProtection="1">
      <alignment horizontal="center" vertical="center" wrapText="1"/>
    </xf>
    <xf numFmtId="0" fontId="18" fillId="4" borderId="40" xfId="2" applyNumberFormat="1" applyFont="1" applyFill="1" applyBorder="1" applyAlignment="1" applyProtection="1">
      <alignment horizontal="center" vertical="center" wrapText="1"/>
    </xf>
    <xf numFmtId="0" fontId="18" fillId="4" borderId="41" xfId="2" applyNumberFormat="1" applyFont="1" applyFill="1" applyBorder="1" applyAlignment="1" applyProtection="1">
      <alignment horizontal="center" vertical="center" wrapText="1"/>
    </xf>
    <xf numFmtId="0" fontId="18" fillId="4" borderId="42" xfId="2" applyNumberFormat="1" applyFont="1" applyFill="1" applyBorder="1" applyAlignment="1" applyProtection="1">
      <alignment horizontal="center" vertical="center" wrapText="1"/>
    </xf>
    <xf numFmtId="0" fontId="18" fillId="4" borderId="33" xfId="2" applyNumberFormat="1" applyFont="1" applyFill="1" applyBorder="1" applyAlignment="1" applyProtection="1">
      <alignment horizontal="center" vertical="center" wrapText="1"/>
    </xf>
    <xf numFmtId="0" fontId="18" fillId="4" borderId="34" xfId="2" applyNumberFormat="1" applyFont="1" applyFill="1" applyBorder="1" applyAlignment="1" applyProtection="1">
      <alignment horizontal="center" vertical="center" wrapText="1"/>
    </xf>
    <xf numFmtId="0" fontId="18" fillId="4" borderId="36" xfId="2" applyNumberFormat="1" applyFont="1" applyFill="1" applyBorder="1" applyAlignment="1" applyProtection="1">
      <alignment horizontal="center" vertical="center" wrapText="1"/>
    </xf>
    <xf numFmtId="0" fontId="18" fillId="4" borderId="37" xfId="2" applyNumberFormat="1" applyFont="1" applyFill="1" applyBorder="1" applyAlignment="1" applyProtection="1">
      <alignment horizontal="center" vertical="center" wrapText="1"/>
    </xf>
    <xf numFmtId="0" fontId="17" fillId="3" borderId="17" xfId="2" applyNumberFormat="1" applyFont="1" applyFill="1" applyBorder="1" applyAlignment="1" applyProtection="1">
      <alignment horizontal="left" wrapText="1"/>
      <protection locked="0"/>
    </xf>
    <xf numFmtId="0" fontId="17" fillId="5" borderId="1" xfId="2" applyNumberFormat="1" applyFont="1" applyFill="1" applyBorder="1" applyAlignment="1" applyProtection="1">
      <alignment horizontal="left" wrapText="1"/>
    </xf>
    <xf numFmtId="0" fontId="18" fillId="4" borderId="17" xfId="2" applyFont="1" applyFill="1" applyBorder="1" applyAlignment="1" applyProtection="1">
      <alignment horizontal="left" vertical="center" wrapText="1"/>
    </xf>
    <xf numFmtId="0" fontId="18" fillId="4" borderId="18" xfId="2" applyFont="1" applyFill="1" applyBorder="1" applyAlignment="1" applyProtection="1">
      <alignment horizontal="left" vertical="center" wrapText="1"/>
    </xf>
    <xf numFmtId="0" fontId="18" fillId="4" borderId="28" xfId="2" applyFont="1" applyFill="1" applyBorder="1" applyAlignment="1" applyProtection="1">
      <alignment horizontal="left" vertical="center" wrapText="1"/>
    </xf>
    <xf numFmtId="0" fontId="18" fillId="4" borderId="17" xfId="2" applyNumberFormat="1" applyFont="1" applyFill="1" applyBorder="1" applyAlignment="1" applyProtection="1">
      <alignment horizontal="center" vertical="center" wrapText="1"/>
    </xf>
    <xf numFmtId="0" fontId="18" fillId="4" borderId="18" xfId="2" applyNumberFormat="1" applyFont="1" applyFill="1" applyBorder="1" applyAlignment="1" applyProtection="1">
      <alignment horizontal="center" vertical="center" wrapText="1"/>
    </xf>
    <xf numFmtId="0" fontId="18" fillId="4" borderId="1" xfId="2" applyNumberFormat="1" applyFont="1" applyFill="1" applyBorder="1" applyAlignment="1" applyProtection="1">
      <alignment horizontal="center" vertical="center" wrapText="1"/>
    </xf>
    <xf numFmtId="1" fontId="21" fillId="3" borderId="17" xfId="2" applyNumberFormat="1" applyFont="1" applyFill="1" applyBorder="1" applyAlignment="1" applyProtection="1">
      <alignment horizontal="center" vertical="top" wrapText="1"/>
      <protection locked="0"/>
    </xf>
    <xf numFmtId="1" fontId="21" fillId="3" borderId="18" xfId="2" applyNumberFormat="1" applyFont="1" applyFill="1" applyBorder="1" applyAlignment="1" applyProtection="1">
      <alignment horizontal="center" vertical="top" wrapText="1"/>
      <protection locked="0"/>
    </xf>
    <xf numFmtId="1" fontId="21" fillId="3" borderId="28" xfId="2" applyNumberFormat="1" applyFont="1" applyFill="1" applyBorder="1" applyAlignment="1" applyProtection="1">
      <alignment horizontal="center" vertical="top" wrapText="1"/>
      <protection locked="0"/>
    </xf>
    <xf numFmtId="0" fontId="21" fillId="3" borderId="17" xfId="2" applyNumberFormat="1" applyFont="1" applyFill="1" applyBorder="1" applyAlignment="1" applyProtection="1">
      <alignment horizontal="center" vertical="top" wrapText="1"/>
      <protection locked="0"/>
    </xf>
    <xf numFmtId="0" fontId="21" fillId="3" borderId="18" xfId="2" applyNumberFormat="1" applyFont="1" applyFill="1" applyBorder="1" applyAlignment="1" applyProtection="1">
      <alignment horizontal="center" vertical="top" wrapText="1"/>
      <protection locked="0"/>
    </xf>
    <xf numFmtId="0" fontId="21" fillId="3" borderId="1" xfId="2" applyNumberFormat="1" applyFont="1" applyFill="1" applyBorder="1" applyAlignment="1" applyProtection="1">
      <alignment horizontal="center" vertical="top" wrapText="1"/>
      <protection locked="0"/>
    </xf>
    <xf numFmtId="0" fontId="18" fillId="3" borderId="3" xfId="2" applyFont="1" applyFill="1" applyBorder="1" applyAlignment="1" applyProtection="1">
      <alignment horizontal="left" vertical="top" wrapText="1"/>
    </xf>
    <xf numFmtId="0" fontId="18" fillId="3" borderId="4" xfId="2" applyFont="1" applyFill="1" applyBorder="1" applyAlignment="1" applyProtection="1">
      <alignment horizontal="left" vertical="top" wrapText="1"/>
    </xf>
    <xf numFmtId="0" fontId="18" fillId="3" borderId="5" xfId="2" applyFont="1" applyFill="1" applyBorder="1" applyAlignment="1" applyProtection="1">
      <alignment horizontal="left" vertical="top" wrapText="1"/>
    </xf>
    <xf numFmtId="0" fontId="18" fillId="0" borderId="18" xfId="2" applyNumberFormat="1" applyFont="1" applyFill="1" applyBorder="1" applyAlignment="1" applyProtection="1">
      <alignment horizontal="center" vertical="top" wrapText="1"/>
      <protection locked="0"/>
    </xf>
    <xf numFmtId="0" fontId="18" fillId="0" borderId="1" xfId="2" applyNumberFormat="1" applyFont="1" applyFill="1" applyBorder="1" applyAlignment="1" applyProtection="1">
      <alignment horizontal="center" vertical="top" wrapText="1"/>
      <protection locked="0"/>
    </xf>
    <xf numFmtId="0" fontId="18" fillId="3" borderId="3" xfId="2" applyFont="1" applyFill="1" applyBorder="1" applyAlignment="1" applyProtection="1">
      <alignment horizontal="left" vertical="top"/>
    </xf>
    <xf numFmtId="0" fontId="18" fillId="3" borderId="4" xfId="2" applyFont="1" applyFill="1" applyBorder="1" applyAlignment="1" applyProtection="1">
      <alignment horizontal="left" vertical="top"/>
    </xf>
    <xf numFmtId="0" fontId="18" fillId="3" borderId="5" xfId="2" applyFont="1" applyFill="1" applyBorder="1" applyAlignment="1" applyProtection="1">
      <alignment horizontal="left" vertical="top"/>
    </xf>
    <xf numFmtId="0" fontId="18" fillId="3" borderId="18" xfId="2" applyNumberFormat="1" applyFont="1" applyFill="1" applyBorder="1" applyAlignment="1" applyProtection="1">
      <alignment horizontal="center" vertical="top" wrapText="1"/>
      <protection locked="0"/>
    </xf>
    <xf numFmtId="0" fontId="18" fillId="3" borderId="28" xfId="2" applyNumberFormat="1" applyFont="1" applyFill="1" applyBorder="1" applyAlignment="1" applyProtection="1">
      <alignment horizontal="center" vertical="top" wrapText="1"/>
      <protection locked="0"/>
    </xf>
    <xf numFmtId="1" fontId="17" fillId="2" borderId="35" xfId="2" applyNumberFormat="1" applyFont="1" applyFill="1" applyBorder="1" applyAlignment="1" applyProtection="1">
      <alignment horizontal="center" wrapText="1"/>
      <protection locked="0"/>
    </xf>
    <xf numFmtId="1" fontId="17" fillId="2" borderId="36" xfId="2" applyNumberFormat="1" applyFont="1" applyFill="1" applyBorder="1" applyAlignment="1" applyProtection="1">
      <alignment horizontal="center" wrapText="1"/>
      <protection locked="0"/>
    </xf>
    <xf numFmtId="1" fontId="17" fillId="2" borderId="37" xfId="2" applyNumberFormat="1" applyFont="1" applyFill="1" applyBorder="1" applyAlignment="1" applyProtection="1">
      <alignment horizontal="center" wrapText="1"/>
      <protection locked="0"/>
    </xf>
    <xf numFmtId="0" fontId="18" fillId="4" borderId="3" xfId="2" applyFont="1" applyFill="1" applyBorder="1" applyAlignment="1" applyProtection="1">
      <alignment horizontal="left" vertical="top"/>
    </xf>
    <xf numFmtId="0" fontId="18" fillId="4" borderId="4" xfId="2" applyFont="1" applyFill="1" applyBorder="1" applyAlignment="1" applyProtection="1">
      <alignment horizontal="left" vertical="top"/>
    </xf>
    <xf numFmtId="0" fontId="18" fillId="4" borderId="5" xfId="2" applyFont="1" applyFill="1" applyBorder="1" applyAlignment="1" applyProtection="1">
      <alignment horizontal="left" vertical="top"/>
    </xf>
    <xf numFmtId="0" fontId="18" fillId="3" borderId="3" xfId="2" applyFont="1" applyFill="1" applyBorder="1" applyAlignment="1" applyProtection="1">
      <alignment horizontal="center" vertical="top"/>
      <protection locked="0"/>
    </xf>
    <xf numFmtId="0" fontId="18" fillId="3" borderId="4" xfId="2" applyFont="1" applyFill="1" applyBorder="1" applyAlignment="1" applyProtection="1">
      <alignment horizontal="center" vertical="top"/>
      <protection locked="0"/>
    </xf>
    <xf numFmtId="0" fontId="18" fillId="3" borderId="5" xfId="2" applyFont="1" applyFill="1" applyBorder="1" applyAlignment="1" applyProtection="1">
      <alignment horizontal="center" vertical="top"/>
      <protection locked="0"/>
    </xf>
    <xf numFmtId="0" fontId="18" fillId="3" borderId="24" xfId="2" applyNumberFormat="1" applyFont="1" applyFill="1" applyBorder="1" applyAlignment="1" applyProtection="1">
      <alignment horizontal="center" vertical="top" wrapText="1"/>
      <protection locked="0"/>
    </xf>
    <xf numFmtId="0" fontId="21" fillId="3" borderId="32" xfId="2" applyNumberFormat="1" applyFont="1" applyFill="1" applyBorder="1" applyAlignment="1" applyProtection="1">
      <alignment horizontal="center" vertical="top" wrapText="1"/>
      <protection locked="0"/>
    </xf>
    <xf numFmtId="0" fontId="21" fillId="3" borderId="33" xfId="2" applyNumberFormat="1" applyFont="1" applyFill="1" applyBorder="1" applyAlignment="1" applyProtection="1">
      <alignment horizontal="center" vertical="top" wrapText="1"/>
      <protection locked="0"/>
    </xf>
    <xf numFmtId="0" fontId="21" fillId="3" borderId="34" xfId="2" applyNumberFormat="1" applyFont="1" applyFill="1" applyBorder="1" applyAlignment="1" applyProtection="1">
      <alignment horizontal="center" vertical="top" wrapText="1"/>
      <protection locked="0"/>
    </xf>
    <xf numFmtId="0" fontId="16" fillId="3" borderId="17" xfId="2" applyFont="1" applyFill="1" applyBorder="1" applyAlignment="1" applyProtection="1">
      <alignment horizontal="left" vertical="top" wrapText="1"/>
    </xf>
    <xf numFmtId="0" fontId="16" fillId="3" borderId="18" xfId="2" applyFont="1" applyFill="1" applyBorder="1" applyAlignment="1" applyProtection="1">
      <alignment horizontal="left" vertical="top" wrapText="1"/>
    </xf>
    <xf numFmtId="0" fontId="16" fillId="3" borderId="28" xfId="2" applyFont="1" applyFill="1" applyBorder="1" applyAlignment="1" applyProtection="1">
      <alignment horizontal="left" vertical="top" wrapText="1"/>
    </xf>
    <xf numFmtId="1" fontId="22" fillId="0" borderId="17" xfId="2" applyNumberFormat="1" applyFont="1" applyFill="1" applyBorder="1" applyAlignment="1" applyProtection="1">
      <alignment horizontal="left" wrapText="1"/>
      <protection locked="0"/>
    </xf>
    <xf numFmtId="1" fontId="22" fillId="0" borderId="18" xfId="2" applyNumberFormat="1" applyFont="1" applyFill="1" applyBorder="1" applyAlignment="1" applyProtection="1">
      <alignment horizontal="left" wrapText="1"/>
      <protection locked="0"/>
    </xf>
    <xf numFmtId="1" fontId="22" fillId="0" borderId="1" xfId="2" applyNumberFormat="1" applyFont="1" applyFill="1" applyBorder="1" applyAlignment="1" applyProtection="1">
      <alignment horizontal="left" wrapText="1"/>
      <protection locked="0"/>
    </xf>
    <xf numFmtId="0" fontId="17" fillId="0" borderId="1" xfId="2" applyNumberFormat="1" applyFont="1" applyFill="1" applyBorder="1" applyAlignment="1" applyProtection="1">
      <alignment horizontal="left" wrapText="1"/>
      <protection locked="0"/>
    </xf>
    <xf numFmtId="0" fontId="17" fillId="0" borderId="17" xfId="2" applyNumberFormat="1" applyFont="1" applyFill="1" applyBorder="1" applyAlignment="1" applyProtection="1">
      <alignment horizontal="left" wrapText="1"/>
      <protection locked="0"/>
    </xf>
    <xf numFmtId="0" fontId="17" fillId="0" borderId="18" xfId="2" applyNumberFormat="1" applyFont="1" applyFill="1" applyBorder="1" applyAlignment="1" applyProtection="1">
      <alignment horizontal="left" wrapText="1"/>
      <protection locked="0"/>
    </xf>
    <xf numFmtId="0" fontId="18" fillId="3" borderId="17" xfId="2" applyFont="1" applyFill="1" applyBorder="1" applyAlignment="1" applyProtection="1">
      <alignment horizontal="left" vertical="top" wrapText="1" indent="2"/>
    </xf>
    <xf numFmtId="0" fontId="18" fillId="3" borderId="18" xfId="2" applyFont="1" applyFill="1" applyBorder="1" applyAlignment="1" applyProtection="1">
      <alignment horizontal="left" vertical="top" wrapText="1" indent="2"/>
    </xf>
    <xf numFmtId="0" fontId="18" fillId="3" borderId="28" xfId="2" applyFont="1" applyFill="1" applyBorder="1" applyAlignment="1" applyProtection="1">
      <alignment horizontal="left" vertical="top" wrapText="1" indent="2"/>
    </xf>
    <xf numFmtId="1" fontId="17" fillId="0" borderId="17" xfId="2" applyNumberFormat="1" applyFont="1" applyFill="1" applyBorder="1" applyAlignment="1" applyProtection="1">
      <alignment horizontal="left" wrapText="1"/>
      <protection locked="0"/>
    </xf>
    <xf numFmtId="1" fontId="17" fillId="0" borderId="18" xfId="2" applyNumberFormat="1" applyFont="1" applyFill="1" applyBorder="1" applyAlignment="1" applyProtection="1">
      <alignment horizontal="left" wrapText="1"/>
      <protection locked="0"/>
    </xf>
    <xf numFmtId="1" fontId="17" fillId="0" borderId="1" xfId="2" applyNumberFormat="1" applyFont="1" applyFill="1" applyBorder="1" applyAlignment="1" applyProtection="1">
      <alignment horizontal="left" wrapText="1"/>
      <protection locked="0"/>
    </xf>
    <xf numFmtId="1" fontId="17" fillId="2" borderId="17" xfId="2" applyNumberFormat="1" applyFont="1" applyFill="1" applyBorder="1" applyAlignment="1" applyProtection="1">
      <alignment horizontal="left" wrapText="1"/>
      <protection locked="0"/>
    </xf>
    <xf numFmtId="1" fontId="17" fillId="2" borderId="18" xfId="2" applyNumberFormat="1" applyFont="1" applyFill="1" applyBorder="1" applyAlignment="1" applyProtection="1">
      <alignment horizontal="left" wrapText="1"/>
      <protection locked="0"/>
    </xf>
    <xf numFmtId="1" fontId="17" fillId="2" borderId="1" xfId="2" applyNumberFormat="1" applyFont="1" applyFill="1" applyBorder="1" applyAlignment="1" applyProtection="1">
      <alignment horizontal="left" wrapText="1"/>
      <protection locked="0"/>
    </xf>
    <xf numFmtId="0" fontId="17" fillId="3" borderId="17" xfId="2" applyFont="1" applyFill="1" applyBorder="1" applyAlignment="1" applyProtection="1">
      <alignment horizontal="left" vertical="top" wrapText="1"/>
    </xf>
    <xf numFmtId="0" fontId="17" fillId="3" borderId="18" xfId="2" applyFont="1" applyFill="1" applyBorder="1" applyAlignment="1" applyProtection="1">
      <alignment horizontal="left" vertical="top" wrapText="1"/>
    </xf>
    <xf numFmtId="0" fontId="17" fillId="3" borderId="28" xfId="2" applyFont="1" applyFill="1" applyBorder="1" applyAlignment="1" applyProtection="1">
      <alignment horizontal="left" vertical="top" wrapText="1"/>
    </xf>
    <xf numFmtId="1" fontId="17" fillId="2" borderId="17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18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1" xfId="2" applyNumberFormat="1" applyFont="1" applyFill="1" applyBorder="1" applyAlignment="1" applyProtection="1">
      <alignment horizontal="left" vertical="center" wrapText="1"/>
      <protection locked="0"/>
    </xf>
    <xf numFmtId="0" fontId="17" fillId="3" borderId="1" xfId="2" applyNumberFormat="1" applyFont="1" applyFill="1" applyBorder="1" applyAlignment="1" applyProtection="1">
      <alignment horizontal="left" vertical="center" wrapText="1"/>
      <protection locked="0"/>
    </xf>
    <xf numFmtId="0" fontId="18" fillId="3" borderId="17" xfId="2" applyFont="1" applyFill="1" applyBorder="1" applyAlignment="1" applyProtection="1">
      <alignment horizontal="center" vertical="top" wrapText="1"/>
    </xf>
    <xf numFmtId="0" fontId="18" fillId="3" borderId="18" xfId="2" applyFont="1" applyFill="1" applyBorder="1" applyAlignment="1" applyProtection="1">
      <alignment horizontal="center" vertical="top" wrapText="1"/>
    </xf>
    <xf numFmtId="0" fontId="18" fillId="3" borderId="28" xfId="2" applyFont="1" applyFill="1" applyBorder="1" applyAlignment="1" applyProtection="1">
      <alignment horizontal="center" vertical="top" wrapText="1"/>
    </xf>
    <xf numFmtId="0" fontId="17" fillId="3" borderId="17" xfId="2" applyFont="1" applyFill="1" applyBorder="1" applyAlignment="1" applyProtection="1">
      <alignment horizontal="left" vertical="center" wrapText="1"/>
      <protection locked="0"/>
    </xf>
    <xf numFmtId="0" fontId="17" fillId="3" borderId="18" xfId="2" applyFont="1" applyFill="1" applyBorder="1" applyAlignment="1" applyProtection="1">
      <alignment horizontal="left" vertical="center" wrapText="1"/>
      <protection locked="0"/>
    </xf>
    <xf numFmtId="0" fontId="17" fillId="3" borderId="28" xfId="2" applyFont="1" applyFill="1" applyBorder="1" applyAlignment="1" applyProtection="1">
      <alignment horizontal="left" vertical="center" wrapText="1"/>
      <protection locked="0"/>
    </xf>
    <xf numFmtId="0" fontId="17" fillId="3" borderId="17" xfId="2" applyNumberFormat="1" applyFont="1" applyFill="1" applyBorder="1" applyAlignment="1" applyProtection="1">
      <alignment horizontal="left" vertical="center" wrapText="1"/>
      <protection locked="0"/>
    </xf>
    <xf numFmtId="0" fontId="17" fillId="3" borderId="18" xfId="2" applyNumberFormat="1" applyFont="1" applyFill="1" applyBorder="1" applyAlignment="1" applyProtection="1">
      <alignment horizontal="left" vertical="center" wrapText="1"/>
      <protection locked="0"/>
    </xf>
    <xf numFmtId="0" fontId="17" fillId="3" borderId="28" xfId="2" applyNumberFormat="1" applyFont="1" applyFill="1" applyBorder="1" applyAlignment="1" applyProtection="1">
      <alignment horizontal="left" vertical="center" wrapText="1"/>
      <protection locked="0"/>
    </xf>
    <xf numFmtId="0" fontId="23" fillId="3" borderId="7" xfId="1" applyFont="1" applyFill="1" applyBorder="1" applyAlignment="1">
      <alignment horizontal="center" vertical="center"/>
    </xf>
    <xf numFmtId="0" fontId="23" fillId="3" borderId="8" xfId="1" applyFont="1" applyFill="1" applyBorder="1" applyAlignment="1">
      <alignment horizontal="center" vertical="center"/>
    </xf>
    <xf numFmtId="0" fontId="23" fillId="3" borderId="9" xfId="1" applyFont="1" applyFill="1" applyBorder="1" applyAlignment="1">
      <alignment horizontal="center" vertical="center"/>
    </xf>
    <xf numFmtId="0" fontId="23" fillId="3" borderId="10" xfId="1" applyFont="1" applyFill="1" applyBorder="1" applyAlignment="1">
      <alignment horizontal="center" vertical="center"/>
    </xf>
    <xf numFmtId="0" fontId="23" fillId="3" borderId="11" xfId="1" applyFont="1" applyFill="1" applyBorder="1" applyAlignment="1">
      <alignment horizontal="center" vertical="center"/>
    </xf>
    <xf numFmtId="0" fontId="23" fillId="3" borderId="12" xfId="1" applyFont="1" applyFill="1" applyBorder="1" applyAlignment="1">
      <alignment horizontal="center" vertical="center"/>
    </xf>
    <xf numFmtId="0" fontId="23" fillId="3" borderId="7" xfId="1" applyNumberFormat="1" applyFont="1" applyFill="1" applyBorder="1" applyAlignment="1">
      <alignment horizontal="center" vertical="center"/>
    </xf>
    <xf numFmtId="0" fontId="23" fillId="3" borderId="8" xfId="1" applyNumberFormat="1" applyFont="1" applyFill="1" applyBorder="1" applyAlignment="1">
      <alignment horizontal="center" vertical="center"/>
    </xf>
    <xf numFmtId="0" fontId="23" fillId="3" borderId="9" xfId="1" applyNumberFormat="1" applyFont="1" applyFill="1" applyBorder="1" applyAlignment="1">
      <alignment horizontal="center" vertical="center"/>
    </xf>
    <xf numFmtId="0" fontId="23" fillId="3" borderId="10" xfId="1" applyNumberFormat="1" applyFont="1" applyFill="1" applyBorder="1" applyAlignment="1">
      <alignment horizontal="center" vertical="center"/>
    </xf>
    <xf numFmtId="0" fontId="23" fillId="3" borderId="11" xfId="1" applyNumberFormat="1" applyFont="1" applyFill="1" applyBorder="1" applyAlignment="1">
      <alignment horizontal="center" vertical="center"/>
    </xf>
    <xf numFmtId="0" fontId="23" fillId="3" borderId="12" xfId="1" applyNumberFormat="1" applyFont="1" applyFill="1" applyBorder="1" applyAlignment="1">
      <alignment horizontal="center" vertical="center"/>
    </xf>
    <xf numFmtId="0" fontId="21" fillId="3" borderId="29" xfId="2" applyNumberFormat="1" applyFont="1" applyFill="1" applyBorder="1" applyAlignment="1" applyProtection="1">
      <alignment horizontal="center" vertical="top" wrapText="1"/>
      <protection locked="0"/>
    </xf>
    <xf numFmtId="0" fontId="21" fillId="3" borderId="30" xfId="2" applyNumberFormat="1" applyFont="1" applyFill="1" applyBorder="1" applyAlignment="1" applyProtection="1">
      <alignment horizontal="center" vertical="top" wrapText="1"/>
      <protection locked="0"/>
    </xf>
    <xf numFmtId="0" fontId="21" fillId="3" borderId="31" xfId="2" applyNumberFormat="1" applyFont="1" applyFill="1" applyBorder="1" applyAlignment="1" applyProtection="1">
      <alignment horizontal="center" vertical="top" wrapText="1"/>
      <protection locked="0"/>
    </xf>
    <xf numFmtId="0" fontId="16" fillId="3" borderId="17" xfId="2" applyNumberFormat="1" applyFont="1" applyFill="1" applyBorder="1" applyAlignment="1" applyProtection="1">
      <alignment horizontal="center" vertical="top" wrapText="1"/>
      <protection locked="0"/>
    </xf>
    <xf numFmtId="0" fontId="16" fillId="3" borderId="18" xfId="2" applyNumberFormat="1" applyFont="1" applyFill="1" applyBorder="1" applyAlignment="1" applyProtection="1">
      <alignment horizontal="center" vertical="top" wrapText="1"/>
      <protection locked="0"/>
    </xf>
    <xf numFmtId="0" fontId="16" fillId="3" borderId="28" xfId="2" applyNumberFormat="1" applyFont="1" applyFill="1" applyBorder="1" applyAlignment="1" applyProtection="1">
      <alignment horizontal="center" vertical="top" wrapText="1"/>
      <protection locked="0"/>
    </xf>
    <xf numFmtId="4" fontId="16" fillId="3" borderId="17" xfId="2" applyNumberFormat="1" applyFont="1" applyFill="1" applyBorder="1" applyAlignment="1" applyProtection="1">
      <alignment horizontal="center" vertical="top" wrapText="1"/>
      <protection locked="0"/>
    </xf>
    <xf numFmtId="1" fontId="18" fillId="0" borderId="3" xfId="2" applyNumberFormat="1" applyFont="1" applyFill="1" applyBorder="1" applyAlignment="1" applyProtection="1">
      <alignment horizontal="center" vertical="center" wrapText="1"/>
      <protection locked="0"/>
    </xf>
    <xf numFmtId="1" fontId="18" fillId="0" borderId="4" xfId="2" applyNumberFormat="1" applyFont="1" applyFill="1" applyBorder="1" applyAlignment="1" applyProtection="1">
      <alignment horizontal="center" vertical="center" wrapText="1"/>
      <protection locked="0"/>
    </xf>
    <xf numFmtId="1" fontId="18" fillId="0" borderId="5" xfId="2" applyNumberFormat="1" applyFont="1" applyFill="1" applyBorder="1" applyAlignment="1" applyProtection="1">
      <alignment horizontal="center" vertical="center" wrapText="1"/>
      <protection locked="0"/>
    </xf>
    <xf numFmtId="1" fontId="17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16" fillId="3" borderId="17" xfId="2" applyFont="1" applyFill="1" applyBorder="1" applyAlignment="1" applyProtection="1">
      <alignment horizontal="center" vertical="top" wrapText="1"/>
    </xf>
    <xf numFmtId="0" fontId="16" fillId="3" borderId="18" xfId="2" applyFont="1" applyFill="1" applyBorder="1" applyAlignment="1" applyProtection="1">
      <alignment horizontal="center" vertical="top" wrapText="1"/>
    </xf>
    <xf numFmtId="1" fontId="16" fillId="3" borderId="3" xfId="2" applyNumberFormat="1" applyFont="1" applyFill="1" applyBorder="1" applyAlignment="1" applyProtection="1">
      <alignment horizontal="center" vertical="center" wrapText="1"/>
      <protection locked="0"/>
    </xf>
    <xf numFmtId="1" fontId="16" fillId="3" borderId="4" xfId="2" applyNumberFormat="1" applyFont="1" applyFill="1" applyBorder="1" applyAlignment="1" applyProtection="1">
      <alignment horizontal="center" vertical="center" wrapText="1"/>
      <protection locked="0"/>
    </xf>
    <xf numFmtId="1" fontId="16" fillId="3" borderId="5" xfId="2" applyNumberFormat="1" applyFont="1" applyFill="1" applyBorder="1" applyAlignment="1" applyProtection="1">
      <alignment horizontal="center" vertical="center" wrapText="1"/>
      <protection locked="0"/>
    </xf>
    <xf numFmtId="1" fontId="22" fillId="3" borderId="1" xfId="2" applyNumberFormat="1" applyFont="1" applyFill="1" applyBorder="1" applyAlignment="1" applyProtection="1">
      <alignment horizontal="left" vertical="center" wrapText="1"/>
      <protection locked="0"/>
    </xf>
    <xf numFmtId="0" fontId="18" fillId="0" borderId="17" xfId="2" applyFont="1" applyFill="1" applyBorder="1" applyAlignment="1" applyProtection="1">
      <alignment horizontal="left" vertical="top" wrapText="1"/>
    </xf>
    <xf numFmtId="0" fontId="18" fillId="0" borderId="18" xfId="2" applyFont="1" applyFill="1" applyBorder="1" applyAlignment="1" applyProtection="1">
      <alignment horizontal="left" vertical="top" wrapText="1"/>
    </xf>
    <xf numFmtId="1" fontId="18" fillId="2" borderId="3" xfId="2" applyNumberFormat="1" applyFont="1" applyFill="1" applyBorder="1" applyAlignment="1" applyProtection="1">
      <alignment horizontal="center" vertical="center" wrapText="1"/>
      <protection locked="0"/>
    </xf>
    <xf numFmtId="1" fontId="18" fillId="2" borderId="4" xfId="2" applyNumberFormat="1" applyFont="1" applyFill="1" applyBorder="1" applyAlignment="1" applyProtection="1">
      <alignment horizontal="center" vertical="center" wrapText="1"/>
      <protection locked="0"/>
    </xf>
    <xf numFmtId="1" fontId="18" fillId="2" borderId="5" xfId="2" applyNumberFormat="1" applyFont="1" applyFill="1" applyBorder="1" applyAlignment="1" applyProtection="1">
      <alignment horizontal="center" vertical="center" wrapText="1"/>
      <protection locked="0"/>
    </xf>
    <xf numFmtId="1" fontId="17" fillId="0" borderId="1" xfId="2" applyNumberFormat="1" applyFont="1" applyFill="1" applyBorder="1" applyAlignment="1" applyProtection="1">
      <alignment horizontal="left" vertical="center" wrapText="1"/>
      <protection locked="0"/>
    </xf>
    <xf numFmtId="0" fontId="20" fillId="3" borderId="7" xfId="1" applyFont="1" applyFill="1" applyBorder="1" applyAlignment="1">
      <alignment horizontal="center" vertical="center"/>
    </xf>
    <xf numFmtId="0" fontId="20" fillId="3" borderId="8" xfId="1" applyFont="1" applyFill="1" applyBorder="1" applyAlignment="1">
      <alignment horizontal="center" vertical="center"/>
    </xf>
    <xf numFmtId="0" fontId="20" fillId="3" borderId="9" xfId="1" applyFont="1" applyFill="1" applyBorder="1" applyAlignment="1">
      <alignment horizontal="center" vertical="center"/>
    </xf>
    <xf numFmtId="0" fontId="20" fillId="3" borderId="10" xfId="1" applyFont="1" applyFill="1" applyBorder="1" applyAlignment="1">
      <alignment horizontal="center" vertical="center"/>
    </xf>
    <xf numFmtId="0" fontId="20" fillId="3" borderId="11" xfId="1" applyFont="1" applyFill="1" applyBorder="1" applyAlignment="1">
      <alignment horizontal="center" vertical="center"/>
    </xf>
    <xf numFmtId="0" fontId="20" fillId="3" borderId="12" xfId="1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0" fillId="3" borderId="15" xfId="1" applyFont="1" applyFill="1" applyBorder="1" applyAlignment="1">
      <alignment horizontal="center"/>
    </xf>
    <xf numFmtId="0" fontId="18" fillId="4" borderId="17" xfId="2" applyFont="1" applyFill="1" applyBorder="1" applyAlignment="1" applyProtection="1">
      <alignment horizontal="left" vertical="top" wrapText="1" indent="9"/>
    </xf>
    <xf numFmtId="0" fontId="18" fillId="4" borderId="18" xfId="2" applyFont="1" applyFill="1" applyBorder="1" applyAlignment="1" applyProtection="1">
      <alignment horizontal="left" vertical="top" wrapText="1" indent="9"/>
    </xf>
    <xf numFmtId="0" fontId="18" fillId="4" borderId="1" xfId="2" applyNumberFormat="1" applyFont="1" applyFill="1" applyBorder="1" applyAlignment="1" applyProtection="1">
      <alignment horizontal="center" vertical="top" wrapText="1"/>
    </xf>
    <xf numFmtId="0" fontId="18" fillId="4" borderId="3" xfId="2" applyNumberFormat="1" applyFont="1" applyFill="1" applyBorder="1" applyAlignment="1" applyProtection="1">
      <alignment horizontal="center" vertical="top" wrapText="1"/>
    </xf>
    <xf numFmtId="0" fontId="18" fillId="4" borderId="4" xfId="2" applyNumberFormat="1" applyFont="1" applyFill="1" applyBorder="1" applyAlignment="1" applyProtection="1">
      <alignment horizontal="center" vertical="top" wrapText="1"/>
    </xf>
    <xf numFmtId="0" fontId="18" fillId="4" borderId="5" xfId="2" applyNumberFormat="1" applyFont="1" applyFill="1" applyBorder="1" applyAlignment="1" applyProtection="1">
      <alignment horizontal="center" vertical="top" wrapText="1"/>
    </xf>
    <xf numFmtId="0" fontId="18" fillId="3" borderId="3" xfId="2" applyNumberFormat="1" applyFont="1" applyFill="1" applyBorder="1" applyAlignment="1" applyProtection="1">
      <alignment horizontal="center" vertical="top" wrapText="1"/>
      <protection locked="0"/>
    </xf>
    <xf numFmtId="0" fontId="18" fillId="3" borderId="4" xfId="2" applyNumberFormat="1" applyFont="1" applyFill="1" applyBorder="1" applyAlignment="1" applyProtection="1">
      <alignment horizontal="center" vertical="top" wrapText="1"/>
      <protection locked="0"/>
    </xf>
    <xf numFmtId="0" fontId="18" fillId="3" borderId="5" xfId="2" applyNumberFormat="1" applyFont="1" applyFill="1" applyBorder="1" applyAlignment="1" applyProtection="1">
      <alignment horizontal="center" vertical="top" wrapText="1"/>
      <protection locked="0"/>
    </xf>
    <xf numFmtId="0" fontId="16" fillId="3" borderId="20" xfId="2" applyNumberFormat="1" applyFont="1" applyFill="1" applyBorder="1" applyAlignment="1" applyProtection="1">
      <alignment horizontal="center" vertical="top" wrapText="1"/>
      <protection locked="0"/>
    </xf>
    <xf numFmtId="0" fontId="16" fillId="3" borderId="3" xfId="2" applyNumberFormat="1" applyFont="1" applyFill="1" applyBorder="1" applyAlignment="1" applyProtection="1">
      <alignment horizontal="center" vertical="top" wrapText="1"/>
      <protection locked="0"/>
    </xf>
    <xf numFmtId="0" fontId="16" fillId="3" borderId="4" xfId="2" applyNumberFormat="1" applyFont="1" applyFill="1" applyBorder="1" applyAlignment="1" applyProtection="1">
      <alignment horizontal="center" vertical="top" wrapText="1"/>
      <protection locked="0"/>
    </xf>
    <xf numFmtId="0" fontId="16" fillId="3" borderId="5" xfId="2" applyNumberFormat="1" applyFont="1" applyFill="1" applyBorder="1" applyAlignment="1" applyProtection="1">
      <alignment horizontal="center" vertical="top" wrapText="1"/>
      <protection locked="0"/>
    </xf>
    <xf numFmtId="1" fontId="17" fillId="2" borderId="24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20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3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4" xfId="2" applyNumberFormat="1" applyFont="1" applyFill="1" applyBorder="1" applyAlignment="1" applyProtection="1">
      <alignment horizontal="left" vertical="center" wrapText="1"/>
      <protection locked="0"/>
    </xf>
    <xf numFmtId="1" fontId="17" fillId="2" borderId="5" xfId="2" applyNumberFormat="1" applyFont="1" applyFill="1" applyBorder="1" applyAlignment="1" applyProtection="1">
      <alignment horizontal="left" vertical="center" wrapText="1"/>
      <protection locked="0"/>
    </xf>
    <xf numFmtId="164" fontId="18" fillId="3" borderId="3" xfId="2" applyNumberFormat="1" applyFont="1" applyFill="1" applyBorder="1" applyAlignment="1" applyProtection="1">
      <alignment horizontal="center" vertical="top" wrapText="1"/>
    </xf>
    <xf numFmtId="164" fontId="18" fillId="3" borderId="4" xfId="2" applyNumberFormat="1" applyFont="1" applyFill="1" applyBorder="1" applyAlignment="1" applyProtection="1">
      <alignment horizontal="center" vertical="top" wrapText="1"/>
    </xf>
    <xf numFmtId="164" fontId="18" fillId="3" borderId="5" xfId="2" applyNumberFormat="1" applyFont="1" applyFill="1" applyBorder="1" applyAlignment="1" applyProtection="1">
      <alignment horizontal="center" vertical="top" wrapText="1"/>
    </xf>
    <xf numFmtId="0" fontId="18" fillId="3" borderId="1" xfId="2" applyFont="1" applyFill="1" applyBorder="1" applyAlignment="1" applyProtection="1">
      <alignment horizontal="left" vertical="top" wrapText="1"/>
    </xf>
    <xf numFmtId="0" fontId="17" fillId="3" borderId="3" xfId="2" applyNumberFormat="1" applyFont="1" applyFill="1" applyBorder="1" applyAlignment="1" applyProtection="1">
      <alignment horizontal="center" vertical="center" wrapText="1"/>
      <protection locked="0"/>
    </xf>
    <xf numFmtId="0" fontId="17" fillId="3" borderId="4" xfId="2" applyNumberFormat="1" applyFont="1" applyFill="1" applyBorder="1" applyAlignment="1" applyProtection="1">
      <alignment horizontal="center" vertical="center" wrapText="1"/>
      <protection locked="0"/>
    </xf>
    <xf numFmtId="0" fontId="19" fillId="3" borderId="3" xfId="2" applyNumberFormat="1" applyFont="1" applyFill="1" applyBorder="1" applyAlignment="1" applyProtection="1">
      <alignment horizontal="center" vertical="top" wrapText="1"/>
      <protection locked="0"/>
    </xf>
    <xf numFmtId="0" fontId="19" fillId="3" borderId="4" xfId="2" applyNumberFormat="1" applyFont="1" applyFill="1" applyBorder="1" applyAlignment="1" applyProtection="1">
      <alignment horizontal="center" vertical="top" wrapText="1"/>
      <protection locked="0"/>
    </xf>
    <xf numFmtId="0" fontId="19" fillId="3" borderId="5" xfId="2" applyNumberFormat="1" applyFont="1" applyFill="1" applyBorder="1" applyAlignment="1" applyProtection="1">
      <alignment horizontal="center" vertical="top" wrapText="1"/>
      <protection locked="0"/>
    </xf>
    <xf numFmtId="0" fontId="12" fillId="3" borderId="0" xfId="2" applyFont="1" applyFill="1" applyBorder="1" applyAlignment="1" applyProtection="1">
      <alignment horizontal="center" vertical="top"/>
    </xf>
    <xf numFmtId="0" fontId="14" fillId="3" borderId="0" xfId="2" applyFont="1" applyFill="1" applyBorder="1" applyAlignment="1" applyProtection="1">
      <alignment horizontal="center" vertical="top"/>
    </xf>
    <xf numFmtId="0" fontId="16" fillId="3" borderId="3" xfId="2" applyNumberFormat="1" applyFont="1" applyFill="1" applyBorder="1" applyAlignment="1" applyProtection="1">
      <alignment horizontal="center" vertical="top" wrapText="1"/>
    </xf>
    <xf numFmtId="0" fontId="16" fillId="3" borderId="4" xfId="2" applyNumberFormat="1" applyFont="1" applyFill="1" applyBorder="1" applyAlignment="1" applyProtection="1">
      <alignment horizontal="center" vertical="top" wrapText="1"/>
    </xf>
    <xf numFmtId="0" fontId="16" fillId="3" borderId="5" xfId="2" applyNumberFormat="1" applyFont="1" applyFill="1" applyBorder="1" applyAlignment="1" applyProtection="1">
      <alignment horizontal="center" vertical="top" wrapText="1"/>
    </xf>
    <xf numFmtId="0" fontId="17" fillId="3" borderId="3" xfId="2" applyNumberFormat="1" applyFont="1" applyFill="1" applyBorder="1" applyAlignment="1" applyProtection="1">
      <alignment horizontal="center" wrapText="1"/>
      <protection locked="0"/>
    </xf>
    <xf numFmtId="0" fontId="17" fillId="3" borderId="4" xfId="2" applyNumberFormat="1" applyFont="1" applyFill="1" applyBorder="1" applyAlignment="1" applyProtection="1">
      <alignment horizontal="center" wrapText="1"/>
      <protection locked="0"/>
    </xf>
    <xf numFmtId="0" fontId="17" fillId="3" borderId="5" xfId="2" applyNumberFormat="1" applyFont="1" applyFill="1" applyBorder="1" applyAlignment="1" applyProtection="1">
      <alignment horizontal="center" wrapText="1"/>
      <protection locked="0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dxfs count="130"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 diagonalUp="1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PivotStyleLight16 2" table="0" count="12">
      <tableStyleElement type="wholeTable" dxfId="129"/>
      <tableStyleElement type="headerRow" dxfId="128"/>
      <tableStyleElement type="totalRow" dxfId="127"/>
      <tableStyleElement type="firstRowStripe" dxfId="126"/>
      <tableStyleElement type="firstColumnStripe" dxfId="125"/>
      <tableStyleElement type="firstSubtotalColumn" dxfId="124"/>
      <tableStyleElement type="firstSubtotalRow" dxfId="123"/>
      <tableStyleElement type="secondSubtotalRow" dxfId="122"/>
      <tableStyleElement type="firstRowSubheading" dxfId="121"/>
      <tableStyleElement type="secondRowSubheading" dxfId="120"/>
      <tableStyleElement type="pageFieldLabels" dxfId="119"/>
      <tableStyleElement type="pageFieldValues" dxfId="11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11207</xdr:colOff>
      <xdr:row>1</xdr:row>
      <xdr:rowOff>116309</xdr:rowOff>
    </xdr:from>
    <xdr:to>
      <xdr:col>40</xdr:col>
      <xdr:colOff>694768</xdr:colOff>
      <xdr:row>4</xdr:row>
      <xdr:rowOff>124192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xmlns="" id="{C8E2E972-A60F-4E8B-8D93-0F5DDBC0A94A}"/>
            </a:ext>
          </a:extLst>
        </xdr:cNvPr>
        <xdr:cNvGrpSpPr/>
      </xdr:nvGrpSpPr>
      <xdr:grpSpPr>
        <a:xfrm>
          <a:off x="11844619" y="306809"/>
          <a:ext cx="1815355" cy="769883"/>
          <a:chOff x="10970560" y="318015"/>
          <a:chExt cx="1580031" cy="769883"/>
        </a:xfrm>
      </xdr:grpSpPr>
      <xdr:sp macro="[0]!Import_Data" textlink="">
        <xdr:nvSpPr>
          <xdr:cNvPr id="2" name="Rectangle 1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/>
        </xdr:nvSpPr>
        <xdr:spPr>
          <a:xfrm>
            <a:off x="10970560" y="403412"/>
            <a:ext cx="1580031" cy="61632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/>
              <a:t>Import</a:t>
            </a:r>
            <a:br>
              <a:rPr lang="en-US" sz="1600"/>
            </a:br>
            <a:r>
              <a:rPr lang="en-US" sz="1600"/>
              <a:t> Purchase </a:t>
            </a:r>
          </a:p>
        </xdr:txBody>
      </xdr:sp>
      <xdr:pic macro="[0]!Import_Data">
        <xdr:nvPicPr>
          <xdr:cNvPr id="8" name="Graphic 7" descr="Share with solid fill">
            <a:extLst>
              <a:ext uri="{FF2B5EF4-FFF2-40B4-BE49-F238E27FC236}">
                <a16:creationId xmlns:a16="http://schemas.microsoft.com/office/drawing/2014/main" xmlns="" id="{D9810971-13CB-46D9-90C8-27A760BA0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0982723" y="318015"/>
            <a:ext cx="773662" cy="769883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275666</xdr:colOff>
      <xdr:row>1</xdr:row>
      <xdr:rowOff>111826</xdr:rowOff>
    </xdr:from>
    <xdr:to>
      <xdr:col>45</xdr:col>
      <xdr:colOff>936815</xdr:colOff>
      <xdr:row>4</xdr:row>
      <xdr:rowOff>119709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FBF82754-AF7A-4BEB-A402-088BBC8B2D57}"/>
            </a:ext>
          </a:extLst>
        </xdr:cNvPr>
        <xdr:cNvGrpSpPr/>
      </xdr:nvGrpSpPr>
      <xdr:grpSpPr>
        <a:xfrm>
          <a:off x="16692284" y="302326"/>
          <a:ext cx="1580031" cy="769883"/>
          <a:chOff x="12747813" y="324738"/>
          <a:chExt cx="1580031" cy="769883"/>
        </a:xfrm>
      </xdr:grpSpPr>
      <xdr:sp macro="[0]!Import_HSN" textlink="">
        <xdr:nvSpPr>
          <xdr:cNvPr id="10" name="Rectangle 9">
            <a:extLst>
              <a:ext uri="{FF2B5EF4-FFF2-40B4-BE49-F238E27FC236}">
                <a16:creationId xmlns:a16="http://schemas.microsoft.com/office/drawing/2014/main" xmlns="" id="{853EAB31-E4CF-4E42-89B3-0D39E86113A2}"/>
              </a:ext>
            </a:extLst>
          </xdr:cNvPr>
          <xdr:cNvSpPr/>
        </xdr:nvSpPr>
        <xdr:spPr>
          <a:xfrm>
            <a:off x="12747813" y="410135"/>
            <a:ext cx="1580031" cy="616324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/>
              <a:t>Import</a:t>
            </a:r>
            <a:br>
              <a:rPr lang="en-US" sz="1600"/>
            </a:br>
            <a:r>
              <a:rPr lang="en-US" sz="1600"/>
              <a:t> HSN </a:t>
            </a:r>
          </a:p>
        </xdr:txBody>
      </xdr:sp>
      <xdr:pic macro="[0]!Import_HSN">
        <xdr:nvPicPr>
          <xdr:cNvPr id="11" name="Graphic 10" descr="Share with solid fill">
            <a:extLst>
              <a:ext uri="{FF2B5EF4-FFF2-40B4-BE49-F238E27FC236}">
                <a16:creationId xmlns:a16="http://schemas.microsoft.com/office/drawing/2014/main" xmlns="" id="{5BB5F010-7D9E-46E2-AD57-1F143BFBA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2759976" y="324738"/>
            <a:ext cx="773662" cy="769883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shal Sharma" refreshedDate="44698.968862731483" createdVersion="7" refreshedVersion="5" minRefreshableVersion="3" recordCount="328">
  <cacheSource type="worksheet">
    <worksheetSource name="Purchase"/>
  </cacheSource>
  <cacheFields count="42">
    <cacheField name="Vou. Type" numFmtId="0">
      <sharedItems/>
    </cacheField>
    <cacheField name="Vou. Pfx." numFmtId="0">
      <sharedItems count="8">
        <s v="CPX-2"/>
        <s v="DN2"/>
        <s v="EIR-2"/>
        <s v="IR2"/>
        <s v="OIR-2"/>
        <s v="JV2" u="1"/>
        <s v="CPVF2" u="1"/>
        <s v="HDPV2" u="1"/>
      </sharedItems>
    </cacheField>
    <cacheField name="Vou. No." numFmtId="0">
      <sharedItems count="2079">
        <s v="2223-0001"/>
        <s v="2223-0002"/>
        <s v="2223-0003"/>
        <s v="2223-0004"/>
        <s v="2223-0005"/>
        <s v="2223-0007"/>
        <s v="2223-0008"/>
        <s v="2223-0009"/>
        <s v="2223-0006"/>
        <s v="2223-0010"/>
        <s v="2223-0011"/>
        <s v="2223-0012"/>
        <s v="2223-0013"/>
        <s v="2223-0014"/>
        <s v="2223-0015"/>
        <s v="2223-0016"/>
        <s v="2223-0017"/>
        <s v="2223-0018"/>
        <s v="2223-0019"/>
        <s v="2223-0020"/>
        <s v="2223-0021"/>
        <s v="2223-0022"/>
        <s v="2223-0023"/>
        <s v="2223-0025"/>
        <s v="2223-0026"/>
        <s v="2223-0027"/>
        <s v="2223-0028"/>
        <s v="2223-0029"/>
        <s v="2223-0030"/>
        <s v="2223-0031"/>
        <s v="2223-0032"/>
        <s v="2223-0033"/>
        <s v="2223-0034"/>
        <s v="2223-0035"/>
        <s v="2223-0036"/>
        <s v="2223-0037"/>
        <s v="2223-0038"/>
        <s v="2223-0039"/>
        <s v="2223-0040"/>
        <s v="2223-0041"/>
        <s v="2223-0042"/>
        <s v="2223-0043"/>
        <s v="2223-0044"/>
        <s v="2223-0045"/>
        <s v="2223-0046"/>
        <s v="2223-0047"/>
        <s v="2223-0048"/>
        <s v="2223-0049"/>
        <s v="2223-0051"/>
        <s v="2223-0052"/>
        <s v="2223-0053"/>
        <s v="2223-0054"/>
        <s v="2223-0055"/>
        <s v="2223-0056"/>
        <s v="2223-0057"/>
        <s v="2223-0058"/>
        <s v="2223-0059"/>
        <s v="2223-0060"/>
        <s v="2223-0061"/>
        <s v="2223-0062"/>
        <s v="2223-0063"/>
        <s v="2223-0064"/>
        <s v="2223-0065"/>
        <s v="2223-0066"/>
        <s v="2223-0067"/>
        <s v="2223-0068"/>
        <s v="2223-0069"/>
        <s v="2223-0070"/>
        <s v="2223-0071"/>
        <s v="2223-0072"/>
        <s v="2223-0073"/>
        <s v="2223-0074"/>
        <s v="2223-0075"/>
        <s v="2223-0076"/>
        <s v="2223-0077"/>
        <s v="2223-0078"/>
        <s v="2223-0079"/>
        <s v="2223-0080"/>
        <s v="2223-0081"/>
        <s v="2223-0082"/>
        <s v="2223-0083"/>
        <s v="2223-0084"/>
        <s v="2223-0085"/>
        <s v="2223-0086"/>
        <s v="2223-0087"/>
        <s v="2223-0088"/>
        <s v="2223-0089"/>
        <s v="2223-0090"/>
        <s v="2223-0091"/>
        <s v="2223-0092"/>
        <s v="2223-0093"/>
        <s v="2223-0094"/>
        <s v="2223-0095"/>
        <s v="2223-0096"/>
        <s v="2223-0097"/>
        <s v="2223-0098"/>
        <s v="2223-0099"/>
        <s v="2223-0100"/>
        <s v="2223-0101"/>
        <s v="2223-0103"/>
        <s v="2223-0104"/>
        <s v="2223-0105"/>
        <s v="2223-0106"/>
        <s v="2223-0108"/>
        <s v="2223-0109"/>
        <s v="2223-0110"/>
        <s v="2223-0111"/>
        <s v="2223-0112"/>
        <s v="2223-0113"/>
        <s v="2223-0114"/>
        <s v="2223-0115"/>
        <s v="2223-0116"/>
        <s v="2223-0117"/>
        <s v="2223-0119"/>
        <s v="2223-0024"/>
        <s v="2223-0050"/>
        <s v="2223-0102"/>
        <s v="2223-0107"/>
        <s v="2223-0118"/>
        <s v="2223-0120"/>
        <s v="2223-0121"/>
        <s v="2223-0126"/>
        <s v="2223-0127"/>
        <s v="2223-0128"/>
        <s v="2223-0129"/>
        <s v="2223-0130"/>
        <s v="2223-0131"/>
        <s v="2223-0132"/>
        <s v="2223-0133"/>
        <s v="2223-0134"/>
        <s v="2223-0135"/>
        <s v="2223-0136"/>
        <s v="2223-0137"/>
        <s v="2223-0138"/>
        <s v="2223-0139"/>
        <s v="2223-0140"/>
        <s v="2223-0141"/>
        <s v="2223-0142"/>
        <s v="2223-0143"/>
        <s v="2223-0144"/>
        <s v="2223-0145"/>
        <s v="2223-0147"/>
        <s v="2223-0148"/>
        <s v="2223-0149"/>
        <s v="2223-0150"/>
        <s v="2223-0151"/>
        <s v="2223-0152"/>
        <s v="2223-0154"/>
        <s v="2223-0155"/>
        <s v="2223-0156"/>
        <s v="2223-0157"/>
        <s v="2223-0158"/>
        <s v="2223-0159"/>
        <s v="2223-0160"/>
        <s v="2223-0161"/>
        <s v="2223-0162"/>
        <s v="2223-0163"/>
        <s v="2223-0164"/>
        <s v="2223-0165"/>
        <s v="2223-0166"/>
        <s v="2223-0167"/>
        <s v="2223-0169"/>
        <s v="2223-0170"/>
        <s v="2223-0171"/>
        <s v="2223-0172"/>
        <s v="2223-0173"/>
        <s v="2223-0174"/>
        <s v="2223-0175"/>
        <s v="2223-0176"/>
        <s v="2223-0177"/>
        <s v="2223-0178"/>
        <s v="2223-0179"/>
        <s v="2223-0180"/>
        <s v="2223-0181"/>
        <s v="2223-0182"/>
        <s v="2223-0183"/>
        <s v="2223-0184"/>
        <s v="2223-0185"/>
        <s v="2223-0186"/>
        <s v="2223-0187"/>
        <s v="2223-0188"/>
        <s v="2223-0189"/>
        <s v="2223-0190"/>
        <s v="2122-0555" u="1"/>
        <s v="2122-0647" u="1"/>
        <s v="2122-0739" u="1"/>
        <s v="2122-0563" u="1"/>
        <s v="2122-0655" u="1"/>
        <s v="2122-0747" u="1"/>
        <s v="2122-0839" u="1"/>
        <s v="2122-2048" u="1"/>
        <s v="2122-0571" u="1"/>
        <s v="2122-0663" u="1"/>
        <s v="2122-0755" u="1"/>
        <s v="2122-0847" u="1"/>
        <s v="2122-2148" u="1"/>
        <s v="2122-0671" u="1"/>
        <s v="2122-0763" u="1"/>
        <s v="2122-0855" u="1"/>
        <s v="2122-2064" u="1"/>
        <s v="2122-2156" u="1"/>
        <s v="2122-2248" u="1"/>
        <s v="2122-0771" u="1"/>
        <s v="2122-0863" u="1"/>
        <s v="2122-2072" u="1"/>
        <s v="2122-2164" u="1"/>
        <s v="2122-2256" u="1"/>
        <s v="2122-2348" u="1"/>
        <s v="2122-0871" u="1"/>
        <s v="2122-2080" u="1"/>
        <s v="2122-2172" u="1"/>
        <s v="2122-2264" u="1"/>
        <s v="2122-2356" u="1"/>
        <s v="2122-2448" u="1"/>
        <s v="2122-1000" u="1"/>
        <s v="2122-0971" u="1"/>
        <s v="2122-2180" u="1"/>
        <s v="2122-2272" u="1"/>
        <s v="2122-2364" u="1"/>
        <s v="2122-2456" u="1"/>
        <s v="2122-2548" u="1"/>
        <s v="2122-1100" u="1"/>
        <s v="2122-2280" u="1"/>
        <s v="2122-2372" u="1"/>
        <s v="2122-2464" u="1"/>
        <s v="2122-2556" u="1"/>
        <s v="2122-2648" u="1"/>
        <s v="2122-1200" u="1"/>
        <s v="2122-2380" u="1"/>
        <s v="2122-2472" u="1"/>
        <s v="2122-2564" u="1"/>
        <s v="2122-2656" u="1"/>
        <s v="2122-2748" u="1"/>
        <s v="2122-1300" u="1"/>
        <s v="2122-2480" u="1"/>
        <s v="2122-2572" u="1"/>
        <s v="2122-2664" u="1"/>
        <s v="2122-2756" u="1"/>
        <s v="2122-2848" u="1"/>
        <s v="2122-2580" u="1"/>
        <s v="2122-2764" u="1"/>
        <s v="2122-2856" u="1"/>
        <s v="2122-2948" u="1"/>
        <s v="2122-1500" u="1"/>
        <s v="2122-2680" u="1"/>
        <s v="2122-2772" u="1"/>
        <s v="2122-2864" u="1"/>
        <s v="2122-2956" u="1"/>
        <s v="2122-0064" u="1"/>
        <s v="2122-2780" u="1"/>
        <s v="2122-2872" u="1"/>
        <s v="2122-0072" u="1"/>
        <s v="2122-2880" u="1"/>
        <s v="2122-0080" u="1"/>
        <s v="2122-1900" u="1"/>
        <s v="2122-0556" u="1"/>
        <s v="2122-0648" u="1"/>
        <s v="2122-0564" u="1"/>
        <s v="2122-0656" u="1"/>
        <s v="2122-0748" u="1"/>
        <s v="2122-2049" u="1"/>
        <s v="2122-0572" u="1"/>
        <s v="2122-0664" u="1"/>
        <s v="2122-0848" u="1"/>
        <s v="2122-2057" u="1"/>
        <s v="2122-2149" u="1"/>
        <s v="2122-0580" u="1"/>
        <s v="2122-0672" u="1"/>
        <s v="2122-0764" u="1"/>
        <s v="2122-0856" u="1"/>
        <s v="2122-2065" u="1"/>
        <s v="2122-2157" u="1"/>
        <s v="2122-2249" u="1"/>
        <s v="2122-0680" u="1"/>
        <s v="2122-0772" u="1"/>
        <s v="2122-0864" u="1"/>
        <s v="2122-2073" u="1"/>
        <s v="2122-2165" u="1"/>
        <s v="2122-2257" u="1"/>
        <s v="2122-2349" u="1"/>
        <s v="2122-0780" u="1"/>
        <s v="2122-0872" u="1"/>
        <s v="2122-0964" u="1"/>
        <s v="2122-2081" u="1"/>
        <s v="2122-2173" u="1"/>
        <s v="2122-2265" u="1"/>
        <s v="2122-2357" u="1"/>
        <s v="2122-2449" u="1"/>
        <s v="2122-1001" u="1"/>
        <s v="2122-0880" u="1"/>
        <s v="2122-0972" u="1"/>
        <s v="2122-2181" u="1"/>
        <s v="2122-2273" u="1"/>
        <s v="2122-2365" u="1"/>
        <s v="2122-2457" u="1"/>
        <s v="2122-2549" u="1"/>
        <s v="2122-1101" u="1"/>
        <s v="2122-0980" u="1"/>
        <s v="2122-2281" u="1"/>
        <s v="2122-2373" u="1"/>
        <s v="2122-2465" u="1"/>
        <s v="2122-2557" u="1"/>
        <s v="2122-2649" u="1"/>
        <s v="2122-1201" u="1"/>
        <s v="2122-2381" u="1"/>
        <s v="2122-2473" u="1"/>
        <s v="2122-2565" u="1"/>
        <s v="2122-2657" u="1"/>
        <s v="2122-2749" u="1"/>
        <s v="2122-1301" u="1"/>
        <s v="2122-2481" u="1"/>
        <s v="2122-2573" u="1"/>
        <s v="2122-2665" u="1"/>
        <s v="2122-2757" u="1"/>
        <s v="2122-2849" u="1"/>
        <s v="2122-1401" u="1"/>
        <s v="2122-2581" u="1"/>
        <s v="2122-2765" u="1"/>
        <s v="2122-2857" u="1"/>
        <s v="2122-0057" u="1"/>
        <s v="2122-1501" u="1"/>
        <s v="2122-2681" u="1"/>
        <s v="2122-2773" u="1"/>
        <s v="2122-2865" u="1"/>
        <s v="2122-2957" u="1"/>
        <s v="2122-2781" u="1"/>
        <s v="2122-2873" u="1"/>
        <s v="2122-0073" u="1"/>
        <s v="2122-2881" u="1"/>
        <s v="2122-0081" u="1"/>
        <s v="2122-1901" u="1"/>
        <s v="2122-0557" u="1"/>
        <s v="2122-0649" u="1"/>
        <s v="2122-0565" u="1"/>
        <s v="2122-0657" u="1"/>
        <s v="2122-0749" u="1"/>
        <s v="2122-0573" u="1"/>
        <s v="2122-0665" u="1"/>
        <s v="2122-0757" u="1"/>
        <s v="2122-0849" u="1"/>
        <s v="2122-2058" u="1"/>
        <s v="2122-0581" u="1"/>
        <s v="2122-0673" u="1"/>
        <s v="2122-0765" u="1"/>
        <s v="2122-2066" u="1"/>
        <s v="2122-2158" u="1"/>
        <s v="2122-0681" u="1"/>
        <s v="2122-0773" u="1"/>
        <s v="2122-0865" u="1"/>
        <s v="2122-2074" u="1"/>
        <s v="2122-2166" u="1"/>
        <s v="2122-2258" u="1"/>
        <s v="2122-0781" u="1"/>
        <s v="2122-0873" u="1"/>
        <s v="2122-0965" u="1"/>
        <s v="2122-2082" u="1"/>
        <s v="2122-2174" u="1"/>
        <s v="2122-2266" u="1"/>
        <s v="2122-2358" u="1"/>
        <s v="2122-1002" u="1"/>
        <s v="2122-0881" u="1"/>
        <s v="2122-0973" u="1"/>
        <s v="2122-2090" u="1"/>
        <s v="2122-2182" u="1"/>
        <s v="2122-2274" u="1"/>
        <s v="2122-2366" u="1"/>
        <s v="2122-2458" u="1"/>
        <s v="2122-1010" u="1"/>
        <s v="2122-1102" u="1"/>
        <s v="2122-0981" u="1"/>
        <s v="2122-2190" u="1"/>
        <s v="2122-2282" u="1"/>
        <s v="2122-2374" u="1"/>
        <s v="2122-2466" u="1"/>
        <s v="2122-2558" u="1"/>
        <s v="2122-1110" u="1"/>
        <s v="2122-1202" u="1"/>
        <s v="2122-2290" u="1"/>
        <s v="2122-2382" u="1"/>
        <s v="2122-2474" u="1"/>
        <s v="2122-2566" u="1"/>
        <s v="2122-2658" u="1"/>
        <s v="2122-1210" u="1"/>
        <s v="2122-1302" u="1"/>
        <s v="2122-2390" u="1"/>
        <s v="2122-2482" u="1"/>
        <s v="2122-2574" u="1"/>
        <s v="2122-2666" u="1"/>
        <s v="2122-2758" u="1"/>
        <s v="2122-1310" u="1"/>
        <s v="2122-1402" u="1"/>
        <s v="2122-2490" u="1"/>
        <s v="2122-2582" u="1"/>
        <s v="2122-2766" u="1"/>
        <s v="2122-2858" u="1"/>
        <s v="2122-0058" u="1"/>
        <s v="2122-1410" u="1"/>
        <s v="2122-1502" u="1"/>
        <s v="2122-2590" u="1"/>
        <s v="2122-2682" u="1"/>
        <s v="2122-2774" u="1"/>
        <s v="2122-0066" u="1"/>
        <s v="2122-2690" u="1"/>
        <s v="2122-2782" u="1"/>
        <s v="2122-2874" u="1"/>
        <s v="2122-0074" u="1"/>
        <s v="2122-2790" u="1"/>
        <s v="2122-2882" u="1"/>
        <s v="2122-0082" u="1"/>
        <s v="2122-2890" u="1"/>
        <s v="2122-0090" u="1"/>
        <s v="2122-1902" u="1"/>
        <s v="2122-0558" u="1"/>
        <s v="2122-1910" u="1"/>
        <s v="2122-0566" u="1"/>
        <s v="2122-0658" u="1"/>
        <s v="2122-0666" u="1"/>
        <s v="2122-0758" u="1"/>
        <s v="2122-2059" u="1"/>
        <s v="2122-0582" u="1"/>
        <s v="2122-0674" u="1"/>
        <s v="2122-0766" u="1"/>
        <s v="2122-0858" u="1"/>
        <s v="2122-2159" u="1"/>
        <s v="2122-0590" u="1"/>
        <s v="2122-0682" u="1"/>
        <s v="2122-0774" u="1"/>
        <s v="2122-0866" u="1"/>
        <s v="2122-2075" u="1"/>
        <s v="2122-2167" u="1"/>
        <s v="2122-2259" u="1"/>
        <s v="2122-0690" u="1"/>
        <s v="2122-0782" u="1"/>
        <s v="2122-0966" u="1"/>
        <s v="2122-2083" u="1"/>
        <s v="2122-2175" u="1"/>
        <s v="2122-2267" u="1"/>
        <s v="2122-2359" u="1"/>
        <s v="2122-1003" u="1"/>
        <s v="2122-0882" u="1"/>
        <s v="2122-0974" u="1"/>
        <s v="2122-2091" u="1"/>
        <s v="2122-2183" u="1"/>
        <s v="2122-2459" u="1"/>
        <s v="2122-1011" u="1"/>
        <s v="2122-1103" u="1"/>
        <s v="2122-0890" u="1"/>
        <s v="2122-0982" u="1"/>
        <s v="2122-2191" u="1"/>
        <s v="2122-2283" u="1"/>
        <s v="2122-2375" u="1"/>
        <s v="2122-2467" u="1"/>
        <s v="2122-2559" u="1"/>
        <s v="2122-1111" u="1"/>
        <s v="2122-1203" u="1"/>
        <s v="2122-0990" u="1"/>
        <s v="2122-2291" u="1"/>
        <s v="2122-2383" u="1"/>
        <s v="2122-2475" u="1"/>
        <s v="2122-2567" u="1"/>
        <s v="2122-2659" u="1"/>
        <s v="2122-1211" u="1"/>
        <s v="2122-2391" u="1"/>
        <s v="2122-2483" u="1"/>
        <s v="2122-2575" u="1"/>
        <s v="2122-2667" u="1"/>
        <s v="2122-2759" u="1"/>
        <s v="2122-1311" u="1"/>
        <s v="2122-1403" u="1"/>
        <s v="2122-2491" u="1"/>
        <s v="2122-2583" u="1"/>
        <s v="2122-2767" u="1"/>
        <s v="2122-2859" u="1"/>
        <s v="2122-0059" u="1"/>
        <s v="2122-1411" u="1"/>
        <s v="2122-1503" u="1"/>
        <s v="2122-2591" u="1"/>
        <s v="2122-2683" u="1"/>
        <s v="2122-2775" u="1"/>
        <s v="2122-2867" u="1"/>
        <s v="2122-2959" u="1"/>
        <s v="2122-0067" u="1"/>
        <s v="2122-2691" u="1"/>
        <s v="2122-2783" u="1"/>
        <s v="2122-2875" u="1"/>
        <s v="2122-2791" u="1"/>
        <s v="2122-2883" u="1"/>
        <s v="2122-0083" u="1"/>
        <s v="2122-2891" u="1"/>
        <s v="2122-0091" u="1"/>
        <s v="2122-1903" u="1"/>
        <s v="2122-0559" u="1"/>
        <s v="2122-1911" u="1"/>
        <s v="2122-0567" u="1"/>
        <s v="2122-0659" u="1"/>
        <s v="2122-0575" u="1"/>
        <s v="2122-0667" u="1"/>
        <s v="2122-0583" u="1"/>
        <s v="2122-0675" u="1"/>
        <s v="2122-0767" u="1"/>
        <s v="2122-0859" u="1"/>
        <s v="2122-0591" u="1"/>
        <s v="2122-0683" u="1"/>
        <s v="2122-0775" u="1"/>
        <s v="2122-0867" u="1"/>
        <s v="2122-2076" u="1"/>
        <s v="2122-2168" u="1"/>
        <s v="2122-0691" u="1"/>
        <s v="2122-0783" u="1"/>
        <s v="2122-0875" u="1"/>
        <s v="2122-0967" u="1"/>
        <s v="2122-2084" u="1"/>
        <s v="2122-2176" u="1"/>
        <s v="2122-2268" u="1"/>
        <s v="2122-1004" u="1"/>
        <s v="2122-0791" u="1"/>
        <s v="2122-0883" u="1"/>
        <s v="2122-0975" u="1"/>
        <s v="2122-2092" u="1"/>
        <s v="2122-2184" u="1"/>
        <s v="2122-2276" u="1"/>
        <s v="2122-2368" u="1"/>
        <s v="2122-1012" u="1"/>
        <s v="2122-1104" u="1"/>
        <s v="2122-0891" u="1"/>
        <s v="2122-0983" u="1"/>
        <s v="2122-2192" u="1"/>
        <s v="2122-2284" u="1"/>
        <s v="2122-2376" u="1"/>
        <s v="2122-2468" u="1"/>
        <s v="2122-1020" u="1"/>
        <s v="2122-1112" u="1"/>
        <s v="2122-1204" u="1"/>
        <s v="2122-0991" u="1"/>
        <s v="2122-2292" u="1"/>
        <s v="2122-2384" u="1"/>
        <s v="2122-2476" u="1"/>
        <s v="2122-2568" u="1"/>
        <s v="2122-1120" u="1"/>
        <s v="2122-1212" u="1"/>
        <s v="2122-1304" u="1"/>
        <s v="2122-2392" u="1"/>
        <s v="2122-2484" u="1"/>
        <s v="2122-2576" u="1"/>
        <s v="2122-2668" u="1"/>
        <s v="2122-1312" u="1"/>
        <s v="2122-1404" u="1"/>
        <s v="2122-2492" u="1"/>
        <s v="2122-2584" u="1"/>
        <s v="2122-2768" u="1"/>
        <s v="2122-1320" u="1"/>
        <s v="2122-1412" u="1"/>
        <s v="2122-1504" u="1"/>
        <s v="2122-2592" u="1"/>
        <s v="2122-2684" u="1"/>
        <s v="2122-2776" u="1"/>
        <s v="2122-2868" u="1"/>
        <s v="2122-1420" u="1"/>
        <s v="2122-2692" u="1"/>
        <s v="2122-2784" u="1"/>
        <s v="2122-2876" u="1"/>
        <s v="2122-2792" u="1"/>
        <s v="2122-2884" u="1"/>
        <s v="2122-0084" u="1"/>
        <s v="2122-2892" u="1"/>
        <s v="2122-1904" u="1"/>
        <s v="2122-1912" u="1"/>
        <s v="2122-0568" u="1"/>
        <s v="2122-1920" u="1"/>
        <s v="2122-0576" u="1"/>
        <s v="2122-0668" u="1"/>
        <s v="2122-0584" u="1"/>
        <s v="2122-0676" u="1"/>
        <s v="2122-0768" u="1"/>
        <s v="2122-0592" u="1"/>
        <s v="2122-0684" u="1"/>
        <s v="2122-0776" u="1"/>
        <s v="2122-0868" u="1"/>
        <s v="2122-2077" u="1"/>
        <s v="2122-2169" u="1"/>
        <s v="2122-0692" u="1"/>
        <s v="2122-0784" u="1"/>
        <s v="2122-0876" u="1"/>
        <s v="2122-2085" u="1"/>
        <s v="2122-2177" u="1"/>
        <s v="2122-2269" u="1"/>
        <s v="2122-1005" u="1"/>
        <s v="2122-0884" u="1"/>
        <s v="2122-0976" u="1"/>
        <s v="2122-2093" u="1"/>
        <s v="2122-2185" u="1"/>
        <s v="2122-2277" u="1"/>
        <s v="2122-1013" u="1"/>
        <s v="2122-1105" u="1"/>
        <s v="2122-0892" u="1"/>
        <s v="2122-0984" u="1"/>
        <s v="2122-2193" u="1"/>
        <s v="2122-2285" u="1"/>
        <s v="2122-2377" u="1"/>
        <s v="2122-2469" u="1"/>
        <s v="2122-1021" u="1"/>
        <s v="2122-1113" u="1"/>
        <s v="2122-1205" u="1"/>
        <s v="2122-0992" u="1"/>
        <s v="2122-2293" u="1"/>
        <s v="2122-2385" u="1"/>
        <s v="2122-2477" u="1"/>
        <s v="2122-2569" u="1"/>
        <s v="2122-1121" u="1"/>
        <s v="2122-1213" u="1"/>
        <s v="2122-1305" u="1"/>
        <s v="2122-2393" u="1"/>
        <s v="2122-2485" u="1"/>
        <s v="2122-2577" u="1"/>
        <s v="2122-2669" u="1"/>
        <s v="2122-1221" u="1"/>
        <s v="2122-1313" u="1"/>
        <s v="2122-1405" u="1"/>
        <s v="2122-2493" u="1"/>
        <s v="2122-2585" u="1"/>
        <s v="2122-2677" u="1"/>
        <s v="2122-2769" u="1"/>
        <s v="2122-1321" u="1"/>
        <s v="2122-1413" u="1"/>
        <s v="2122-1505" u="1"/>
        <s v="2122-2593" u="1"/>
        <s v="2122-2685" u="1"/>
        <s v="2122-2869" u="1"/>
        <s v="2122-1421" u="1"/>
        <s v="2122-2693" u="1"/>
        <s v="2122-2785" u="1"/>
        <s v="2122-2877" u="1"/>
        <s v="2122-2793" u="1"/>
        <s v="2122-2885" u="1"/>
        <s v="2122-0085" u="1"/>
        <s v="2122-2893" u="1"/>
        <s v="2122-0093" u="1"/>
        <s v="2122-1905" u="1"/>
        <s v="2122-1913" u="1"/>
        <s v="2122-0569" u="1"/>
        <s v="2122-1921" u="1"/>
        <s v="2122-0577" u="1"/>
        <s v="2122-0669" u="1"/>
        <s v="2122-0585" u="1"/>
        <s v="2122-0677" u="1"/>
        <s v="2122-0593" u="1"/>
        <s v="2122-0685" u="1"/>
        <s v="2122-0777" u="1"/>
        <s v="2122-0869" u="1"/>
        <s v="2122-2078" u="1"/>
        <s v="2122-0693" u="1"/>
        <s v="2122-0785" u="1"/>
        <s v="2122-0877" u="1"/>
        <s v="2122-0969" u="1"/>
        <s v="2122-2086" u="1"/>
        <s v="2122-2178" u="1"/>
        <s v="2122-1006" u="1"/>
        <s v="2122-0793" u="1"/>
        <s v="2122-0885" u="1"/>
        <s v="2122-0977" u="1"/>
        <s v="2122-2094" u="1"/>
        <s v="2122-2186" u="1"/>
        <s v="2122-2278" u="1"/>
        <s v="2122-1014" u="1"/>
        <s v="2122-0893" u="1"/>
        <s v="2122-0985" u="1"/>
        <s v="2122-2194" u="1"/>
        <s v="2122-2286" u="1"/>
        <s v="2122-2378" u="1"/>
        <s v="2122-1022" u="1"/>
        <s v="2122-1114" u="1"/>
        <s v="2122-1206" u="1"/>
        <s v="2122-0993" u="1"/>
        <s v="2122-2294" u="1"/>
        <s v="2122-2386" u="1"/>
        <s v="2122-2478" u="1"/>
        <s v="2122-1030" u="1"/>
        <s v="2122-1122" u="1"/>
        <s v="2122-1214" u="1"/>
        <s v="2122-1306" u="1"/>
        <s v="2122-2394" u="1"/>
        <s v="2122-2486" u="1"/>
        <s v="2122-2578" u="1"/>
        <s v="2122-1130" u="1"/>
        <s v="2122-1222" u="1"/>
        <s v="2122-1314" u="1"/>
        <s v="2122-1406" u="1"/>
        <s v="2122-2494" u="1"/>
        <s v="2122-2586" u="1"/>
        <s v="2122-2678" u="1"/>
        <s v="2122-1230" u="1"/>
        <s v="2122-1322" u="1"/>
        <s v="2122-1414" u="1"/>
        <s v="2122-1506" u="1"/>
        <s v="2122-2594" u="1"/>
        <s v="2122-2778" u="1"/>
        <s v="2122-1330" u="1"/>
        <s v="2122-1422" u="1"/>
        <s v="2122-2694" u="1"/>
        <s v="2122-2786" u="1"/>
        <s v="2122-2878" u="1"/>
        <s v="2122-1430" u="1"/>
        <s v="2122-2794" u="1"/>
        <s v="2122-2886" u="1"/>
        <s v="2122-2894" u="1"/>
        <s v="2122-1906" u="1"/>
        <s v="2122-1914" u="1"/>
        <s v="2122-1922" u="1"/>
        <s v="2122-0578" u="1"/>
        <s v="2122-1930" u="1"/>
        <s v="2122-0586" u="1"/>
        <s v="2122-0678" u="1"/>
        <s v="2122-0594" u="1"/>
        <s v="2122-0686" u="1"/>
        <s v="2122-0778" u="1"/>
        <s v="2122-2079" u="1"/>
        <s v="2122-0694" u="1"/>
        <s v="2122-0786" u="1"/>
        <s v="2122-0878" u="1"/>
        <s v="2122-2087" u="1"/>
        <s v="2122-2179" u="1"/>
        <s v="2122-1007" u="1"/>
        <s v="2122-0794" u="1"/>
        <s v="2122-0886" u="1"/>
        <s v="2122-0978" u="1"/>
        <s v="2122-2095" u="1"/>
        <s v="2122-2187" u="1"/>
        <s v="2122-2279" u="1"/>
        <s v="2122-1015" u="1"/>
        <s v="2122-0894" u="1"/>
        <s v="2122-0986" u="1"/>
        <s v="2122-2195" u="1"/>
        <s v="2122-2287" u="1"/>
        <s v="2122-2379" u="1"/>
        <s v="2122-1023" u="1"/>
        <s v="2122-1115" u="1"/>
        <s v="2122-1207" u="1"/>
        <s v="2122-0994" u="1"/>
        <s v="2122-2295" u="1"/>
        <s v="2122-2387" u="1"/>
        <s v="2122-2479" u="1"/>
        <s v="2122-1031" u="1"/>
        <s v="2122-1215" u="1"/>
        <s v="2122-2395" u="1"/>
        <s v="2122-2487" u="1"/>
        <s v="2122-2579" u="1"/>
        <s v="2122-1131" u="1"/>
        <s v="2122-1223" u="1"/>
        <s v="2122-1315" u="1"/>
        <s v="2122-1407" u="1"/>
        <s v="2122-2495" u="1"/>
        <s v="2122-2587" u="1"/>
        <s v="2122-2679" u="1"/>
        <s v="2122-1323" u="1"/>
        <s v="2122-1415" u="1"/>
        <s v="2122-1507" u="1"/>
        <s v="2122-2595" u="1"/>
        <s v="2122-2779" u="1"/>
        <s v="2122-1331" u="1"/>
        <s v="2122-1423" u="1"/>
        <s v="2122-2695" u="1"/>
        <s v="2122-2787" u="1"/>
        <s v="2122-2879" u="1"/>
        <s v="2122-1431" u="1"/>
        <s v="2122-2795" u="1"/>
        <s v="2122-2887" u="1"/>
        <s v="2122-2895" u="1"/>
        <s v="2122-0095" u="1"/>
        <s v="2122-1907" u="1"/>
        <s v="2122-1915" u="1"/>
        <s v="2122-1923" u="1"/>
        <s v="2122-0579" u="1"/>
        <s v="2122-1931" u="1"/>
        <s v="2122-0587" u="1"/>
        <s v="2122-0679" u="1"/>
        <s v="2122-0595" u="1"/>
        <s v="2122-0687" u="1"/>
        <s v="2122-0779" u="1"/>
        <s v="2122-0695" u="1"/>
        <s v="2122-0787" u="1"/>
        <s v="2122-0879" u="1"/>
        <s v="2122-2088" u="1"/>
        <s v="2122-1008" u="1"/>
        <s v="2122-0795" u="1"/>
        <s v="2122-0887" u="1"/>
        <s v="2122-0979" u="1"/>
        <s v="2122-2096" u="1"/>
        <s v="2122-2188" u="1"/>
        <s v="2122-1016" u="1"/>
        <s v="2122-1108" u="1"/>
        <s v="2122-0895" u="1"/>
        <s v="2122-0987" u="1"/>
        <s v="2122-2196" u="1"/>
        <s v="2122-2288" u="1"/>
        <s v="2122-1024" u="1"/>
        <s v="2122-1116" u="1"/>
        <s v="2122-1208" u="1"/>
        <s v="2122-0995" u="1"/>
        <s v="2122-2296" u="1"/>
        <s v="2122-2388" u="1"/>
        <s v="2122-1032" u="1"/>
        <s v="2122-1124" u="1"/>
        <s v="2122-1216" u="1"/>
        <s v="2122-1308" u="1"/>
        <s v="2122-2396" u="1"/>
        <s v="2122-2488" u="1"/>
        <s v="2122-1040" u="1"/>
        <s v="2122-1132" u="1"/>
        <s v="2122-1224" u="1"/>
        <s v="2122-1316" u="1"/>
        <s v="2122-1408" u="1"/>
        <s v="2122-2496" u="1"/>
        <s v="2122-2588" u="1"/>
        <s v="2122-1140" u="1"/>
        <s v="2122-1232" u="1"/>
        <s v="2122-1324" u="1"/>
        <s v="2122-1416" u="1"/>
        <s v="2122-2596" u="1"/>
        <s v="2122-2688" u="1"/>
        <s v="2122-1240" u="1"/>
        <s v="2122-1332" u="1"/>
        <s v="2122-1424" u="1"/>
        <s v="2122-2696" u="1"/>
        <s v="2122-2788" u="1"/>
        <s v="2122-1340" u="1"/>
        <s v="2122-1432" u="1"/>
        <s v="2122-2796" u="1"/>
        <s v="2122-2888" u="1"/>
        <s v="2122-0088" u="1"/>
        <s v="2122-1440" u="1"/>
        <s v="2122-2896" u="1"/>
        <s v="2122-1908" u="1"/>
        <s v="2122-1916" u="1"/>
        <s v="2122-1924" u="1"/>
        <s v="2122-1932" u="1"/>
        <s v="2122-0588" u="1"/>
        <s v="2122-1940" u="1"/>
        <s v="2122-0596" u="1"/>
        <s v="2122-0688" u="1"/>
        <s v="2122-0696" u="1"/>
        <s v="2122-0788" u="1"/>
        <s v="2122-2089" u="1"/>
        <s v="2122-1009" u="1"/>
        <s v="2122-0796" u="1"/>
        <s v="2122-0888" u="1"/>
        <s v="2122-2097" u="1"/>
        <s v="2122-2189" u="1"/>
        <s v="2122-1017" u="1"/>
        <s v="2122-1109" u="1"/>
        <s v="2122-0896" u="1"/>
        <s v="2122-0988" u="1"/>
        <s v="2122-2197" u="1"/>
        <s v="2122-2289" u="1"/>
        <s v="2122-1025" u="1"/>
        <s v="2122-1117" u="1"/>
        <s v="2122-1209" u="1"/>
        <s v="2122-0996" u="1"/>
        <s v="2122-2297" u="1"/>
        <s v="2122-2389" u="1"/>
        <s v="2122-1033" u="1"/>
        <s v="2122-1125" u="1"/>
        <s v="2122-1217" u="1"/>
        <s v="2122-1309" u="1"/>
        <s v="2122-2397" u="1"/>
        <s v="2122-2489" u="1"/>
        <s v="2122-1041" u="1"/>
        <s v="2122-1133" u="1"/>
        <s v="2122-1225" u="1"/>
        <s v="2122-1317" u="1"/>
        <s v="2122-1409" u="1"/>
        <s v="2122-2497" u="1"/>
        <s v="2122-2589" u="1"/>
        <s v="2122-1141" u="1"/>
        <s v="2122-1233" u="1"/>
        <s v="2122-1325" u="1"/>
        <s v="2122-1417" u="1"/>
        <s v="2122-2597" u="1"/>
        <s v="2122-2689" u="1"/>
        <s v="2122-1241" u="1"/>
        <s v="2122-1333" u="1"/>
        <s v="2122-1425" u="1"/>
        <s v="2122-2697" u="1"/>
        <s v="2122-2789" u="1"/>
        <s v="2122-1341" u="1"/>
        <s v="2122-1433" u="1"/>
        <s v="2122-2797" u="1"/>
        <s v="2122-2889" u="1"/>
        <s v="2122-1441" u="1"/>
        <s v="2122-2897" u="1"/>
        <s v="2122-0097" u="1"/>
        <s v="2122-1909" u="1"/>
        <s v="2122-1917" u="1"/>
        <s v="2122-1925" u="1"/>
        <s v="2122-1933" u="1"/>
        <s v="2122-0589" u="1"/>
        <s v="2122-1941" u="1"/>
        <s v="2122-0597" u="1"/>
        <s v="2122-0689" u="1"/>
        <s v="2122-0697" u="1"/>
        <s v="2122-0789" u="1"/>
        <s v="2122-0797" u="1"/>
        <s v="2122-0889" u="1"/>
        <s v="2122-2098" u="1"/>
        <s v="2122-1018" u="1"/>
        <s v="2122-0897" u="1"/>
        <s v="2122-0989" u="1"/>
        <s v="2122-2198" u="1"/>
        <s v="2122-1026" u="1"/>
        <s v="2122-1118" u="1"/>
        <s v="2122-0997" u="1"/>
        <s v="2122-2298" u="1"/>
        <s v="2122-1034" u="1"/>
        <s v="2122-1126" u="1"/>
        <s v="2122-1218" u="1"/>
        <s v="2122-2398" u="1"/>
        <s v="2122-1042" u="1"/>
        <s v="2122-1134" u="1"/>
        <s v="2122-1226" u="1"/>
        <s v="2122-1318" u="1"/>
        <s v="2122-2498" u="1"/>
        <s v="2122-1050" u="1"/>
        <s v="2122-1142" u="1"/>
        <s v="2122-1234" u="1"/>
        <s v="2122-1326" u="1"/>
        <s v="2122-1418" u="1"/>
        <s v="2122-2598" u="1"/>
        <s v="2122-1242" u="1"/>
        <s v="2122-1334" u="1"/>
        <s v="2122-1426" u="1"/>
        <s v="2122-2698" u="1"/>
        <s v="2122-1250" u="1"/>
        <s v="2122-1342" u="1"/>
        <s v="2122-1434" u="1"/>
        <s v="2122-2798" u="1"/>
        <s v="2122-1350" u="1"/>
        <s v="2122-1442" u="1"/>
        <s v="2122-2898" u="1"/>
        <s v="2122-0098" u="1"/>
        <s v="2122-1450" u="1"/>
        <s v="2122-1918" u="1"/>
        <s v="2122-1926" u="1"/>
        <s v="2122-1934" u="1"/>
        <s v="2122-1942" u="1"/>
        <s v="2122-0598" u="1"/>
        <s v="2122-1950" u="1"/>
        <s v="2122-0698" u="1"/>
        <s v="2122-0798" u="1"/>
        <s v="2122-2099" u="1"/>
        <s v="2122-1019" u="1"/>
        <s v="2122-0898" u="1"/>
        <s v="2122-2199" u="1"/>
        <s v="2122-1027" u="1"/>
        <s v="2122-1119" u="1"/>
        <s v="2122-0998" u="1"/>
        <s v="2122-2299" u="1"/>
        <s v="2122-1035" u="1"/>
        <s v="2122-1127" u="1"/>
        <s v="2122-1219" u="1"/>
        <s v="2122-2399" u="1"/>
        <s v="2122-1043" u="1"/>
        <s v="2122-1135" u="1"/>
        <s v="2122-1227" u="1"/>
        <s v="2122-1319" u="1"/>
        <s v="2122-2499" u="1"/>
        <s v="2122-1051" u="1"/>
        <s v="2122-1143" u="1"/>
        <s v="2122-1235" u="1"/>
        <s v="2122-1327" u="1"/>
        <s v="2122-1419" u="1"/>
        <s v="2122-2599" u="1"/>
        <s v="2122-1151" u="1"/>
        <s v="2122-1243" u="1"/>
        <s v="2122-1335" u="1"/>
        <s v="2122-1427" u="1"/>
        <s v="2122-2699" u="1"/>
        <s v="2122-1251" u="1"/>
        <s v="2122-1343" u="1"/>
        <s v="2122-1435" u="1"/>
        <s v="2122-2799" u="1"/>
        <s v="2122-1351" u="1"/>
        <s v="2122-1443" u="1"/>
        <s v="2122-2899" u="1"/>
        <s v="2122-0099" u="1"/>
        <s v="2122-1451" u="1"/>
        <s v="2122-1919" u="1"/>
        <s v="2122-1927" u="1"/>
        <s v="2122-1935" u="1"/>
        <s v="2122-1943" u="1"/>
        <s v="2122-0599" u="1"/>
        <s v="2122-1951" u="1"/>
        <s v="2122-0699" u="1"/>
        <s v="2122-0799" u="1"/>
        <s v="2122-0899" u="1"/>
        <s v="2122-1028" u="1"/>
        <s v="2122-0999" u="1"/>
        <s v="2122-1044" u="1"/>
        <s v="2122-1136" u="1"/>
        <s v="2122-1228" u="1"/>
        <s v="2122-1052" u="1"/>
        <s v="2122-1144" u="1"/>
        <s v="2122-1236" u="1"/>
        <s v="2122-1328" u="1"/>
        <s v="2122-1152" u="1"/>
        <s v="2122-1244" u="1"/>
        <s v="2122-1336" u="1"/>
        <s v="2122-1428" u="1"/>
        <s v="2122-1160" u="1"/>
        <s v="2122-1252" u="1"/>
        <s v="2122-1344" u="1"/>
        <s v="2122-1436" u="1"/>
        <s v="2122-1260" u="1"/>
        <s v="2122-1352" u="1"/>
        <s v="2122-1444" u="1"/>
        <s v="2122-1360" u="1"/>
        <s v="2122-1452" u="1"/>
        <s v="2122-1928" u="1"/>
        <s v="2122-1936" u="1"/>
        <s v="2122-1944" u="1"/>
        <s v="2122-1952" u="1"/>
        <s v="2122-1960" u="1"/>
        <s v="2122-1029" u="1"/>
        <s v="2122-1129" u="1"/>
        <s v="2122-1045" u="1"/>
        <s v="2122-1137" u="1"/>
        <s v="2122-1229" u="1"/>
        <s v="2122-1053" u="1"/>
        <s v="2122-1145" u="1"/>
        <s v="2122-1237" u="1"/>
        <s v="2122-1329" u="1"/>
        <s v="2122-1061" u="1"/>
        <s v="2122-1153" u="1"/>
        <s v="2122-1245" u="1"/>
        <s v="2122-1337" u="1"/>
        <s v="2122-1429" u="1"/>
        <s v="2122-1161" u="1"/>
        <s v="2122-1253" u="1"/>
        <s v="2122-1345" u="1"/>
        <s v="2122-1437" u="1"/>
        <s v="2122-1353" u="1"/>
        <s v="2122-1445" u="1"/>
        <s v="2122-1361" u="1"/>
        <s v="2122-1453" u="1"/>
        <s v="2122-1461" u="1"/>
        <s v="2122-1929" u="1"/>
        <s v="2122-1937" u="1"/>
        <s v="2122-1945" u="1"/>
        <s v="2122-1953" u="1"/>
        <s v="2122-1961" u="1"/>
        <s v="2122-1046" u="1"/>
        <s v="2122-1138" u="1"/>
        <s v="2122-1054" u="1"/>
        <s v="2122-1146" u="1"/>
        <s v="2122-1238" u="1"/>
        <s v="2122-1062" u="1"/>
        <s v="2122-1154" u="1"/>
        <s v="2122-1246" u="1"/>
        <s v="2122-1338" u="1"/>
        <s v="2122-1070" u="1"/>
        <s v="2122-1162" u="1"/>
        <s v="2122-1254" u="1"/>
        <s v="2122-1346" u="1"/>
        <s v="2122-1438" u="1"/>
        <s v="2122-1170" u="1"/>
        <s v="2122-1354" u="1"/>
        <s v="2122-1446" u="1"/>
        <s v="2122-1270" u="1"/>
        <s v="2122-1454" u="1"/>
        <s v="2122-1370" u="1"/>
        <s v="2122-1470" u="1"/>
        <s v="2122-1938" u="1"/>
        <s v="2122-1954" u="1"/>
        <s v="2122-1962" u="1"/>
        <s v="2122-1970" u="1"/>
        <s v="2122-1039" u="1"/>
        <s v="2122-1139" u="1"/>
        <s v="2122-1055" u="1"/>
        <s v="2122-1147" u="1"/>
        <s v="2122-1239" u="1"/>
        <s v="2122-1063" u="1"/>
        <s v="2122-1155" u="1"/>
        <s v="2122-1247" u="1"/>
        <s v="2122-1339" u="1"/>
        <s v="2122-1071" u="1"/>
        <s v="2122-1163" u="1"/>
        <s v="2122-1255" u="1"/>
        <s v="2122-1347" u="1"/>
        <s v="2122-1439" u="1"/>
        <s v="2122-1171" u="1"/>
        <s v="2122-1263" u="1"/>
        <s v="2122-1355" u="1"/>
        <s v="2122-1271" u="1"/>
        <s v="2122-1455" u="1"/>
        <s v="2122-1371" u="1"/>
        <s v="2122-1471" u="1"/>
        <s v="2122-1939" u="1"/>
        <s v="2122-1947" u="1"/>
        <s v="2122-1955" u="1"/>
        <s v="2122-1963" u="1"/>
        <s v="2122-2000" u="1"/>
        <s v="2122-1971" u="1"/>
        <s v="2122-2100" u="1"/>
        <s v="2122-2200" u="1"/>
        <s v="2122-2300" u="1"/>
        <s v="2122-1048" u="1"/>
        <s v="2122-2400" u="1"/>
        <s v="2122-1056" u="1"/>
        <s v="2122-1148" u="1"/>
        <s v="2122-2500" u="1"/>
        <s v="2122-1064" u="1"/>
        <s v="2122-1156" u="1"/>
        <s v="2122-1248" u="1"/>
        <s v="2122-2600" u="1"/>
        <s v="2122-1072" u="1"/>
        <s v="2122-1164" u="1"/>
        <s v="2122-1348" u="1"/>
        <s v="2122-2700" u="1"/>
        <s v="2122-1080" u="1"/>
        <s v="2122-1172" u="1"/>
        <s v="2122-1264" u="1"/>
        <s v="2122-1356" u="1"/>
        <s v="2122-1448" u="1"/>
        <s v="2122-2800" u="1"/>
        <s v="2122-1180" u="1"/>
        <s v="2122-1272" u="1"/>
        <s v="2122-1364" u="1"/>
        <s v="2122-1456" u="1"/>
        <s v="2122-2900" u="1"/>
        <s v="2122-0100" u="1"/>
        <s v="2122-1372" u="1"/>
        <s v="2122-1464" u="1"/>
        <s v="2122-1380" u="1"/>
        <s v="2122-1472" u="1"/>
        <s v="2122-1480" u="1"/>
        <s v="2122-1948" u="1"/>
        <s v="2122-1956" u="1"/>
        <s v="2122-0600" u="1"/>
        <s v="2122-1964" u="1"/>
        <s v="2122-0700" u="1"/>
        <s v="2122-2001" u="1"/>
        <s v="2122-1972" u="1"/>
        <s v="2122-0800" u="1"/>
        <s v="2122-2101" u="1"/>
        <s v="2122-1980" u="1"/>
        <s v="2122-0900" u="1"/>
        <s v="2122-2201" u="1"/>
        <s v="2122-2301" u="1"/>
        <s v="2122-1049" u="1"/>
        <s v="2122-2401" u="1"/>
        <s v="2122-1057" u="1"/>
        <s v="2122-1149" u="1"/>
        <s v="2122-2501" u="1"/>
        <s v="2122-1065" u="1"/>
        <s v="2122-1157" u="1"/>
        <s v="2122-1249" u="1"/>
        <s v="2122-2601" u="1"/>
        <s v="2122-1073" u="1"/>
        <s v="2122-1165" u="1"/>
        <s v="2122-1349" u="1"/>
        <s v="2122-2701" u="1"/>
        <s v="2122-1081" u="1"/>
        <s v="2122-1173" u="1"/>
        <s v="2122-1265" u="1"/>
        <s v="2122-1449" u="1"/>
        <s v="2122-2801" u="1"/>
        <s v="2122-1181" u="1"/>
        <s v="2122-1273" u="1"/>
        <s v="2122-1365" u="1"/>
        <s v="2122-1457" u="1"/>
        <s v="2122-2901" u="1"/>
        <s v="2122-0101" u="1"/>
        <s v="2122-1281" u="1"/>
        <s v="2122-1373" u="1"/>
        <s v="2122-1465" u="1"/>
        <s v="2122-1381" u="1"/>
        <s v="2122-1473" u="1"/>
        <s v="2122-1481" u="1"/>
        <s v="2122-1949" u="1"/>
        <s v="2122-1957" u="1"/>
        <s v="2122-0601" u="1"/>
        <s v="2122-1965" u="1"/>
        <s v="2122-0701" u="1"/>
        <s v="2122-2002" u="1"/>
        <s v="2122-1973" u="1"/>
        <s v="2122-0801" u="1"/>
        <s v="2122-2010" u="1"/>
        <s v="2122-2102" u="1"/>
        <s v="2122-1981" u="1"/>
        <s v="2122-0901" u="1"/>
        <s v="2122-2110" u="1"/>
        <s v="2122-2202" u="1"/>
        <s v="2122-2210" u="1"/>
        <s v="2122-2302" u="1"/>
        <s v="2122-2310" u="1"/>
        <s v="2122-2402" u="1"/>
        <s v="2122-1058" u="1"/>
        <s v="2122-2410" u="1"/>
        <s v="2122-1066" u="1"/>
        <s v="2122-1158" u="1"/>
        <s v="2122-2510" u="1"/>
        <s v="2122-2602" u="1"/>
        <s v="2122-1074" u="1"/>
        <s v="2122-1166" u="1"/>
        <s v="2122-1258" u="1"/>
        <s v="2122-2610" u="1"/>
        <s v="2122-2702" u="1"/>
        <s v="2122-1082" u="1"/>
        <s v="2122-1174" u="1"/>
        <s v="2122-1266" u="1"/>
        <s v="2122-1358" u="1"/>
        <s v="2122-2710" u="1"/>
        <s v="2122-2802" u="1"/>
        <s v="2122-1090" u="1"/>
        <s v="2122-1182" u="1"/>
        <s v="2122-1274" u="1"/>
        <s v="2122-1366" u="1"/>
        <s v="2122-1458" u="1"/>
        <s v="2122-2810" u="1"/>
        <s v="2122-2902" u="1"/>
        <s v="2122-0102" u="1"/>
        <s v="2122-1190" u="1"/>
        <s v="2122-1282" u="1"/>
        <s v="2122-1374" u="1"/>
        <s v="2122-1466" u="1"/>
        <s v="2122-2910" u="1"/>
        <s v="2122-0110" u="1"/>
        <s v="2122-1290" u="1"/>
        <s v="2122-1382" u="1"/>
        <s v="2122-1474" u="1"/>
        <s v="2122-1390" u="1"/>
        <s v="2122-1490" u="1"/>
        <s v="2122-1958" u="1"/>
        <s v="2122-0602" u="1"/>
        <s v="2122-1966" u="1"/>
        <s v="2122-0610" u="1"/>
        <s v="2122-0702" u="1"/>
        <s v="2122-2003" u="1"/>
        <s v="2122-1974" u="1"/>
        <s v="2122-0710" u="1"/>
        <s v="2122-0802" u="1"/>
        <s v="2122-2011" u="1"/>
        <s v="2122-2103" u="1"/>
        <s v="2122-1982" u="1"/>
        <s v="2122-0810" u="1"/>
        <s v="2122-0902" u="1"/>
        <s v="2122-2111" u="1"/>
        <s v="2122-2203" u="1"/>
        <s v="2122-1990" u="1"/>
        <s v="2122-2211" u="1"/>
        <s v="2122-2303" u="1"/>
        <s v="2122-2311" u="1"/>
        <s v="2122-2403" u="1"/>
        <s v="2122-2411" u="1"/>
        <s v="2122-2503" u="1"/>
        <s v="2122-1067" u="1"/>
        <s v="2122-1159" u="1"/>
        <s v="2122-2511" u="1"/>
        <s v="2122-2603" u="1"/>
        <s v="2122-1075" u="1"/>
        <s v="2122-1167" u="1"/>
        <s v="2122-1259" u="1"/>
        <s v="2122-2611" u="1"/>
        <s v="2122-2703" u="1"/>
        <s v="2122-1083" u="1"/>
        <s v="2122-1175" u="1"/>
        <s v="2122-1267" u="1"/>
        <s v="2122-1359" u="1"/>
        <s v="2122-2711" u="1"/>
        <s v="2122-2803" u="1"/>
        <s v="2122-1091" u="1"/>
        <s v="2122-1183" u="1"/>
        <s v="2122-1275" u="1"/>
        <s v="2122-1367" u="1"/>
        <s v="2122-1459" u="1"/>
        <s v="2122-2811" u="1"/>
        <s v="2122-2903" u="1"/>
        <s v="2122-0103" u="1"/>
        <s v="2122-1191" u="1"/>
        <s v="2122-1283" u="1"/>
        <s v="2122-1375" u="1"/>
        <s v="2122-1467" u="1"/>
        <s v="2122-2911" u="1"/>
        <s v="2122-1291" u="1"/>
        <s v="2122-1383" u="1"/>
        <s v="2122-1475" u="1"/>
        <s v="2122-1391" u="1"/>
        <s v="2122-1483" u="1"/>
        <s v="2122-1491" u="1"/>
        <s v="2122-1959" u="1"/>
        <s v="2122-0603" u="1"/>
        <s v="2122-1967" u="1"/>
        <s v="2122-0611" u="1"/>
        <s v="2122-0703" u="1"/>
        <s v="2122-2004" u="1"/>
        <s v="2122-1975" u="1"/>
        <s v="2122-0711" u="1"/>
        <s v="2122-0803" u="1"/>
        <s v="2122-2012" u="1"/>
        <s v="2122-2104" u="1"/>
        <s v="2122-1983" u="1"/>
        <s v="2122-0811" u="1"/>
        <s v="2122-0903" u="1"/>
        <s v="2122-2020" u="1"/>
        <s v="2122-2112" u="1"/>
        <s v="2122-2204" u="1"/>
        <s v="2122-1991" u="1"/>
        <s v="2122-2120" u="1"/>
        <s v="2122-2212" u="1"/>
        <s v="2122-2304" u="1"/>
        <s v="2122-2220" u="1"/>
        <s v="2122-2312" u="1"/>
        <s v="2122-2404" u="1"/>
        <s v="2122-2320" u="1"/>
        <s v="2122-2412" u="1"/>
        <s v="2122-2504" u="1"/>
        <s v="2122-1068" u="1"/>
        <s v="2122-2420" u="1"/>
        <s v="2122-2512" u="1"/>
        <s v="2122-2604" u="1"/>
        <s v="2122-1076" u="1"/>
        <s v="2122-1168" u="1"/>
        <s v="2122-2520" u="1"/>
        <s v="2122-2612" u="1"/>
        <s v="2122-2704" u="1"/>
        <s v="2122-1084" u="1"/>
        <s v="2122-1268" u="1"/>
        <s v="2122-2620" u="1"/>
        <s v="2122-2712" u="1"/>
        <s v="2122-2804" u="1"/>
        <s v="2122-1092" u="1"/>
        <s v="2122-1184" u="1"/>
        <s v="2122-1276" u="1"/>
        <s v="2122-1368" u="1"/>
        <s v="2122-2720" u="1"/>
        <s v="2122-2812" u="1"/>
        <s v="2122-1192" u="1"/>
        <s v="2122-1284" u="1"/>
        <s v="2122-1376" u="1"/>
        <s v="2122-1468" u="1"/>
        <s v="2122-2820" u="1"/>
        <s v="2122-2912" u="1"/>
        <s v="2122-0112" u="1"/>
        <s v="2122-1292" u="1"/>
        <s v="2122-1384" u="1"/>
        <s v="2122-1476" u="1"/>
        <s v="2122-2920" u="1"/>
        <s v="2122-1392" u="1"/>
        <s v="2122-1492" u="1"/>
        <s v="2122-0604" u="1"/>
        <s v="2122-1968" u="1"/>
        <s v="2122-0612" u="1"/>
        <s v="2122-0704" u="1"/>
        <s v="2122-2005" u="1"/>
        <s v="2122-0620" u="1"/>
        <s v="2122-0712" u="1"/>
        <s v="2122-0804" u="1"/>
        <s v="2122-2013" u="1"/>
        <s v="2122-2105" u="1"/>
        <s v="2122-1984" u="1"/>
        <s v="2122-0720" u="1"/>
        <s v="2122-0812" u="1"/>
        <s v="2122-0904" u="1"/>
        <s v="2122-2021" u="1"/>
        <s v="2122-2113" u="1"/>
        <s v="2122-2205" u="1"/>
        <s v="2122-1992" u="1"/>
        <s v="2122-0820" u="1"/>
        <s v="2122-2213" u="1"/>
        <s v="2122-2305" u="1"/>
        <s v="2122-2221" u="1"/>
        <s v="2122-2313" u="1"/>
        <s v="2122-2405" u="1"/>
        <s v="2122-2321" u="1"/>
        <s v="2122-2413" u="1"/>
        <s v="2122-2505" u="1"/>
        <s v="2122-1069" u="1"/>
        <s v="2122-2421" u="1"/>
        <s v="2122-2513" u="1"/>
        <s v="2122-2605" u="1"/>
        <s v="2122-1077" u="1"/>
        <s v="2122-1169" u="1"/>
        <s v="2122-2521" u="1"/>
        <s v="2122-2613" u="1"/>
        <s v="2122-2705" u="1"/>
        <s v="2122-1085" u="1"/>
        <s v="2122-1177" u="1"/>
        <s v="2122-1269" u="1"/>
        <s v="2122-2621" u="1"/>
        <s v="2122-2713" u="1"/>
        <s v="2122-2805" u="1"/>
        <s v="2122-1093" u="1"/>
        <s v="2122-1185" u="1"/>
        <s v="2122-1277" u="1"/>
        <s v="2122-1369" u="1"/>
        <s v="2122-2721" u="1"/>
        <s v="2122-2813" u="1"/>
        <s v="2122-1193" u="1"/>
        <s v="2122-1377" u="1"/>
        <s v="2122-1469" u="1"/>
        <s v="2122-2821" u="1"/>
        <s v="2122-2913" u="1"/>
        <s v="2122-0113" u="1"/>
        <s v="2122-1293" u="1"/>
        <s v="2122-1385" u="1"/>
        <s v="2122-2921" u="1"/>
        <s v="2122-1393" u="1"/>
        <s v="2122-1485" u="1"/>
        <s v="2122-0605" u="1"/>
        <s v="2122-1969" u="1"/>
        <s v="2122-0613" u="1"/>
        <s v="2122-0705" u="1"/>
        <s v="2122-2006" u="1"/>
        <s v="2122-0621" u="1"/>
        <s v="2122-0713" u="1"/>
        <s v="2122-0805" u="1"/>
        <s v="2122-2014" u="1"/>
        <s v="2122-2106" u="1"/>
        <s v="2122-1893" u="1"/>
        <s v="2122-1985" u="1"/>
        <s v="2122-0721" u="1"/>
        <s v="2122-0813" u="1"/>
        <s v="2122-0905" u="1"/>
        <s v="2122-2022" u="1"/>
        <s v="2122-2114" u="1"/>
        <s v="2122-2206" u="1"/>
        <s v="2122-1993" u="1"/>
        <s v="2122-0821" u="1"/>
        <s v="2122-2030" u="1"/>
        <s v="2122-2122" u="1"/>
        <s v="2122-2214" u="1"/>
        <s v="2122-2306" u="1"/>
        <s v="2122-2130" u="1"/>
        <s v="2122-2222" u="1"/>
        <s v="2122-2314" u="1"/>
        <s v="2122-2406" u="1"/>
        <s v="2122-2230" u="1"/>
        <s v="2122-2322" u="1"/>
        <s v="2122-2414" u="1"/>
        <s v="2122-2506" u="1"/>
        <s v="2122-2330" u="1"/>
        <s v="2122-2422" u="1"/>
        <s v="2122-2514" u="1"/>
        <s v="2122-1078" u="1"/>
        <s v="2122-2430" u="1"/>
        <s v="2122-2522" u="1"/>
        <s v="2122-2614" u="1"/>
        <s v="2122-2706" u="1"/>
        <s v="2122-1086" u="1"/>
        <s v="2122-1178" u="1"/>
        <s v="2122-2530" u="1"/>
        <s v="2122-2622" u="1"/>
        <s v="2122-2714" u="1"/>
        <s v="2122-2806" u="1"/>
        <s v="2122-1094" u="1"/>
        <s v="2122-1186" u="1"/>
        <s v="2122-1278" u="1"/>
        <s v="2122-2630" u="1"/>
        <s v="2122-2722" u="1"/>
        <s v="2122-2906" u="1"/>
        <s v="2122-1194" u="1"/>
        <s v="2122-1286" u="1"/>
        <s v="2122-1378" u="1"/>
        <s v="2122-2730" u="1"/>
        <s v="2122-2822" u="1"/>
        <s v="2122-2914" u="1"/>
        <s v="2122-0114" u="1"/>
        <s v="2122-1294" u="1"/>
        <s v="2122-1386" u="1"/>
        <s v="2122-2830" u="1"/>
        <s v="2122-2922" u="1"/>
        <s v="2122-1394" u="1"/>
        <s v="2122-1486" u="1"/>
        <s v="2122-2930" u="1"/>
        <s v="2122-1494" u="1"/>
        <s v="2122-0606" u="1"/>
        <s v="2122-0614" u="1"/>
        <s v="2122-0706" u="1"/>
        <s v="2122-2007" u="1"/>
        <s v="2122-1978" u="1"/>
        <s v="2122-0622" u="1"/>
        <s v="2122-0714" u="1"/>
        <s v="2122-0806" u="1"/>
        <s v="2122-2015" u="1"/>
        <s v="2122-2107" u="1"/>
        <s v="2122-1986" u="1"/>
        <s v="2122-0630" u="1"/>
        <s v="2122-0722" u="1"/>
        <s v="2122-0814" u="1"/>
        <s v="2122-2023" u="1"/>
        <s v="2122-2115" u="1"/>
        <s v="2122-2207" u="1"/>
        <s v="2122-1994" u="1"/>
        <s v="2122-0730" u="1"/>
        <s v="2122-0822" u="1"/>
        <s v="2122-2031" u="1"/>
        <s v="2122-2123" u="1"/>
        <s v="2122-2215" u="1"/>
        <s v="2122-2307" u="1"/>
        <s v="2122-0830" u="1"/>
        <s v="2122-2131" u="1"/>
        <s v="2122-2223" u="1"/>
        <s v="2122-2315" u="1"/>
        <s v="2122-2407" u="1"/>
        <s v="2122-2231" u="1"/>
        <s v="2122-2323" u="1"/>
        <s v="2122-2415" u="1"/>
        <s v="2122-2507" u="1"/>
        <s v="2122-2331" u="1"/>
        <s v="2122-2423" u="1"/>
        <s v="2122-2515" u="1"/>
        <s v="2122-2607" u="1"/>
        <s v="2122-1079" u="1"/>
        <s v="2122-2431" u="1"/>
        <s v="2122-2523" u="1"/>
        <s v="2122-2615" u="1"/>
        <s v="2122-2707" u="1"/>
        <s v="2122-1087" u="1"/>
        <s v="2122-1179" u="1"/>
        <s v="2122-2531" u="1"/>
        <s v="2122-2623" u="1"/>
        <s v="2122-2715" u="1"/>
        <s v="2122-2807" u="1"/>
        <s v="2122-1095" u="1"/>
        <s v="2122-1187" u="1"/>
        <s v="2122-1279" u="1"/>
        <s v="2122-2631" u="1"/>
        <s v="2122-2723" u="1"/>
        <s v="2122-2815" u="1"/>
        <s v="2122-2907" u="1"/>
        <s v="2122-1195" u="1"/>
        <s v="2122-1379" u="1"/>
        <s v="2122-2731" u="1"/>
        <s v="2122-2823" u="1"/>
        <s v="2122-2915" u="1"/>
        <s v="2122-1295" u="1"/>
        <s v="2122-1387" u="1"/>
        <s v="2122-1479" u="1"/>
        <s v="2122-2831" u="1"/>
        <s v="2122-2923" u="1"/>
        <s v="2122-1395" u="1"/>
        <s v="2122-1487" u="1"/>
        <s v="2122-2931" u="1"/>
        <s v="2122-1495" u="1"/>
        <s v="2122-0607" u="1"/>
        <s v="2122-0615" u="1"/>
        <s v="2122-0707" u="1"/>
        <s v="2122-2008" u="1"/>
        <s v="2122-1979" u="1"/>
        <s v="2122-0623" u="1"/>
        <s v="2122-0715" u="1"/>
        <s v="2122-0807" u="1"/>
        <s v="2122-2016" u="1"/>
        <s v="2122-2108" u="1"/>
        <s v="2122-1895" u="1"/>
        <s v="2122-1987" u="1"/>
        <s v="2122-0631" u="1"/>
        <s v="2122-0723" u="1"/>
        <s v="2122-0815" u="1"/>
        <s v="2122-2024" u="1"/>
        <s v="2122-2116" u="1"/>
        <s v="2122-2208" u="1"/>
        <s v="2122-1995" u="1"/>
        <s v="2122-0731" u="1"/>
        <s v="2122-0823" u="1"/>
        <s v="2122-2032" u="1"/>
        <s v="2122-2124" u="1"/>
        <s v="2122-2216" u="1"/>
        <s v="2122-2308" u="1"/>
        <s v="2122-0831" u="1"/>
        <s v="2122-2040" u="1"/>
        <s v="2122-2132" u="1"/>
        <s v="2122-2224" u="1"/>
        <s v="2122-2316" u="1"/>
        <s v="2122-2408" u="1"/>
        <s v="2122-2140" u="1"/>
        <s v="2122-2232" u="1"/>
        <s v="2122-2324" u="1"/>
        <s v="2122-2416" u="1"/>
        <s v="2122-2508" u="1"/>
        <s v="2122-2332" u="1"/>
        <s v="2122-2424" u="1"/>
        <s v="2122-2516" u="1"/>
        <s v="2122-2608" u="1"/>
        <s v="2122-2340" u="1"/>
        <s v="2122-2432" u="1"/>
        <s v="2122-2524" u="1"/>
        <s v="2122-2616" u="1"/>
        <s v="2122-2708" u="1"/>
        <s v="2122-1088" u="1"/>
        <s v="2122-2440" u="1"/>
        <s v="2122-2532" u="1"/>
        <s v="2122-2624" u="1"/>
        <s v="2122-2716" u="1"/>
        <s v="2122-2808" u="1"/>
        <s v="2122-1096" u="1"/>
        <s v="2122-1188" u="1"/>
        <s v="2122-2540" u="1"/>
        <s v="2122-2632" u="1"/>
        <s v="2122-2724" u="1"/>
        <s v="2122-2816" u="1"/>
        <s v="2122-2908" u="1"/>
        <s v="2122-1196" u="1"/>
        <s v="2122-1288" u="1"/>
        <s v="2122-2640" u="1"/>
        <s v="2122-2732" u="1"/>
        <s v="2122-2824" u="1"/>
        <s v="2122-2916" u="1"/>
        <s v="2122-1296" u="1"/>
        <s v="2122-1388" u="1"/>
        <s v="2122-2740" u="1"/>
        <s v="2122-2832" u="1"/>
        <s v="2122-2924" u="1"/>
        <s v="2122-1396" u="1"/>
        <s v="2122-1488" u="1"/>
        <s v="2122-2840" u="1"/>
        <s v="2122-2932" u="1"/>
        <s v="2122-1496" u="1"/>
        <s v="2122-2940" u="1"/>
        <s v="2122-0608" u="1"/>
        <s v="2122-0708" u="1"/>
        <s v="2122-2009" u="1"/>
        <s v="2122-0624" u="1"/>
        <s v="2122-0716" u="1"/>
        <s v="2122-0808" u="1"/>
        <s v="2122-2017" u="1"/>
        <s v="2122-2109" u="1"/>
        <s v="2122-1896" u="1"/>
        <s v="2122-1988" u="1"/>
        <s v="2122-0632" u="1"/>
        <s v="2122-0724" u="1"/>
        <s v="2122-0816" u="1"/>
        <s v="2122-2025" u="1"/>
        <s v="2122-2117" u="1"/>
        <s v="2122-2209" u="1"/>
        <s v="2122-1996" u="1"/>
        <s v="2122-0640" u="1"/>
        <s v="2122-0732" u="1"/>
        <s v="2122-0824" u="1"/>
        <s v="2122-2033" u="1"/>
        <s v="2122-2125" u="1"/>
        <s v="2122-2217" u="1"/>
        <s v="2122-2309" u="1"/>
        <s v="2122-0740" u="1"/>
        <s v="2122-0832" u="1"/>
        <s v="2122-2041" u="1"/>
        <s v="2122-2133" u="1"/>
        <s v="2122-2225" u="1"/>
        <s v="2122-2317" u="1"/>
        <s v="2122-2409" u="1"/>
        <s v="2122-0840" u="1"/>
        <s v="2122-2141" u="1"/>
        <s v="2122-2233" u="1"/>
        <s v="2122-2417" u="1"/>
        <s v="2122-2509" u="1"/>
        <s v="2122-2333" u="1"/>
        <s v="2122-2425" u="1"/>
        <s v="2122-2517" u="1"/>
        <s v="2122-2609" u="1"/>
        <s v="2122-2341" u="1"/>
        <s v="2122-2433" u="1"/>
        <s v="2122-2525" u="1"/>
        <s v="2122-2617" u="1"/>
        <s v="2122-2709" u="1"/>
        <s v="2122-1089" u="1"/>
        <s v="2122-2441" u="1"/>
        <s v="2122-2533" u="1"/>
        <s v="2122-2625" u="1"/>
        <s v="2122-2717" u="1"/>
        <s v="2122-2809" u="1"/>
        <s v="2122-1097" u="1"/>
        <s v="2122-1189" u="1"/>
        <s v="2122-2541" u="1"/>
        <s v="2122-2633" u="1"/>
        <s v="2122-2725" u="1"/>
        <s v="2122-2817" u="1"/>
        <s v="2122-2909" u="1"/>
        <s v="2122-1197" u="1"/>
        <s v="2122-1289" u="1"/>
        <s v="2122-2641" u="1"/>
        <s v="2122-2733" u="1"/>
        <s v="2122-2825" u="1"/>
        <s v="2122-2917" u="1"/>
        <s v="2122-1297" u="1"/>
        <s v="2122-1389" u="1"/>
        <s v="2122-2741" u="1"/>
        <s v="2122-2833" u="1"/>
        <s v="2122-2925" u="1"/>
        <s v="2122-1397" u="1"/>
        <s v="2122-1489" u="1"/>
        <s v="2122-2841" u="1"/>
        <s v="2122-2933" u="1"/>
        <s v="2122-1497" u="1"/>
        <s v="2122-2941" u="1"/>
        <s v="2122-0609" u="1"/>
        <s v="2122-0617" u="1"/>
        <s v="2122-0709" u="1"/>
        <s v="2122-0717" u="1"/>
        <s v="2122-0809" u="1"/>
        <s v="2122-2018" u="1"/>
        <s v="2122-1897" u="1"/>
        <s v="2122-1989" u="1"/>
        <s v="2122-0633" u="1"/>
        <s v="2122-0725" u="1"/>
        <s v="2122-0817" u="1"/>
        <s v="2122-2026" u="1"/>
        <s v="2122-2118" u="1"/>
        <s v="2122-1997" u="1"/>
        <s v="2122-0641" u="1"/>
        <s v="2122-0733" u="1"/>
        <s v="2122-0825" u="1"/>
        <s v="2122-2034" u="1"/>
        <s v="2122-2126" u="1"/>
        <s v="2122-2218" u="1"/>
        <s v="2122-0741" u="1"/>
        <s v="2122-0833" u="1"/>
        <s v="2122-2042" u="1"/>
        <s v="2122-2134" u="1"/>
        <s v="2122-2226" u="1"/>
        <s v="2122-2318" u="1"/>
        <s v="2122-0841" u="1"/>
        <s v="2122-2142" u="1"/>
        <s v="2122-2234" u="1"/>
        <s v="2122-2150" u="1"/>
        <s v="2122-2334" u="1"/>
        <s v="2122-2426" u="1"/>
        <s v="2122-2518" u="1"/>
        <s v="2122-2250" u="1"/>
        <s v="2122-2342" u="1"/>
        <s v="2122-2434" u="1"/>
        <s v="2122-2526" u="1"/>
        <s v="2122-2618" u="1"/>
        <s v="2122-2350" u="1"/>
        <s v="2122-2442" u="1"/>
        <s v="2122-2534" u="1"/>
        <s v="2122-2626" u="1"/>
        <s v="2122-2718" u="1"/>
        <s v="2122-1098" u="1"/>
        <s v="2122-2450" u="1"/>
        <s v="2122-2542" u="1"/>
        <s v="2122-2634" u="1"/>
        <s v="2122-2726" u="1"/>
        <s v="2122-2818" u="1"/>
        <s v="2122-1198" u="1"/>
        <s v="2122-2642" u="1"/>
        <s v="2122-2734" u="1"/>
        <s v="2122-2826" u="1"/>
        <s v="2122-2918" u="1"/>
        <s v="2122-1298" u="1"/>
        <s v="2122-2650" u="1"/>
        <s v="2122-2742" u="1"/>
        <s v="2122-2834" u="1"/>
        <s v="2122-2926" u="1"/>
        <s v="2122-2750" u="1"/>
        <s v="2122-2842" u="1"/>
        <s v="2122-2934" u="1"/>
        <s v="2122-1498" u="1"/>
        <s v="2122-2850" u="1"/>
        <s v="2122-2942" u="1"/>
        <s v="2122-2950" u="1"/>
        <s v="2122-0618" u="1"/>
        <s v="2122-0626" u="1"/>
        <s v="2122-0718" u="1"/>
        <s v="2122-2019" u="1"/>
        <s v="2122-1898" u="1"/>
        <s v="2122-0634" u="1"/>
        <s v="2122-0726" u="1"/>
        <s v="2122-0818" u="1"/>
        <s v="2122-2027" u="1"/>
        <s v="2122-2119" u="1"/>
        <s v="2122-1998" u="1"/>
        <s v="2122-0642" u="1"/>
        <s v="2122-0734" u="1"/>
        <s v="2122-0826" u="1"/>
        <s v="2122-2035" u="1"/>
        <s v="2122-2127" u="1"/>
        <s v="2122-2219" u="1"/>
        <s v="2122-0742" u="1"/>
        <s v="2122-0834" u="1"/>
        <s v="2122-2043" u="1"/>
        <s v="2122-2135" u="1"/>
        <s v="2122-2227" u="1"/>
        <s v="2122-0750" u="1"/>
        <s v="2122-0842" u="1"/>
        <s v="2122-2051" u="1"/>
        <s v="2122-2143" u="1"/>
        <s v="2122-2235" u="1"/>
        <s v="2122-2419" u="1"/>
        <s v="2122-0850" u="1"/>
        <s v="2122-2151" u="1"/>
        <s v="2122-2243" u="1"/>
        <s v="2122-2335" u="1"/>
        <s v="2122-2427" u="1"/>
        <s v="2122-2519" u="1"/>
        <s v="2122-2251" u="1"/>
        <s v="2122-2343" u="1"/>
        <s v="2122-2435" u="1"/>
        <s v="2122-2527" u="1"/>
        <s v="2122-2619" u="1"/>
        <s v="2122-2351" u="1"/>
        <s v="2122-2443" u="1"/>
        <s v="2122-2535" u="1"/>
        <s v="2122-2627" u="1"/>
        <s v="2122-2719" u="1"/>
        <s v="2122-1099" u="1"/>
        <s v="2122-2451" u="1"/>
        <s v="2122-2543" u="1"/>
        <s v="2122-2635" u="1"/>
        <s v="2122-2727" u="1"/>
        <s v="2122-2819" u="1"/>
        <s v="2122-1199" u="1"/>
        <s v="2122-2643" u="1"/>
        <s v="2122-2827" u="1"/>
        <s v="2122-2919" u="1"/>
        <s v="2122-1299" u="1"/>
        <s v="2122-2651" u="1"/>
        <s v="2122-2743" u="1"/>
        <s v="2122-2835" u="1"/>
        <s v="2122-2927" u="1"/>
        <s v="2122-1399" u="1"/>
        <s v="2122-2751" u="1"/>
        <s v="2122-2843" u="1"/>
        <s v="2122-2935" u="1"/>
        <s v="2122-1499" u="1"/>
        <s v="2122-2851" u="1"/>
        <s v="2122-2951" u="1"/>
        <s v="2122-0619" u="1"/>
        <s v="2122-0627" u="1"/>
        <s v="2122-0719" u="1"/>
        <s v="2122-0635" u="1"/>
        <s v="2122-0727" u="1"/>
        <s v="2122-0819" u="1"/>
        <s v="2122-2028" u="1"/>
        <s v="2122-1999" u="1"/>
        <s v="2122-0643" u="1"/>
        <s v="2122-0735" u="1"/>
        <s v="2122-0827" u="1"/>
        <s v="2122-2036" u="1"/>
        <s v="2122-2128" u="1"/>
        <s v="2122-0743" u="1"/>
        <s v="2122-0835" u="1"/>
        <s v="2122-2044" u="1"/>
        <s v="2122-2136" u="1"/>
        <s v="2122-2228" u="1"/>
        <s v="2122-0751" u="1"/>
        <s v="2122-0843" u="1"/>
        <s v="2122-2144" u="1"/>
        <s v="2122-2236" u="1"/>
        <s v="2122-0851" u="1"/>
        <s v="2122-2060" u="1"/>
        <s v="2122-2152" u="1"/>
        <s v="2122-2244" u="1"/>
        <s v="2122-2336" u="1"/>
        <s v="2122-2428" u="1"/>
        <s v="2122-2160" u="1"/>
        <s v="2122-2252" u="1"/>
        <s v="2122-2344" u="1"/>
        <s v="2122-2436" u="1"/>
        <s v="2122-2528" u="1"/>
        <s v="2122-2260" u="1"/>
        <s v="2122-2352" u="1"/>
        <s v="2122-2444" u="1"/>
        <s v="2122-2536" u="1"/>
        <s v="2122-2628" u="1"/>
        <s v="2122-2452" u="1"/>
        <s v="2122-2544" u="1"/>
        <s v="2122-2636" u="1"/>
        <s v="2122-2728" u="1"/>
        <s v="2122-2460" u="1"/>
        <s v="2122-2552" u="1"/>
        <s v="2122-2644" u="1"/>
        <s v="2122-2736" u="1"/>
        <s v="2122-2828" u="1"/>
        <s v="2122-2560" u="1"/>
        <s v="2122-2652" u="1"/>
        <s v="2122-2744" u="1"/>
        <s v="2122-2836" u="1"/>
        <s v="2122-2928" u="1"/>
        <s v="2122-2660" u="1"/>
        <s v="2122-2752" u="1"/>
        <s v="2122-2844" u="1"/>
        <s v="2122-2936" u="1"/>
        <s v="2122-2760" u="1"/>
        <s v="2122-2852" u="1"/>
        <s v="2122-2944" u="1"/>
        <s v="2122-2860" u="1"/>
        <s v="2122-2952" u="1"/>
        <s v="2122-0060" u="1"/>
        <s v="2122-2960" u="1"/>
        <s v="2122-0628" u="1"/>
        <s v="2122-0636" u="1"/>
        <s v="2122-0728" u="1"/>
        <s v="2122-2029" u="1"/>
        <s v="2122-0552" u="1"/>
        <s v="2122-0644" u="1"/>
        <s v="2122-0736" u="1"/>
        <s v="2122-0828" u="1"/>
        <s v="2122-2037" u="1"/>
        <s v="2122-2129" u="1"/>
        <s v="2122-0560" u="1"/>
        <s v="2122-0652" u="1"/>
        <s v="2122-0744" u="1"/>
        <s v="2122-0836" u="1"/>
        <s v="2122-2045" u="1"/>
        <s v="2122-2137" u="1"/>
        <s v="2122-2229" u="1"/>
        <s v="2122-0660" u="1"/>
        <s v="2122-0752" u="1"/>
        <s v="2122-0844" u="1"/>
        <s v="2122-2053" u="1"/>
        <s v="2122-2145" u="1"/>
        <s v="2122-2237" u="1"/>
        <s v="2122-2329" u="1"/>
        <s v="2122-0760" u="1"/>
        <s v="2122-0852" u="1"/>
        <s v="2122-2061" u="1"/>
        <s v="2122-2153" u="1"/>
        <s v="2122-2245" u="1"/>
        <s v="2122-2337" u="1"/>
        <s v="2122-2429" u="1"/>
        <s v="2122-0860" u="1"/>
        <s v="2122-2161" u="1"/>
        <s v="2122-2253" u="1"/>
        <s v="2122-2345" u="1"/>
        <s v="2122-2437" u="1"/>
        <s v="2122-2529" u="1"/>
        <s v="2122-2261" u="1"/>
        <s v="2122-2353" u="1"/>
        <s v="2122-2445" u="1"/>
        <s v="2122-2537" u="1"/>
        <s v="2122-2629" u="1"/>
        <s v="2122-2453" u="1"/>
        <s v="2122-2545" u="1"/>
        <s v="2122-2637" u="1"/>
        <s v="2122-2729" u="1"/>
        <s v="2122-2461" u="1"/>
        <s v="2122-2553" u="1"/>
        <s v="2122-2645" u="1"/>
        <s v="2122-2829" u="1"/>
        <s v="2122-2561" u="1"/>
        <s v="2122-2653" u="1"/>
        <s v="2122-2745" u="1"/>
        <s v="2122-2837" u="1"/>
        <s v="2122-2929" u="1"/>
        <s v="2122-2661" u="1"/>
        <s v="2122-2753" u="1"/>
        <s v="2122-2845" u="1"/>
        <s v="2122-2937" u="1"/>
        <s v="2122-2761" u="1"/>
        <s v="2122-2853" u="1"/>
        <s v="2122-2861" u="1"/>
        <s v="2122-2953" u="1"/>
        <s v="2122-2961" u="1"/>
        <s v="2122-0629" u="1"/>
        <s v="2122-0637" u="1"/>
        <s v="2122-0729" u="1"/>
        <s v="2122-0553" u="1"/>
        <s v="2122-0645" u="1"/>
        <s v="2122-0737" u="1"/>
        <s v="2122-0829" u="1"/>
        <s v="2122-2038" u="1"/>
        <s v="2122-0561" u="1"/>
        <s v="2122-0653" u="1"/>
        <s v="2122-0745" u="1"/>
        <s v="2122-0837" u="1"/>
        <s v="2122-2046" u="1"/>
        <s v="2122-2138" u="1"/>
        <s v="2122-0661" u="1"/>
        <s v="2122-0753" u="1"/>
        <s v="2122-0845" u="1"/>
        <s v="2122-2054" u="1"/>
        <s v="2122-2146" u="1"/>
        <s v="2122-0761" u="1"/>
        <s v="2122-0853" u="1"/>
        <s v="2122-2062" u="1"/>
        <s v="2122-2154" u="1"/>
        <s v="2122-2338" u="1"/>
        <s v="2122-0861" u="1"/>
        <s v="2122-2162" u="1"/>
        <s v="2122-2254" u="1"/>
        <s v="2122-2346" u="1"/>
        <s v="2122-2438" u="1"/>
        <s v="2122-2170" u="1"/>
        <s v="2122-2262" u="1"/>
        <s v="2122-2354" u="1"/>
        <s v="2122-2446" u="1"/>
        <s v="2122-2538" u="1"/>
        <s v="2122-2270" u="1"/>
        <s v="2122-2454" u="1"/>
        <s v="2122-2546" u="1"/>
        <s v="2122-2638" u="1"/>
        <s v="2122-2370" u="1"/>
        <s v="2122-2462" u="1"/>
        <s v="2122-2554" u="1"/>
        <s v="2122-2646" u="1"/>
        <s v="2122-2470" u="1"/>
        <s v="2122-2562" u="1"/>
        <s v="2122-2654" u="1"/>
        <s v="2122-2746" u="1"/>
        <s v="2122-2838" u="1"/>
        <s v="2122-2570" u="1"/>
        <s v="2122-2662" u="1"/>
        <s v="2122-2754" u="1"/>
        <s v="2122-2846" u="1"/>
        <s v="2122-2938" u="1"/>
        <s v="2122-2670" u="1"/>
        <s v="2122-2762" u="1"/>
        <s v="2122-2854" u="1"/>
        <s v="2122-2946" u="1"/>
        <s v="2122-2770" u="1"/>
        <s v="2122-2862" u="1"/>
        <s v="2122-2954" u="1"/>
        <s v="2122-2870" u="1"/>
        <s v="2122-0070" u="1"/>
        <s v="2122-0638" u="1"/>
        <s v="2122-0554" u="1"/>
        <s v="2122-0646" u="1"/>
        <s v="2122-0738" u="1"/>
        <s v="2122-0562" u="1"/>
        <s v="2122-0654" u="1"/>
        <s v="2122-0746" u="1"/>
        <s v="2122-0838" u="1"/>
        <s v="2122-2047" u="1"/>
        <s v="2122-2139" u="1"/>
        <s v="2122-0570" u="1"/>
        <s v="2122-0662" u="1"/>
        <s v="2122-0754" u="1"/>
        <s v="2122-0846" u="1"/>
        <s v="2122-2055" u="1"/>
        <s v="2122-2147" u="1"/>
        <s v="2122-0670" u="1"/>
        <s v="2122-0762" u="1"/>
        <s v="2122-0854" u="1"/>
        <s v="2122-2063" u="1"/>
        <s v="2122-2155" u="1"/>
        <s v="2122-2247" u="1"/>
        <s v="2122-2339" u="1"/>
        <s v="2122-0770" u="1"/>
        <s v="2122-0862" u="1"/>
        <s v="2122-2071" u="1"/>
        <s v="2122-2163" u="1"/>
        <s v="2122-2255" u="1"/>
        <s v="2122-2347" u="1"/>
        <s v="2122-2439" u="1"/>
        <s v="2122-0870" u="1"/>
        <s v="2122-2171" u="1"/>
        <s v="2122-2263" u="1"/>
        <s v="2122-2355" u="1"/>
        <s v="2122-2447" u="1"/>
        <s v="2122-2539" u="1"/>
        <s v="2122-0970" u="1"/>
        <s v="2122-2271" u="1"/>
        <s v="2122-2363" u="1"/>
        <s v="2122-2455" u="1"/>
        <s v="2122-2547" u="1"/>
        <s v="2122-2639" u="1"/>
        <s v="2122-2371" u="1"/>
        <s v="2122-2463" u="1"/>
        <s v="2122-2555" u="1"/>
        <s v="2122-2647" u="1"/>
        <s v="2122-2471" u="1"/>
        <s v="2122-2563" u="1"/>
        <s v="2122-2655" u="1"/>
        <s v="2122-2747" u="1"/>
        <s v="2122-2839" u="1"/>
        <s v="2122-2571" u="1"/>
        <s v="2122-2663" u="1"/>
        <s v="2122-2755" u="1"/>
        <s v="2122-2847" u="1"/>
        <s v="2122-2939" u="1"/>
        <s v="2122-2671" u="1"/>
        <s v="2122-2763" u="1"/>
        <s v="2122-2855" u="1"/>
        <s v="2122-2947" u="1"/>
        <s v="2122-0055" u="1"/>
        <s v="2122-2771" u="1"/>
        <s v="2122-2863" u="1"/>
        <s v="2122-2955" u="1"/>
        <s v="2122-2871" u="1"/>
        <s v="2122-0071" u="1"/>
        <s v="2122-0639" u="1"/>
      </sharedItems>
    </cacheField>
    <cacheField name="Date" numFmtId="14">
      <sharedItems containsSemiMixedTypes="0" containsNonDate="0" containsDate="1" containsString="0" minDate="1900-04-01T00:00:00" maxDate="1900-05-01T00:00:00" count="17">
        <d v="1900-04-30T00:00:00"/>
        <d v="1900-04-20T00:00:00"/>
        <d v="1900-04-21T00:00:00"/>
        <d v="1900-04-07T00:00:00"/>
        <d v="1900-04-10T00:00:00"/>
        <d v="1900-04-15T00:00:00"/>
        <d v="1900-04-26T00:00:00"/>
        <d v="1900-04-25T00:00:00"/>
        <d v="1900-04-01T00:00:00"/>
        <d v="1900-04-02T00:00:00"/>
        <d v="1900-04-03T00:00:00"/>
        <d v="1900-04-16T00:00:00"/>
        <d v="1900-04-18T00:00:00"/>
        <d v="1900-04-19T00:00:00"/>
        <d v="1900-04-22T00:00:00"/>
        <d v="1900-04-23T00:00:00"/>
        <d v="1900-04-27T00:00:00"/>
      </sharedItems>
    </cacheField>
    <cacheField name="Party" numFmtId="0">
      <sharedItems count="221">
        <s v="TEST"/>
        <s v="RM0029" u="1"/>
        <s v="OTV1250" u="1"/>
        <s v="PMV0355" u="1"/>
        <s v="RM00273" u="1"/>
        <s v="RMV0180" u="1"/>
        <s v="SRV074" u="1"/>
        <s v="RMV0134" u="1"/>
        <s v="RM00180" u="1"/>
        <s v="PM00150" u="1"/>
        <s v="PMV0272" u="1"/>
        <s v="RM00377" u="1"/>
        <s v="RMV0135" u="1"/>
        <s v="RMV0247" u="1"/>
        <s v="RMV0780" u="1"/>
        <s v="PMV0263" u="1"/>
        <s v="RM00256" u="1"/>
        <s v="SRV076" u="1"/>
        <s v="EI00482" u="1"/>
        <s v="HAV0069" u="1"/>
        <s v="SRV0172" u="1"/>
        <s v="PMV0282" u="1"/>
        <s v="RMV0294" u="1"/>
        <s v="EIV0830" u="1"/>
        <s v="RM00266" u="1"/>
        <s v="RMV0061" u="1"/>
        <s v="PM00208" u="1"/>
        <s v="PMV0264" u="1"/>
        <s v="RM00604" u="1"/>
        <s v="RMV0276" u="1"/>
        <s v="EIV0924" u="1"/>
        <s v="EIV1103" u="1"/>
        <s v="RMV0614" u="1"/>
        <s v="PMV0283" u="1"/>
        <s v="RM00127" u="1"/>
        <s v="RMV0295" u="1"/>
        <s v="TP00204" u="1"/>
        <s v="PM0016" u="1"/>
        <s v="PM00143" u="1"/>
        <s v="RMV0782" u="1"/>
        <s v="EI00120" u="1"/>
        <s v="PM00209" u="1"/>
        <s v="RM00605" u="1"/>
        <s v="EIV0962" u="1"/>
        <s v="RM00286" u="1"/>
        <s v="EI00710" u="1"/>
        <s v="PM00153" u="1"/>
        <s v="PMV0284" u="1"/>
        <s v="RM00277" u="1"/>
        <s v="RMV0175" u="1"/>
        <s v="RMV0287" u="1"/>
        <s v="SR00670" u="1"/>
        <s v="RM0066" u="1"/>
        <s v="RMV0550" u="1"/>
        <s v="PM0018" u="1"/>
        <s v="EIV0318" u="1"/>
        <s v="RM00522" u="1"/>
        <s v="RMV0082" u="1"/>
        <s v="RMV0616" u="1"/>
        <s v="SR00540" u="1"/>
        <s v="TPV0010" u="1"/>
        <s v="EI00476" u="1"/>
        <s v="OTV0244" u="1"/>
        <s v="RM00278" u="1"/>
        <s v="RMV0036" u="1"/>
        <s v="RMV0297" u="1"/>
        <s v="EI0026" u="1"/>
        <s v="RM0067" u="1"/>
        <s v="PMV0015" u="1"/>
        <s v="RMV0288" u="1"/>
        <s v="RMV0672" u="1"/>
        <s v="EIV0104" u="1"/>
        <s v="EIV0253" u="1"/>
        <s v="EIV0477" u="1"/>
        <s v="EIV0824" u="1"/>
        <s v="EIV1040" u="1"/>
        <s v="PM00136" u="1"/>
        <s v="PMV0043" u="1"/>
        <s v="RMV0551" u="1"/>
        <s v="RM0054" u="1"/>
        <s v="EIV0964" u="1"/>
        <s v="JWV0049" u="1"/>
        <s v="PM00164" u="1"/>
        <s v="RMV0617" u="1"/>
        <s v="SRV068" u="1"/>
        <s v="EIV0496" u="1"/>
        <s v="PMV0249" u="1"/>
        <s v="TPV0002" u="1"/>
        <s v="PM00109" u="1"/>
        <s v="RMV0028" u="1"/>
        <s v="RM0055" u="1"/>
        <s v="TPV0208" u="1"/>
        <s v="PM00165" u="1"/>
        <s v="RM00289" u="1"/>
        <s v="RMV0580" u="1"/>
        <s v="RMV0618" u="1"/>
        <s v="PM00193" u="1"/>
        <s v="EI00208" u="1"/>
        <s v="EI00704" u="1"/>
        <s v="PM00147" u="1"/>
        <s v="PM00184" u="1"/>
        <s v="RMV0178" u="1"/>
        <s v="EIV0938" u="1"/>
        <s v="RM00534" u="1"/>
        <s v="RMV0553" u="1"/>
        <s v="EI00760" u="1"/>
        <s v="EIV1033" u="1"/>
        <s v="OTV0219" u="1"/>
        <s v="RMV0619" u="1"/>
        <s v="FDV0007" u="1"/>
        <s v="RM00590" u="1"/>
        <s v="RMV0311" u="1"/>
        <s v="RM00581" u="1"/>
        <s v="RMV0526" u="1"/>
        <s v="RMV0787" u="1"/>
        <s v="EI00770" u="1"/>
        <s v="RMV0095" u="1"/>
        <s v="SRV058" u="1"/>
        <s v="EIV0818" u="1"/>
        <s v="EIV1034" u="1"/>
        <s v="OTV1268" u="1"/>
        <s v="RMV0694" u="1"/>
        <s v="RMV0536" u="1"/>
        <s v="EIV1016" u="1"/>
        <s v="RM00582" u="1"/>
        <s v="RMV0068" u="1"/>
        <s v="SR001062" u="1"/>
        <s v="HAV0022" u="1"/>
        <s v="RM00461" u="1"/>
        <s v="SR00666" u="1"/>
        <s v="TP00108" u="1"/>
        <s v="RMV0201" u="1"/>
        <s v="RM00509" u="1"/>
        <s v="EI00276" u="1"/>
        <s v="EI00388" u="1"/>
        <s v="RM00350" u="1"/>
        <s v="RM00537" u="1"/>
        <s v="TP00118" u="1"/>
        <s v="EI00502" u="1"/>
        <s v="RM00453" u="1"/>
        <s v="RMV0088" u="1"/>
        <s v="EI00754" u="1"/>
        <s v="RMV0351" u="1"/>
        <s v="EIV1092" u="1"/>
        <s v="PM00188" u="1"/>
        <s v="RM00323" u="1"/>
        <s v="RM00472" u="1"/>
        <s v="RMV489" u="1"/>
        <s v="EIV0035" u="1"/>
        <s v="EIV0072" u="1"/>
        <s v="EI00764" u="1"/>
        <s v="RM00417" u="1"/>
        <s v="RMV0089" u="1"/>
        <s v="RMV0100" u="1"/>
        <s v="RMV0324" u="1"/>
        <s v="EIV0513" u="1"/>
        <s v="RM00370" u="1"/>
        <s v="SRV080" u="1"/>
        <s v="EIV0045" u="1"/>
        <s v="RMV0567" u="1"/>
        <s v="PM0032" u="1"/>
        <s v="JWV0001" u="1"/>
        <s v="RMV0558" u="1"/>
        <s v="OTV1197" u="1"/>
        <s v="RM00567" u="1"/>
        <s v="EIV0551" u="1"/>
        <s v="PM00210" u="1"/>
        <s v="EI00672" u="1"/>
        <s v="EI00784" u="1"/>
        <s v="RM00474" u="1"/>
        <s v="RMV0456" u="1"/>
        <s v="EI00626" u="1"/>
        <s v="EIV1197" u="1"/>
        <s v="TPV0065" u="1"/>
        <s v="RMV0326" u="1"/>
        <s v="OTV0674" u="1"/>
        <s v="RM00372" u="1"/>
        <s v="RM00559" u="1"/>
        <s v="RM00363" u="1"/>
        <s v="TPV0187" u="1"/>
        <s v="RM0083" u="1"/>
        <s v="EI00664" u="1"/>
        <s v="RM00130" u="1"/>
        <s v="EI00506" u="1"/>
        <s v="PMV0315" u="1"/>
        <s v="RM00569" u="1"/>
        <s v="RMV0327" u="1"/>
        <s v="SRV070" u="1"/>
        <s v="RM00373" u="1"/>
        <s v="RM00597" u="1"/>
        <s v="RMV0467" u="1"/>
        <s v="EIV0768" u="1"/>
        <s v="RMV0346" u="1"/>
        <s v="EIV1087" u="1"/>
        <s v="OTV0198" u="1"/>
        <s v="EIV0563" u="1"/>
        <s v="EIV0675" u="1"/>
        <s v="OTV0189" u="1"/>
        <s v="EIV0058" u="1"/>
        <s v="EIV0629" u="1"/>
        <s v="PMV0307" u="1"/>
        <s v="RM00486" u="1"/>
        <s v="SRV0262" u="1"/>
        <s v="PM00204" u="1"/>
        <s v="RMV0347" u="1"/>
        <s v="SRV072" u="1"/>
        <s v="JWV0042" u="1"/>
        <s v="RM00281" u="1"/>
        <s v="RMV0226" u="1"/>
        <s v="SRV0132" u="1"/>
        <s v="PM0096" u="1"/>
        <s v="JWV0033" u="1"/>
        <s v="RM00160" u="1"/>
        <s v="RM00235" u="1"/>
        <s v="PM00214" u="1"/>
        <s v="RM00375" u="1"/>
        <s v="SRV0114" u="1"/>
        <s v="RMV0012" u="1"/>
        <s v="EIV678" u="1"/>
        <s v="RM0087" u="1"/>
        <s v="TP00210" u="1"/>
      </sharedItems>
    </cacheField>
    <cacheField name="Party Name" numFmtId="0">
      <sharedItems count="222">
        <s v="Demo"/>
        <s v="" u="1"/>
        <s v="MAHI ENTERPRISES" u="1"/>
        <s v="MANDAR ELECTRIC WORKS" u="1"/>
        <s v="KRISHNA PROVISON STORE" u="1"/>
        <s v="ULTRACRAFT MOLDERS PVT. LTD." u="1"/>
        <s v="INTERSTELLAR TESTING CENTRE PVT.LTD." u="1"/>
        <s v="MALIK INFOSYSTEM" u="1"/>
        <s v="NIKITA CONTAINERS PVT LTD -CRS (IGK)" u="1"/>
        <s v="E-LABS" u="1"/>
        <s v="AARTI SURFACTANTS LIMITED" u="1"/>
        <s v="GODAVARITECH INDUSTRIAL SOLUTIONS PRIVATE LIMITED" u="1"/>
        <s v="UNITED ENTERPRISES" u="1"/>
        <s v="CREATIVE ENTERPRISES" u="1"/>
        <s v="SAURADIP CHEMICALS INDUSTRIES PVT LTD" u="1"/>
        <s v="SHUBHAM FLEXIBLE PACKAGING M/CS PVT. LTD. (UNIT-II" u="1"/>
        <s v="G. B. KULKARNI" u="1"/>
        <s v="BHAVANI ENGINEERING" u="1"/>
        <s v="MADHAV BELTING ENTERPRISES" u="1"/>
        <s v="HUHTAMAKI INDIA LIMITED-PANTNAGAR" u="1"/>
        <s v="INTERNATIONAL FLAVOURS&amp;FRAGRANCES INDIA PVT.LT(AP)" u="1"/>
        <s v="UFLEX LTD." u="1"/>
        <s v="AMLF LOGISTICS PVT LTD." u="1"/>
        <s v="SHRI SWAMI BHUMANAND HOSPITALS" u="1"/>
        <s v="SOLVAY SPECIALITIES INDIA PRIVATE LIMITED" u="1"/>
        <s v="NV ORGANICS PVT. LTD." u="1"/>
        <s v="SCOPE INGREDIENTS PVT LTD DELHI" u="1"/>
        <s v="SUN POWER ELECTRO" u="1"/>
        <s v="PAHARPUR 3P PVT LTD" u="1"/>
        <s v="CAVINKARE PVT LTD MUMBAI" u="1"/>
        <s v="BELCHEM INDUSTRIES (INDIA) PVT. LTD." u="1"/>
        <s v="SONAROME PVT LTD" u="1"/>
        <s v="GALAXY SURFACTANTS LIMITED -HARIDWAR" u="1"/>
        <s v="KONARK HERBAL AND HEALTHCARE (HIMACHAL)" u="1"/>
        <s v="ELECTROMACH ENGINEERING" u="1"/>
        <s v="J.S.H. PACKAGINGS" u="1"/>
        <s v="SIGMATECH AUTOMATION" u="1"/>
        <s v="GOYAL SUPER STORE" u="1"/>
        <s v="RAJSHREE ROADLINES" u="1"/>
        <s v="SPAK ORGOCHEM I PVT LTD" u="1"/>
        <s v="CREATIVE INDUSTRIES - UNIT II HARIDWAR" u="1"/>
        <s v="ARCH PROTECTION CHEMICALS PRIVATE LIMITED" u="1"/>
        <s v="NIDAN PACKAGING" u="1"/>
        <s v="V K PIPE FITTING &amp; SERVICE" u="1"/>
        <s v="KOCHER PACKAGING INDUSTRIES" u="1"/>
        <s v="MANJUSHREE TECHNOPACK LIMITED" u="1"/>
        <s v="WORLDPACK AUTOMATION SYSTEMS PVT LTD" u="1"/>
        <s v="ARAVIND ENTERPRISES" u="1"/>
        <s v="V-TRANS (INDIA) LTD." u="1"/>
        <s v="DABUR INDIA LIMITED-RAJASTHAN" u="1"/>
        <s v="BALAJI ENTERPRISES" u="1"/>
        <s v="DABUR INDIA LIMITED" u="1"/>
        <s v="BASF INDIA LIMITED.-GUJRAT" u="1"/>
        <s v="A G AROMATICS PRIVATE LIMITED" u="1"/>
        <s v="DEVARSONS INDUSTRIES PVT. LTD" u="1"/>
        <s v="GIVAUDAN (INDIA) PRIVATE LIMITED." u="1"/>
        <s v="M D ENTERPRISES  (PAN NO. ABVPU9245P)" u="1"/>
        <s v="EVONIK INDIA PRIVATE LIMITED" u="1"/>
        <s v="SUDARSHAN CHEMICAL INDUSTRIES LTD" u="1"/>
        <s v="BHARAT OIL &amp; WASTE MANAGEMENT LIMITED" u="1"/>
        <s v="NATURAL &amp; ESSENTIAL OILS PRIVATE LIMITED" u="1"/>
        <s v="LUMINOUS LOGISTICS" u="1"/>
        <s v="KUMAR ORGANIC PRODUCTS LIMITED" u="1"/>
        <s v="ARIHANT INNOCHEM PRIVATE LIMITED" u="1"/>
        <s v="BRENNTAG INGREDIENTS (INDIA) PVT LTD" u="1"/>
        <s v="RAJENDRA SINGH" u="1"/>
        <s v="KBJ PLASTO INDIA PRIVATE LIMITED" u="1"/>
        <s v="GALAXY SURFACTANTS LIMITED - JHAGADIA" u="1"/>
        <s v="VIMAL LIFESCIENCES  PVT LTD (UP)" u="1"/>
        <s v="APTAR BEAUTY AND HOME INDIA PVT LTD" u="1"/>
        <s v="GALAXY SURFACTANTS LIMITED - PANVEL" u="1"/>
        <s v="WACKER METROARK CHEMICALS PVT. LTD." u="1"/>
        <s v="MEGA SEALS" u="1"/>
        <s v="AMCOR FLEXIBLES INDIA PVT.LTD HARIDWAR" u="1"/>
        <s v="WACKER METROARK CHEMICALS PVT. LTD" u="1"/>
        <s v="WINWAYS CHEMTECH" u="1"/>
        <s v="SHREE ENTERPRISES (REGD.)" u="1"/>
        <s v="LAKSHMI ENGINEERING CORPORATION" u="1"/>
        <s v="GODREJ INDUSTRIES LIMITED - GUJARAT" u="1"/>
        <s v="GLOBAL VISION POWER SOLUTION PVT LTD" u="1"/>
        <s v="SHIV SHAKTI ENTERPRISES" u="1"/>
        <s v="ANAND  ENGINEERING WORKS" u="1"/>
        <s v="PANDIAN SURFACTANTS PVT LTD" u="1"/>
        <s v="KONARK HERBALS &amp; HEALTH CARE" u="1"/>
        <s v="SHREE RAM INDUSTRIAL SOLUTION" u="1"/>
        <s v="AARTI SURFACTANTS LIMITED-PITHAMPUR" u="1"/>
        <s v="CAVINKARE PRIVATE LIMITED GHAZIABAD" u="1"/>
        <s v="SALICYLATES &amp; CHEMICALS PRIVATE LIMITED" u="1"/>
        <s v="ABHINAV WAREHOUSING &amp; DISTRIBUTION SOLUTIONS PVT." u="1"/>
        <s v="R.S. LOGISTICS" u="1"/>
        <s v="UMAX PACKAGING" u="1"/>
        <s v="SUNIL KUMAR PARASHAR" u="1"/>
        <s v="DIGITAL SOLUTION" u="1"/>
        <s v="AMIT FIRE FIGHTER" u="1"/>
        <s v="CAVINKARE PVT LTD-ASSAM" u="1"/>
        <s v="QUALITY OFFSET PRINTING" u="1"/>
        <s v="ELITE PRECISION TECHNOLOGIES PVT. LTD" u="1"/>
        <s v="RIYASAT CARRIES" u="1"/>
        <s v="AARKEY LABTRONIX ( INDIA )" u="1"/>
        <s v="PIOMA CHEMICALS" u="1"/>
        <s v="VAIBHAV ENTERPRISES" u="1"/>
        <s v="GAINWELL COMMOSALES PVT LTD" u="1"/>
        <s v="LATA RAMESH AND ASSOCIATES" u="1"/>
        <s v="RAJKAML CARRIER" u="1"/>
        <s v="DABUR INDIA LIMITED (PUNJAB)" u="1"/>
        <s v="SOUJANYA COLOR PRIVATE LIMITED" u="1"/>
        <s v="REKHA DEVI" u="1"/>
        <s v="ADVANCE POLY PACKAGING CO." u="1"/>
        <s v="LUMINOUS EXPRESS CARGO PVT. LTD." u="1"/>
        <s v="CAVINKARE PRIVATE LTD CHENNAI" u="1"/>
        <s v="ZIRCON TECHNOLOGIES INDIA PVT LTD RANGE -II," u="1"/>
        <s v="GODREJ INDUSTRIES LTD-MUMBAI" u="1"/>
        <s v="FIRMENICH AROMATICS PRODUCTION (INDIA) PRIVATE LTD" u="1"/>
        <s v="H.B. KHANDUJA" u="1"/>
        <s v="R.K DISPO PACKS" u="1"/>
        <s v="SHIV ELECTRIC BOREWELL" u="1"/>
        <s v="ASHOKA SCIENTIFIC COMPANY" u="1"/>
        <s v="G.T.C MARKETING PRIVATE LIMITED" u="1"/>
        <s v="SALUS EHS SOLUTIONS PVT . LIMITED" u="1"/>
        <s v="BALAJI PLASTICS" u="1"/>
        <s v="SAKSHI GRAPHICS" u="1"/>
        <s v="SAI SOLUTION GROUP" u="1"/>
        <s v="RENUKA PLASTI CRAFTS PVT. LTD." u="1"/>
        <s v="M/S. D.G. GORE" u="1"/>
        <s v="SHIV ASSOCIATES" u="1"/>
        <s v="VIVEK K PAWAR &amp; CO" u="1"/>
        <s v="TRILOKI ADVERTISING" u="1"/>
        <s v="HUHTAMAKI INDIA LTD BADDI" u="1"/>
        <s v="MH ENTERPRISES" u="1"/>
        <s v="S K INDUSTRIES" u="1"/>
        <s v="SIMAR ENTERPRISES" u="1"/>
        <s v="SCOPE SPECIALITIES LLP DELHI" u="1"/>
        <s v="SHRI M B LOGISTICS" u="1"/>
        <s v="NORTHERN AROMATICS LIMITED" u="1"/>
        <s v="IRSHAD AHMAD TRANSPORT" u="1"/>
        <s v="TECH INTEGRATION &amp; CONTROLS" u="1"/>
        <s v="SK UEM WATER PROJECTS PRIVATE LIMITED" u="1"/>
        <s v="SRUTHI INDUSTRIAL PLASTICS" u="1"/>
        <s v="INTERNATIONAL SPECIALITY PRODUCTS(INDIA) PVT. LTD." u="1"/>
        <s v="GIRI LOGISTICS" u="1"/>
        <s v="MURARI LAL SHEKHAR CHAND JAIN" u="1"/>
        <s v="HAWK COMMANDO SECURITY SERVICES" u="1"/>
        <s v="CONNELL BROS. COMPANY (INDIA) PVT. LTD." u="1"/>
        <s v="RM CHEMICALS" u="1"/>
        <s v="HINDUSTAN ADHESIVES LTD." u="1"/>
        <s v="GULSHAN LAMEE PACK (P) LTD" u="1"/>
        <s v="CRODA INDIA COMPANY PRIVATE LIMITED" u="1"/>
        <s v="VARDHMAN INSTRUMENTS &amp; CHEMICAL GOODS PVT. LTD" u="1"/>
        <s v="U.K REFCHEM" u="1"/>
        <s v="BABA ENTERPRISES-RUDRAPUR" u="1"/>
        <s v="VIBGYOR PRINTING &amp; PACKAGING PRIVATE LIMITED_x000a_" u="1"/>
        <s v="OM STATIONARY MART" u="1"/>
        <s v="AXPS (FREIGHT) PVT. LTD." u="1"/>
        <s v="AIM CHEMICALS AND INGREDIENTS" u="1"/>
        <s v="AARAV FRAGRANCES &amp; FLAVORS PVT LTD," u="1"/>
        <s v="UNIFORM SOLUTIONS" u="1"/>
        <s v="GREEN CITY SERVICES" u="1"/>
        <s v="ROHA DYECHEM PVT LTD" u="1"/>
        <s v="SUN SHINE INDIA INC." u="1"/>
        <s v="SANSUM TULIP PRIVATE LIMITED" u="1"/>
        <s v="DAKSH CEMENT AGENCY &amp; BUILDING MATERIAL" u="1"/>
        <s v="CHOUDHARY ELECTRCALS HARDWARE AND PAINTS" u="1"/>
        <s v="FOREVER BODY CARE INDUSTRIES UNIT-II" u="1"/>
        <s v="SUNNY ARTS" u="1"/>
        <s v="IDMA LABORATORIES LIMITED" u="1"/>
        <s v="CAVINKARE PVT LTD (UNIT-1),HARIDWAR" u="1"/>
        <s v="PRATHAM ENTERPRISES" u="1"/>
        <s v="SCOPE SPECIALITIES LLP CHENNAI" u="1"/>
        <s v="A D INDUSTRIES" u="1"/>
        <s v="P.P. PLASTICS" u="1"/>
        <s v="ADITYA PRINT-N-PACK" u="1"/>
        <s v="SHREE BALAJI ROADLINES" u="1"/>
        <s v="DIVINE AUTOMOTIVES PRIVET LIMITED" u="1"/>
        <s v="PHARMA LINKS" u="1"/>
        <s v="D S INKS PVT. LTD." u="1"/>
        <s v="ASIAN PLASTO INDUSTRIES" u="1"/>
        <s v="PHOX INDIA INDUSTRIAL SERVICES" u="1"/>
        <s v="KR ASSOCIATES" u="1"/>
        <s v="DHARAM PRIYA GAUTAM" u="1"/>
        <s v="MAXIMA BOILERS PRIVATE LIMITED" u="1"/>
        <s v="THERMTECH ENGINEERS AND CHEMICALS" u="1"/>
        <s v="SKM EGG PRODUCTS EXPORT INDIA LIMITED" u="1"/>
        <s v="ASIAN ELECTRO WEIGHING COMPANY" u="1"/>
        <s v="SCOPE INGREDIENTS PVT LTD-CHENNAI" u="1"/>
        <s v="N.K. PAWAR" u="1"/>
        <s v="STAR SERVICES." u="1"/>
        <s v="AMBA ENTERPRISES" u="1"/>
        <s v="BHATIA DIGITAL PHOTO SHOP" u="1"/>
        <s v="ITC LIMITED-HARIDWAR" u="1"/>
        <s v="BHARTI AIRTEL LTD (UTTARAKHAND)" u="1"/>
        <s v="ABHINAV TRANSPORT (INDIA) PVT. LTD." u="1"/>
        <s v="PRAMOD KUMAR SQUEEZING" u="1"/>
        <s v="JVG TRADERS" u="1"/>
        <s v="AVA CHEMICALS PRIVATE LIMITED" u="1"/>
        <s v="PEREIRA ENGINEERING SERVICES_x000a_" u="1"/>
        <s v="FINE ORGANIC INDUSTRIES LIMITED" u="1"/>
        <s v="KWALITY FOOD" u="1"/>
        <s v="POWERTECH ELECTRICALS" u="1"/>
        <s v="M/S UTTRAKHAND TRADING CO." u="1"/>
        <s v="NOURYON CHEMICALS INDIA PRIVATE LIMITED" u="1"/>
        <s v="DELTA GREEN SCIENCE" u="1"/>
        <s v="QUALITY INDUSTRIES." u="1"/>
        <s v="K.R.RAMESH AND ASSOCIATES" u="1"/>
        <s v="VIMAL LIFESCIENCES PVT.LTD" u="1"/>
        <s v="NEW FRIENDS CATTERING SERVICE" u="1"/>
        <s v="AKASH PACK TECH (P) LTD." u="1"/>
        <s v="H.S.ELECTRONICS" u="1"/>
        <s v="R&amp;A BROTHERS" u="1"/>
        <s v="SS ENGINEERING" u="1"/>
        <s v="UK INDUSTRIAL LINKERS" u="1"/>
        <s v="NATIONAL INSURANCE COMPANY LIMITED" u="1"/>
        <s v="ROHIT INDIA" u="1"/>
        <s v="KUSUMA PHARMA" u="1"/>
        <s v="M/S A ONE CONSTRUCTION" u="1"/>
        <s v="SCOPE SPECIALITIES LLP" u="1"/>
        <s v="SYMRISE PRIVATE LIMITED - CHENNAI" u="1"/>
        <s v="SREE RAMU SPECIALITY SURFACTANTS PRIVATE LIMITED" u="1"/>
        <s v="ADANI WILMAR LTD" u="1"/>
        <s v="GANGOTRI GUEST HOUSE" u="1"/>
        <s v="KAWAKEN STERLING SURFACTANTS PVT LTD." u="1"/>
        <s v="SHIV REFRIGERATION &amp; AIR-CONDITIONING" u="1"/>
        <s v="NARENDRA RAWAT" u="1"/>
      </sharedItems>
    </cacheField>
    <cacheField name="Bill No." numFmtId="0">
      <sharedItems count="2111">
        <s v="122"/>
        <s v="139"/>
        <s v="121"/>
        <s v="49"/>
        <s v="50"/>
        <s v="22-23/VBD/000056"/>
        <s v="21-22/VBD/004272"/>
        <s v="DN21900-0004"/>
        <s v="2022/A01004768"/>
        <s v="211/GST/22-23"/>
        <s v="VA21000000015859"/>
        <s v="0000019"/>
        <s v="0000004"/>
        <s v="38"/>
        <s v="13"/>
        <s v="TEC21221826"/>
        <s v="16707"/>
        <s v="16701"/>
        <s v="16703"/>
        <s v="001"/>
        <s v="005"/>
        <s v="002"/>
        <s v="372"/>
        <s v="7"/>
        <s v="33"/>
        <s v="39"/>
        <s v="JVG/007"/>
        <s v="JVG/008"/>
        <s v="3169"/>
        <s v="108"/>
        <s v="1168"/>
        <s v="TIC/2022-23/108"/>
        <s v="TIC/2022-23/107"/>
        <s v="1167"/>
        <s v="128"/>
        <s v="125"/>
        <s v="3177"/>
        <s v="203"/>
        <s v="BJE/2022/4"/>
        <s v="0000031"/>
        <s v="156"/>
        <s v="161"/>
        <s v="351"/>
        <s v="155"/>
        <s v="82"/>
        <s v="71"/>
        <s v="70"/>
        <s v="003"/>
        <s v="16"/>
        <s v="16709"/>
        <s v="59"/>
        <s v="75"/>
        <s v="88"/>
        <s v="S420309022300005"/>
        <s v="99"/>
        <s v="171"/>
        <s v="123"/>
        <s v="198"/>
        <s v="16711"/>
        <s v="3180"/>
        <s v="244"/>
        <s v="MH22-23/TI-105"/>
        <s v="352"/>
        <s v="256"/>
        <s v="3188"/>
        <s v="272"/>
        <s v="H-190/22-23"/>
        <s v="0000047"/>
        <s v="0002/2022-23"/>
        <s v="0014/2022-23"/>
        <s v="BJE/2022-23/21"/>
        <s v="3192"/>
        <s v="182"/>
        <s v="332"/>
        <s v="0000058"/>
        <s v="195"/>
        <s v="373"/>
        <s v="220"/>
        <s v="BJE/2022-23/17"/>
        <s v="300"/>
        <s v="5919"/>
        <s v="364"/>
        <s v="0466"/>
        <s v="MH22-23/TI-94"/>
        <s v="MH22-23/TI-211"/>
        <s v="MH22-23/TI-212"/>
        <s v="JVG/030"/>
        <s v="004"/>
        <s v="252"/>
        <s v="022"/>
        <s v="023"/>
        <s v="971"/>
        <s v="77"/>
        <s v="17"/>
        <s v="0011"/>
        <s v="174"/>
        <s v="JVG/015"/>
        <s v="JVG/031"/>
        <s v="BJE/2022/5"/>
        <s v="67"/>
        <s v="184"/>
        <s v="JVG/026"/>
        <s v="3165"/>
        <s v="INV-000434"/>
        <s v="27"/>
        <s v="0000069"/>
        <s v="ASCH/22-23/258"/>
        <s v="16722"/>
        <s v="16715"/>
        <s v="120"/>
        <s v="14"/>
        <s v="220027"/>
        <s v="220028"/>
        <s v="423"/>
        <s v="429"/>
        <s v="455"/>
        <s v="029"/>
        <s v="1166"/>
        <s v="16862"/>
        <s v="9392111577"/>
        <s v="2122DH0275"/>
        <s v="9392111315"/>
        <s v="2122/5546"/>
        <s v="846"/>
        <s v="21-22/VBD/004334"/>
        <s v="2022/A01004459"/>
        <s v="1"/>
        <s v="21-22/VBD/004365"/>
        <s v="21-22/VBD/004398"/>
        <s v="3001/21-22"/>
        <s v="RDDIN2108674"/>
        <s v="5"/>
        <s v="6/22-23"/>
        <s v="4"/>
        <s v="RDDIN2108705"/>
        <s v="3019/21-22"/>
        <s v="103162"/>
        <s v="8135035264"/>
        <s v="2124005376"/>
        <s v="PLDOM/0391/21-22"/>
        <s v="G00740/21-22"/>
        <s v="2124005445"/>
        <s v="GST756/21-22"/>
        <s v="2124005458"/>
        <s v="19"/>
        <s v="20/22-23"/>
        <s v="12"/>
        <s v="2127015938"/>
        <s v="2122G1451"/>
        <s v="LS2022500154"/>
        <s v="2223/34"/>
        <s v="22/22-23"/>
        <s v="RDDIN220079"/>
        <s v="9392111657"/>
        <s v="MDS/3573/21-22"/>
        <s v="IN0522000001"/>
        <s v="IV2022125427"/>
        <s v="XS188938"/>
        <s v="RDDIN2200080"/>
        <s v="25/23-23"/>
        <s v="2301"/>
        <s v="RDDIN2200130"/>
        <s v="45"/>
        <s v="22-23/VBD/000043"/>
        <s v="2022/A01004588"/>
        <s v="2305"/>
        <s v="APNP/22-23/14"/>
        <s v="43/22-23"/>
        <s v="2022/A01004608"/>
        <s v="53"/>
        <s v="58"/>
        <s v="22-23/VBD/000045"/>
        <s v="56"/>
        <s v="85/GST/22-23"/>
        <s v="69"/>
        <s v="2022/A01004630"/>
        <s v="49/22-23"/>
        <s v="RDDIN2200260"/>
        <s v="75/22-23"/>
        <s v="2230100074"/>
        <s v="22-23/VBD/000089"/>
        <s v="RDDIN2200263"/>
        <s v="APNP/22-23/23"/>
        <s v="2022/A01004671"/>
        <s v="LBDIN2200236"/>
        <s v="2022/A01004686"/>
        <s v="111/GST/22-23"/>
        <s v="84/22-23"/>
        <s v="2317"/>
        <s v="RDDIN2200354"/>
        <s v="21"/>
        <s v="94/22-23"/>
        <s v="RKDP/22-23/17035"/>
        <s v="F20031200110"/>
        <s v="2321"/>
        <s v="29"/>
        <s v="26"/>
        <s v="108/22-23"/>
        <s v="22-23/00056"/>
        <s v="PT01/LOC/01403"/>
        <s v="80062460"/>
        <s v="AVA/I/01489"/>
        <s v="SS01/LOC/02159"/>
        <s v="KG/00803/21-22"/>
        <s v="G00754/21-22"/>
        <s v="2122302"/>
        <s v="103263"/>
        <s v="9392200151"/>
        <s v="2022200038"/>
        <s v="DD0015052189"/>
        <s v="VIC/22-23/000132"/>
        <s v="OS2412200189"/>
        <s v="8488803071"/>
        <s v="OS2412200173"/>
        <s v="2205000086"/>
        <s v="G00004/22-23"/>
        <s v="G00022/22-23"/>
        <s v="2223004"/>
        <s v="8135035460"/>
        <s v="AVA/I/00026"/>
        <s v="MU/2223/22400031"/>
        <s v="GST771/21-22"/>
        <s v="CI0028105106"/>
        <s v="MUM000361"/>
        <s v="MUM000308"/>
        <s v="CI0028105144"/>
        <s v="F20031200111"/>
        <s v="CI0028105162"/>
        <s v="CI0028105163"/>
        <s v="APNP/22-23/41"/>
        <s v="14/22-23"/>
        <s v="137"/>
        <s v="24"/>
        <s v="2022/A01004769"/>
        <s v="RDDIN2200447"/>
        <s v="113/22-23"/>
        <s v="119/22-23"/>
        <s v="133"/>
        <s v="140"/>
        <s v="164/GST/22-23"/>
        <s v="142"/>
        <s v="RDDIN2200474"/>
        <s v="2022/A01004816"/>
        <s v="134/22-23"/>
        <s v="RPC1/22-23/0040"/>
        <s v="APNP/22-23/66"/>
        <s v="59000332"/>
        <s v="2022/A01004841"/>
        <s v="2022/A01004842"/>
        <s v="193"/>
        <s v="SD-025/2022-23"/>
        <s v="RDDIN220586"/>
        <s v="186/Z/TI/22-23"/>
        <s v="187/Z/TI/22-23"/>
        <s v="199"/>
        <s v="169/22-23"/>
        <s v="22-23/VBD/000240"/>
        <s v="2124005417"/>
        <s v="2224000020"/>
        <s v="CH/2223/22000014"/>
        <s v="VA22000000000387"/>
        <s v="2223DH0115"/>
        <s v="012/22-23"/>
        <s v="23INHH000231"/>
        <s v="2223/357"/>
        <s v="MH0122100706"/>
        <s v="DS2227100166"/>
        <s v="DS2227100167"/>
        <s v="IN0522000029"/>
        <s v="DGS/M/029/22-23"/>
        <s v="G00043/22-23"/>
        <s v="CI2228100117"/>
        <s v="GST020/22-23"/>
        <s v="DGS/M/031/22-23"/>
        <s v="2223012"/>
        <s v="666"/>
        <s v="P082"/>
        <s v="669"/>
        <s v="386"/>
        <s v="OS2412200608"/>
        <s v="1932/22DOM/00343"/>
        <s v="9392200603"/>
        <s v="9392200604"/>
        <s v="KA2250003063"/>
        <s v="F25220000130"/>
        <s v="2227000696"/>
        <s v="28"/>
        <s v="149"/>
        <s v="627"/>
        <s v="533"/>
        <s v="28769"/>
        <s v="3545"/>
        <s v="3841"/>
        <s v="BM2205I000767580"/>
        <s v="13684"/>
        <s v="13664"/>
        <s v="2223100200"/>
        <s v="60"/>
        <s v="54"/>
        <s v="48"/>
        <s v="51"/>
        <s v="37"/>
        <s v="59000258" u="1"/>
        <s v="16052" u="1"/>
        <s v="59000268" u="1"/>
        <s v="16436" u="1"/>
        <s v="2124004852" u="1"/>
        <s v="2145" u="1"/>
        <s v="2155" u="1"/>
        <s v="2165" u="1"/>
        <s v="MUM005126" u="1"/>
        <s v="2986" u="1"/>
        <s v="11399" u="1"/>
        <s v="RDDIN2104326" u="1"/>
        <s v="LBDIN2107632" u="1"/>
        <s v="GAZZ00236" u="1"/>
        <s v="VA21000000010333" u="1"/>
        <s v="2457/21-22" u="1"/>
        <s v="RDDIN2106075" u="1"/>
        <s v="2021-22/0991" u="1"/>
        <s v="16145" u="1"/>
        <s v="9392108852" u="1"/>
        <s v="2506" u="1"/>
        <s v="16337" u="1"/>
        <s v="2122114071" u="1"/>
        <s v="RDDIN2107966" u="1"/>
        <s v="2022/A01003796" u="1"/>
        <s v="2950/21-22" u="1"/>
        <s v="MUM001533" u="1"/>
        <s v="2536" u="1"/>
        <s v="2970/21-22" u="1"/>
        <s v="H05A222101002836" u="1"/>
        <s v="F25210001638" u="1"/>
        <s v="2566" u="1"/>
        <s v="21-22/VBD/003581" u="1"/>
        <s v="SR10421-3136" u="1"/>
        <s v="08" u="1"/>
        <s v="1376" u="1"/>
        <s v="0176" u="1"/>
        <s v="2586" u="1"/>
        <s v="102899" u="1"/>
        <s v="100863" u="1"/>
        <s v="2122110334" u="1"/>
        <s v="F25210001400" u="1"/>
        <s v="2995/GST/21-22" u="1"/>
        <s v="2077/21-22" u="1"/>
        <s v="16046" u="1"/>
        <s v="RKDP/21-22/15765" u="1"/>
        <s v="2122/4664" u="1"/>
        <s v="2520/21-22" u="1"/>
        <s v="9392108851" u="1"/>
        <s v="MH3100021601" u="1"/>
        <s v="16070" u="1"/>
        <s v="2530/21-22" u="1"/>
        <s v="9392111429" u="1"/>
        <s v="2116" u="1"/>
        <s v="2122310199" u="1"/>
        <s v="2124004954" u="1"/>
        <s v="1727" u="1"/>
        <s v="F25210001528" u="1"/>
        <s v="2122287" u="1"/>
        <s v="16554" u="1"/>
        <s v="2146" u="1"/>
        <s v="F200331105133" u="1"/>
        <s v="PLDOM/0253/21-22" u="1"/>
        <s v="2156" u="1"/>
        <s v="2967" u="1"/>
        <s v="F25210001538" u="1"/>
        <s v="DL/2122/21700932" u="1"/>
        <s v="2166" u="1"/>
        <s v="2977" u="1"/>
        <s v="AFF/21-22/649" u="1"/>
        <s v="2022/A01003167" u="1"/>
        <s v="2176" u="1"/>
        <s v="2987" u="1"/>
        <s v="2428/21-22" u="1"/>
        <s v="04" u="1"/>
        <s v="LBDIN2106222" u="1"/>
        <s v="BJE/2021/-403" u="1"/>
        <s v="083" u="1"/>
        <s v="084" u="1"/>
        <s v="085" u="1"/>
        <s v="086" u="1"/>
        <s v="2124003873" u="1"/>
        <s v="SS01/LOC/01751" u="1"/>
        <s v="16063" u="1"/>
        <s v="BJE/2021/-283" u="1"/>
        <s v="BJE/2021/-375" u="1"/>
        <s v="2507" u="1"/>
        <s v="21-22/VBD/003331" u="1"/>
        <s v="2527" u="1"/>
        <s v="16547" u="1"/>
        <s v="2951/21-22" u="1"/>
        <s v="1327" u="1"/>
        <s v="4136" u="1"/>
        <s v="2022/A01003131" u="1"/>
        <s v="1337" u="1"/>
        <s v="4146" u="1"/>
        <s v="4957" u="1"/>
        <s v="16471" u="1"/>
        <s v="2971/21-22" u="1"/>
        <s v="8488983872" u="1"/>
        <s v="3461/2021-22" u="1"/>
        <s v="4156" u="1"/>
        <s v="F25210001578" u="1"/>
        <s v="36" u="1"/>
        <s v="2577" u="1"/>
        <s v="2018/21-22" u="1"/>
        <s v="2829/21-22" u="1"/>
        <s v="2122111368" u="1"/>
        <s v="1397" u="1"/>
        <s v="HALD/2122/D3702" u="1"/>
        <s v="162" u="1"/>
        <s v="LS2022500060" u="1"/>
        <s v="164" u="1"/>
        <s v="2122111160" u="1"/>
        <s v="285" u="1"/>
        <s v="2501/21-22" u="1"/>
        <s v="166" u="1"/>
        <s v="167" u="1"/>
        <s v="4507" u="1"/>
        <s v="2521/21-22" u="1"/>
        <s v="F25210001350" u="1"/>
        <s v="CI0028103731" u="1"/>
        <s v="289" u="1"/>
        <s v="2107" u="1"/>
        <s v="211278" u="1"/>
        <s v="PLDOM/0367/21-22" u="1"/>
        <s v="1728" u="1"/>
        <s v="OS2421011887" u="1"/>
        <s v="SI/3459/21-22" u="1"/>
        <s v="3337" u="1"/>
        <s v="1932/21DOM/07050" u="1"/>
        <s v="3347" u="1"/>
        <s v="1900-0013" u="1"/>
        <s v="189103575-EX" u="1"/>
        <s v="1758" u="1"/>
        <s v="2157" u="1"/>
        <s v="JL1362" u="1"/>
        <s v="59000299" u="1"/>
        <s v="68" u="1"/>
        <s v="MU/2122/21400927" u="1"/>
        <s v="2978" u="1"/>
        <s v="2419/21-22" u="1"/>
        <s v="32" u="1"/>
        <s v="360" u="1"/>
        <s v="MH21-22/TI-1920" u="1"/>
        <s v="21-22/1517" u="1"/>
        <s v="2197" u="1"/>
        <s v="2449/21-22" u="1"/>
        <s v="2122222" u="1"/>
        <s v="1440" u="1"/>
        <s v="2479/21-22" u="1"/>
        <s v="IN0821037015" u="1"/>
        <s v="486" u="1"/>
        <s v="367" u="1"/>
        <s v="0260" u="1"/>
        <s v="368" u="1"/>
        <s v="G00401/21-22" u="1"/>
        <s v="2680" u="1"/>
        <s v="1490" u="1"/>
        <s v="2952/21-22" u="1"/>
        <s v="RPC1/21-22/0994" u="1"/>
        <s v="2116/GST/21-22" u="1"/>
        <s v="76" u="1"/>
        <s v="52" u="1"/>
        <s v="2019/21-22" u="1"/>
        <s v="2191/21-22" u="1"/>
        <s v="4600" u="1"/>
        <s v="2022/A01003782" u="1"/>
        <s v="VICGPL/2122/3498" u="1"/>
        <s v="2021-22/0449A" u="1"/>
        <s v="2200" u="1"/>
        <s v="321" u="1"/>
        <s v="1398" u="1"/>
        <s v="MH3100021321" u="1"/>
        <s v="322" u="1"/>
        <s v="443" u="1"/>
        <s v="2220" u="1"/>
        <s v="RA21-22/1034" u="1"/>
        <s v="323" u="1"/>
        <s v="564" u="1"/>
        <s v="444" u="1"/>
        <s v="685" u="1"/>
        <s v="OS2421013266" u="1"/>
        <s v="2069/21-22" u="1"/>
        <s v="RDDIN2105036" u="1"/>
        <s v="204" u="1"/>
        <s v="1040" u="1"/>
        <s v="205" u="1"/>
        <s v="2250" u="1"/>
        <s v="2502/21-22" u="1"/>
        <s v="326" u="1"/>
        <s v="567" u="1"/>
        <s v="3460" u="1"/>
        <s v="2089/21-22" u="1"/>
        <s v="327" u="1"/>
        <s v="2122114182" u="1"/>
        <s v="2522/21-22" u="1"/>
        <s v="2022/A01003942" u="1"/>
        <s v="328" u="1"/>
        <s v="1070" u="1"/>
        <s v="3308" u="1"/>
        <s v="2532/21-22" u="1"/>
        <s v="329" u="1"/>
        <s v="1900-0006" u="1"/>
        <s v="2118" u="1"/>
        <s v="2929" u="1"/>
        <s v="16374" u="1"/>
        <s v="GST/21-22/0883" u="1"/>
        <s v="2122113422" u="1"/>
        <s v="189103576-EX" u="1"/>
        <s v="4548" u="1"/>
        <s v="2148" u="1"/>
        <s v="F25210001971" u="1"/>
        <s v="21-22/VBD/002191" u="1"/>
        <s v="F25210001831" u="1"/>
        <s v="4422/Z/TI/21-22" u="1"/>
        <s v="2979" u="1"/>
        <s v="640" u="1"/>
        <s v="2188" u="1"/>
        <s v="3000" u="1"/>
        <s v="4598" u="1"/>
        <s v="642" u="1"/>
        <s v="2557/GST/21-22" u="1"/>
        <s v="402" u="1"/>
        <s v="DD0015048810" u="1"/>
        <s v="BJE/2021/-320" u="1"/>
        <s v="523" u="1"/>
        <s v="403" u="1"/>
        <s v="886" u="1"/>
        <s v="2641" u="1"/>
        <s v="21-22/500" u="1"/>
        <s v="21112010010920" u="1"/>
        <s v="405" u="1"/>
        <s v="21-22/VBD/002856" u="1"/>
        <s v="406" u="1"/>
        <s v="647" u="1"/>
        <s v="888" u="1"/>
        <s v="2913/21-22" u="1"/>
        <s v="527" u="1"/>
        <s v="3060" u="1"/>
        <s v="407" u="1"/>
        <s v="2671" u="1"/>
        <s v="2923/21-22" u="1"/>
        <s v="3709" u="1"/>
        <s v="408" u="1"/>
        <s v="2509" u="1"/>
        <s v="1309" u="1"/>
        <s v="F25210001829" u="1"/>
        <s v="409" u="1"/>
        <s v="1491" u="1"/>
        <s v="2529" u="1"/>
        <s v="PR/126/20-21" u="1"/>
        <s v="211260" u="1"/>
        <s v="16491" u="1"/>
        <s v="2172/21-22" u="1"/>
        <s v="21-22/VBD/002882" u="1"/>
        <s v="92" u="1"/>
        <s v="2993/21-22" u="1"/>
        <s v="CI0028103301" u="1"/>
        <s v="H05A222101002692" u="1"/>
        <s v="720" u="1"/>
        <s v="3633/Z/TI/21-22" u="1"/>
        <s v="PLDOM/0340/21-22" u="1"/>
        <s v="2589" u="1"/>
        <s v="4188" u="1"/>
        <s v="203521-22" u="1"/>
        <s v="2599" u="1"/>
        <s v="2221" u="1"/>
        <s v="725" u="1"/>
        <s v="RPC1/21-22/0985" u="1"/>
        <s v="1862" u="1"/>
        <s v="2022/A01002096" u="1"/>
        <s v="1932/21DOM/06699" u="1"/>
        <s v="16268" u="1"/>
        <s v="2271" u="1"/>
        <s v="8135033519" u="1"/>
        <s v="2281" u="1"/>
        <s v="3491" u="1"/>
        <s v="VA21000000011107" u="1"/>
        <s v="2122/4875" u="1"/>
        <s v="211546" u="1"/>
        <s v="1900-0023" u="1"/>
        <s v="6979" u="1"/>
        <s v="F25210001771" u="1"/>
        <s v="VA21000000012333" u="1"/>
        <s v="2169" u="1"/>
        <s v="MH3100004069" u="1"/>
        <s v="21-22/VBD/004221" u="1"/>
        <s v="3389" u="1"/>
        <s v="2" u="1"/>
        <s v="1412" u="1"/>
        <s v="3011" u="1"/>
        <s v="4221" u="1"/>
        <s v="2632" u="1"/>
        <s v="CI0028104669" u="1"/>
        <s v="PT01/LOC/00983" u="1"/>
        <s v="2642" u="1"/>
        <s v="RPC1/21-22/0987" u="1"/>
        <s v="2122110707" u="1"/>
        <s v="2122115399" u="1"/>
        <s v="291/21-22" u="1"/>
        <s v="LBDIN2107643" u="1"/>
        <s v="C-334" u="1"/>
        <s v="928" u="1"/>
        <s v="2924/21-22" u="1"/>
        <s v="1932/21DOM/04169" u="1"/>
        <s v="3071" u="1"/>
        <s v="21-22/VBD/003279" u="1"/>
        <s v="2021201066" u="1"/>
        <s v="2133/21-22" u="1"/>
        <s v="2944/21-22" u="1"/>
        <s v="211568" u="1"/>
        <s v="2201021851" u="1"/>
        <s v="2108/GST/21-22" u="1"/>
        <s v="1932/21DOM/03656" u="1"/>
        <s v="2173/21-22" u="1"/>
        <s v="2984/21-22" u="1"/>
        <s v="4169" u="1"/>
        <s v="3402" u="1"/>
        <s v="2202" u="1"/>
        <s v="5399" u="1"/>
        <s v="1002" u="1"/>
        <s v="2212" u="1"/>
        <s v="WP/21-22/001176" u="1"/>
        <s v="2222" u="1"/>
        <s v="APNP/21-22/1187" u="1"/>
        <s v="1022" u="1"/>
        <s v="F25210001401" u="1"/>
        <s v="2242" u="1"/>
        <s v="UK03-FY22-00492" u="1"/>
        <s v="2504/21-22" u="1"/>
        <s v="G00531/21-22" u="1"/>
        <s v="4672" u="1"/>
        <s v="252/21-22" u="1"/>
        <s v="3472" u="1"/>
        <s v="2127013255" u="1"/>
        <s v="2022/A01002279" u="1"/>
        <s v="2282" u="1"/>
        <s v="21-22/VBD/003299" u="1"/>
        <s v="2122115190" u="1"/>
        <s v="F20031104174" u="1"/>
        <s v="2292" u="1"/>
        <s v="C266" u="1"/>
        <s v="F25210001529" u="1"/>
        <s v="21-22/VBD/003019" u="1"/>
        <s v="24493" u="1"/>
        <s v="VA21000000015843" u="1"/>
        <s v="JL1582" u="1"/>
        <s v="LBDIN2107563" u="1"/>
        <s v="F25210001539" u="1"/>
        <s v="LBDIN2106223" u="1"/>
        <s v="SD-212/2021-22" u="1"/>
        <s v="6" u="1"/>
        <s v="25306" u="1"/>
        <s v="UK03-FY22-00373" u="1"/>
        <s v="G00497/21-22" u="1"/>
        <s v="3022" u="1"/>
        <s v="G00669/21-22" u="1"/>
        <s v="RDDIN2107747" u="1"/>
        <s v="3042" u="1"/>
        <s v="01514" u="1"/>
        <s v="3052" u="1"/>
        <s v="28187" u="1"/>
        <s v="16187" u="1"/>
        <s v="2104/21-22" u="1"/>
        <s v="2022/A01004347" u="1"/>
        <s v="21-22/VBD/002656" u="1"/>
        <s v="2683" u="1"/>
        <s v="1842/GST/21-22" u="1"/>
        <s v="21-22/VBD/004115" u="1"/>
        <s v="1862/GST/21-22" u="1"/>
        <s v="21-22/VBD/003195" u="1"/>
        <s v="2022/A01002975" u="1"/>
        <s v="1515651" u="1"/>
        <s v="2122110476" u="1"/>
        <s v="F25210001579" u="1"/>
        <s v="2194/21-22" u="1"/>
        <s v="SD-314/2021-22" u="1"/>
        <s v="RA/21-22/1154" u="1"/>
        <s v="SD-302/2021-22" u="1"/>
        <s v="1003" u="1"/>
        <s v="2213" u="1"/>
        <s v="2159/GST/21-22" u="1"/>
        <s v="2223" u="1"/>
        <s v="3443" u="1"/>
        <s v="01515" u="1"/>
        <s v="3453" u="1"/>
        <s v="1900-0009" u="1"/>
        <s v="1932/21DOM/05181" u="1"/>
        <s v="2263" u="1"/>
        <s v="H05A222101002486" u="1"/>
        <s v="2283" u="1"/>
        <s v="3493" u="1"/>
        <s v="2545/21-22" u="1"/>
        <s v="SS-00101/21-22" u="1"/>
        <s v="3061/GST/21-22" u="1"/>
        <s v="RPC1/21-22/0831" u="1"/>
        <s v="9392111431" u="1"/>
        <s v="2122114532" u="1"/>
        <s v="MDS/2424/21-22" u="1"/>
        <s v="SD-152/2021-22" u="1"/>
        <s v="SD-244/2021-22" u="1"/>
        <s v="UMAX/21-22/2681" u="1"/>
        <s v="DL/2122/21020445" u="1"/>
        <s v="APNP/21-22/1058" u="1"/>
        <s v="2604" u="1"/>
        <s v="SD-220/2021-22" u="1"/>
        <s v="H05A222101002496" u="1"/>
        <s v="RDDIN2104738" u="1"/>
        <s v="1424" u="1"/>
        <s v="3023" u="1"/>
        <s v="DS2127103195" u="1"/>
        <s v="G00481/21-22" u="1"/>
        <s v="3854" u="1"/>
        <s v="LBDIN2106173" u="1"/>
        <s v="30578F1P00000057" u="1"/>
        <s v="0001070" u="1"/>
        <s v="99049687" u="1"/>
        <s v="2906/21-22" u="1"/>
        <s v="2664" u="1"/>
        <s v="C-362" u="1"/>
        <s v="211688" u="1"/>
        <s v="RDDIN2106497" u="1"/>
        <s v="MU/2122/21400677" u="1"/>
        <s v="215021-22" u="1"/>
        <s v="MH21-22/TI-1909" u="1"/>
        <s v="2022/A01002974" u="1"/>
        <s v="2022/A01003894" u="1"/>
        <s v="2976/21-22" u="1"/>
        <s v="9392111430" u="1"/>
        <s v="2986/21-22" u="1"/>
        <s v="1805" u="1"/>
        <s v="OS2421011550" u="1"/>
        <s v="204821-22" u="1"/>
        <s v="F25210001802" u="1"/>
        <s v="VICGPL/2122/2435" u="1"/>
        <s v="CI0028104722" u="1"/>
        <s v="21-22/20/02/2089" u="1"/>
        <s v="H05A222101002923" u="1"/>
        <s v="1034" u="1"/>
        <s v="3444" u="1"/>
        <s v="IN0521000072" u="1"/>
        <s v="2244" u="1"/>
        <s v="M00133" u="1"/>
        <s v="102034" u="1"/>
        <s v="2506/21-22" u="1"/>
        <s v="3464" u="1"/>
        <s v="2516/21-22" u="1"/>
        <s v="0001079" u="1"/>
        <s v="IN0521000082" u="1"/>
        <s v="16498" u="1"/>
        <s v="2294" u="1"/>
        <s v="1094" u="1"/>
        <s v="RDDIN2104658" u="1"/>
        <s v="MUM007949" u="1"/>
        <s v="2566/21-22" u="1"/>
        <s v="VICGPL/2122/3639" u="1"/>
        <s v="UK03-FY22-00473" u="1"/>
        <s v="01226" u="1"/>
        <s v="0297/2021-22" u="1"/>
        <s v="21-22/VBD/004029" u="1"/>
        <s v="4214" u="1"/>
        <s v="4234" u="1"/>
        <s v="1435" u="1"/>
        <s v="3034" u="1"/>
        <s v="01434" u="1"/>
        <s v="RI/21-22/20" u="1"/>
        <s v="2645" u="1"/>
        <s v="01350" u="1"/>
        <s v="2022/A01002517" u="1"/>
        <s v="0001058" u="1"/>
        <s v="BJE/2021/-294" u="1"/>
        <s v="4264" u="1"/>
        <s v="5474" u="1"/>
        <s v="4274" u="1"/>
        <s v="RDDIN2108417" u="1"/>
        <s v="2685" u="1"/>
        <s v="2022A01003386" u="1"/>
        <s v="KA2150007447" u="1"/>
        <s v="DGS/M/424/21-22" u="1"/>
        <s v="2957/21-22" u="1"/>
        <s v="UK03-FY-00465" u="1"/>
        <s v="2967/21-22" u="1"/>
        <s v="257/2021-22" u="1"/>
        <s v="2022/A01002973" u="1"/>
        <s v="2022/A01003893" u="1"/>
        <s v="21-22/VBD/003666" u="1"/>
        <s v="RA/21-22/1155" u="1"/>
        <s v="01227" u="1"/>
        <s v="0001035" u="1"/>
        <s v="2215" u="1"/>
        <s v="1015" u="1"/>
        <s v="2225" u="1"/>
        <s v="T/21-22/0265EX" u="1"/>
        <s v="01435" u="1"/>
        <s v="RPC1/21-22/1503" u="1"/>
        <s v="0360/2021-22" u="1"/>
        <s v="2517/21-22" u="1"/>
        <s v="1876" u="1"/>
        <s v="2285" u="1"/>
        <s v="1349_x0009_" u="1"/>
        <s v="2537/21-22" u="1"/>
        <s v="3495" u="1"/>
        <s v="0000694" u="1"/>
        <s v="934768" u="1"/>
        <s v="0001012" u="1"/>
        <s v="2557/21-22" u="1"/>
        <s v="2567/21-22" u="1"/>
        <s v="3500/2021-22" u="1"/>
        <s v="UK03-FY22-00477" u="1"/>
        <s v="RDDIN2108337" u="1"/>
        <s v="2606" u="1"/>
        <s v="3005" u="1"/>
        <s v="51/21-22" u="1"/>
        <s v="ACIM/21-22/4162" u="1"/>
        <s v="3025" u="1"/>
        <s v="4235" u="1"/>
        <s v="1436" u="1"/>
        <s v="0001137" u="1"/>
        <s v="1860/21-22" u="1"/>
        <s v="1446" u="1"/>
        <s v="3055" u="1"/>
        <s v="KG/00743/21-22" u="1"/>
        <s v="2117/21-22" u="1"/>
        <s v="3886" u="1"/>
        <s v="DGS/M/517/21-22" u="1"/>
        <s v="ACIM/21-22/4163" u="1"/>
        <s v="F25210001662" u="1"/>
        <s v="RKDP/21-22/16005" u="1"/>
        <s v="F25210002169" u="1"/>
        <s v="2978/21-22" u="1"/>
        <s v="RPC1/21-22/0827" u="1"/>
        <s v="DGS/M/625/21-22" u="1"/>
        <s v="0000796" u="1"/>
        <s v="MUM006003" u="1"/>
        <s v="RPC1/21-22/0948" u="1"/>
        <s v="21-22/VBD/003302" u="1"/>
        <s v="0000770" u="1"/>
        <s v="2640/21-22" u="1"/>
        <s v="21-22-794-GDEL" u="1"/>
        <s v="3426" u="1"/>
        <s v="2130100138" u="1"/>
        <s v="22INHHP03671" u="1"/>
        <s v="KG/00523/21-22" u="1"/>
        <s v="2022/A01002299" u="1"/>
        <s v="3678/Z/TI/21-22" u="1"/>
        <s v="3456" u="1"/>
        <s v="2127011719" u="1"/>
        <s v="1056" u="1"/>
        <s v="0001118" u="1"/>
        <s v="1900-0028" u="1"/>
        <s v="N2/21-22D-6964" u="1"/>
        <s v="0001119" u="1"/>
        <s v="F25210002091" u="1"/>
        <s v="MDS/2275/21-22" u="1"/>
        <s v="APNP/21-22/1360" u="1"/>
        <s v="RDDIN2107057" u="1"/>
        <s v="2558/21-22" u="1"/>
        <s v="CH/2122/21002404" u="1"/>
        <s v="4408/Z/TI/21-22" u="1"/>
        <s v="LBDIN2106224" u="1"/>
        <s v="3817" u="1"/>
        <s v="0000778" u="1"/>
        <s v="2021202321" u="1"/>
        <s v="2122111757" u="1"/>
        <s v="1427" u="1"/>
        <s v="BJE/2021/-295" u="1"/>
        <s v="VICGPL/2122/2239" u="1"/>
        <s v="H05A222101002727" u="1"/>
        <s v="0000752" u="1"/>
        <s v="2280/21-22" u="1"/>
        <s v="01846" u="1"/>
        <s v="2022/A01002515" u="1"/>
        <s v="01762" u="1"/>
        <s v="170" u="1"/>
        <s v="2687" u="1"/>
        <s v="291" u="1"/>
        <s v="1487" u="1"/>
        <s v="RDDIN2108017" u="1"/>
        <s v="2122114837" u="1"/>
        <s v="293" u="1"/>
        <s v="173" u="1"/>
        <s v="APNP/21-22/1015" u="1"/>
        <s v="295" u="1"/>
        <s v="VA21000000010931" u="1"/>
        <s v="175" u="1"/>
        <s v="0000876" u="1"/>
        <s v="H05A222101002737" u="1"/>
        <s v="296" u="1"/>
        <s v="2198/21-22" u="1"/>
        <s v="298" u="1"/>
        <s v="2127010373" u="1"/>
        <s v="0000970" u="1"/>
        <s v="1007" u="1"/>
        <s v="1990" u="1"/>
        <s v="2217" u="1"/>
        <s v="2227" u="1"/>
        <s v="1037" u="1"/>
        <s v="3457" u="1"/>
        <s v="1868" u="1"/>
        <s v="57" u="1"/>
        <s v="SS-0090/21-22" u="1"/>
        <s v="01763" u="1"/>
        <s v="VA21000000011340" u="1"/>
        <s v="1087" u="1"/>
        <s v="T/21-22/0406EX" u="1"/>
        <s v="493" u="1"/>
        <s v="2720" u="1"/>
        <s v="OS2421012030" u="1"/>
        <s v="CH/2122/21002568" u="1"/>
        <s v="132" u="1"/>
        <s v="F20031105185" u="1"/>
        <s v="RA/21-22/1464" u="1"/>
        <s v="134" u="1"/>
        <s v="2589/21-22" u="1"/>
        <s v="9392109004" u="1"/>
        <s v="0000736" u="1"/>
        <s v="016" u="1"/>
        <s v="257" u="1"/>
        <s v="1570" u="1"/>
        <s v="3808" u="1"/>
        <s v="017" u="1"/>
        <s v="2221/21-22" u="1"/>
        <s v="1021/21-22" u="1"/>
        <s v="018" u="1"/>
        <s v="VICGPL/2122/3355" u="1"/>
        <s v="01356" u="1"/>
        <s v="25280" u="1"/>
        <s v="2638" u="1"/>
        <s v="4237" u="1"/>
        <s v="8135033474" u="1"/>
        <s v="0000952" u="1"/>
        <s v="2271/21-22" u="1"/>
        <s v="89" u="1"/>
        <s v="65" u="1"/>
        <s v="1892/21-22" u="1"/>
        <s v="GST690/21-22" u="1"/>
        <s v="IV2022123107" u="1"/>
        <s v="41" u="1"/>
        <s v="450" u="1"/>
        <s v="331" u="1"/>
        <s v="RDDIN2108097" u="1"/>
        <s v="693" u="1"/>
        <s v="3520" u="1"/>
        <s v="2122115663" u="1"/>
        <s v="SS-0072/21-22" u="1"/>
        <s v="213" u="1"/>
        <s v="2276/GST/21-22" u="1"/>
        <s v="575" u="1"/>
        <s v="INV-000323" u="1"/>
        <s v="214" u="1"/>
        <s v="4750" u="1"/>
        <s v="APNP/21-22/1246" u="1"/>
        <s v="335" u="1"/>
        <s v="1897/GST/21-22" u="1"/>
        <s v="215" u="1"/>
        <s v="INV-000403" u="1"/>
        <s v="CI0028104182" u="1"/>
        <s v="216" u="1"/>
        <s v="457" u="1"/>
        <s v="337" u="1"/>
        <s v="578" u="1"/>
        <s v="5808" u="1"/>
        <s v="2370" u="1"/>
        <s v="2622/21-22" u="1"/>
        <s v="01349" u="1"/>
        <s v="218" u="1"/>
        <s v="2208" u="1"/>
        <s v="MUM001883" u="1"/>
        <s v="0000717" u="1"/>
        <s v="F25210001803" u="1"/>
        <s v="4628" u="1"/>
        <s v="APNP/21-22/1112" u="1"/>
        <s v="13465" u="1"/>
        <s v="101274" u="1"/>
        <s v="1949GST/21-22" u="1"/>
        <s v="SS-0076/21-22" u="1"/>
        <s v="RDDIN2105038" u="1"/>
        <s v="101526" u="1"/>
        <s v="1048" u="1"/>
        <s v="2258" u="1"/>
        <s v="1869" u="1"/>
        <s v="3468" u="1"/>
        <s v="BJE/2021/-408" u="1"/>
        <s v="73" u="1"/>
        <s v="2268" u="1"/>
        <s v="0000812" u="1"/>
        <s v="INV-000358" u="1"/>
        <s v="2122113846" u="1"/>
        <s v="22INHHP02742" u="1"/>
        <s v="2637/GST/21-22" u="1"/>
        <s v="771" u="1"/>
        <s v="410" u="1"/>
        <s v="1078" u="1"/>
        <s v="BM2205I000442447" u="1"/>
        <s v="4698" u="1"/>
        <s v="8135034461" u="1"/>
        <s v="0000934" u="1"/>
        <s v="UK03-FY22-00673" u="1"/>
        <s v="414" u="1"/>
        <s v="189103104" u="1"/>
        <s v="INV-000322" u="1"/>
        <s v="415" u="1"/>
        <s v="536" u="1"/>
        <s v="3150" u="1"/>
        <s v="537" u="1"/>
        <s v="2124005025" u="1"/>
        <s v="3809" u="1"/>
        <s v="418" u="1"/>
        <s v="4208" u="1"/>
        <s v="SCPL/4692" u="1"/>
        <s v="1940/GST/21-22" u="1"/>
        <s v="539" u="1"/>
        <s v="419" u="1"/>
        <s v="3018" u="1"/>
        <s v="3190" u="1"/>
        <s v="BJE/2021/-388" u="1"/>
        <s v="0000910" u="1"/>
        <s v="0000818" u="1"/>
        <s v="2130100145" u="1"/>
        <s v="3058" u="1"/>
        <s v="1883/21-22" u="1"/>
        <s v="93" u="1"/>
        <s v="4268" u="1"/>
        <s v="RA/21-22/1057" u="1"/>
        <s v="1828/GST/21-22" u="1"/>
        <s v="RDDIN2108418" u="1"/>
        <s v="1489" u="1"/>
        <s v="2699" u="1"/>
        <s v="3511" u="1"/>
        <s v="3098" u="1"/>
        <s v="UK03-FY22-00448" u="1"/>
        <s v="01990" u="1"/>
        <s v="734" u="1"/>
        <s v="614" u="1"/>
        <s v="DGS/M/636/21-22" u="1"/>
        <s v="1131" u="1"/>
        <s v="977" u="1"/>
        <s v="21-22/VBD/002867" u="1"/>
        <s v="616" u="1"/>
        <s v="339105028" u="1"/>
        <s v="978" u="1"/>
        <s v="1962" u="1"/>
        <s v="7570" u="1"/>
        <s v="858" u="1"/>
        <s v="MUM006014" u="1"/>
        <s v="979" u="1"/>
        <s v="H-4354/21-22" u="1"/>
        <s v="1181" u="1"/>
        <s v="2022A01002516" u="1"/>
        <s v="1019" u="1"/>
        <s v="SS01/LOC/01264" u="1"/>
        <s v="MUM006306" u="1"/>
        <s v="DS2127101850" u="1"/>
        <s v="UCM/2021-22/1612" u="1"/>
        <s v="2239" u="1"/>
        <s v="VA21000000011801" u="1"/>
        <s v="2127011645" u="1"/>
        <s v="2249" u="1"/>
        <s v="4659" u="1"/>
        <s v="2914/Z/TI/21-22" u="1"/>
        <s v="1059" u="1"/>
        <s v="01683" u="1"/>
        <s v="RDDIN2107951" u="1"/>
        <s v="3479" u="1"/>
        <s v="3902" u="1"/>
        <s v=" 348/2021-22" u="1"/>
        <s v="02204" u="1"/>
        <s v="VA21000000011108" u="1"/>
        <s v="01991" u="1"/>
        <s v="RA/21-22/1281" u="1"/>
        <s v="RA/21-22/1465" u="1"/>
        <s v="934" u="1"/>
        <s v="2732" u="1"/>
        <s v="JVG/284" u="1"/>
        <s v="OS2421014711" u="1"/>
        <s v="3151" u="1"/>
        <s v="INV-000320" u="1"/>
        <s v="INV-000412" u="1"/>
        <s v="RDDIN2107939" u="1"/>
        <s v="3161" u="1"/>
        <s v="GAZZ00288" u="1"/>
        <s v="KPDOM/1407/21-22" u="1"/>
        <s v="2243/21-22" u="1"/>
        <s v="UK-21-22/1981" u="1"/>
        <s v="2127011644" u="1"/>
        <s v="CI0028104423" u="1"/>
        <s v="OS2421011369" u="1"/>
        <s v="01684" u="1"/>
        <s v="3079" u="1"/>
        <s v="3502" u="1"/>
        <s v="4299" u="1"/>
        <s v="3099" u="1"/>
        <s v="01992" u="1"/>
        <s v="1923" u="1"/>
        <s v="UCM/2021-22/1502" u="1"/>
        <s v="C306" u="1"/>
        <s v="JVG/264" u="1"/>
        <s v="OS2421014891" u="1"/>
        <s v="1889/GST/21-22" u="1"/>
        <s v="MUM001693" u="1"/>
        <s v="2352" u="1"/>
        <s v="1963" u="1"/>
        <s v="OS2421013519" u="1"/>
        <s v="MDS/2930/21-22" u="1"/>
        <s v="3582" u="1"/>
        <s v="2122110854" u="1"/>
        <s v="0335/2021-22" u="1"/>
        <s v="20-21/090" u="1"/>
        <s v="2122112590" u="1"/>
        <s v="RDDIN2105331" u="1"/>
        <s v="JVG/240" u="1"/>
        <s v="IN0821040249" u="1"/>
        <s v="01985" u="1"/>
        <s v="3102" u="1"/>
        <s v="F21210004372" u="1"/>
        <s v="21-22/VBD/004112" u="1"/>
        <s v="1523" u="1"/>
        <s v="21-22/050" u="1"/>
        <s v="IV2022121711" u="1"/>
        <s v="2022/A01002467" u="1"/>
        <s v="21-22/VBD/003707" u="1"/>
        <s v="JVG/244" u="1"/>
        <s v="UK03-FY22-00653" u="1"/>
        <s v="2753" u="1"/>
        <s v="2130100189" u="1"/>
        <s v="59000317" u="1"/>
        <s v="IV2022116670" u="1"/>
        <s v="1922/GST/21-22" u="1"/>
        <s v="JL1033" u="1"/>
        <s v="2214/21-22" u="1"/>
        <s v="OS2421013451" u="1"/>
        <s v="2122110957" u="1"/>
        <s v="UK03-FY22-00547" u="1"/>
        <s v="2234/21-22" u="1"/>
        <s v="1593" u="1"/>
        <s v="APNP/21-22/1349" u="1"/>
        <s v="22INHHP01833" u="1"/>
        <s v="RDDIN2106581" u="1"/>
        <s v="ACIM/21-22/3206" u="1"/>
        <s v="2294/21-22" u="1"/>
        <s v="21-22/VBD/002657" u="1"/>
        <s v="01894" u="1"/>
        <s v="01986" u="1"/>
        <s v="OS2421014789" u="1"/>
        <s v="8488986204" u="1"/>
        <s v="JVG/222" u="1"/>
        <s v="26231" u="1"/>
        <s v="LS2021500818" u="1"/>
        <s v="3533" u="1"/>
        <s v="4753" u="1"/>
        <s v="21-22/VBD/003603" u="1"/>
        <s v="OS2421015761" u="1"/>
        <s v="2645/21-22" u="1"/>
        <s v="F20031104096" u="1"/>
        <s v="21-22/035" u="1"/>
        <s v="3904" u="1"/>
        <s v="0396/2021-22" u="1"/>
        <s v="JVG/202" u="1"/>
        <s v="SD-322/21-22" u="1"/>
        <s v="3934" u="1"/>
        <s v="RDDIN2106211" u="1"/>
        <s v="F20031105186" u="1"/>
        <s v="02340" u="1"/>
        <s v="21-22/VBD/003607" u="1"/>
        <s v="3153" u="1"/>
        <s v="21-22/VBD/003623" u="1"/>
        <s v="IN0821047548" u="1"/>
        <s v="1564" u="1"/>
        <s v="3173" u="1"/>
        <s v="21-22/443" u="1"/>
        <s v="2122/5254" u="1"/>
        <s v="21112010013993" u="1"/>
        <s v="H05A222101002497" u="1"/>
        <s v="21-22/VBD/004006" u="1"/>
        <s v="102596" u="1"/>
        <s v="2245/21-22" u="1"/>
        <s v="2255/21-22" u="1"/>
        <s v="XS184496" u="1"/>
        <s v="2265/21-22" u="1"/>
        <s v="189102955-EX" u="1"/>
        <s v="JVG/300" u="1"/>
        <s v="102824" u="1"/>
        <s v="1896/21-22" u="1"/>
        <s v="CH/2122/21000315" u="1"/>
        <s v="1114" u="1"/>
        <s v="BM2205I000378168" u="1"/>
        <s v="3776/Z/TI/21-22" u="1"/>
        <s v="UK03-FY22-00418" u="1"/>
        <s v="2122/3154" u="1"/>
        <s v="7583" u="1"/>
        <s v="JVG/306" u="1"/>
        <s v="MDS/2140/21-22" u="1"/>
        <s v="DS2127102590" u="1"/>
        <s v="OS2421012622" u="1"/>
        <s v="2666/21-22" u="1"/>
        <s v="0347/2021-22" u="1"/>
        <s v="H05A222101002924" u="1"/>
        <s v="9392108238" u="1"/>
        <s v="JVG/309" u="1"/>
        <s v="2127013939" u="1"/>
        <s v="RS-21-22-T010998" u="1"/>
        <s v="IN0521000084" u="1"/>
        <s v="VA21000000012008" u="1"/>
        <s v="VA21000000014418" u="1"/>
        <s v="3935" u="1"/>
        <s v="INV-000350" u="1"/>
        <s v="59000308" u="1"/>
        <s v="BJE/2021/-298" u="1"/>
        <s v="IN0821035231" u="1"/>
        <s v="2226/21-22" u="1"/>
        <s v="CI0028103694" u="1"/>
        <s v="IN0321047992" u="1"/>
        <s v="21112010013992" u="1"/>
        <s v="4394" u="1"/>
        <s v="1857/21-22" u="1"/>
        <s v="2266/21-22" u="1"/>
        <s v="1877/21-22" u="1"/>
        <s v="228121-22" u="1"/>
        <s v="1887/21-22" u="1"/>
        <s v="RKDP/21-22/15707" u="1"/>
        <s v="59000250" u="1"/>
        <s v="46220031213100025430" u="1"/>
        <s v="9392108237" u="1"/>
        <s v="21-22/VBD/002597" u="1"/>
        <s v="21-22/944" u="1"/>
        <s v="3515" u="1"/>
        <s v="132375879/F20500010114" u="1"/>
        <s v="RDDIN2108429" u="1"/>
        <s v="221/2021-22" u="1"/>
        <s v="RA/21-22/1359" u="1"/>
        <s v="2122/3347" u="1"/>
        <s v="2385" u="1"/>
        <s v="2395" u="1"/>
        <s v="DS2127101851" u="1"/>
        <s v="UK03-FY22-00515" u="1"/>
        <s v="9392107156" u="1"/>
        <s v="INV-000396" u="1"/>
        <s v="IN0821038729" u="1"/>
        <s v="TEC/21221089" u="1"/>
        <s v="1900/21-22" u="1"/>
        <s v="RDDIN2107952" u="1"/>
        <s v="RA/21-22/1283" u="1"/>
        <s v="RA/21-22/1375" u="1"/>
        <s v="2122112940" u="1"/>
        <s v="VA21000000012719" u="1"/>
        <s v="RDDIN2107269" u="1"/>
        <s v="3155" u="1"/>
        <s v="3976" u="1"/>
        <s v="TIC/1008/2021-22" u="1"/>
        <s v="2776" u="1"/>
        <s v="189103233" u="1"/>
        <s v="2786" u="1"/>
        <s v="VA21000000009277" u="1"/>
        <s v="3195" u="1"/>
        <s v="2022/A01003280" u="1"/>
        <s v="1858/21-22" u="1"/>
        <s v="VA21000000010351" u="1"/>
        <s v="2670/Z/TI/21-22" u="1"/>
        <s v="JVG230" u="1"/>
        <s v="1878/21-22" u="1"/>
        <s v="DGS/M/449/21-22" u="1"/>
        <s v="2730/21-22" u="1"/>
        <s v="F20031104137" u="1"/>
        <s v="2022/A01002704" u="1"/>
        <s v="RDDIN2105452" u="1"/>
        <s v="22INHPD01434" u="1"/>
        <s v="F25210002063" u="1"/>
        <s v="189103402-EX" u="1"/>
        <s v="MH21-22/TI-2076" u="1"/>
        <s v="4776" u="1"/>
        <s v="3586" u="1"/>
        <s v="R/SER/3103/21-22" u="1"/>
        <s v="MH0121114370" u="1"/>
        <s v="2127010855" u="1"/>
        <s v="20211564" u="1"/>
        <s v="2678/21-22" u="1"/>
        <s v="9392110965" u="1"/>
        <s v="MH21-22/TI-1398" u="1"/>
        <s v="XS187647" u="1"/>
        <s v="2320/21-22" u="1"/>
        <s v="BJE/2021/-427" u="1"/>
        <s v="2124004349" u="1"/>
        <s v="2127013935" u="1"/>
        <s v="4326" u="1"/>
        <s v="RDDIN2107059" u="1"/>
        <s v="2737" u="1"/>
        <s v="2122277" u="1"/>
        <s v="3957" u="1"/>
        <s v="SI/3462/21-22" u="1"/>
        <s v="KG/00577/21-22" u="1"/>
        <s v="2370/21-22" u="1"/>
        <s v="1981/21-22" u="1"/>
        <s v="21-22/454" u="1"/>
        <s v="F25210001434" u="1"/>
        <s v="AFF/21-22/597" u="1"/>
        <s v="1859/21-22" u="1"/>
        <s v="9392107349" u="1"/>
        <s v="1869/21-22" u="1"/>
        <s v="1986/GST/21-22" u="1"/>
        <s v="064" u="1"/>
        <s v="185" u="1"/>
        <s v="2122AL195" u="1"/>
        <s v="2127010922" u="1"/>
        <s v="186" u="1"/>
        <s v="0402/2021-22" u="1"/>
        <s v="02339" u="1"/>
        <s v="SAL/400/21-22" u="1"/>
        <s v="2731/21-22" u="1"/>
        <s v="AVA/I/01047" u="1"/>
        <s v="1117" u="1"/>
        <s v="6336" u="1"/>
        <s v="3537" u="1"/>
        <s v="2022/A01002703" u="1"/>
        <s v="2337" u="1"/>
        <s v="59000281" u="1"/>
        <s v="IV2022120692" u="1"/>
        <s v="H05A222101002738" u="1"/>
        <s v="3567" u="1"/>
        <s v="7576" u="1"/>
        <s v="20-21/095" u="1"/>
        <s v="2367" u="1"/>
        <s v="46" u="1"/>
        <s v="34" u="1"/>
        <s v="1988" u="1"/>
        <s v="3587" u="1"/>
        <s v="381" u="1"/>
        <s v="4797" u="1"/>
        <s v="2105001165" u="1"/>
        <s v="141" u="1"/>
        <s v="21-22/039" u="1"/>
        <s v="262" u="1"/>
        <s v="384" u="1"/>
        <s v="2122233" u="1"/>
        <s v="145" u="1"/>
        <s v="025" u="1"/>
        <s v="146" u="1"/>
        <s v="2699/21-22" u="1"/>
        <s v="147" u="1"/>
        <s v="027" u="1"/>
        <s v="148" u="1"/>
        <s v="389" u="1"/>
        <s v="2122/3949" u="1"/>
        <s v="1952/21-22" u="1"/>
        <s v="0338" u="1"/>
        <s v="3958" u="1"/>
        <s v="21-22/VBD/002964" u="1"/>
        <s v="H05A222101002774" u="1"/>
        <s v="66" u="1"/>
        <s v="3167" u="1"/>
        <s v="580" u="1"/>
        <s v="2122210" u="1"/>
        <s v="2022A01002835" u="1"/>
        <s v="42" u="1"/>
        <s v="4387" u="1"/>
        <s v="F25210001905" u="1"/>
        <s v="341" u="1"/>
        <s v="582" u="1"/>
        <s v="221" u="1"/>
        <s v="4820" u="1"/>
        <s v="583" u="1"/>
        <s v="343" u="1"/>
        <s v="2259/21-22" u="1"/>
        <s v="SI422122/302120" u="1"/>
        <s v="103" u="1"/>
        <s v="344" u="1"/>
        <s v="2269/21-22" u="1"/>
        <s v="2022/A01003462" u="1"/>
        <s v="224" u="1"/>
        <s v="LBDIN2106176" u="1"/>
        <s v="104" u="1"/>
        <s v="345" u="1"/>
        <s v="586" u="1"/>
        <s v="225" u="1"/>
        <s v="346" u="1"/>
        <s v="3660" u="1"/>
        <s v="G00608/21-22" u="1"/>
        <s v="588" u="1"/>
        <s v="3670" u="1"/>
        <s v="G00412/21-22" u="1"/>
        <s v="348" u="1"/>
        <s v="2122201320" u="1"/>
        <s v="2480" u="1"/>
        <s v="02173" u="1"/>
        <s v="1939" u="1"/>
        <s v="1138" u="1"/>
        <s v="2772/21-22" u="1"/>
        <s v="3558" u="1"/>
        <s v="2021201650" u="1"/>
        <s v="H05A222101002778" u="1"/>
        <s v="2124004414" u="1"/>
        <s v="T/21-22/0318EX" u="1"/>
        <s v="21-22/VBD/002860" u="1"/>
        <s v="660" u="1"/>
        <s v="VA21000000013094" u="1"/>
        <s v="420" u="1"/>
        <s v="1989" u="1"/>
        <s v="9392106266" u="1"/>
        <s v="421" u="1"/>
        <s v="2127011875" u="1"/>
        <s v="301" u="1"/>
        <s v="1611" u="1"/>
        <s v="663" u="1"/>
        <s v="9392108094" u="1"/>
        <s v="4430" u="1"/>
        <s v="5640" u="1"/>
        <s v="424" u="1"/>
        <s v="305" u="1"/>
        <s v="546" u="1"/>
        <s v="1903/21-22" u="1"/>
        <s v="G00434/21-22" u="1"/>
        <s v="426" u="1"/>
        <s v="667" u="1"/>
        <s v="2302/21-22" u="1"/>
        <s v="306" u="1"/>
        <s v="547" u="1"/>
        <s v="668" u="1"/>
        <s v="307" u="1"/>
        <s v="428" u="1"/>
        <s v="2322/21-22" u="1"/>
        <s v="308" u="1"/>
        <s v="3108" u="1"/>
        <s v="SI/4540/21-22" u="1"/>
        <s v="1943/21-22" u="1"/>
        <s v="MH21-22/TI-2270" u="1"/>
        <s v="2090" u="1"/>
        <s v="PR/127/20-21" u="1"/>
        <s v="21-22/VBD/002988" u="1"/>
        <s v="3969" u="1"/>
        <s v="94" u="1"/>
        <s v="BJE/2021/-352" u="1"/>
        <s v="1569" u="1"/>
        <s v="1993/21-22" u="1"/>
        <s v="VICGPL/2122/2733" u="1"/>
        <s v="500" u="1"/>
        <s v="1589" u="1"/>
        <s v="2401" u="1"/>
        <s v="CI0028103695" u="1"/>
        <s v="2799" u="1"/>
        <s v="2411" u="1"/>
        <s v="MH21-22/TI-2030" u="1"/>
        <s v="984" u="1"/>
        <s v="AVA/I/01111" u="1"/>
        <s v="864" u="1"/>
        <s v="RA/21-22/1113" u="1"/>
        <s v="RS-21-22-T011404" u="1"/>
        <s v="624" u="1"/>
        <s v="504" u="1"/>
        <s v="3651" u="1"/>
        <s v="21-22/VBD/002874" u="1"/>
        <s v="2461" u="1"/>
        <s v="628" u="1"/>
        <s v="2481" u="1"/>
        <s v="4080" u="1"/>
        <s v="F20031104370" u="1"/>
        <s v="1109" u="1"/>
        <s v="CI0028103575" u="1"/>
        <s v="CH/2122/21001842" u="1"/>
        <s v="H05A222101003067" u="1"/>
        <s v="2753/21-22" u="1"/>
        <s v="3539" u="1"/>
        <s v="9392109425" u="1"/>
        <s v="F20031104208" u="1"/>
        <s v="2022/A01003805" u="1"/>
        <s v="8488984263" u="1"/>
        <s v="941" u="1"/>
        <s v="DN22122-0080" u="1"/>
        <s v="701" u="1"/>
        <s v="UK-21-22/1921" u="1"/>
        <s v="15520" u="1"/>
        <s v="2313/21-22" u="1"/>
        <s v="GST459/21-22" u="1"/>
        <s v="2343/21-22" u="1"/>
        <s v="2022/A01002484" u="1"/>
        <s v="3129" u="1"/>
        <s v="DS2127103331" u="1"/>
        <s v="GST503/21-22" u="1"/>
        <s v="PT01/LOC/00743" u="1"/>
        <s v="21-22/VBD/003824" u="1"/>
        <s v="AVA/I/01238" u="1"/>
        <s v="4359" u="1"/>
        <s v="224621-22" u="1"/>
        <s v="3" u="1"/>
        <s v="2412" u="1"/>
        <s v="4011" u="1"/>
        <s v="903" u="1"/>
        <s v="8135033986" u="1"/>
        <s v="904" u="1"/>
        <s v="2105001160" u="1"/>
        <s v="905" u="1"/>
        <s v="RDDIN2108382" u="1"/>
        <s v="0032" u="1"/>
        <s v="1242" u="1"/>
        <s v="2022/A01002908" u="1"/>
        <s v="AVA/I/01347" u="1"/>
        <s v="908" u="1"/>
        <s v="21-22/VBD/002618" u="1"/>
        <s v="2472" u="1"/>
        <s v="DS2127102161" u="1"/>
        <s v="1292" u="1"/>
        <s v="2022/A01003540" u="1"/>
        <s v="2022/A01003816" u="1"/>
        <s v="SD-329/2021-22" u="1"/>
        <s v="2794/21-22" u="1"/>
        <s v="2749/GST/21-22" u="1"/>
        <s v="SD-213/2021-22" u="1"/>
        <s v="3202" u="1"/>
        <s v="2122201191" u="1"/>
        <s v="RV0521002109" u="1"/>
        <s v="UK-03-FY22-00440" u="1"/>
        <s v="2022" u="1"/>
        <s v="9392107538" u="1"/>
        <s v="RDDIN2104944" u="1"/>
        <s v="3272" u="1"/>
        <s v="21-22/VBD/004113" u="1"/>
        <s v="22569" u="1"/>
        <s v="IN0821043763" u="1"/>
        <s v="18587" u="1"/>
        <s v="MH21-22/TI-1585" u="1"/>
        <s v="21-22/VBD/003708" u="1"/>
        <s v="2374/21-22" u="1"/>
        <s v="F25210001435" u="1"/>
        <s v="2022/A01003759" u="1"/>
        <s v="INV21-22/175" u="1"/>
        <s v="RA/21-22/1114" u="1"/>
        <s v="2423" u="1"/>
        <s v="MH21-22/TI-2265" u="1"/>
        <s v="2122201270" u="1"/>
        <s v="3653" u="1"/>
        <s v="9392107537" u="1"/>
        <s v="G00552/21-22" u="1"/>
        <s v="15715" u="1"/>
        <s v="K0670/21-22" u="1"/>
        <s v="2463" u="1"/>
        <s v="2021/GST/21-22" u="1"/>
        <s v="21-22/VBD/002658" u="1"/>
        <s v="59000263" u="1"/>
        <s v="1283" u="1"/>
        <s v="99051588" u="1"/>
        <s v="DGS/M/494/21-22" u="1"/>
        <s v="2022/A01003815" u="1"/>
        <s v="SD-189/2021-22" u="1"/>
        <s v="SD-269/2021-22" u="1"/>
        <s v="SI422122/302119" u="1"/>
        <s v="RA/21-22/1230" u="1"/>
        <s v="30578O1P00000029" u="1"/>
        <s v="2795/21-22" u="1"/>
        <s v="F25210001475" u="1"/>
        <s v="SD-325/2021-22" u="1"/>
        <s v="3139/GST/21-22" u="1"/>
        <s v="RPC1/21-22/1070" u="1"/>
        <s v="RPC1/21-22/1191" u="1"/>
        <s v="G00642/21-22" u="1"/>
        <s v="2864" u="1"/>
        <s v="4463" u="1"/>
        <s v="F20031104639" u="1"/>
        <s v="2874" u="1"/>
        <s v="AVA/I/00971" u="1"/>
        <s v="GST567/21-22" u="1"/>
        <s v="MH21-22/TI-1695" u="1"/>
        <s v="2884" u="1"/>
        <s v="GST555/21-22" u="1"/>
        <s v="SS01/LOC/01818" u="1"/>
        <s v="2122/3969" u="1"/>
        <s v="3293" u="1"/>
        <s v="20211196" u="1"/>
        <s v="339093858" u="1"/>
        <s v="KA2150008713" u="1"/>
        <s v="1276/2021-22" u="1"/>
        <s v="VA21000000014669" u="1"/>
        <s v="21-22/VBD/004287" u="1"/>
        <s v="4804" u="1"/>
        <s v="21-22/483" u="1"/>
        <s v="2424" u="1"/>
        <s v="2434" u="1"/>
        <s v="15617" u="1"/>
        <s v="G00572/21-22" u="1"/>
        <s v="15533" u="1"/>
        <s v="LBDIN2106177" u="1"/>
        <s v="DGS/M/387/21-22" u="1"/>
        <s v="21-22/VBD/003790" u="1"/>
        <s v="2474" u="1"/>
        <s v="GST473/21-22" u="1"/>
        <s v="1284" u="1"/>
        <s v="BEH/21-22/0127" u="1"/>
        <s v="2124003534" u="1"/>
        <s v="GST621/21-22" u="1"/>
        <s v="2766/21-22" u="1"/>
        <s v="MH21-22/TI-1336" u="1"/>
        <s v="SD-277/2021-22" u="1"/>
        <s v="CI0028104185" u="1"/>
        <s v="OS2421014353" u="1"/>
        <s v="SD-333/2021-22" u="1"/>
        <s v="3204" u="1"/>
        <s v="2122201659" u="1"/>
        <s v="15334" u="1"/>
        <s v="15426" u="1"/>
        <s v="4434" u="1"/>
        <s v="MH0121116241" u="1"/>
        <s v="H05A222101002925" u="1"/>
        <s v="2845" u="1"/>
        <s v="15350" u="1"/>
        <s v="MH21-22/TI-1564" u="1"/>
        <s v="2044" u="1"/>
        <s v="15818" u="1"/>
        <s v="BJE/2021/-438" u="1"/>
        <s v="3264" u="1"/>
        <s v="2122109531" u="1"/>
        <s v="SI422122/303243" u="1"/>
        <s v="1927/21-22" u="1"/>
        <s v="2885" u="1"/>
        <s v="R/SER/2174/21-22" u="1"/>
        <s v="2895" u="1"/>
        <s v="20211317" u="1"/>
        <s v="SD-299/2021-22" u="1"/>
        <s v="2356/21-22" u="1"/>
        <s v="RPC1/21-22/1182" u="1"/>
        <s v="RCP1/21-22/1000" u="1"/>
        <s v="9392107293" u="1"/>
        <s v="2022/A01003481" u="1"/>
        <s v="15243" u="1"/>
        <s v="15427" u="1"/>
        <s v="MUM006973" u="1"/>
        <s v="2425" u="1"/>
        <s v="2435" u="1"/>
        <s v="59000244" u="1"/>
        <s v="2105001718" u="1"/>
        <s v="2124004488" u="1"/>
        <s v="2455" u="1"/>
        <s v="15919" u="1"/>
        <s v="DGS/M/488/21-22" u="1"/>
        <s v="3665" u="1"/>
        <s v="59000254" u="1"/>
        <s v="8488986624" u="1"/>
        <s v="1265" u="1"/>
        <s v="2475" u="1"/>
        <s v="GST665/21-22" u="1"/>
        <s v="DGS/M/496/21-22" u="1"/>
        <s v="21-22/VBD/002598" u="1"/>
        <s v="0001021" u="1"/>
        <s v="LBDIN2107718" u="1"/>
        <s v="3695" u="1"/>
        <s v="CI0028103576" u="1"/>
        <s v="MH21-22/TI-1432" u="1"/>
        <s v="1295" u="1"/>
        <s v="210947" u="1"/>
        <s v="2864/GST/21-22" u="1"/>
        <s v="VICGPL/2122/2343" u="1"/>
        <s v="MH21-22/TI-2005" u="1"/>
        <s v="SS01/LOC/02108" u="1"/>
        <s v="BM2205I000703012" u="1"/>
        <s v="DS2127102382" u="1"/>
        <s v="DS2127102242" u="1"/>
        <s v="2105001361" u="1"/>
        <s v="G00694/21-22" u="1"/>
        <s v="RA/21-22/1431" u="1"/>
        <s v="101145" u="1"/>
        <s v="0001027" u="1"/>
        <s v="15552" u="1"/>
        <s v="1656" u="1"/>
        <s v="1908/21-22" u="1"/>
        <s v="CI0028103466" u="1"/>
        <s v="2307/21-22" u="1"/>
        <s v="GST595/21-22" u="1"/>
        <s v="4007/2021-22" u="1"/>
        <s v="1938/21-22" u="1"/>
        <s v="2896" u="1"/>
        <s v="2454/GST/21-22" u="1"/>
        <s v="210945" u="1"/>
        <s v="316/2021-22" u="1"/>
        <s v="2367/21-22" u="1"/>
        <s v="MH21-22/TI-1314" u="1"/>
        <s v="1998/21-22" u="1"/>
        <s v="T/21-22/0299EX" u="1"/>
        <s v="2105001292" u="1"/>
        <s v="4806" u="1"/>
        <s v="21-22/VBD/003300" u="1"/>
        <s v="2416" u="1"/>
        <s v="4826" u="1"/>
        <s v="2122G0843" u="1"/>
        <s v="TEC21221495" u="1"/>
        <s v="15353" u="1"/>
        <s v="2105001360" u="1"/>
        <s v="F25210002045" u="1"/>
        <s v="1246" u="1"/>
        <s v="2708/21-22" u="1"/>
        <s v="1266" u="1"/>
        <s v="2476" u="1"/>
        <s v="2130100903" u="1"/>
        <s v="0001009" u="1"/>
        <s v="2496" u="1"/>
        <s v="DS2127102833" u="1"/>
        <s v="BM2205I000571984" u="1"/>
        <s v="BM2205I000503997" u="1"/>
        <s v="2807" u="1"/>
        <s v="15338" u="1"/>
        <s v="BJE/2021/-339" u="1"/>
        <s v="2817" u="1"/>
        <s v="0000760" u="1"/>
        <s v="15362" u="1"/>
        <s v="15546" u="1"/>
        <s v="VA21000000014912" u="1"/>
        <s v="15746" u="1"/>
        <s v="1909/21-22" u="1"/>
        <s v="21-22/VBD/003578" u="1"/>
        <s v="15" u="1"/>
        <s v="070" u="1"/>
        <s v="071" u="1"/>
        <s v="9392110108" u="1"/>
        <s v="192" u="1"/>
        <s v="073" u="1"/>
        <s v="194" u="1"/>
        <s v="189103174" u="1"/>
        <s v="2122112001" u="1"/>
        <s v="074" u="1"/>
        <s v="075" u="1"/>
        <s v="1989/21-22" u="1"/>
        <s v="F25210001576" u="1"/>
        <s v="2122/4225" u="1"/>
        <s v="9392106485" u="1"/>
        <s v="4807" u="1"/>
        <s v="2010/21-22" u="1"/>
        <s v="078" u="1"/>
        <s v="2407" u="1"/>
        <s v="2831/21-22" u="1"/>
        <s v="2417" u="1"/>
        <s v="2127011990" u="1"/>
        <s v="2841/21-22" u="1"/>
        <s v="3637" u="1"/>
        <s v="0000889" u="1"/>
        <s v="2022/A01002927" u="1"/>
        <s v="2437" u="1"/>
        <s v="15371" u="1"/>
        <s v="11370" u="1"/>
        <s v="RA/21-22/1408" u="1"/>
        <s v="2122201550" u="1"/>
        <s v="2457" u="1"/>
        <s v="1257" u="1"/>
        <s v="4877" u="1"/>
        <s v="0000983" u="1"/>
        <s v="47" u="1"/>
        <s v="35" u="1"/>
        <s v="4076" u="1"/>
        <s v="F20031105139" u="1"/>
        <s v="2487" u="1"/>
        <s v="8488986620" u="1"/>
        <s v="189103243-EX" u="1"/>
        <s v="271" u="1"/>
        <s v="2910" u="1"/>
        <s v="HALD/2122/D5156" u="1"/>
        <s v="21-22/VBD/003350" u="1"/>
        <s v="151" u="1"/>
        <s v="0000864" u="1"/>
        <s v="031" u="1"/>
        <s v="2920" u="1"/>
        <s v="9392110107" u="1"/>
        <s v="0000744" u="1"/>
        <s v="MH21-22/TI-1426" u="1"/>
        <s v="273" u="1"/>
        <s v="LS2021500853" u="1"/>
        <s v="OS2421011885" u="1"/>
        <s v="2022/A01003915" u="1"/>
        <s v="153" u="1"/>
        <s v="394" u="1"/>
        <s v="2769/21-22" u="1"/>
        <s v="BEH/21-22/0124" u="1"/>
        <s v="396" u="1"/>
        <s v="15148" u="1"/>
        <s v="15348" u="1"/>
        <s v="2421/21-22" u="1"/>
        <s v="279" u="1"/>
        <s v="K0587/21-22" u="1"/>
        <s v="3217" u="1"/>
        <s v="MH21-22/TI-2106" u="1"/>
        <s v="15572" u="1"/>
        <s v="79" u="1"/>
        <s v="MH21-22/TI-1548" u="1"/>
        <s v="55" u="1"/>
        <s v="590" u="1"/>
        <s v="31" u="1"/>
        <s v="350" u="1"/>
        <s v="591" u="1"/>
        <s v="21-22/VBD/003338" u="1"/>
        <s v="16001" u="1"/>
        <s v="2898" u="1"/>
        <s v="9392108632" u="1"/>
        <s v="111" u="1"/>
        <s v="1310" u="1"/>
        <s v="594" u="1"/>
        <s v="189103175" u="1"/>
        <s v="233" u="1"/>
        <s v="474" u="1"/>
        <s v="234" u="1"/>
        <s v="2540" u="1"/>
        <s v="2022/A01002102" u="1"/>
        <s v="0000725" u="1"/>
        <s v="235" u="1"/>
        <s v="0000846" u="1"/>
        <s v="236" u="1"/>
        <s v="598" u="1"/>
        <s v="SS-0084/21-22" u="1"/>
        <s v="237" u="1"/>
        <s v="2122201492" u="1"/>
        <s v="15357" u="1"/>
        <s v="2832/21-22" u="1"/>
        <s v="118" u="1"/>
        <s v="0991" u="1"/>
        <s v="2418" u="1"/>
        <s v="15365" u="1"/>
        <s v="1390" u="1"/>
        <s v="4027" u="1"/>
        <s v="4838" u="1"/>
        <s v="15373" u="1"/>
        <s v="102195" u="1"/>
        <s v="2852/21-22" u="1"/>
        <s v="2438" u="1"/>
        <s v="102459" u="1"/>
        <s v="101527" u="1"/>
        <s v="MH21-22/TI-1883" u="1"/>
        <s v="87" u="1"/>
        <s v="GST/21-22/0879" u="1"/>
        <s v="2468" u="1"/>
        <s v="2892/21-22" u="1"/>
        <s v="63" u="1"/>
        <s v="1268" u="1"/>
        <s v="430" u="1"/>
        <s v="2022/A01003742" u="1"/>
        <s v="551" u="1"/>
        <s v="2488" u="1"/>
        <s v="2911" u="1"/>
        <s v="311" u="1"/>
        <s v="2498" u="1"/>
        <s v="2022/A01002069" u="1"/>
        <s v="312" u="1"/>
        <s v="553" u="1"/>
        <s v="3320" u="1"/>
        <s v="3562/Z/TI/21-22" u="1"/>
        <s v="554" u="1"/>
        <s v="0000704" u="1"/>
        <s v="434" u="1"/>
        <s v="OS2421013284" u="1"/>
        <s v="2022/A01003914" u="1"/>
        <s v="314" u="1"/>
        <s v="435" u="1"/>
        <s v="H05A222101002779" u="1"/>
        <s v="3350" u="1"/>
        <s v="436" u="1"/>
        <s v="2150" u="1"/>
        <s v="316" u="1"/>
        <s v="437" u="1"/>
        <s v="6980" u="1"/>
        <s v="438" u="1"/>
        <s v="2981" u="1"/>
        <s v="439" u="1"/>
        <s v="4590" u="1"/>
        <s v="0000707" u="1"/>
        <s v="15374" u="1"/>
        <s v="SS-00102" u="1"/>
        <s v="15382" u="1"/>
        <s v="50242677" u="1"/>
        <s v="RDDIN2106945" u="1"/>
        <s v="IN0521000077" u="1"/>
        <s v="1649" u="1"/>
        <s v="3248" u="1"/>
        <s v="2122109835" u="1"/>
        <s v="3258" u="1"/>
        <s v="990" u="1"/>
        <s v="BJE/2021/-356" u="1"/>
        <s v="RA/21-22/1017" u="1"/>
        <s v="PT01/LOC/00864" u="1"/>
        <s v="2879" u="1"/>
        <s v="15966" u="1"/>
        <s v="VA21000000013792" u="1"/>
        <s v="511" u="1"/>
        <s v="993" u="1"/>
        <s v="1301" u="1"/>
        <s v="1699" u="1"/>
        <s v="2511" u="1"/>
        <s v="512" u="1"/>
        <s v="2124004929" u="1"/>
        <s v="514" u="1"/>
        <s v="635" u="1"/>
        <s v="0000805" u="1"/>
        <s v="2130100889" u="1"/>
        <s v="636" u="1"/>
        <s v="H-4299/21-22" u="1"/>
        <s v="2022/A01002101" u="1"/>
        <s v="21-22/VBD/002865" u="1"/>
        <s v="1351" u="1"/>
        <s v="0000926" u="1"/>
        <s v="878" u="1"/>
        <s v="4160" u="1"/>
        <s v="H05A222101002691" u="1"/>
        <s v="11266" u="1"/>
        <s v="15367" u="1"/>
        <s v="2924/2021-22" u="1"/>
        <s v="1209" u="1"/>
        <s v="0000807" u="1"/>
        <s v="2122201490" u="1"/>
        <s v="101295" u="1"/>
        <s v="JVG/197" u="1"/>
        <s v="21-22/VBD/003280" u="1"/>
        <s v="1229" u="1"/>
        <s v="2439" u="1"/>
        <s v="15391" u="1"/>
        <s v="K0898/21-22" u="1"/>
        <s v="15859" u="1"/>
        <s v="MH0121119762" u="1"/>
        <s v="1259" u="1"/>
        <s v="59000256" u="1"/>
        <s v="91" u="1"/>
        <s v="MH3100001270" u="1"/>
        <s v="831" u="1"/>
        <s v="4501" u="1"/>
        <s v="16020" u="1"/>
        <s v="11A" u="1"/>
        <s v="833" u="1"/>
        <s v="H05A222101003068" u="1"/>
        <s v="RA/21-22/1425" u="1"/>
        <s v="21-22/VBD/003961" u="1"/>
        <s v="JVG/294" u="1"/>
        <s v="VICGPL/2122/3143" u="1"/>
        <s v="VA21000000009659" u="1"/>
        <s v="2952" u="1"/>
        <s v="2022/A01003913" u="1"/>
        <s v="RPC1/21-22/1250" u="1"/>
        <s v="JL1038" u="1"/>
        <s v="15268" u="1"/>
        <s v="F25210002136" u="1"/>
        <s v="2171" u="1"/>
        <s v="15368" u="1"/>
        <s v="2009" u="1"/>
        <s v="2181" u="1"/>
        <s v="2191" u="1"/>
        <s v="21-22/VBD/003955" u="1"/>
        <s v="3239" u="1"/>
        <s v="2463/21-22" u="1"/>
        <s v="2021-22/050" u="1"/>
        <s v="8488984903" u="1"/>
        <s v="3269" u="1"/>
        <s v="16005" u="1"/>
        <s v="N1693" u="1"/>
        <s v="2122112319" u="1"/>
        <s v="21-22/VBD/002615" u="1"/>
        <s v="911" u="1"/>
        <s v="2512" u="1"/>
        <s v="16305" u="1"/>
        <s v="JVG/273" u="1"/>
        <s v="32211" u="1"/>
        <s v="9392108800" u="1"/>
        <s v="1352" u="1"/>
        <s v="2003/21-22" u="1"/>
        <s v="3772" u="1"/>
        <s v="2824/21-22" u="1"/>
        <s v="4181" u="1"/>
        <s v="1382" u="1"/>
        <s v="21-22/0100" u="1"/>
        <s v="2864/21-22" u="1"/>
        <s v="21-22-650-GDEL" u="1"/>
        <s v="4049" u="1"/>
        <s v="2874/21-22" u="1"/>
        <s v="2021-22/040" u="1"/>
        <s v="100611" u="1"/>
        <s v="16014" u="1"/>
        <s v="21-22/VBD/004234" u="1"/>
        <s v="2903" u="1"/>
        <s v="JVG/252" u="1"/>
        <s v="RKDP/21-22/16300" u="1"/>
        <s v="2913" u="1"/>
        <s v="16030" u="1"/>
        <s v="21-22/VBD/003018" u="1"/>
        <s v="2021-22/1127" u="1"/>
        <s v="2953" u="1"/>
        <s v="5762" u="1"/>
        <s v="2122115134" u="1"/>
        <s v="5772" u="1"/>
        <s v="2973" u="1"/>
        <s v="4572" u="1"/>
        <s v="2983" u="1"/>
        <s v="15378" u="1"/>
        <s v="279065052" u="1"/>
        <s v="LBDIN2106221" u="1"/>
        <s v="21-22/VBD/004104" u="1"/>
        <s v="H-4453/21-22" u="1"/>
        <s v="366/21-22" u="1"/>
        <s v="MH21-22/TI-1971" u="1"/>
        <s v="F25210001557" u="1"/>
        <s v="2494/21-22" u="1"/>
        <s v="21-22/VBD/002639" u="1"/>
        <s v="4334/Z/TI/21-22" u="1"/>
        <s v="192421104213" u="1"/>
        <s v="21-22/VBD/002671" u="1"/>
        <s v="F20031105132" u="1"/>
        <s v="1313" u="1"/>
        <s v="2523" u="1"/>
        <s v="21112010015766" u="1"/>
        <s v="MDS/2610/21-22" u="1"/>
        <s v="80059976" u="1"/>
        <s v="BJE/2021/-373" u="1"/>
        <s v="2902/GST/21-22" u="1"/>
        <s v="21-22/VBD/003709" u="1"/>
        <s v="4162" u="1"/>
        <s v="F25210001577" u="1"/>
        <s v="5372" u="1"/>
        <s v="SI422122/303318" u="1"/>
        <s v="JVG/236" u="1"/>
        <s v="AM21000000005685" u="1"/>
        <s v="2593" u="1"/>
        <s v="15395" u="1"/>
        <s v="15495" u="1"/>
        <s v="2044/21-22" u="1"/>
        <s v="RA/21-22/1142" u="1"/>
        <s v="16008" u="1"/>
        <s v="2074/21-22" u="1"/>
        <s v="16016" u="1"/>
        <s v="16208" u="1"/>
        <s v="2094/21-22" u="1"/>
        <s v="2022A01002401" u="1"/>
        <s v="MH21-22/TI-1612" u="1"/>
        <s v="16040" u="1"/>
        <s v="1714" u="1"/>
        <s v="VA21000000015039" u="1"/>
        <s v="16340" u="1"/>
        <s v="8135033103" u="1"/>
        <s v="2954" u="1"/>
        <s v="MUM005108" u="1"/>
        <s v="RPC1/21-22/1499" u="1"/>
        <s v="2964" u="1"/>
        <s v="2163" u="1"/>
        <s v="DL/2122/21020444" u="1"/>
        <s v="JVG/215" u="1"/>
        <s v="9392107788" u="1"/>
        <s v="2173" u="1"/>
        <s v="2984" u="1"/>
        <s v="11287" u="1"/>
        <s v="15388" u="1"/>
        <s v="SS01/LOC/01490" u="1"/>
        <s v="1784" u="1"/>
        <s v="15396" u="1"/>
        <s v="3393" u="1"/>
        <s v="SI422122/302613" u="1"/>
        <s v="PLDOM/0303/21-22" u="1"/>
        <s v="CI0028104820" u="1"/>
        <s v="16025" u="1"/>
        <s v="1932/21DOM/05028" u="1"/>
        <s v="2124003671" u="1"/>
        <s v="3704" u="1"/>
        <s v="2022/A01002694" u="1"/>
        <s v="2504" u="1"/>
        <s v="16041" u="1"/>
        <s v="C45" u="1"/>
        <s v="16233" u="1"/>
        <s v="1314" u="1"/>
        <s v="2127014128" u="1"/>
        <s v="2544" u="1"/>
        <s v="4173" u="1"/>
        <s v="2015/21-22" u="1"/>
        <s v="2826/21-22" u="1"/>
        <s v="9392108799" u="1"/>
        <s v="2022/A01003774" u="1"/>
        <s v="2132/GST/21-22" u="1"/>
        <s v="15489" u="1"/>
        <s v="4193" u="1"/>
        <s v="JVG/317" u="1"/>
        <s v="2021-22/148" u="1"/>
        <s v="2876/21-22" u="1"/>
        <s v="F20031105633" u="1"/>
        <s v="MUM007617" u="1"/>
        <s v="2915" u="1"/>
        <s v="2060/GST21-22" u="1"/>
        <s v="16426" u="1"/>
        <s v="RDDIN2104516" u="1"/>
        <s v="2945" u="1"/>
        <s v="2154" u="1"/>
        <s v="1900-0010" u="1"/>
        <s v="163/2021-22" u="1"/>
        <s v="2174" u="1"/>
        <s v="2985" u="1"/>
        <s v="59000320" u="1"/>
        <s v="284/2021-22" u="1"/>
        <s v="OS2421013295" u="1"/>
        <s v="9392108798" u="1"/>
        <s v="2184" u="1"/>
        <s v="2995" u="1"/>
        <s v="1795" u="1"/>
        <s v="2194" u="1"/>
        <s v="RDDIN2106946" u="1"/>
        <s v="101661" u="1"/>
        <s v="IN0521000078" u="1"/>
        <s v="21112010013764" u="1"/>
        <s v="MH21-22/TI-1951" u="1"/>
        <s v="16035" u="1"/>
        <s v="CI0028104738" u="1"/>
        <s v="16043" u="1"/>
        <s v="3715" u="1"/>
        <s v="BJE/2021/-374" u="1"/>
        <s v="2545" u="1"/>
        <s v="2022/A01003305" u="1"/>
        <s v="2565" u="1"/>
        <s v="2575" u="1"/>
        <s v="4174" u="1"/>
        <s v="2585" u="1"/>
        <s v="2837/21-22" u="1"/>
        <s v="MH21-22/TI-1832" u="1"/>
        <s v="RA/21-22/1099" u="1"/>
        <s v="100947" u="1"/>
        <s v="SB22008772" u="1"/>
        <s v="2183/GST/21-22" u="1"/>
        <s v="F25210001890" u="1"/>
      </sharedItems>
    </cacheField>
    <cacheField name="Bill Date" numFmtId="14">
      <sharedItems containsSemiMixedTypes="0" containsNonDate="0" containsDate="1" containsString="0" minDate="1990-01-01T00:00:00" maxDate="1990-04-01T00:00:00" count="39">
        <d v="1990-01-08T00:00:00"/>
        <d v="1990-01-10T00:00:00"/>
        <d v="1990-01-21T00:00:00"/>
        <d v="1990-01-09T00:00:00"/>
        <d v="1990-03-26T00:00:00"/>
        <d v="1990-01-19T00:00:00"/>
        <d v="1990-01-25T00:00:00"/>
        <d v="1990-03-21T00:00:00"/>
        <d v="1990-01-07T00:00:00"/>
        <d v="1990-01-01T00:00:00"/>
        <d v="1990-01-02T00:00:00"/>
        <d v="1990-03-22T00:00:00"/>
        <d v="1990-01-06T00:00:00"/>
        <d v="1990-01-05T00:00:00"/>
        <d v="1990-01-14T00:00:00"/>
        <d v="1990-01-15T00:00:00"/>
        <d v="1990-01-11T00:00:00"/>
        <d v="1990-01-12T00:00:00"/>
        <d v="1990-01-13T00:00:00"/>
        <d v="1990-01-16T00:00:00"/>
        <d v="1990-01-17T00:00:00"/>
        <d v="1990-01-18T00:00:00"/>
        <d v="1990-01-22T00:00:00"/>
        <d v="1990-01-23T00:00:00"/>
        <d v="1990-01-26T00:00:00"/>
        <d v="1990-01-27T00:00:00"/>
        <d v="1990-01-20T00:00:00"/>
        <d v="1990-03-31T00:00:00"/>
        <d v="1990-01-28T00:00:00"/>
        <d v="1990-01-29T00:00:00"/>
        <d v="1990-03-24T00:00:00"/>
        <d v="1990-03-25T00:00:00"/>
        <d v="1990-03-29T00:00:00"/>
        <d v="1990-03-30T00:00:00"/>
        <d v="1990-03-28T00:00:00"/>
        <d v="1990-01-24T00:00:00"/>
        <d v="1990-03-03T00:00:00"/>
        <d v="1990-03-27T00:00:00"/>
        <d v="1990-01-30T00:00:00"/>
      </sharedItems>
    </cacheField>
    <cacheField name="TAX type" numFmtId="0">
      <sharedItems count="6">
        <s v="Input"/>
        <s v="RCM"/>
        <s v="Ineligible"/>
        <s v="Not in GST" u="1"/>
        <s v="Exempt" u="1"/>
        <s v="NON GST" u="1"/>
      </sharedItems>
    </cacheField>
    <cacheField name="Bill Amt.(TC)" numFmtId="0">
      <sharedItems containsSemiMixedTypes="0" containsString="0" containsNumber="1" minValue="-63797" maxValue="4989323.2"/>
    </cacheField>
    <cacheField name="Tax Value" numFmtId="0">
      <sharedItems containsSemiMixedTypes="0" containsString="0" containsNumber="1" minValue="-9731.82" maxValue="761083.2"/>
    </cacheField>
    <cacheField name="Assbl. Val." numFmtId="0">
      <sharedItems containsSemiMixedTypes="0" containsString="0" containsNumber="1" minValue="-54065.62" maxValue="4228240"/>
    </cacheField>
    <cacheField name="Ineligible" numFmtId="0">
      <sharedItems/>
    </cacheField>
    <cacheField name="GSTIN No." numFmtId="0">
      <sharedItems/>
    </cacheField>
    <cacheField name="SGST0" numFmtId="0">
      <sharedItems containsSemiMixedTypes="0" containsString="0" containsNumber="1" containsInteger="1" minValue="0" maxValue="0"/>
    </cacheField>
    <cacheField name="SGST14" numFmtId="0">
      <sharedItems containsSemiMixedTypes="0" containsString="0" containsNumber="1" containsInteger="1" minValue="0" maxValue="165"/>
    </cacheField>
    <cacheField name="SGST2.5" numFmtId="0">
      <sharedItems containsSemiMixedTypes="0" containsString="0" containsNumber="1" minValue="0" maxValue="389.25"/>
    </cacheField>
    <cacheField name="SGST6" numFmtId="0">
      <sharedItems containsSemiMixedTypes="0" containsString="0" containsNumber="1" minValue="0" maxValue="17365"/>
    </cacheField>
    <cacheField name="SGST9" numFmtId="0">
      <sharedItems containsSemiMixedTypes="0" containsString="0" containsNumber="1" minValue="-4865.91" maxValue="158709"/>
    </cacheField>
    <cacheField name="SGST Total" numFmtId="0">
      <sharedItems containsSemiMixedTypes="0" containsString="0" containsNumber="1" minValue="-4865.91" maxValue="158709"/>
    </cacheField>
    <cacheField name="CGST0" numFmtId="0">
      <sharedItems containsSemiMixedTypes="0" containsString="0" containsNumber="1" containsInteger="1" minValue="0" maxValue="0"/>
    </cacheField>
    <cacheField name="CGST14" numFmtId="0">
      <sharedItems containsSemiMixedTypes="0" containsString="0" containsNumber="1" containsInteger="1" minValue="0" maxValue="165"/>
    </cacheField>
    <cacheField name="CGST2.5" numFmtId="0">
      <sharedItems containsSemiMixedTypes="0" containsString="0" containsNumber="1" minValue="0" maxValue="389.25"/>
    </cacheField>
    <cacheField name="CGST6" numFmtId="0">
      <sharedItems containsSemiMixedTypes="0" containsString="0" containsNumber="1" minValue="0" maxValue="17365"/>
    </cacheField>
    <cacheField name="CGST9" numFmtId="0">
      <sharedItems containsSemiMixedTypes="0" containsString="0" containsNumber="1" minValue="-4865.91" maxValue="158709"/>
    </cacheField>
    <cacheField name="CGST Total" numFmtId="0">
      <sharedItems containsSemiMixedTypes="0" containsString="0" containsNumber="1" minValue="-4865.91" maxValue="158709"/>
    </cacheField>
    <cacheField name="IGST0" numFmtId="0">
      <sharedItems containsSemiMixedTypes="0" containsString="0" containsNumber="1" containsInteger="1" minValue="0" maxValue="0"/>
    </cacheField>
    <cacheField name="IGST12" numFmtId="0">
      <sharedItems containsSemiMixedTypes="0" containsString="0" containsNumber="1" containsInteger="1" minValue="0" maxValue="306"/>
    </cacheField>
    <cacheField name="IGST18" numFmtId="0">
      <sharedItems containsSemiMixedTypes="0" containsString="0" containsNumber="1" minValue="-3456" maxValue="761083.2"/>
    </cacheField>
    <cacheField name="IGST5" numFmtId="0">
      <sharedItems containsString="0" containsBlank="1" containsNumber="1" containsInteger="1" minValue="0" maxValue="0"/>
    </cacheField>
    <cacheField name="IGST Total" numFmtId="0">
      <sharedItems containsSemiMixedTypes="0" containsString="0" containsNumber="1" minValue="-3456" maxValue="761083.2"/>
    </cacheField>
    <cacheField name="Input" numFmtId="0">
      <sharedItems containsSemiMixedTypes="0" containsString="0" containsNumber="1" minValue="-9731.82" maxValue="761083.2"/>
    </cacheField>
    <cacheField name="SGSTR2.5" numFmtId="0">
      <sharedItems containsSemiMixedTypes="0" containsString="0" containsNumber="1" minValue="-53.68" maxValue="4212.4799999999996"/>
    </cacheField>
    <cacheField name="SGSTR9" numFmtId="0">
      <sharedItems containsSemiMixedTypes="0" containsString="0" containsNumber="1" containsInteger="1" minValue="0" maxValue="0"/>
    </cacheField>
    <cacheField name="SGST RCM Total" numFmtId="0">
      <sharedItems containsSemiMixedTypes="0" containsString="0" containsNumber="1" minValue="-53.68" maxValue="4212.4799999999996"/>
    </cacheField>
    <cacheField name="CGSTR2.5" numFmtId="0">
      <sharedItems containsSemiMixedTypes="0" containsString="0" containsNumber="1" minValue="-53.68" maxValue="4212.4799999999996"/>
    </cacheField>
    <cacheField name="CGSTR9" numFmtId="0">
      <sharedItems containsSemiMixedTypes="0" containsString="0" containsNumber="1" containsInteger="1" minValue="0" maxValue="0"/>
    </cacheField>
    <cacheField name="CGST RCM Total" numFmtId="0">
      <sharedItems containsSemiMixedTypes="0" containsString="0" containsNumber="1" minValue="-53.68" maxValue="4212.4799999999996"/>
    </cacheField>
    <cacheField name="IGSTR5" numFmtId="0">
      <sharedItems containsSemiMixedTypes="0" containsString="0" containsNumber="1" containsInteger="1" minValue="0" maxValue="268"/>
    </cacheField>
    <cacheField name="IGST RCM Total" numFmtId="0">
      <sharedItems containsSemiMixedTypes="0" containsString="0" containsNumber="1" containsInteger="1" minValue="0" maxValue="268"/>
    </cacheField>
    <cacheField name="RCM Input" numFmtId="0">
      <sharedItems containsSemiMixedTypes="0" containsString="0" containsNumber="1" minValue="-107.36" maxValue="8424.9599999999991"/>
    </cacheField>
    <cacheField name="GST Type" numFmtId="0">
      <sharedItems count="4">
        <s v="Local"/>
        <s v="Inter state"/>
        <s v="Union Territory"/>
        <s v="Impor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8">
  <r>
    <s v="APD"/>
    <x v="0"/>
    <x v="0"/>
    <x v="0"/>
    <x v="0"/>
    <x v="0"/>
    <x v="0"/>
    <x v="0"/>
    <x v="0"/>
    <n v="20162.900000000001"/>
    <n v="3075.7"/>
    <n v="17087.2"/>
    <s v="No"/>
    <s v="05ABCEFGHIJK1Z5"/>
    <n v="0"/>
    <n v="0"/>
    <n v="0"/>
    <n v="0"/>
    <n v="1537.85"/>
    <n v="1537.85"/>
    <n v="0"/>
    <n v="0"/>
    <n v="0"/>
    <n v="0"/>
    <n v="1537.85"/>
    <n v="1537.85"/>
    <n v="0"/>
    <n v="0"/>
    <n v="0"/>
    <m/>
    <n v="0"/>
    <n v="3075.7"/>
    <n v="0"/>
    <n v="0"/>
    <n v="0"/>
    <n v="0"/>
    <n v="0"/>
    <n v="0"/>
    <n v="0"/>
    <n v="0"/>
    <n v="0"/>
    <x v="0"/>
  </r>
  <r>
    <s v="APD"/>
    <x v="0"/>
    <x v="1"/>
    <x v="0"/>
    <x v="0"/>
    <x v="0"/>
    <x v="1"/>
    <x v="1"/>
    <x v="0"/>
    <n v="4868.68"/>
    <n v="742.68"/>
    <n v="4126"/>
    <s v="No"/>
    <s v="05ABCEFGHIJK1Z5"/>
    <n v="0"/>
    <n v="0"/>
    <n v="0"/>
    <n v="0"/>
    <n v="371.34"/>
    <n v="371.34"/>
    <n v="0"/>
    <n v="0"/>
    <n v="0"/>
    <n v="0"/>
    <n v="371.34"/>
    <n v="371.34"/>
    <n v="0"/>
    <n v="0"/>
    <n v="0"/>
    <m/>
    <n v="0"/>
    <n v="742.68"/>
    <n v="0"/>
    <n v="0"/>
    <n v="0"/>
    <n v="0"/>
    <n v="0"/>
    <n v="0"/>
    <n v="0"/>
    <n v="0"/>
    <n v="0"/>
    <x v="0"/>
  </r>
  <r>
    <s v="APD"/>
    <x v="0"/>
    <x v="2"/>
    <x v="0"/>
    <x v="0"/>
    <x v="0"/>
    <x v="2"/>
    <x v="0"/>
    <x v="0"/>
    <n v="40267.5"/>
    <n v="6142.5"/>
    <n v="34125"/>
    <s v="No"/>
    <s v="05ABCEFGHIJK1Z5"/>
    <n v="0"/>
    <n v="0"/>
    <n v="0"/>
    <n v="0"/>
    <n v="3071.25"/>
    <n v="3071.25"/>
    <n v="0"/>
    <n v="0"/>
    <n v="0"/>
    <n v="0"/>
    <n v="3071.25"/>
    <n v="3071.25"/>
    <n v="0"/>
    <n v="0"/>
    <n v="0"/>
    <m/>
    <n v="0"/>
    <n v="6142.5"/>
    <n v="0"/>
    <n v="0"/>
    <n v="0"/>
    <n v="0"/>
    <n v="0"/>
    <n v="0"/>
    <n v="0"/>
    <n v="0"/>
    <n v="0"/>
    <x v="0"/>
  </r>
  <r>
    <s v="APD"/>
    <x v="0"/>
    <x v="3"/>
    <x v="0"/>
    <x v="0"/>
    <x v="0"/>
    <x v="3"/>
    <x v="2"/>
    <x v="0"/>
    <n v="449072.6"/>
    <n v="68502.600000000006"/>
    <n v="380570"/>
    <s v="No"/>
    <s v="26ABCEFGHIJK1ZJ"/>
    <n v="0"/>
    <n v="0"/>
    <n v="0"/>
    <n v="0"/>
    <n v="0"/>
    <n v="0"/>
    <n v="0"/>
    <n v="0"/>
    <n v="0"/>
    <n v="0"/>
    <n v="0"/>
    <n v="0"/>
    <n v="0"/>
    <n v="0"/>
    <n v="68502.600000000006"/>
    <m/>
    <n v="68502.600000000006"/>
    <n v="68502.600000000006"/>
    <n v="0"/>
    <n v="0"/>
    <n v="0"/>
    <n v="0"/>
    <n v="0"/>
    <n v="0"/>
    <n v="0"/>
    <n v="0"/>
    <n v="0"/>
    <x v="1"/>
  </r>
  <r>
    <s v="APD"/>
    <x v="0"/>
    <x v="4"/>
    <x v="0"/>
    <x v="0"/>
    <x v="0"/>
    <x v="4"/>
    <x v="2"/>
    <x v="0"/>
    <n v="24034.240000000002"/>
    <n v="3666.24"/>
    <n v="20368"/>
    <s v="No"/>
    <s v="26ABCEFGHIJK1ZJ"/>
    <n v="0"/>
    <n v="0"/>
    <n v="0"/>
    <n v="0"/>
    <n v="0"/>
    <n v="0"/>
    <n v="0"/>
    <n v="0"/>
    <n v="0"/>
    <n v="0"/>
    <n v="0"/>
    <n v="0"/>
    <n v="0"/>
    <n v="0"/>
    <n v="3666.24"/>
    <m/>
    <n v="3666.24"/>
    <n v="3666.24"/>
    <n v="0"/>
    <n v="0"/>
    <n v="0"/>
    <n v="0"/>
    <n v="0"/>
    <n v="0"/>
    <n v="0"/>
    <n v="0"/>
    <n v="0"/>
    <x v="1"/>
  </r>
  <r>
    <s v="SI"/>
    <x v="1"/>
    <x v="1"/>
    <x v="1"/>
    <x v="0"/>
    <x v="0"/>
    <x v="5"/>
    <x v="3"/>
    <x v="0"/>
    <n v="-4902"/>
    <n v="-747.76"/>
    <n v="-4154.21"/>
    <s v="No"/>
    <s v="02ABCEFGHIJK1ZI"/>
    <n v="0"/>
    <n v="0"/>
    <n v="0"/>
    <n v="0"/>
    <n v="0"/>
    <n v="0"/>
    <n v="0"/>
    <n v="0"/>
    <n v="0"/>
    <n v="0"/>
    <n v="0"/>
    <n v="0"/>
    <n v="0"/>
    <n v="0"/>
    <n v="-747.76"/>
    <n v="0"/>
    <n v="-747.76"/>
    <n v="-747.76"/>
    <n v="0"/>
    <n v="0"/>
    <n v="0"/>
    <n v="0"/>
    <n v="0"/>
    <n v="0"/>
    <n v="0"/>
    <n v="0"/>
    <n v="0"/>
    <x v="1"/>
  </r>
  <r>
    <s v="SI"/>
    <x v="1"/>
    <x v="2"/>
    <x v="2"/>
    <x v="0"/>
    <x v="0"/>
    <x v="6"/>
    <x v="4"/>
    <x v="0"/>
    <n v="-16983"/>
    <n v="-2590.56"/>
    <n v="-14391.98"/>
    <s v="No"/>
    <s v="02ABCEFGHIJK1ZI"/>
    <n v="0"/>
    <n v="0"/>
    <n v="0"/>
    <n v="0"/>
    <n v="0"/>
    <n v="0"/>
    <n v="0"/>
    <n v="0"/>
    <n v="0"/>
    <n v="0"/>
    <n v="0"/>
    <n v="0"/>
    <n v="0"/>
    <n v="0"/>
    <n v="-2590.56"/>
    <n v="0"/>
    <n v="-2590.56"/>
    <n v="-2590.56"/>
    <n v="0"/>
    <n v="0"/>
    <n v="0"/>
    <n v="0"/>
    <n v="0"/>
    <n v="0"/>
    <n v="0"/>
    <n v="0"/>
    <n v="0"/>
    <x v="1"/>
  </r>
  <r>
    <s v="SI"/>
    <x v="1"/>
    <x v="3"/>
    <x v="2"/>
    <x v="0"/>
    <x v="0"/>
    <x v="7"/>
    <x v="2"/>
    <x v="0"/>
    <n v="-22656"/>
    <n v="-3456"/>
    <n v="-19200"/>
    <s v="No"/>
    <s v="02ABCEFGHIJK1ZI"/>
    <n v="0"/>
    <n v="0"/>
    <n v="0"/>
    <n v="0"/>
    <n v="0"/>
    <n v="0"/>
    <n v="0"/>
    <n v="0"/>
    <n v="0"/>
    <n v="0"/>
    <n v="0"/>
    <n v="0"/>
    <n v="0"/>
    <n v="0"/>
    <n v="-3456"/>
    <n v="0"/>
    <n v="-3456"/>
    <n v="-3456"/>
    <n v="0"/>
    <n v="0"/>
    <n v="0"/>
    <n v="0"/>
    <n v="0"/>
    <n v="0"/>
    <n v="0"/>
    <n v="0"/>
    <n v="0"/>
    <x v="1"/>
  </r>
  <r>
    <s v="SI"/>
    <x v="1"/>
    <x v="5"/>
    <x v="0"/>
    <x v="0"/>
    <x v="0"/>
    <x v="8"/>
    <x v="5"/>
    <x v="0"/>
    <n v="-63797"/>
    <n v="-9731.82"/>
    <n v="-54065.62"/>
    <s v="No"/>
    <s v="05ABCEFGHIJK1Z8"/>
    <n v="0"/>
    <n v="0"/>
    <n v="0"/>
    <n v="0"/>
    <n v="-4865.91"/>
    <n v="-4865.91"/>
    <n v="0"/>
    <n v="0"/>
    <n v="0"/>
    <n v="0"/>
    <n v="-4865.91"/>
    <n v="-4865.91"/>
    <n v="0"/>
    <n v="0"/>
    <n v="0"/>
    <n v="0"/>
    <n v="0"/>
    <n v="-9731.82"/>
    <n v="0"/>
    <n v="0"/>
    <n v="0"/>
    <n v="0"/>
    <n v="0"/>
    <n v="0"/>
    <n v="0"/>
    <n v="0"/>
    <n v="0"/>
    <x v="0"/>
  </r>
  <r>
    <s v="SI"/>
    <x v="1"/>
    <x v="6"/>
    <x v="0"/>
    <x v="0"/>
    <x v="0"/>
    <x v="9"/>
    <x v="6"/>
    <x v="0"/>
    <n v="-972"/>
    <n v="-148.24"/>
    <n v="-823.5"/>
    <s v="No"/>
    <s v="05ABCEFGHIJK1ZN"/>
    <n v="0"/>
    <n v="0"/>
    <n v="0"/>
    <n v="0"/>
    <n v="-74.12"/>
    <n v="-74.12"/>
    <n v="0"/>
    <n v="0"/>
    <n v="0"/>
    <n v="0"/>
    <n v="-74.12"/>
    <n v="-74.12"/>
    <n v="0"/>
    <n v="0"/>
    <n v="0"/>
    <n v="0"/>
    <n v="0"/>
    <n v="-148.24"/>
    <n v="0"/>
    <n v="0"/>
    <n v="0"/>
    <n v="0"/>
    <n v="0"/>
    <n v="0"/>
    <n v="0"/>
    <n v="0"/>
    <n v="0"/>
    <x v="1"/>
  </r>
  <r>
    <s v="SI"/>
    <x v="1"/>
    <x v="7"/>
    <x v="0"/>
    <x v="0"/>
    <x v="0"/>
    <x v="10"/>
    <x v="7"/>
    <x v="1"/>
    <n v="-2147"/>
    <n v="-107.36"/>
    <n v="-2147.2800000000002"/>
    <s v="No"/>
    <s v="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-53.68"/>
    <n v="0"/>
    <n v="-53.68"/>
    <n v="-53.68"/>
    <n v="0"/>
    <n v="-53.68"/>
    <n v="0"/>
    <n v="0"/>
    <n v="-107.36"/>
    <x v="0"/>
  </r>
  <r>
    <s v="APD"/>
    <x v="2"/>
    <x v="0"/>
    <x v="3"/>
    <x v="0"/>
    <x v="0"/>
    <x v="11"/>
    <x v="8"/>
    <x v="0"/>
    <n v="28231.5"/>
    <n v="4306.5"/>
    <n v="23925"/>
    <s v="No"/>
    <s v="05ABCEFGHIJK1ZP"/>
    <n v="0"/>
    <n v="0"/>
    <n v="0"/>
    <n v="0"/>
    <n v="2153.25"/>
    <n v="2153.25"/>
    <n v="0"/>
    <n v="0"/>
    <n v="0"/>
    <n v="0"/>
    <n v="2153.25"/>
    <n v="2153.25"/>
    <n v="0"/>
    <n v="0"/>
    <n v="0"/>
    <m/>
    <n v="0"/>
    <n v="4306.5"/>
    <n v="0"/>
    <n v="0"/>
    <n v="0"/>
    <n v="0"/>
    <n v="0"/>
    <n v="0"/>
    <n v="0"/>
    <n v="0"/>
    <n v="0"/>
    <x v="0"/>
  </r>
  <r>
    <s v="APD"/>
    <x v="2"/>
    <x v="1"/>
    <x v="3"/>
    <x v="0"/>
    <x v="0"/>
    <x v="12"/>
    <x v="9"/>
    <x v="0"/>
    <n v="14115.76"/>
    <n v="2153.2600000000002"/>
    <n v="11962.5"/>
    <s v="No"/>
    <s v="05ABCEFGHIJK1ZP"/>
    <n v="0"/>
    <n v="0"/>
    <n v="0"/>
    <n v="0"/>
    <n v="1076.6300000000001"/>
    <n v="1076.6300000000001"/>
    <n v="0"/>
    <n v="0"/>
    <n v="0"/>
    <n v="0"/>
    <n v="1076.6300000000001"/>
    <n v="1076.6300000000001"/>
    <n v="0"/>
    <n v="0"/>
    <n v="0"/>
    <m/>
    <n v="0"/>
    <n v="2153.2600000000002"/>
    <n v="0"/>
    <n v="0"/>
    <n v="0"/>
    <n v="0"/>
    <n v="0"/>
    <n v="0"/>
    <n v="0"/>
    <n v="0"/>
    <n v="0"/>
    <x v="0"/>
  </r>
  <r>
    <s v="APD"/>
    <x v="2"/>
    <x v="2"/>
    <x v="3"/>
    <x v="0"/>
    <x v="0"/>
    <x v="13"/>
    <x v="10"/>
    <x v="0"/>
    <n v="1239"/>
    <n v="189"/>
    <n v="1050"/>
    <s v="No"/>
    <s v="05ABCEFGHIJK1Z5"/>
    <n v="0"/>
    <n v="0"/>
    <n v="0"/>
    <n v="0"/>
    <n v="94.5"/>
    <n v="94.5"/>
    <n v="0"/>
    <n v="0"/>
    <n v="0"/>
    <n v="0"/>
    <n v="94.5"/>
    <n v="94.5"/>
    <n v="0"/>
    <n v="0"/>
    <n v="0"/>
    <m/>
    <n v="0"/>
    <n v="189"/>
    <n v="0"/>
    <n v="0"/>
    <n v="0"/>
    <n v="0"/>
    <n v="0"/>
    <n v="0"/>
    <n v="0"/>
    <n v="0"/>
    <n v="0"/>
    <x v="0"/>
  </r>
  <r>
    <s v="APD"/>
    <x v="2"/>
    <x v="3"/>
    <x v="3"/>
    <x v="0"/>
    <x v="0"/>
    <x v="14"/>
    <x v="9"/>
    <x v="0"/>
    <n v="1333.4"/>
    <n v="203.4"/>
    <n v="1130"/>
    <s v="No"/>
    <s v="05ABCEFGHIJK1Z5"/>
    <n v="0"/>
    <n v="0"/>
    <n v="0"/>
    <n v="0"/>
    <n v="101.7"/>
    <n v="101.7"/>
    <n v="0"/>
    <n v="0"/>
    <n v="0"/>
    <n v="0"/>
    <n v="101.7"/>
    <n v="101.7"/>
    <n v="0"/>
    <n v="0"/>
    <n v="0"/>
    <m/>
    <n v="0"/>
    <n v="203.4"/>
    <n v="0"/>
    <n v="0"/>
    <n v="0"/>
    <n v="0"/>
    <n v="0"/>
    <n v="0"/>
    <n v="0"/>
    <n v="0"/>
    <n v="0"/>
    <x v="0"/>
  </r>
  <r>
    <s v="APD"/>
    <x v="2"/>
    <x v="4"/>
    <x v="3"/>
    <x v="0"/>
    <x v="0"/>
    <x v="15"/>
    <x v="11"/>
    <x v="0"/>
    <n v="104608.18"/>
    <n v="15957.18"/>
    <n v="88651"/>
    <s v="No"/>
    <s v="05ABCEFGHIJK1ZT"/>
    <n v="0"/>
    <n v="0"/>
    <n v="0"/>
    <n v="0"/>
    <n v="7978.59"/>
    <n v="7978.59"/>
    <n v="0"/>
    <n v="0"/>
    <n v="0"/>
    <n v="0"/>
    <n v="7978.59"/>
    <n v="7978.59"/>
    <n v="0"/>
    <n v="0"/>
    <n v="0"/>
    <m/>
    <n v="0"/>
    <n v="15957.18"/>
    <n v="0"/>
    <n v="0"/>
    <n v="0"/>
    <n v="0"/>
    <n v="0"/>
    <n v="0"/>
    <n v="0"/>
    <n v="0"/>
    <n v="0"/>
    <x v="0"/>
  </r>
  <r>
    <s v="APD"/>
    <x v="2"/>
    <x v="8"/>
    <x v="4"/>
    <x v="0"/>
    <x v="0"/>
    <x v="16"/>
    <x v="3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5"/>
    <x v="4"/>
    <x v="0"/>
    <x v="0"/>
    <x v="17"/>
    <x v="10"/>
    <x v="0"/>
    <n v="150096"/>
    <n v="0"/>
    <n v="150096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6"/>
    <x v="4"/>
    <x v="0"/>
    <x v="0"/>
    <x v="18"/>
    <x v="12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7"/>
    <x v="4"/>
    <x v="0"/>
    <x v="0"/>
    <x v="19"/>
    <x v="9"/>
    <x v="0"/>
    <n v="413"/>
    <n v="63"/>
    <n v="350"/>
    <s v="No"/>
    <s v="05ABCEFGHIJK1ZK"/>
    <n v="0"/>
    <n v="0"/>
    <n v="0"/>
    <n v="0"/>
    <n v="31.5"/>
    <n v="31.5"/>
    <n v="0"/>
    <n v="0"/>
    <n v="0"/>
    <n v="0"/>
    <n v="31.5"/>
    <n v="31.5"/>
    <n v="0"/>
    <n v="0"/>
    <n v="0"/>
    <m/>
    <n v="0"/>
    <n v="63"/>
    <n v="0"/>
    <n v="0"/>
    <n v="0"/>
    <n v="0"/>
    <n v="0"/>
    <n v="0"/>
    <n v="0"/>
    <n v="0"/>
    <n v="0"/>
    <x v="0"/>
  </r>
  <r>
    <s v="APD"/>
    <x v="2"/>
    <x v="9"/>
    <x v="4"/>
    <x v="0"/>
    <x v="0"/>
    <x v="20"/>
    <x v="9"/>
    <x v="0"/>
    <n v="767"/>
    <n v="117"/>
    <n v="650"/>
    <s v="No"/>
    <s v="05ABCEFGHIJK1ZM"/>
    <n v="0"/>
    <n v="0"/>
    <n v="0"/>
    <n v="0"/>
    <n v="58.5"/>
    <n v="58.5"/>
    <n v="0"/>
    <n v="0"/>
    <n v="0"/>
    <n v="0"/>
    <n v="58.5"/>
    <n v="58.5"/>
    <n v="0"/>
    <n v="0"/>
    <n v="0"/>
    <m/>
    <n v="0"/>
    <n v="117"/>
    <n v="0"/>
    <n v="0"/>
    <n v="0"/>
    <n v="0"/>
    <n v="0"/>
    <n v="0"/>
    <n v="0"/>
    <n v="0"/>
    <n v="0"/>
    <x v="0"/>
  </r>
  <r>
    <s v="APD"/>
    <x v="2"/>
    <x v="10"/>
    <x v="4"/>
    <x v="0"/>
    <x v="0"/>
    <x v="21"/>
    <x v="9"/>
    <x v="0"/>
    <n v="1180"/>
    <n v="180"/>
    <n v="1000"/>
    <s v="No"/>
    <s v="05ABCEFGHIJK1ZK"/>
    <n v="0"/>
    <n v="0"/>
    <n v="0"/>
    <n v="0"/>
    <n v="90"/>
    <n v="90"/>
    <n v="0"/>
    <n v="0"/>
    <n v="0"/>
    <n v="0"/>
    <n v="90"/>
    <n v="90"/>
    <n v="0"/>
    <n v="0"/>
    <n v="0"/>
    <m/>
    <n v="0"/>
    <n v="180"/>
    <n v="0"/>
    <n v="0"/>
    <n v="0"/>
    <n v="0"/>
    <n v="0"/>
    <n v="0"/>
    <n v="0"/>
    <n v="0"/>
    <n v="0"/>
    <x v="0"/>
  </r>
  <r>
    <s v="APD"/>
    <x v="2"/>
    <x v="11"/>
    <x v="4"/>
    <x v="0"/>
    <x v="0"/>
    <x v="22"/>
    <x v="3"/>
    <x v="0"/>
    <n v="10620"/>
    <n v="1620"/>
    <n v="9000"/>
    <s v="No"/>
    <s v="05ABCEFGHIJK1ZH"/>
    <n v="0"/>
    <n v="0"/>
    <n v="0"/>
    <n v="0"/>
    <n v="810"/>
    <n v="810"/>
    <n v="0"/>
    <n v="0"/>
    <n v="0"/>
    <n v="0"/>
    <n v="810"/>
    <n v="810"/>
    <n v="0"/>
    <n v="0"/>
    <n v="0"/>
    <m/>
    <n v="0"/>
    <n v="1620"/>
    <n v="0"/>
    <n v="0"/>
    <n v="0"/>
    <n v="0"/>
    <n v="0"/>
    <n v="0"/>
    <n v="0"/>
    <n v="0"/>
    <n v="0"/>
    <x v="0"/>
  </r>
  <r>
    <s v="APD"/>
    <x v="2"/>
    <x v="12"/>
    <x v="4"/>
    <x v="0"/>
    <x v="0"/>
    <x v="23"/>
    <x v="9"/>
    <x v="0"/>
    <n v="1004"/>
    <n v="154"/>
    <n v="850"/>
    <s v="No"/>
    <s v="05ABCEFGHIJK1Z2"/>
    <n v="0"/>
    <n v="0"/>
    <n v="0"/>
    <n v="0"/>
    <n v="77"/>
    <n v="77"/>
    <n v="0"/>
    <n v="0"/>
    <n v="0"/>
    <n v="0"/>
    <n v="77"/>
    <n v="77"/>
    <n v="0"/>
    <n v="0"/>
    <n v="0"/>
    <m/>
    <n v="0"/>
    <n v="154"/>
    <n v="0"/>
    <n v="0"/>
    <n v="0"/>
    <n v="0"/>
    <n v="0"/>
    <n v="0"/>
    <n v="0"/>
    <n v="0"/>
    <n v="0"/>
    <x v="0"/>
  </r>
  <r>
    <s v="APD"/>
    <x v="2"/>
    <x v="13"/>
    <x v="4"/>
    <x v="0"/>
    <x v="0"/>
    <x v="24"/>
    <x v="9"/>
    <x v="0"/>
    <n v="1846"/>
    <n v="282"/>
    <n v="1564"/>
    <s v="No"/>
    <s v="05ABCEFGHIJK1Z2"/>
    <n v="0"/>
    <n v="0"/>
    <n v="0"/>
    <n v="0"/>
    <n v="141"/>
    <n v="141"/>
    <n v="0"/>
    <n v="0"/>
    <n v="0"/>
    <n v="0"/>
    <n v="141"/>
    <n v="141"/>
    <n v="0"/>
    <n v="0"/>
    <n v="0"/>
    <m/>
    <n v="0"/>
    <n v="282"/>
    <n v="0"/>
    <n v="0"/>
    <n v="0"/>
    <n v="0"/>
    <n v="0"/>
    <n v="0"/>
    <n v="0"/>
    <n v="0"/>
    <n v="0"/>
    <x v="0"/>
  </r>
  <r>
    <s v="APD"/>
    <x v="2"/>
    <x v="14"/>
    <x v="4"/>
    <x v="0"/>
    <x v="0"/>
    <x v="25"/>
    <x v="13"/>
    <x v="0"/>
    <n v="4306"/>
    <n v="526"/>
    <n v="3780"/>
    <s v="No"/>
    <s v="05ABCEFGHIJK1Z2"/>
    <n v="0"/>
    <n v="0"/>
    <n v="30"/>
    <n v="0"/>
    <n v="233"/>
    <n v="263"/>
    <n v="0"/>
    <n v="0"/>
    <n v="30"/>
    <n v="0"/>
    <n v="233"/>
    <n v="263"/>
    <n v="0"/>
    <n v="0"/>
    <n v="0"/>
    <m/>
    <n v="0"/>
    <n v="526"/>
    <n v="0"/>
    <n v="0"/>
    <n v="0"/>
    <n v="0"/>
    <n v="0"/>
    <n v="0"/>
    <n v="0"/>
    <n v="0"/>
    <n v="0"/>
    <x v="0"/>
  </r>
  <r>
    <s v="APD"/>
    <x v="2"/>
    <x v="15"/>
    <x v="4"/>
    <x v="0"/>
    <x v="0"/>
    <x v="26"/>
    <x v="13"/>
    <x v="0"/>
    <n v="50092"/>
    <n v="4492"/>
    <n v="45600"/>
    <s v="No"/>
    <s v="05ABCEFGHIJK1ZP"/>
    <n v="0"/>
    <n v="0"/>
    <n v="350"/>
    <n v="1896"/>
    <n v="0"/>
    <n v="2246"/>
    <n v="0"/>
    <n v="0"/>
    <n v="350"/>
    <n v="1896"/>
    <n v="0"/>
    <n v="2246"/>
    <n v="0"/>
    <n v="0"/>
    <n v="0"/>
    <m/>
    <n v="0"/>
    <n v="4492"/>
    <n v="0"/>
    <n v="0"/>
    <n v="0"/>
    <n v="0"/>
    <n v="0"/>
    <n v="0"/>
    <n v="0"/>
    <n v="0"/>
    <n v="0"/>
    <x v="0"/>
  </r>
  <r>
    <s v="APD"/>
    <x v="2"/>
    <x v="16"/>
    <x v="4"/>
    <x v="0"/>
    <x v="0"/>
    <x v="27"/>
    <x v="13"/>
    <x v="0"/>
    <n v="1470"/>
    <n v="70"/>
    <n v="1400"/>
    <s v="No"/>
    <s v="05ABCEFGHIJK1ZP"/>
    <n v="0"/>
    <n v="0"/>
    <n v="35"/>
    <n v="0"/>
    <n v="0"/>
    <n v="35"/>
    <n v="0"/>
    <n v="0"/>
    <n v="35"/>
    <n v="0"/>
    <n v="0"/>
    <n v="35"/>
    <n v="0"/>
    <n v="0"/>
    <n v="0"/>
    <m/>
    <n v="0"/>
    <n v="70"/>
    <n v="0"/>
    <n v="0"/>
    <n v="0"/>
    <n v="0"/>
    <n v="0"/>
    <n v="0"/>
    <n v="0"/>
    <n v="0"/>
    <n v="0"/>
    <x v="0"/>
  </r>
  <r>
    <s v="APD"/>
    <x v="2"/>
    <x v="17"/>
    <x v="4"/>
    <x v="0"/>
    <x v="0"/>
    <x v="28"/>
    <x v="3"/>
    <x v="0"/>
    <n v="4149.82"/>
    <n v="633.02"/>
    <n v="3516.8"/>
    <s v="No"/>
    <s v="05ABCEFGHIJK1ZX"/>
    <n v="0"/>
    <n v="0"/>
    <n v="0"/>
    <n v="0"/>
    <n v="316.51"/>
    <n v="316.51"/>
    <n v="0"/>
    <n v="0"/>
    <n v="0"/>
    <n v="0"/>
    <n v="316.51"/>
    <n v="316.51"/>
    <n v="0"/>
    <n v="0"/>
    <n v="0"/>
    <m/>
    <n v="0"/>
    <n v="633.02"/>
    <n v="0"/>
    <n v="0"/>
    <n v="0"/>
    <n v="0"/>
    <n v="0"/>
    <n v="0"/>
    <n v="0"/>
    <n v="0"/>
    <n v="0"/>
    <x v="0"/>
  </r>
  <r>
    <s v="APD"/>
    <x v="2"/>
    <x v="18"/>
    <x v="5"/>
    <x v="0"/>
    <x v="0"/>
    <x v="29"/>
    <x v="14"/>
    <x v="0"/>
    <n v="2892"/>
    <n v="442"/>
    <n v="2450"/>
    <s v="No"/>
    <s v="05ABCEFGHIJK1Z2"/>
    <n v="0"/>
    <n v="0"/>
    <n v="0"/>
    <n v="0"/>
    <n v="221"/>
    <n v="221"/>
    <n v="0"/>
    <n v="0"/>
    <n v="0"/>
    <n v="0"/>
    <n v="221"/>
    <n v="221"/>
    <n v="0"/>
    <n v="0"/>
    <n v="0"/>
    <m/>
    <n v="0"/>
    <n v="442"/>
    <n v="0"/>
    <n v="0"/>
    <n v="0"/>
    <n v="0"/>
    <n v="0"/>
    <n v="0"/>
    <n v="0"/>
    <n v="0"/>
    <n v="0"/>
    <x v="0"/>
  </r>
  <r>
    <s v="APD"/>
    <x v="2"/>
    <x v="19"/>
    <x v="5"/>
    <x v="0"/>
    <x v="0"/>
    <x v="30"/>
    <x v="15"/>
    <x v="0"/>
    <n v="2496.88"/>
    <n v="380.88"/>
    <n v="2116"/>
    <s v="No"/>
    <s v="05ABCEFGHIJK1ZX"/>
    <n v="0"/>
    <n v="0"/>
    <n v="0"/>
    <n v="0"/>
    <n v="190.44"/>
    <n v="190.44"/>
    <n v="0"/>
    <n v="0"/>
    <n v="0"/>
    <n v="0"/>
    <n v="190.44"/>
    <n v="190.44"/>
    <n v="0"/>
    <n v="0"/>
    <n v="0"/>
    <m/>
    <n v="0"/>
    <n v="380.88"/>
    <n v="0"/>
    <n v="0"/>
    <n v="0"/>
    <n v="0"/>
    <n v="0"/>
    <n v="0"/>
    <n v="0"/>
    <n v="0"/>
    <n v="0"/>
    <x v="0"/>
  </r>
  <r>
    <s v="APD"/>
    <x v="2"/>
    <x v="20"/>
    <x v="5"/>
    <x v="0"/>
    <x v="0"/>
    <x v="31"/>
    <x v="14"/>
    <x v="0"/>
    <n v="13180.8"/>
    <n v="2010"/>
    <n v="11170.8"/>
    <s v="No"/>
    <s v="05ABCEFGHIJK1Z2"/>
    <n v="0"/>
    <n v="0"/>
    <n v="0"/>
    <n v="0"/>
    <n v="1005"/>
    <n v="1005"/>
    <n v="0"/>
    <n v="0"/>
    <n v="0"/>
    <n v="0"/>
    <n v="1005"/>
    <n v="1005"/>
    <n v="0"/>
    <n v="0"/>
    <n v="0"/>
    <m/>
    <n v="0"/>
    <n v="2010"/>
    <n v="0"/>
    <n v="0"/>
    <n v="0"/>
    <n v="0"/>
    <n v="0"/>
    <n v="0"/>
    <n v="0"/>
    <n v="0"/>
    <n v="0"/>
    <x v="0"/>
  </r>
  <r>
    <s v="APD"/>
    <x v="2"/>
    <x v="21"/>
    <x v="5"/>
    <x v="0"/>
    <x v="0"/>
    <x v="32"/>
    <x v="14"/>
    <x v="0"/>
    <n v="7929.3"/>
    <n v="1210"/>
    <n v="6719.3"/>
    <s v="No"/>
    <s v="05ABCEFGHIJK1Z2"/>
    <n v="0"/>
    <n v="0"/>
    <n v="0"/>
    <n v="0"/>
    <n v="605"/>
    <n v="605"/>
    <n v="0"/>
    <n v="0"/>
    <n v="0"/>
    <n v="0"/>
    <n v="605"/>
    <n v="605"/>
    <n v="0"/>
    <n v="0"/>
    <n v="0"/>
    <m/>
    <n v="0"/>
    <n v="1210"/>
    <n v="0"/>
    <n v="0"/>
    <n v="0"/>
    <n v="0"/>
    <n v="0"/>
    <n v="0"/>
    <n v="0"/>
    <n v="0"/>
    <n v="0"/>
    <x v="0"/>
  </r>
  <r>
    <s v="APD"/>
    <x v="2"/>
    <x v="22"/>
    <x v="6"/>
    <x v="0"/>
    <x v="0"/>
    <x v="33"/>
    <x v="15"/>
    <x v="0"/>
    <n v="5974.1"/>
    <n v="911.3"/>
    <n v="5062.8"/>
    <s v="No"/>
    <s v="05ABCEFGHIJK1ZX"/>
    <n v="0"/>
    <n v="0"/>
    <n v="0"/>
    <n v="0"/>
    <n v="455.65"/>
    <n v="455.65"/>
    <n v="0"/>
    <n v="0"/>
    <n v="0"/>
    <n v="0"/>
    <n v="455.65"/>
    <n v="455.65"/>
    <n v="0"/>
    <n v="0"/>
    <n v="0"/>
    <m/>
    <n v="0"/>
    <n v="911.3"/>
    <n v="0"/>
    <n v="0"/>
    <n v="0"/>
    <n v="0"/>
    <n v="0"/>
    <n v="0"/>
    <n v="0"/>
    <n v="0"/>
    <n v="0"/>
    <x v="0"/>
  </r>
  <r>
    <s v="APD"/>
    <x v="2"/>
    <x v="23"/>
    <x v="5"/>
    <x v="0"/>
    <x v="0"/>
    <x v="34"/>
    <x v="3"/>
    <x v="0"/>
    <n v="3894"/>
    <n v="594"/>
    <n v="3300"/>
    <s v="No"/>
    <s v="05ABCEFGHIJK1Z5"/>
    <n v="0"/>
    <n v="0"/>
    <n v="0"/>
    <n v="0"/>
    <n v="297"/>
    <n v="297"/>
    <n v="0"/>
    <n v="0"/>
    <n v="0"/>
    <n v="0"/>
    <n v="297"/>
    <n v="297"/>
    <n v="0"/>
    <n v="0"/>
    <n v="0"/>
    <m/>
    <n v="0"/>
    <n v="594"/>
    <n v="0"/>
    <n v="0"/>
    <n v="0"/>
    <n v="0"/>
    <n v="0"/>
    <n v="0"/>
    <n v="0"/>
    <n v="0"/>
    <n v="0"/>
    <x v="0"/>
  </r>
  <r>
    <s v="APD"/>
    <x v="2"/>
    <x v="24"/>
    <x v="5"/>
    <x v="0"/>
    <x v="0"/>
    <x v="35"/>
    <x v="16"/>
    <x v="0"/>
    <n v="3658"/>
    <n v="558"/>
    <n v="3100"/>
    <s v="No"/>
    <s v="07ABCEFGHIJK1ZQ"/>
    <n v="0"/>
    <n v="0"/>
    <n v="0"/>
    <n v="0"/>
    <n v="0"/>
    <n v="0"/>
    <n v="0"/>
    <n v="0"/>
    <n v="0"/>
    <n v="0"/>
    <n v="0"/>
    <n v="0"/>
    <n v="0"/>
    <n v="0"/>
    <n v="558"/>
    <m/>
    <n v="558"/>
    <n v="558"/>
    <n v="0"/>
    <n v="0"/>
    <n v="0"/>
    <n v="0"/>
    <n v="0"/>
    <n v="0"/>
    <n v="0"/>
    <n v="0"/>
    <n v="0"/>
    <x v="2"/>
  </r>
  <r>
    <s v="APD"/>
    <x v="2"/>
    <x v="25"/>
    <x v="5"/>
    <x v="0"/>
    <x v="0"/>
    <x v="36"/>
    <x v="15"/>
    <x v="0"/>
    <n v="3581.16"/>
    <n v="546.28"/>
    <n v="3034.88"/>
    <s v="No"/>
    <s v="05ABCEFGHIJK1ZX"/>
    <n v="0"/>
    <n v="0"/>
    <n v="0"/>
    <n v="0"/>
    <n v="273.14"/>
    <n v="273.14"/>
    <n v="0"/>
    <n v="0"/>
    <n v="0"/>
    <n v="0"/>
    <n v="273.14"/>
    <n v="273.14"/>
    <n v="0"/>
    <n v="0"/>
    <n v="0"/>
    <m/>
    <n v="0"/>
    <n v="546.28"/>
    <n v="0"/>
    <n v="0"/>
    <n v="0"/>
    <n v="0"/>
    <n v="0"/>
    <n v="0"/>
    <n v="0"/>
    <n v="0"/>
    <n v="0"/>
    <x v="0"/>
  </r>
  <r>
    <s v="APD"/>
    <x v="2"/>
    <x v="26"/>
    <x v="5"/>
    <x v="0"/>
    <x v="0"/>
    <x v="37"/>
    <x v="14"/>
    <x v="0"/>
    <n v="684.4"/>
    <n v="104.4"/>
    <n v="580"/>
    <s v="No"/>
    <s v="05ABCEFGHIJK1Z5"/>
    <n v="0"/>
    <n v="0"/>
    <n v="0"/>
    <n v="0"/>
    <n v="52.2"/>
    <n v="52.2"/>
    <n v="0"/>
    <n v="0"/>
    <n v="0"/>
    <n v="0"/>
    <n v="52.2"/>
    <n v="52.2"/>
    <n v="0"/>
    <n v="0"/>
    <n v="0"/>
    <m/>
    <n v="0"/>
    <n v="104.4"/>
    <n v="0"/>
    <n v="0"/>
    <n v="0"/>
    <n v="0"/>
    <n v="0"/>
    <n v="0"/>
    <n v="0"/>
    <n v="0"/>
    <n v="0"/>
    <x v="0"/>
  </r>
  <r>
    <s v="APD"/>
    <x v="2"/>
    <x v="27"/>
    <x v="5"/>
    <x v="0"/>
    <x v="0"/>
    <x v="38"/>
    <x v="16"/>
    <x v="0"/>
    <n v="8979.7999999999993"/>
    <n v="1369.8"/>
    <n v="7610"/>
    <s v="No"/>
    <s v="05ABCEFGHIJK2Z1"/>
    <n v="0"/>
    <n v="0"/>
    <n v="0"/>
    <n v="0"/>
    <n v="684.9"/>
    <n v="684.9"/>
    <n v="0"/>
    <n v="0"/>
    <n v="0"/>
    <n v="0"/>
    <n v="684.9"/>
    <n v="684.9"/>
    <n v="0"/>
    <n v="0"/>
    <n v="0"/>
    <m/>
    <n v="0"/>
    <n v="1369.8"/>
    <n v="0"/>
    <n v="0"/>
    <n v="0"/>
    <n v="0"/>
    <n v="0"/>
    <n v="0"/>
    <n v="0"/>
    <n v="0"/>
    <n v="0"/>
    <x v="0"/>
  </r>
  <r>
    <s v="APD"/>
    <x v="2"/>
    <x v="28"/>
    <x v="5"/>
    <x v="0"/>
    <x v="0"/>
    <x v="39"/>
    <x v="17"/>
    <x v="0"/>
    <n v="28231.5"/>
    <n v="4306.5"/>
    <n v="23925"/>
    <s v="No"/>
    <s v="05ABCEFGHIJK1ZP"/>
    <n v="0"/>
    <n v="0"/>
    <n v="0"/>
    <n v="0"/>
    <n v="2153.25"/>
    <n v="2153.25"/>
    <n v="0"/>
    <n v="0"/>
    <n v="0"/>
    <n v="0"/>
    <n v="2153.25"/>
    <n v="2153.25"/>
    <n v="0"/>
    <n v="0"/>
    <n v="0"/>
    <m/>
    <n v="0"/>
    <n v="4306.5"/>
    <n v="0"/>
    <n v="0"/>
    <n v="0"/>
    <n v="0"/>
    <n v="0"/>
    <n v="0"/>
    <n v="0"/>
    <n v="0"/>
    <n v="0"/>
    <x v="0"/>
  </r>
  <r>
    <s v="APD"/>
    <x v="2"/>
    <x v="29"/>
    <x v="5"/>
    <x v="0"/>
    <x v="0"/>
    <x v="40"/>
    <x v="16"/>
    <x v="0"/>
    <n v="817.74"/>
    <n v="124.74"/>
    <n v="693"/>
    <s v="No"/>
    <s v="05ABCEFGHIJK1Z5"/>
    <n v="0"/>
    <n v="0"/>
    <n v="0"/>
    <n v="0"/>
    <n v="62.37"/>
    <n v="62.37"/>
    <n v="0"/>
    <n v="0"/>
    <n v="0"/>
    <n v="0"/>
    <n v="62.37"/>
    <n v="62.37"/>
    <n v="0"/>
    <n v="0"/>
    <n v="0"/>
    <m/>
    <n v="0"/>
    <n v="124.74"/>
    <n v="0"/>
    <n v="0"/>
    <n v="0"/>
    <n v="0"/>
    <n v="0"/>
    <n v="0"/>
    <n v="0"/>
    <n v="0"/>
    <n v="0"/>
    <x v="0"/>
  </r>
  <r>
    <s v="APD"/>
    <x v="2"/>
    <x v="30"/>
    <x v="5"/>
    <x v="0"/>
    <x v="0"/>
    <x v="41"/>
    <x v="16"/>
    <x v="0"/>
    <n v="1274.4000000000001"/>
    <n v="194.4"/>
    <n v="1080"/>
    <s v="No"/>
    <s v="05ABCEFGHIJK1Z5"/>
    <n v="0"/>
    <n v="0"/>
    <n v="0"/>
    <n v="0"/>
    <n v="97.2"/>
    <n v="97.2"/>
    <n v="0"/>
    <n v="0"/>
    <n v="0"/>
    <n v="0"/>
    <n v="97.2"/>
    <n v="97.2"/>
    <n v="0"/>
    <n v="0"/>
    <n v="0"/>
    <m/>
    <n v="0"/>
    <n v="194.4"/>
    <n v="0"/>
    <n v="0"/>
    <n v="0"/>
    <n v="0"/>
    <n v="0"/>
    <n v="0"/>
    <n v="0"/>
    <n v="0"/>
    <n v="0"/>
    <x v="0"/>
  </r>
  <r>
    <s v="APD"/>
    <x v="2"/>
    <x v="31"/>
    <x v="6"/>
    <x v="0"/>
    <x v="0"/>
    <x v="42"/>
    <x v="16"/>
    <x v="0"/>
    <n v="7941.4"/>
    <n v="1211.4000000000001"/>
    <n v="6730"/>
    <s v="No"/>
    <s v="05ABCEFGHIJK1ZC"/>
    <n v="0"/>
    <n v="0"/>
    <n v="0"/>
    <n v="0"/>
    <n v="605.70000000000005"/>
    <n v="605.70000000000005"/>
    <n v="0"/>
    <n v="0"/>
    <n v="0"/>
    <n v="0"/>
    <n v="605.70000000000005"/>
    <n v="605.70000000000005"/>
    <n v="0"/>
    <n v="0"/>
    <n v="0"/>
    <m/>
    <n v="0"/>
    <n v="1211.4000000000001"/>
    <n v="0"/>
    <n v="0"/>
    <n v="0"/>
    <n v="0"/>
    <n v="0"/>
    <n v="0"/>
    <n v="0"/>
    <n v="0"/>
    <n v="0"/>
    <x v="0"/>
  </r>
  <r>
    <s v="APD"/>
    <x v="2"/>
    <x v="32"/>
    <x v="5"/>
    <x v="0"/>
    <x v="0"/>
    <x v="43"/>
    <x v="16"/>
    <x v="0"/>
    <n v="2100.4"/>
    <n v="320.39999999999998"/>
    <n v="1780"/>
    <s v="No"/>
    <s v="05ABCEFGHIJK1Z5"/>
    <n v="0"/>
    <n v="0"/>
    <n v="0"/>
    <n v="0"/>
    <n v="160.19999999999999"/>
    <n v="160.19999999999999"/>
    <n v="0"/>
    <n v="0"/>
    <n v="0"/>
    <n v="0"/>
    <n v="160.19999999999999"/>
    <n v="160.19999999999999"/>
    <n v="0"/>
    <n v="0"/>
    <n v="0"/>
    <m/>
    <n v="0"/>
    <n v="320.39999999999998"/>
    <n v="0"/>
    <n v="0"/>
    <n v="0"/>
    <n v="0"/>
    <n v="0"/>
    <n v="0"/>
    <n v="0"/>
    <n v="0"/>
    <n v="0"/>
    <x v="0"/>
  </r>
  <r>
    <s v="APD"/>
    <x v="2"/>
    <x v="33"/>
    <x v="5"/>
    <x v="0"/>
    <x v="0"/>
    <x v="44"/>
    <x v="16"/>
    <x v="0"/>
    <n v="3320"/>
    <n v="486"/>
    <n v="2834"/>
    <s v="No"/>
    <s v="05ABCEFGHIJK1Z2"/>
    <n v="0"/>
    <n v="0"/>
    <n v="0"/>
    <n v="24"/>
    <n v="219"/>
    <n v="243"/>
    <n v="0"/>
    <n v="0"/>
    <n v="0"/>
    <n v="24"/>
    <n v="219"/>
    <n v="243"/>
    <n v="0"/>
    <n v="0"/>
    <n v="0"/>
    <m/>
    <n v="0"/>
    <n v="486"/>
    <n v="0"/>
    <n v="0"/>
    <n v="0"/>
    <n v="0"/>
    <n v="0"/>
    <n v="0"/>
    <n v="0"/>
    <n v="0"/>
    <n v="0"/>
    <x v="0"/>
  </r>
  <r>
    <s v="APD"/>
    <x v="2"/>
    <x v="34"/>
    <x v="5"/>
    <x v="0"/>
    <x v="0"/>
    <x v="45"/>
    <x v="3"/>
    <x v="0"/>
    <n v="1288"/>
    <n v="198"/>
    <n v="1090"/>
    <s v="No"/>
    <s v="05ABCEFGHIJK1Z2"/>
    <n v="0"/>
    <n v="0"/>
    <n v="0"/>
    <n v="0"/>
    <n v="99"/>
    <n v="99"/>
    <n v="0"/>
    <n v="0"/>
    <n v="0"/>
    <n v="0"/>
    <n v="99"/>
    <n v="99"/>
    <n v="0"/>
    <n v="0"/>
    <n v="0"/>
    <m/>
    <n v="0"/>
    <n v="198"/>
    <n v="0"/>
    <n v="0"/>
    <n v="0"/>
    <n v="0"/>
    <n v="0"/>
    <n v="0"/>
    <n v="0"/>
    <n v="0"/>
    <n v="0"/>
    <x v="0"/>
  </r>
  <r>
    <s v="APD"/>
    <x v="2"/>
    <x v="35"/>
    <x v="5"/>
    <x v="0"/>
    <x v="0"/>
    <x v="46"/>
    <x v="3"/>
    <x v="0"/>
    <n v="10180"/>
    <n v="1522"/>
    <n v="8662"/>
    <s v="No"/>
    <s v="05ABCEFGHIJK1Z2"/>
    <n v="0"/>
    <n v="0"/>
    <n v="2"/>
    <n v="30"/>
    <n v="729"/>
    <n v="761"/>
    <n v="0"/>
    <n v="0"/>
    <n v="2"/>
    <n v="30"/>
    <n v="729"/>
    <n v="761"/>
    <n v="0"/>
    <n v="0"/>
    <n v="0"/>
    <m/>
    <n v="0"/>
    <n v="1522"/>
    <n v="0"/>
    <n v="0"/>
    <n v="0"/>
    <n v="0"/>
    <n v="0"/>
    <n v="0"/>
    <n v="0"/>
    <n v="0"/>
    <n v="0"/>
    <x v="0"/>
  </r>
  <r>
    <s v="APD"/>
    <x v="2"/>
    <x v="36"/>
    <x v="5"/>
    <x v="0"/>
    <x v="0"/>
    <x v="47"/>
    <x v="9"/>
    <x v="0"/>
    <n v="1416"/>
    <n v="216"/>
    <n v="1200"/>
    <s v="No"/>
    <s v="05ABCEFGHIJK1ZK"/>
    <n v="0"/>
    <n v="0"/>
    <n v="0"/>
    <n v="0"/>
    <n v="108"/>
    <n v="108"/>
    <n v="0"/>
    <n v="0"/>
    <n v="0"/>
    <n v="0"/>
    <n v="108"/>
    <n v="108"/>
    <n v="0"/>
    <n v="0"/>
    <n v="0"/>
    <m/>
    <n v="0"/>
    <n v="216"/>
    <n v="0"/>
    <n v="0"/>
    <n v="0"/>
    <n v="0"/>
    <n v="0"/>
    <n v="0"/>
    <n v="0"/>
    <n v="0"/>
    <n v="0"/>
    <x v="0"/>
  </r>
  <r>
    <s v="APD"/>
    <x v="2"/>
    <x v="37"/>
    <x v="5"/>
    <x v="0"/>
    <x v="0"/>
    <x v="48"/>
    <x v="17"/>
    <x v="0"/>
    <n v="5380.8"/>
    <n v="820.8"/>
    <n v="4560"/>
    <s v="No"/>
    <s v="05ABCEFGHIJK1ZU"/>
    <n v="0"/>
    <n v="0"/>
    <n v="0"/>
    <n v="0"/>
    <n v="410.4"/>
    <n v="410.4"/>
    <n v="0"/>
    <n v="0"/>
    <n v="0"/>
    <n v="0"/>
    <n v="410.4"/>
    <n v="410.4"/>
    <n v="0"/>
    <n v="0"/>
    <n v="0"/>
    <m/>
    <n v="0"/>
    <n v="820.8"/>
    <n v="0"/>
    <n v="0"/>
    <n v="0"/>
    <n v="0"/>
    <n v="0"/>
    <n v="0"/>
    <n v="0"/>
    <n v="0"/>
    <n v="0"/>
    <x v="0"/>
  </r>
  <r>
    <s v="APD"/>
    <x v="2"/>
    <x v="38"/>
    <x v="5"/>
    <x v="0"/>
    <x v="0"/>
    <x v="49"/>
    <x v="18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39"/>
    <x v="5"/>
    <x v="0"/>
    <x v="0"/>
    <x v="50"/>
    <x v="9"/>
    <x v="0"/>
    <n v="896.8"/>
    <n v="136.80000000000001"/>
    <n v="760"/>
    <s v="No"/>
    <s v="05ABCEFGHIJK1Z5"/>
    <n v="0"/>
    <n v="0"/>
    <n v="0"/>
    <n v="0"/>
    <n v="68.400000000000006"/>
    <n v="68.400000000000006"/>
    <n v="0"/>
    <n v="0"/>
    <n v="0"/>
    <n v="0"/>
    <n v="68.400000000000006"/>
    <n v="68.400000000000006"/>
    <n v="0"/>
    <n v="0"/>
    <n v="0"/>
    <m/>
    <n v="0"/>
    <n v="136.80000000000001"/>
    <n v="0"/>
    <n v="0"/>
    <n v="0"/>
    <n v="0"/>
    <n v="0"/>
    <n v="0"/>
    <n v="0"/>
    <n v="0"/>
    <n v="0"/>
    <x v="0"/>
  </r>
  <r>
    <s v="APD"/>
    <x v="2"/>
    <x v="40"/>
    <x v="5"/>
    <x v="0"/>
    <x v="0"/>
    <x v="51"/>
    <x v="13"/>
    <x v="0"/>
    <n v="1970.02"/>
    <n v="300.52"/>
    <n v="1669.5"/>
    <s v="No"/>
    <s v="05ABCEFGHIJK1Z5"/>
    <n v="0"/>
    <n v="0"/>
    <n v="0"/>
    <n v="0"/>
    <n v="150.26"/>
    <n v="150.26"/>
    <n v="0"/>
    <n v="0"/>
    <n v="0"/>
    <n v="0"/>
    <n v="150.26"/>
    <n v="150.26"/>
    <n v="0"/>
    <n v="0"/>
    <n v="0"/>
    <m/>
    <n v="0"/>
    <n v="300.52"/>
    <n v="0"/>
    <n v="0"/>
    <n v="0"/>
    <n v="0"/>
    <n v="0"/>
    <n v="0"/>
    <n v="0"/>
    <n v="0"/>
    <n v="0"/>
    <x v="0"/>
  </r>
  <r>
    <s v="APD"/>
    <x v="2"/>
    <x v="41"/>
    <x v="5"/>
    <x v="0"/>
    <x v="0"/>
    <x v="45"/>
    <x v="13"/>
    <x v="0"/>
    <n v="2312.8000000000002"/>
    <n v="352.8"/>
    <n v="1960"/>
    <s v="No"/>
    <s v="05ABCEFGHIJK1Z5"/>
    <n v="0"/>
    <n v="0"/>
    <n v="0"/>
    <n v="0"/>
    <n v="176.4"/>
    <n v="176.4"/>
    <n v="0"/>
    <n v="0"/>
    <n v="0"/>
    <n v="0"/>
    <n v="176.4"/>
    <n v="176.4"/>
    <n v="0"/>
    <n v="0"/>
    <n v="0"/>
    <m/>
    <n v="0"/>
    <n v="352.8"/>
    <n v="0"/>
    <n v="0"/>
    <n v="0"/>
    <n v="0"/>
    <n v="0"/>
    <n v="0"/>
    <n v="0"/>
    <n v="0"/>
    <n v="0"/>
    <x v="0"/>
  </r>
  <r>
    <s v="APD"/>
    <x v="2"/>
    <x v="42"/>
    <x v="5"/>
    <x v="0"/>
    <x v="0"/>
    <x v="52"/>
    <x v="12"/>
    <x v="0"/>
    <n v="3658"/>
    <n v="558"/>
    <n v="3100"/>
    <s v="No"/>
    <s v="05ABCEFGHIJK1Z5"/>
    <n v="0"/>
    <n v="0"/>
    <n v="0"/>
    <n v="0"/>
    <n v="279"/>
    <n v="279"/>
    <n v="0"/>
    <n v="0"/>
    <n v="0"/>
    <n v="0"/>
    <n v="279"/>
    <n v="279"/>
    <n v="0"/>
    <n v="0"/>
    <n v="0"/>
    <m/>
    <n v="0"/>
    <n v="558"/>
    <n v="0"/>
    <n v="0"/>
    <n v="0"/>
    <n v="0"/>
    <n v="0"/>
    <n v="0"/>
    <n v="0"/>
    <n v="0"/>
    <n v="0"/>
    <x v="0"/>
  </r>
  <r>
    <s v="APD"/>
    <x v="2"/>
    <x v="43"/>
    <x v="5"/>
    <x v="0"/>
    <x v="0"/>
    <x v="53"/>
    <x v="10"/>
    <x v="0"/>
    <n v="5132.29"/>
    <n v="882"/>
    <n v="4250.29"/>
    <s v="No"/>
    <s v="05ABCEFGHIJK1ZJ"/>
    <n v="0"/>
    <n v="165"/>
    <n v="0"/>
    <n v="0"/>
    <n v="276"/>
    <n v="441"/>
    <n v="0"/>
    <n v="165"/>
    <n v="0"/>
    <n v="0"/>
    <n v="276"/>
    <n v="441"/>
    <n v="0"/>
    <n v="0"/>
    <n v="0"/>
    <m/>
    <n v="0"/>
    <n v="882"/>
    <n v="0"/>
    <n v="0"/>
    <n v="0"/>
    <n v="0"/>
    <n v="0"/>
    <n v="0"/>
    <n v="0"/>
    <n v="0"/>
    <n v="0"/>
    <x v="0"/>
  </r>
  <r>
    <s v="APD"/>
    <x v="2"/>
    <x v="44"/>
    <x v="5"/>
    <x v="0"/>
    <x v="0"/>
    <x v="54"/>
    <x v="8"/>
    <x v="0"/>
    <n v="1593"/>
    <n v="243"/>
    <n v="1350"/>
    <s v="No"/>
    <s v="05ABCEFGHIJK1Z5"/>
    <n v="0"/>
    <n v="0"/>
    <n v="0"/>
    <n v="0"/>
    <n v="121.5"/>
    <n v="121.5"/>
    <n v="0"/>
    <n v="0"/>
    <n v="0"/>
    <n v="0"/>
    <n v="121.5"/>
    <n v="121.5"/>
    <n v="0"/>
    <n v="0"/>
    <n v="0"/>
    <m/>
    <n v="0"/>
    <n v="243"/>
    <n v="0"/>
    <n v="0"/>
    <n v="0"/>
    <n v="0"/>
    <n v="0"/>
    <n v="0"/>
    <n v="0"/>
    <n v="0"/>
    <n v="0"/>
    <x v="0"/>
  </r>
  <r>
    <s v="APD"/>
    <x v="2"/>
    <x v="45"/>
    <x v="5"/>
    <x v="0"/>
    <x v="0"/>
    <x v="55"/>
    <x v="9"/>
    <x v="0"/>
    <n v="3360"/>
    <n v="360"/>
    <n v="3000"/>
    <s v="No"/>
    <s v="05ABCEFGHIJK1ZR"/>
    <n v="0"/>
    <n v="0"/>
    <n v="0"/>
    <n v="180"/>
    <n v="0"/>
    <n v="180"/>
    <n v="0"/>
    <n v="0"/>
    <n v="0"/>
    <n v="180"/>
    <n v="0"/>
    <n v="180"/>
    <n v="0"/>
    <n v="0"/>
    <n v="0"/>
    <m/>
    <n v="0"/>
    <n v="360"/>
    <n v="0"/>
    <n v="0"/>
    <n v="0"/>
    <n v="0"/>
    <n v="0"/>
    <n v="0"/>
    <n v="0"/>
    <n v="0"/>
    <n v="0"/>
    <x v="0"/>
  </r>
  <r>
    <s v="APD"/>
    <x v="2"/>
    <x v="46"/>
    <x v="5"/>
    <x v="0"/>
    <x v="0"/>
    <x v="56"/>
    <x v="0"/>
    <x v="0"/>
    <n v="1711"/>
    <n v="261"/>
    <n v="1450"/>
    <s v="No"/>
    <s v="05ABCEFGHIJK1Z5"/>
    <n v="0"/>
    <n v="0"/>
    <n v="0"/>
    <n v="0"/>
    <n v="130.5"/>
    <n v="130.5"/>
    <n v="0"/>
    <n v="0"/>
    <n v="0"/>
    <n v="0"/>
    <n v="130.5"/>
    <n v="130.5"/>
    <n v="0"/>
    <n v="0"/>
    <n v="0"/>
    <m/>
    <n v="0"/>
    <n v="261"/>
    <n v="0"/>
    <n v="0"/>
    <n v="0"/>
    <n v="0"/>
    <n v="0"/>
    <n v="0"/>
    <n v="0"/>
    <n v="0"/>
    <n v="0"/>
    <x v="0"/>
  </r>
  <r>
    <s v="APD"/>
    <x v="2"/>
    <x v="47"/>
    <x v="5"/>
    <x v="0"/>
    <x v="0"/>
    <x v="51"/>
    <x v="13"/>
    <x v="2"/>
    <n v="3460"/>
    <n v="0"/>
    <n v="0"/>
    <s v="Yes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48"/>
    <x v="7"/>
    <x v="0"/>
    <x v="0"/>
    <x v="57"/>
    <x v="14"/>
    <x v="0"/>
    <n v="1239"/>
    <n v="189"/>
    <n v="1050"/>
    <s v="No"/>
    <s v="05ABCEFGHIJK1Z5"/>
    <n v="0"/>
    <n v="0"/>
    <n v="0"/>
    <n v="0"/>
    <n v="94.5"/>
    <n v="94.5"/>
    <n v="0"/>
    <n v="0"/>
    <n v="0"/>
    <n v="0"/>
    <n v="94.5"/>
    <n v="94.5"/>
    <n v="0"/>
    <n v="0"/>
    <n v="0"/>
    <m/>
    <n v="0"/>
    <n v="189"/>
    <n v="0"/>
    <n v="0"/>
    <n v="0"/>
    <n v="0"/>
    <n v="0"/>
    <n v="0"/>
    <n v="0"/>
    <n v="0"/>
    <n v="0"/>
    <x v="0"/>
  </r>
  <r>
    <s v="APD"/>
    <x v="2"/>
    <x v="49"/>
    <x v="7"/>
    <x v="0"/>
    <x v="0"/>
    <x v="58"/>
    <x v="19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50"/>
    <x v="7"/>
    <x v="0"/>
    <x v="0"/>
    <x v="59"/>
    <x v="19"/>
    <x v="0"/>
    <n v="1357"/>
    <n v="207"/>
    <n v="1150"/>
    <s v="No"/>
    <s v="05ABCEFGHIJK1ZX"/>
    <n v="0"/>
    <n v="0"/>
    <n v="0"/>
    <n v="0"/>
    <n v="103.5"/>
    <n v="103.5"/>
    <n v="0"/>
    <n v="0"/>
    <n v="0"/>
    <n v="0"/>
    <n v="103.5"/>
    <n v="103.5"/>
    <n v="0"/>
    <n v="0"/>
    <n v="0"/>
    <m/>
    <n v="0"/>
    <n v="207"/>
    <n v="0"/>
    <n v="0"/>
    <n v="0"/>
    <n v="0"/>
    <n v="0"/>
    <n v="0"/>
    <n v="0"/>
    <n v="0"/>
    <n v="0"/>
    <x v="0"/>
  </r>
  <r>
    <s v="APD"/>
    <x v="2"/>
    <x v="51"/>
    <x v="7"/>
    <x v="0"/>
    <x v="0"/>
    <x v="60"/>
    <x v="19"/>
    <x v="0"/>
    <n v="1260"/>
    <n v="60"/>
    <n v="1200"/>
    <s v="No"/>
    <s v="05ABCEFGHIJK1Z5"/>
    <n v="0"/>
    <n v="0"/>
    <n v="30"/>
    <n v="0"/>
    <n v="0"/>
    <n v="30"/>
    <n v="0"/>
    <n v="0"/>
    <n v="30"/>
    <n v="0"/>
    <n v="0"/>
    <n v="30"/>
    <n v="0"/>
    <n v="0"/>
    <n v="0"/>
    <m/>
    <n v="0"/>
    <n v="60"/>
    <n v="0"/>
    <n v="0"/>
    <n v="0"/>
    <n v="0"/>
    <n v="0"/>
    <n v="0"/>
    <n v="0"/>
    <n v="0"/>
    <n v="0"/>
    <x v="0"/>
  </r>
  <r>
    <s v="APD"/>
    <x v="2"/>
    <x v="52"/>
    <x v="7"/>
    <x v="0"/>
    <x v="0"/>
    <x v="61"/>
    <x v="14"/>
    <x v="0"/>
    <n v="1342.26"/>
    <n v="204.76"/>
    <n v="1137.5"/>
    <s v="No"/>
    <s v="05ABCEFGHIJK2ZB"/>
    <n v="0"/>
    <n v="0"/>
    <n v="0"/>
    <n v="0"/>
    <n v="102.38"/>
    <n v="102.38"/>
    <n v="0"/>
    <n v="0"/>
    <n v="0"/>
    <n v="0"/>
    <n v="102.38"/>
    <n v="102.38"/>
    <n v="0"/>
    <n v="0"/>
    <n v="0"/>
    <m/>
    <n v="0"/>
    <n v="204.76"/>
    <n v="0"/>
    <n v="0"/>
    <n v="0"/>
    <n v="0"/>
    <n v="0"/>
    <n v="0"/>
    <n v="0"/>
    <n v="0"/>
    <n v="0"/>
    <x v="0"/>
  </r>
  <r>
    <s v="APD"/>
    <x v="2"/>
    <x v="53"/>
    <x v="7"/>
    <x v="0"/>
    <x v="0"/>
    <x v="62"/>
    <x v="19"/>
    <x v="0"/>
    <n v="2501.6"/>
    <n v="381.6"/>
    <n v="2120"/>
    <s v="No"/>
    <s v="05ABCEFGHIJK1ZC"/>
    <n v="0"/>
    <n v="0"/>
    <n v="0"/>
    <n v="0"/>
    <n v="190.8"/>
    <n v="190.8"/>
    <n v="0"/>
    <n v="0"/>
    <n v="0"/>
    <n v="0"/>
    <n v="190.8"/>
    <n v="190.8"/>
    <n v="0"/>
    <n v="0"/>
    <n v="0"/>
    <m/>
    <n v="0"/>
    <n v="381.6"/>
    <n v="0"/>
    <n v="0"/>
    <n v="0"/>
    <n v="0"/>
    <n v="0"/>
    <n v="0"/>
    <n v="0"/>
    <n v="0"/>
    <n v="0"/>
    <x v="0"/>
  </r>
  <r>
    <s v="APD"/>
    <x v="2"/>
    <x v="54"/>
    <x v="7"/>
    <x v="0"/>
    <x v="0"/>
    <x v="63"/>
    <x v="20"/>
    <x v="0"/>
    <n v="354"/>
    <n v="54"/>
    <n v="300"/>
    <s v="No"/>
    <s v="05ABCEFGHIJK1Z5"/>
    <n v="0"/>
    <n v="0"/>
    <n v="0"/>
    <n v="0"/>
    <n v="27"/>
    <n v="27"/>
    <n v="0"/>
    <n v="0"/>
    <n v="0"/>
    <n v="0"/>
    <n v="27"/>
    <n v="27"/>
    <n v="0"/>
    <n v="0"/>
    <n v="0"/>
    <m/>
    <n v="0"/>
    <n v="54"/>
    <n v="0"/>
    <n v="0"/>
    <n v="0"/>
    <n v="0"/>
    <n v="0"/>
    <n v="0"/>
    <n v="0"/>
    <n v="0"/>
    <n v="0"/>
    <x v="0"/>
  </r>
  <r>
    <s v="APD"/>
    <x v="2"/>
    <x v="55"/>
    <x v="7"/>
    <x v="0"/>
    <x v="0"/>
    <x v="64"/>
    <x v="21"/>
    <x v="0"/>
    <n v="1344.82"/>
    <n v="205.14"/>
    <n v="1139.68"/>
    <s v="No"/>
    <s v="05ABCEFGHIJK1ZX"/>
    <n v="0"/>
    <n v="0"/>
    <n v="0"/>
    <n v="0"/>
    <n v="102.57"/>
    <n v="102.57"/>
    <n v="0"/>
    <n v="0"/>
    <n v="0"/>
    <n v="0"/>
    <n v="102.57"/>
    <n v="102.57"/>
    <n v="0"/>
    <n v="0"/>
    <n v="0"/>
    <m/>
    <n v="0"/>
    <n v="205.14"/>
    <n v="0"/>
    <n v="0"/>
    <n v="0"/>
    <n v="0"/>
    <n v="0"/>
    <n v="0"/>
    <n v="0"/>
    <n v="0"/>
    <n v="0"/>
    <x v="0"/>
  </r>
  <r>
    <s v="APD"/>
    <x v="2"/>
    <x v="56"/>
    <x v="7"/>
    <x v="0"/>
    <x v="0"/>
    <x v="65"/>
    <x v="21"/>
    <x v="0"/>
    <n v="955.8"/>
    <n v="145.80000000000001"/>
    <n v="810"/>
    <s v="No"/>
    <s v="05ABCEFGHIJK1Z5"/>
    <n v="0"/>
    <n v="0"/>
    <n v="0"/>
    <n v="0"/>
    <n v="72.900000000000006"/>
    <n v="72.900000000000006"/>
    <n v="0"/>
    <n v="0"/>
    <n v="0"/>
    <n v="0"/>
    <n v="72.900000000000006"/>
    <n v="72.900000000000006"/>
    <n v="0"/>
    <n v="0"/>
    <n v="0"/>
    <m/>
    <n v="0"/>
    <n v="145.80000000000001"/>
    <n v="0"/>
    <n v="0"/>
    <n v="0"/>
    <n v="0"/>
    <n v="0"/>
    <n v="0"/>
    <n v="0"/>
    <n v="0"/>
    <n v="0"/>
    <x v="0"/>
  </r>
  <r>
    <s v="APD"/>
    <x v="2"/>
    <x v="57"/>
    <x v="7"/>
    <x v="0"/>
    <x v="0"/>
    <x v="66"/>
    <x v="21"/>
    <x v="0"/>
    <n v="889.7"/>
    <n v="136"/>
    <n v="753.7"/>
    <s v="No"/>
    <s v="05ABCEFGHIJK1ZT"/>
    <n v="0"/>
    <n v="0"/>
    <n v="0"/>
    <n v="0"/>
    <n v="68"/>
    <n v="68"/>
    <n v="0"/>
    <n v="0"/>
    <n v="0"/>
    <n v="0"/>
    <n v="68"/>
    <n v="68"/>
    <n v="0"/>
    <n v="0"/>
    <n v="0"/>
    <m/>
    <n v="0"/>
    <n v="136"/>
    <n v="0"/>
    <n v="0"/>
    <n v="0"/>
    <n v="0"/>
    <n v="0"/>
    <n v="0"/>
    <n v="0"/>
    <n v="0"/>
    <n v="0"/>
    <x v="0"/>
  </r>
  <r>
    <s v="APD"/>
    <x v="2"/>
    <x v="58"/>
    <x v="7"/>
    <x v="0"/>
    <x v="0"/>
    <x v="67"/>
    <x v="21"/>
    <x v="0"/>
    <n v="28231.5"/>
    <n v="4306.5"/>
    <n v="23925"/>
    <s v="No"/>
    <s v="05ABCEFGHIJK1ZP"/>
    <n v="0"/>
    <n v="0"/>
    <n v="0"/>
    <n v="0"/>
    <n v="2153.25"/>
    <n v="2153.25"/>
    <n v="0"/>
    <n v="0"/>
    <n v="0"/>
    <n v="0"/>
    <n v="2153.25"/>
    <n v="2153.25"/>
    <n v="0"/>
    <n v="0"/>
    <n v="0"/>
    <m/>
    <n v="0"/>
    <n v="4306.5"/>
    <n v="0"/>
    <n v="0"/>
    <n v="0"/>
    <n v="0"/>
    <n v="0"/>
    <n v="0"/>
    <n v="0"/>
    <n v="0"/>
    <n v="0"/>
    <x v="0"/>
  </r>
  <r>
    <s v="APD"/>
    <x v="2"/>
    <x v="59"/>
    <x v="7"/>
    <x v="0"/>
    <x v="0"/>
    <x v="68"/>
    <x v="12"/>
    <x v="0"/>
    <n v="53100"/>
    <n v="8100"/>
    <n v="45000"/>
    <s v="No"/>
    <s v="09ABCEFGHIJK1Z5"/>
    <n v="0"/>
    <n v="0"/>
    <n v="0"/>
    <n v="0"/>
    <n v="0"/>
    <n v="0"/>
    <n v="0"/>
    <n v="0"/>
    <n v="0"/>
    <n v="0"/>
    <n v="0"/>
    <n v="0"/>
    <n v="0"/>
    <n v="0"/>
    <n v="8100"/>
    <m/>
    <n v="8100"/>
    <n v="8100"/>
    <n v="0"/>
    <n v="0"/>
    <n v="0"/>
    <n v="0"/>
    <n v="0"/>
    <n v="0"/>
    <n v="0"/>
    <n v="0"/>
    <n v="0"/>
    <x v="1"/>
  </r>
  <r>
    <s v="APD"/>
    <x v="2"/>
    <x v="60"/>
    <x v="0"/>
    <x v="0"/>
    <x v="0"/>
    <x v="69"/>
    <x v="21"/>
    <x v="0"/>
    <n v="53100"/>
    <n v="8100"/>
    <n v="45000"/>
    <s v="No"/>
    <s v="09ABCEFGHIJK1Z5"/>
    <n v="0"/>
    <n v="0"/>
    <n v="0"/>
    <n v="0"/>
    <n v="0"/>
    <n v="0"/>
    <n v="0"/>
    <n v="0"/>
    <n v="0"/>
    <n v="0"/>
    <n v="0"/>
    <n v="0"/>
    <n v="0"/>
    <n v="0"/>
    <n v="8100"/>
    <m/>
    <n v="8100"/>
    <n v="8100"/>
    <n v="0"/>
    <n v="0"/>
    <n v="0"/>
    <n v="0"/>
    <n v="0"/>
    <n v="0"/>
    <n v="0"/>
    <n v="0"/>
    <n v="0"/>
    <x v="1"/>
  </r>
  <r>
    <s v="APD"/>
    <x v="2"/>
    <x v="61"/>
    <x v="0"/>
    <x v="0"/>
    <x v="0"/>
    <x v="70"/>
    <x v="2"/>
    <x v="0"/>
    <n v="1180"/>
    <n v="180"/>
    <n v="1000"/>
    <s v="No"/>
    <s v="05ABCEFGHIJK2Z1"/>
    <n v="0"/>
    <n v="0"/>
    <n v="0"/>
    <n v="0"/>
    <n v="90"/>
    <n v="90"/>
    <n v="0"/>
    <n v="0"/>
    <n v="0"/>
    <n v="0"/>
    <n v="90"/>
    <n v="90"/>
    <n v="0"/>
    <n v="0"/>
    <n v="0"/>
    <m/>
    <n v="0"/>
    <n v="180"/>
    <n v="0"/>
    <n v="0"/>
    <n v="0"/>
    <n v="0"/>
    <n v="0"/>
    <n v="0"/>
    <n v="0"/>
    <n v="0"/>
    <n v="0"/>
    <x v="0"/>
  </r>
  <r>
    <s v="APD"/>
    <x v="2"/>
    <x v="62"/>
    <x v="0"/>
    <x v="0"/>
    <x v="0"/>
    <x v="71"/>
    <x v="2"/>
    <x v="0"/>
    <n v="5229.8599999999997"/>
    <n v="797.78"/>
    <n v="4432.08"/>
    <s v="No"/>
    <s v="05ABCEFGHIJK1ZX"/>
    <n v="0"/>
    <n v="0"/>
    <n v="0"/>
    <n v="0"/>
    <n v="398.89"/>
    <n v="398.89"/>
    <n v="0"/>
    <n v="0"/>
    <n v="0"/>
    <n v="0"/>
    <n v="398.89"/>
    <n v="398.89"/>
    <n v="0"/>
    <n v="0"/>
    <n v="0"/>
    <m/>
    <n v="0"/>
    <n v="797.78"/>
    <n v="0"/>
    <n v="0"/>
    <n v="0"/>
    <n v="0"/>
    <n v="0"/>
    <n v="0"/>
    <n v="0"/>
    <n v="0"/>
    <n v="0"/>
    <x v="0"/>
  </r>
  <r>
    <s v="APD"/>
    <x v="2"/>
    <x v="63"/>
    <x v="0"/>
    <x v="0"/>
    <x v="0"/>
    <x v="72"/>
    <x v="2"/>
    <x v="0"/>
    <n v="292"/>
    <n v="32"/>
    <n v="260"/>
    <s v="No"/>
    <s v="05ABCEFGHIJK1Z2"/>
    <n v="0"/>
    <n v="0"/>
    <n v="0"/>
    <n v="16"/>
    <n v="0"/>
    <n v="16"/>
    <n v="0"/>
    <n v="0"/>
    <n v="0"/>
    <n v="16"/>
    <n v="0"/>
    <n v="16"/>
    <n v="0"/>
    <n v="0"/>
    <n v="0"/>
    <m/>
    <n v="0"/>
    <n v="32"/>
    <n v="0"/>
    <n v="0"/>
    <n v="0"/>
    <n v="0"/>
    <n v="0"/>
    <n v="0"/>
    <n v="0"/>
    <n v="0"/>
    <n v="0"/>
    <x v="0"/>
  </r>
  <r>
    <s v="APD"/>
    <x v="2"/>
    <x v="64"/>
    <x v="0"/>
    <x v="0"/>
    <x v="0"/>
    <x v="73"/>
    <x v="2"/>
    <x v="0"/>
    <n v="590"/>
    <n v="90"/>
    <n v="500"/>
    <s v="No"/>
    <s v="05ABCEFGHIJK1Z5"/>
    <n v="0"/>
    <n v="0"/>
    <n v="0"/>
    <n v="0"/>
    <n v="45"/>
    <n v="45"/>
    <n v="0"/>
    <n v="0"/>
    <n v="0"/>
    <n v="0"/>
    <n v="45"/>
    <n v="45"/>
    <n v="0"/>
    <n v="0"/>
    <n v="0"/>
    <m/>
    <n v="0"/>
    <n v="90"/>
    <n v="0"/>
    <n v="0"/>
    <n v="0"/>
    <n v="0"/>
    <n v="0"/>
    <n v="0"/>
    <n v="0"/>
    <n v="0"/>
    <n v="0"/>
    <x v="0"/>
  </r>
  <r>
    <s v="APD"/>
    <x v="2"/>
    <x v="65"/>
    <x v="0"/>
    <x v="0"/>
    <x v="0"/>
    <x v="74"/>
    <x v="22"/>
    <x v="0"/>
    <n v="15841.5"/>
    <n v="2416.5"/>
    <n v="13425"/>
    <s v="No"/>
    <s v="05ABCEFGHIJK1ZP"/>
    <n v="0"/>
    <n v="0"/>
    <n v="0"/>
    <n v="0"/>
    <n v="1208.25"/>
    <n v="1208.25"/>
    <n v="0"/>
    <n v="0"/>
    <n v="0"/>
    <n v="0"/>
    <n v="1208.25"/>
    <n v="1208.25"/>
    <n v="0"/>
    <n v="0"/>
    <n v="0"/>
    <m/>
    <n v="0"/>
    <n v="2416.5"/>
    <n v="0"/>
    <n v="0"/>
    <n v="0"/>
    <n v="0"/>
    <n v="0"/>
    <n v="0"/>
    <n v="0"/>
    <n v="0"/>
    <n v="0"/>
    <x v="0"/>
  </r>
  <r>
    <s v="APD"/>
    <x v="2"/>
    <x v="66"/>
    <x v="0"/>
    <x v="0"/>
    <x v="0"/>
    <x v="75"/>
    <x v="2"/>
    <x v="0"/>
    <n v="832"/>
    <n v="82"/>
    <n v="750"/>
    <s v="No"/>
    <s v="05ABCEFGHIJK1Z2"/>
    <n v="0"/>
    <n v="0"/>
    <n v="0"/>
    <n v="0"/>
    <n v="41"/>
    <n v="41"/>
    <n v="0"/>
    <n v="0"/>
    <n v="0"/>
    <n v="0"/>
    <n v="41"/>
    <n v="41"/>
    <n v="0"/>
    <n v="0"/>
    <n v="0"/>
    <m/>
    <n v="0"/>
    <n v="82"/>
    <n v="0"/>
    <n v="0"/>
    <n v="0"/>
    <n v="0"/>
    <n v="0"/>
    <n v="0"/>
    <n v="0"/>
    <n v="0"/>
    <n v="0"/>
    <x v="0"/>
  </r>
  <r>
    <s v="APD"/>
    <x v="2"/>
    <x v="67"/>
    <x v="0"/>
    <x v="0"/>
    <x v="0"/>
    <x v="76"/>
    <x v="23"/>
    <x v="0"/>
    <n v="1123.3599999999999"/>
    <n v="171.36"/>
    <n v="952"/>
    <s v="No"/>
    <s v="05ABCEFGHIJK1Z5"/>
    <n v="0"/>
    <n v="0"/>
    <n v="0"/>
    <n v="0"/>
    <n v="85.68"/>
    <n v="85.68"/>
    <n v="0"/>
    <n v="0"/>
    <n v="0"/>
    <n v="0"/>
    <n v="85.68"/>
    <n v="85.68"/>
    <n v="0"/>
    <n v="0"/>
    <n v="0"/>
    <m/>
    <n v="0"/>
    <n v="171.36"/>
    <n v="0"/>
    <n v="0"/>
    <n v="0"/>
    <n v="0"/>
    <n v="0"/>
    <n v="0"/>
    <n v="0"/>
    <n v="0"/>
    <n v="0"/>
    <x v="0"/>
  </r>
  <r>
    <s v="APD"/>
    <x v="2"/>
    <x v="68"/>
    <x v="0"/>
    <x v="0"/>
    <x v="0"/>
    <x v="77"/>
    <x v="24"/>
    <x v="0"/>
    <n v="1848"/>
    <n v="198"/>
    <n v="1650"/>
    <s v="No"/>
    <s v="05ABCEFGHIJK1Z2"/>
    <n v="0"/>
    <n v="0"/>
    <n v="0"/>
    <n v="99"/>
    <n v="0"/>
    <n v="99"/>
    <n v="0"/>
    <n v="0"/>
    <n v="0"/>
    <n v="99"/>
    <n v="0"/>
    <n v="99"/>
    <n v="0"/>
    <n v="0"/>
    <n v="0"/>
    <m/>
    <n v="0"/>
    <n v="198"/>
    <n v="0"/>
    <n v="0"/>
    <n v="0"/>
    <n v="0"/>
    <n v="0"/>
    <n v="0"/>
    <n v="0"/>
    <n v="0"/>
    <n v="0"/>
    <x v="0"/>
  </r>
  <r>
    <s v="APD"/>
    <x v="2"/>
    <x v="69"/>
    <x v="0"/>
    <x v="0"/>
    <x v="0"/>
    <x v="78"/>
    <x v="19"/>
    <x v="0"/>
    <n v="7139"/>
    <n v="1089"/>
    <n v="6050"/>
    <s v="No"/>
    <s v="05ABCEFGHIJK2Z1"/>
    <n v="0"/>
    <n v="0"/>
    <n v="0"/>
    <n v="0"/>
    <n v="544.5"/>
    <n v="544.5"/>
    <n v="0"/>
    <n v="0"/>
    <n v="0"/>
    <n v="0"/>
    <n v="544.5"/>
    <n v="544.5"/>
    <n v="0"/>
    <n v="0"/>
    <n v="0"/>
    <m/>
    <n v="0"/>
    <n v="1089"/>
    <n v="0"/>
    <n v="0"/>
    <n v="0"/>
    <n v="0"/>
    <n v="0"/>
    <n v="0"/>
    <n v="0"/>
    <n v="0"/>
    <n v="0"/>
    <x v="0"/>
  </r>
  <r>
    <s v="APD"/>
    <x v="2"/>
    <x v="70"/>
    <x v="0"/>
    <x v="0"/>
    <x v="0"/>
    <x v="79"/>
    <x v="5"/>
    <x v="0"/>
    <n v="283.2"/>
    <n v="43.2"/>
    <n v="240"/>
    <s v="No"/>
    <s v="05ABCEFGHIJK1Z5"/>
    <n v="0"/>
    <n v="0"/>
    <n v="0"/>
    <n v="0"/>
    <n v="21.6"/>
    <n v="21.6"/>
    <n v="0"/>
    <n v="0"/>
    <n v="0"/>
    <n v="0"/>
    <n v="21.6"/>
    <n v="21.6"/>
    <n v="0"/>
    <n v="0"/>
    <n v="0"/>
    <m/>
    <n v="0"/>
    <n v="43.2"/>
    <n v="0"/>
    <n v="0"/>
    <n v="0"/>
    <n v="0"/>
    <n v="0"/>
    <n v="0"/>
    <n v="0"/>
    <n v="0"/>
    <n v="0"/>
    <x v="0"/>
  </r>
  <r>
    <s v="APD"/>
    <x v="2"/>
    <x v="71"/>
    <x v="0"/>
    <x v="0"/>
    <x v="0"/>
    <x v="80"/>
    <x v="25"/>
    <x v="0"/>
    <n v="2242"/>
    <n v="342"/>
    <n v="1900"/>
    <s v="No"/>
    <s v="05ABCEFGHIJK1ZF"/>
    <n v="0"/>
    <n v="0"/>
    <n v="0"/>
    <n v="0"/>
    <n v="171"/>
    <n v="171"/>
    <n v="0"/>
    <n v="0"/>
    <n v="0"/>
    <n v="0"/>
    <n v="171"/>
    <n v="171"/>
    <n v="0"/>
    <n v="0"/>
    <n v="0"/>
    <m/>
    <n v="0"/>
    <n v="342"/>
    <n v="0"/>
    <n v="0"/>
    <n v="0"/>
    <n v="0"/>
    <n v="0"/>
    <n v="0"/>
    <n v="0"/>
    <n v="0"/>
    <n v="0"/>
    <x v="0"/>
  </r>
  <r>
    <s v="APD"/>
    <x v="2"/>
    <x v="72"/>
    <x v="0"/>
    <x v="0"/>
    <x v="0"/>
    <x v="25"/>
    <x v="26"/>
    <x v="0"/>
    <n v="1392.4"/>
    <n v="212.4"/>
    <n v="1180"/>
    <s v="No"/>
    <s v="05ABCEFGHIJK1ZM"/>
    <n v="0"/>
    <n v="0"/>
    <n v="0"/>
    <n v="0"/>
    <n v="106.2"/>
    <n v="106.2"/>
    <n v="0"/>
    <n v="0"/>
    <n v="0"/>
    <n v="0"/>
    <n v="106.2"/>
    <n v="106.2"/>
    <n v="0"/>
    <n v="0"/>
    <n v="0"/>
    <m/>
    <n v="0"/>
    <n v="212.4"/>
    <n v="0"/>
    <n v="0"/>
    <n v="0"/>
    <n v="0"/>
    <n v="0"/>
    <n v="0"/>
    <n v="0"/>
    <n v="0"/>
    <n v="0"/>
    <x v="0"/>
  </r>
  <r>
    <s v="APD"/>
    <x v="2"/>
    <x v="73"/>
    <x v="0"/>
    <x v="0"/>
    <x v="0"/>
    <x v="81"/>
    <x v="23"/>
    <x v="0"/>
    <n v="3304"/>
    <n v="504"/>
    <n v="2800"/>
    <s v="No"/>
    <s v="05ABCEFGHIJK1Z5"/>
    <n v="0"/>
    <n v="0"/>
    <n v="0"/>
    <n v="0"/>
    <n v="252"/>
    <n v="252"/>
    <n v="0"/>
    <n v="0"/>
    <n v="0"/>
    <n v="0"/>
    <n v="252"/>
    <n v="252"/>
    <n v="0"/>
    <n v="0"/>
    <n v="0"/>
    <m/>
    <n v="0"/>
    <n v="504"/>
    <n v="0"/>
    <n v="0"/>
    <n v="0"/>
    <n v="0"/>
    <n v="0"/>
    <n v="0"/>
    <n v="0"/>
    <n v="0"/>
    <n v="0"/>
    <x v="0"/>
  </r>
  <r>
    <s v="APD"/>
    <x v="2"/>
    <x v="74"/>
    <x v="0"/>
    <x v="0"/>
    <x v="0"/>
    <x v="82"/>
    <x v="27"/>
    <x v="0"/>
    <n v="31860"/>
    <n v="4860"/>
    <n v="27000"/>
    <s v="No"/>
    <s v="05ABCEFGHIJK1ZH"/>
    <n v="0"/>
    <n v="0"/>
    <n v="0"/>
    <n v="0"/>
    <n v="2430"/>
    <n v="2430"/>
    <n v="0"/>
    <n v="0"/>
    <n v="0"/>
    <n v="0"/>
    <n v="2430"/>
    <n v="2430"/>
    <n v="0"/>
    <n v="0"/>
    <n v="0"/>
    <m/>
    <n v="0"/>
    <n v="4860"/>
    <n v="0"/>
    <n v="0"/>
    <n v="0"/>
    <n v="0"/>
    <n v="0"/>
    <n v="0"/>
    <n v="0"/>
    <n v="0"/>
    <n v="0"/>
    <x v="0"/>
  </r>
  <r>
    <s v="APD"/>
    <x v="2"/>
    <x v="75"/>
    <x v="0"/>
    <x v="0"/>
    <x v="0"/>
    <x v="83"/>
    <x v="17"/>
    <x v="0"/>
    <n v="67452.27"/>
    <n v="10289.32"/>
    <n v="57162.95"/>
    <s v="No"/>
    <s v="05ABCEFGHIJK2ZB"/>
    <n v="0"/>
    <n v="0"/>
    <n v="0"/>
    <n v="0"/>
    <n v="5144.66"/>
    <n v="5144.66"/>
    <n v="0"/>
    <n v="0"/>
    <n v="0"/>
    <n v="0"/>
    <n v="5144.66"/>
    <n v="5144.66"/>
    <n v="0"/>
    <n v="0"/>
    <n v="0"/>
    <m/>
    <n v="0"/>
    <n v="10289.32"/>
    <n v="0"/>
    <n v="0"/>
    <n v="0"/>
    <n v="0"/>
    <n v="0"/>
    <n v="0"/>
    <n v="0"/>
    <n v="0"/>
    <n v="0"/>
    <x v="0"/>
  </r>
  <r>
    <s v="APD"/>
    <x v="2"/>
    <x v="76"/>
    <x v="0"/>
    <x v="0"/>
    <x v="0"/>
    <x v="84"/>
    <x v="24"/>
    <x v="0"/>
    <n v="61579.48"/>
    <n v="9393.48"/>
    <n v="52186"/>
    <s v="No"/>
    <s v="05ABCEFGHIJK2ZB"/>
    <n v="0"/>
    <n v="0"/>
    <n v="0"/>
    <n v="0"/>
    <n v="4696.74"/>
    <n v="4696.74"/>
    <n v="0"/>
    <n v="0"/>
    <n v="0"/>
    <n v="0"/>
    <n v="4696.74"/>
    <n v="4696.74"/>
    <n v="0"/>
    <n v="0"/>
    <n v="0"/>
    <m/>
    <n v="0"/>
    <n v="9393.48"/>
    <n v="0"/>
    <n v="0"/>
    <n v="0"/>
    <n v="0"/>
    <n v="0"/>
    <n v="0"/>
    <n v="0"/>
    <n v="0"/>
    <n v="0"/>
    <x v="0"/>
  </r>
  <r>
    <s v="APD"/>
    <x v="2"/>
    <x v="77"/>
    <x v="0"/>
    <x v="0"/>
    <x v="0"/>
    <x v="85"/>
    <x v="24"/>
    <x v="0"/>
    <n v="295"/>
    <n v="45"/>
    <n v="250"/>
    <s v="No"/>
    <s v="05ABCEFGHIJK2ZB"/>
    <n v="0"/>
    <n v="0"/>
    <n v="0"/>
    <n v="0"/>
    <n v="22.5"/>
    <n v="22.5"/>
    <n v="0"/>
    <n v="0"/>
    <n v="0"/>
    <n v="0"/>
    <n v="22.5"/>
    <n v="22.5"/>
    <n v="0"/>
    <n v="0"/>
    <n v="0"/>
    <m/>
    <n v="0"/>
    <n v="45"/>
    <n v="0"/>
    <n v="0"/>
    <n v="0"/>
    <n v="0"/>
    <n v="0"/>
    <n v="0"/>
    <n v="0"/>
    <n v="0"/>
    <n v="0"/>
    <x v="0"/>
  </r>
  <r>
    <s v="APD"/>
    <x v="2"/>
    <x v="78"/>
    <x v="0"/>
    <x v="0"/>
    <x v="0"/>
    <x v="86"/>
    <x v="24"/>
    <x v="0"/>
    <n v="32025"/>
    <n v="2775"/>
    <n v="29250"/>
    <s v="No"/>
    <s v="05ABCEFGHIJK1ZP"/>
    <n v="0"/>
    <n v="0"/>
    <n v="262.5"/>
    <n v="1125"/>
    <n v="0"/>
    <n v="1387.5"/>
    <n v="0"/>
    <n v="0"/>
    <n v="262.5"/>
    <n v="1125"/>
    <n v="0"/>
    <n v="1387.5"/>
    <n v="0"/>
    <n v="0"/>
    <n v="0"/>
    <m/>
    <n v="0"/>
    <n v="2775"/>
    <n v="0"/>
    <n v="0"/>
    <n v="0"/>
    <n v="0"/>
    <n v="0"/>
    <n v="0"/>
    <n v="0"/>
    <n v="0"/>
    <n v="0"/>
    <x v="0"/>
  </r>
  <r>
    <s v="APD"/>
    <x v="2"/>
    <x v="79"/>
    <x v="0"/>
    <x v="0"/>
    <x v="0"/>
    <x v="87"/>
    <x v="0"/>
    <x v="0"/>
    <n v="35400"/>
    <n v="5400"/>
    <n v="30000"/>
    <s v="No"/>
    <s v="06ABCEFGHIJK1ZR"/>
    <n v="0"/>
    <n v="0"/>
    <n v="0"/>
    <n v="0"/>
    <n v="0"/>
    <n v="0"/>
    <n v="0"/>
    <n v="0"/>
    <n v="0"/>
    <n v="0"/>
    <n v="0"/>
    <n v="0"/>
    <n v="0"/>
    <n v="0"/>
    <n v="5400"/>
    <m/>
    <n v="5400"/>
    <n v="5400"/>
    <n v="0"/>
    <n v="0"/>
    <n v="0"/>
    <n v="0"/>
    <n v="0"/>
    <n v="0"/>
    <n v="0"/>
    <n v="0"/>
    <n v="0"/>
    <x v="1"/>
  </r>
  <r>
    <s v="APD"/>
    <x v="2"/>
    <x v="80"/>
    <x v="0"/>
    <x v="0"/>
    <x v="0"/>
    <x v="88"/>
    <x v="13"/>
    <x v="0"/>
    <n v="9445.32"/>
    <n v="1440.82"/>
    <n v="8004.5"/>
    <s v="No"/>
    <s v="05ABCEFGHIJK1ZZ"/>
    <n v="0"/>
    <n v="0"/>
    <n v="0"/>
    <n v="0"/>
    <n v="720.41"/>
    <n v="720.41"/>
    <n v="0"/>
    <n v="0"/>
    <n v="0"/>
    <n v="0"/>
    <n v="720.41"/>
    <n v="720.41"/>
    <n v="0"/>
    <n v="0"/>
    <n v="0"/>
    <m/>
    <n v="0"/>
    <n v="1440.82"/>
    <n v="0"/>
    <n v="0"/>
    <n v="0"/>
    <n v="0"/>
    <n v="0"/>
    <n v="0"/>
    <n v="0"/>
    <n v="0"/>
    <n v="0"/>
    <x v="0"/>
  </r>
  <r>
    <s v="APD"/>
    <x v="2"/>
    <x v="81"/>
    <x v="0"/>
    <x v="0"/>
    <x v="0"/>
    <x v="89"/>
    <x v="28"/>
    <x v="0"/>
    <n v="37760"/>
    <n v="5760"/>
    <n v="32000"/>
    <s v="No"/>
    <s v="05ABCEFGHIJK2Z1"/>
    <n v="0"/>
    <n v="0"/>
    <n v="0"/>
    <n v="0"/>
    <n v="2880"/>
    <n v="2880"/>
    <n v="0"/>
    <n v="0"/>
    <n v="0"/>
    <n v="0"/>
    <n v="2880"/>
    <n v="2880"/>
    <n v="0"/>
    <n v="0"/>
    <n v="0"/>
    <m/>
    <n v="0"/>
    <n v="5760"/>
    <n v="0"/>
    <n v="0"/>
    <n v="0"/>
    <n v="0"/>
    <n v="0"/>
    <n v="0"/>
    <n v="0"/>
    <n v="0"/>
    <n v="0"/>
    <x v="0"/>
  </r>
  <r>
    <s v="APD"/>
    <x v="2"/>
    <x v="82"/>
    <x v="0"/>
    <x v="0"/>
    <x v="0"/>
    <x v="90"/>
    <x v="28"/>
    <x v="0"/>
    <n v="37760"/>
    <n v="5760"/>
    <n v="32000"/>
    <s v="No"/>
    <s v="05ABCEFGHIJK2Z1"/>
    <n v="0"/>
    <n v="0"/>
    <n v="0"/>
    <n v="0"/>
    <n v="2880"/>
    <n v="2880"/>
    <n v="0"/>
    <n v="0"/>
    <n v="0"/>
    <n v="0"/>
    <n v="2880"/>
    <n v="2880"/>
    <n v="0"/>
    <n v="0"/>
    <n v="0"/>
    <m/>
    <n v="0"/>
    <n v="5760"/>
    <n v="0"/>
    <n v="0"/>
    <n v="0"/>
    <n v="0"/>
    <n v="0"/>
    <n v="0"/>
    <n v="0"/>
    <n v="0"/>
    <n v="0"/>
    <x v="0"/>
  </r>
  <r>
    <s v="APD"/>
    <x v="2"/>
    <x v="83"/>
    <x v="0"/>
    <x v="0"/>
    <x v="0"/>
    <x v="14"/>
    <x v="28"/>
    <x v="0"/>
    <n v="590"/>
    <n v="90"/>
    <n v="500"/>
    <s v="No"/>
    <s v="05ABCEFGHIJK1ZK"/>
    <n v="0"/>
    <n v="0"/>
    <n v="0"/>
    <n v="0"/>
    <n v="45"/>
    <n v="45"/>
    <n v="0"/>
    <n v="0"/>
    <n v="0"/>
    <n v="0"/>
    <n v="45"/>
    <n v="45"/>
    <n v="0"/>
    <n v="0"/>
    <n v="0"/>
    <m/>
    <n v="0"/>
    <n v="90"/>
    <n v="0"/>
    <n v="0"/>
    <n v="0"/>
    <n v="0"/>
    <n v="0"/>
    <n v="0"/>
    <n v="0"/>
    <n v="0"/>
    <n v="0"/>
    <x v="0"/>
  </r>
  <r>
    <s v="APD"/>
    <x v="2"/>
    <x v="84"/>
    <x v="0"/>
    <x v="0"/>
    <x v="0"/>
    <x v="91"/>
    <x v="2"/>
    <x v="0"/>
    <n v="1817.2"/>
    <n v="277.2"/>
    <n v="1540"/>
    <s v="No"/>
    <s v="05ABCEFGHIJK1Z1"/>
    <n v="0"/>
    <n v="0"/>
    <n v="0"/>
    <n v="0"/>
    <n v="138.6"/>
    <n v="138.6"/>
    <n v="0"/>
    <n v="0"/>
    <n v="0"/>
    <n v="0"/>
    <n v="138.6"/>
    <n v="138.6"/>
    <n v="0"/>
    <n v="0"/>
    <n v="0"/>
    <m/>
    <n v="0"/>
    <n v="277.2"/>
    <n v="0"/>
    <n v="0"/>
    <n v="0"/>
    <n v="0"/>
    <n v="0"/>
    <n v="0"/>
    <n v="0"/>
    <n v="0"/>
    <n v="0"/>
    <x v="0"/>
  </r>
  <r>
    <s v="APD"/>
    <x v="2"/>
    <x v="85"/>
    <x v="0"/>
    <x v="0"/>
    <x v="0"/>
    <x v="92"/>
    <x v="24"/>
    <x v="2"/>
    <n v="4000"/>
    <n v="0"/>
    <n v="0"/>
    <s v="Yes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86"/>
    <x v="0"/>
    <x v="0"/>
    <x v="0"/>
    <x v="47"/>
    <x v="26"/>
    <x v="0"/>
    <n v="5900"/>
    <n v="900"/>
    <n v="5000"/>
    <s v="No"/>
    <s v="05ABCEFGHIJK1ZK"/>
    <n v="0"/>
    <n v="0"/>
    <n v="0"/>
    <n v="0"/>
    <n v="450"/>
    <n v="450"/>
    <n v="0"/>
    <n v="0"/>
    <n v="0"/>
    <n v="0"/>
    <n v="450"/>
    <n v="450"/>
    <n v="0"/>
    <n v="0"/>
    <n v="0"/>
    <m/>
    <n v="0"/>
    <n v="900"/>
    <n v="0"/>
    <n v="0"/>
    <n v="0"/>
    <n v="0"/>
    <n v="0"/>
    <n v="0"/>
    <n v="0"/>
    <n v="0"/>
    <n v="0"/>
    <x v="0"/>
  </r>
  <r>
    <s v="APD"/>
    <x v="2"/>
    <x v="87"/>
    <x v="0"/>
    <x v="0"/>
    <x v="0"/>
    <x v="93"/>
    <x v="17"/>
    <x v="0"/>
    <n v="8024"/>
    <n v="1224"/>
    <n v="6800"/>
    <s v="No"/>
    <s v="05ABCEFGHIJK1ZU"/>
    <n v="0"/>
    <n v="0"/>
    <n v="0"/>
    <n v="0"/>
    <n v="612"/>
    <n v="612"/>
    <n v="0"/>
    <n v="0"/>
    <n v="0"/>
    <n v="0"/>
    <n v="612"/>
    <n v="612"/>
    <n v="0"/>
    <n v="0"/>
    <n v="0"/>
    <m/>
    <n v="0"/>
    <n v="1224"/>
    <n v="0"/>
    <n v="0"/>
    <n v="0"/>
    <n v="0"/>
    <n v="0"/>
    <n v="0"/>
    <n v="0"/>
    <n v="0"/>
    <n v="0"/>
    <x v="0"/>
  </r>
  <r>
    <s v="APD"/>
    <x v="2"/>
    <x v="88"/>
    <x v="0"/>
    <x v="0"/>
    <x v="0"/>
    <x v="94"/>
    <x v="26"/>
    <x v="0"/>
    <n v="9450"/>
    <n v="1442"/>
    <n v="8008"/>
    <s v="No"/>
    <s v="05ABCEFGHIJK1ZT"/>
    <n v="0"/>
    <n v="0"/>
    <n v="0"/>
    <n v="0"/>
    <n v="721"/>
    <n v="721"/>
    <n v="0"/>
    <n v="0"/>
    <n v="0"/>
    <n v="0"/>
    <n v="721"/>
    <n v="721"/>
    <n v="0"/>
    <n v="0"/>
    <n v="0"/>
    <m/>
    <n v="0"/>
    <n v="1442"/>
    <n v="0"/>
    <n v="0"/>
    <n v="0"/>
    <n v="0"/>
    <n v="0"/>
    <n v="0"/>
    <n v="0"/>
    <n v="0"/>
    <n v="0"/>
    <x v="0"/>
  </r>
  <r>
    <s v="APD"/>
    <x v="2"/>
    <x v="89"/>
    <x v="0"/>
    <x v="0"/>
    <x v="0"/>
    <x v="95"/>
    <x v="15"/>
    <x v="2"/>
    <n v="16348.5"/>
    <n v="778.5"/>
    <n v="15570"/>
    <s v="Yes"/>
    <s v="05ABCEFGHIJK1ZI"/>
    <n v="0"/>
    <n v="0"/>
    <n v="389.25"/>
    <n v="0"/>
    <n v="0"/>
    <n v="389.25"/>
    <n v="0"/>
    <n v="0"/>
    <n v="389.25"/>
    <n v="0"/>
    <n v="0"/>
    <n v="389.25"/>
    <n v="0"/>
    <n v="0"/>
    <n v="0"/>
    <m/>
    <n v="0"/>
    <n v="778.5"/>
    <n v="0"/>
    <n v="0"/>
    <n v="0"/>
    <n v="0"/>
    <n v="0"/>
    <n v="0"/>
    <n v="0"/>
    <n v="0"/>
    <n v="0"/>
    <x v="0"/>
  </r>
  <r>
    <s v="APD"/>
    <x v="2"/>
    <x v="90"/>
    <x v="0"/>
    <x v="0"/>
    <x v="0"/>
    <x v="96"/>
    <x v="18"/>
    <x v="0"/>
    <n v="42714"/>
    <n v="3614"/>
    <n v="39100"/>
    <s v="No"/>
    <s v="05ABCEFGHIJK1ZP"/>
    <n v="0"/>
    <n v="0"/>
    <n v="385"/>
    <n v="1422"/>
    <n v="0"/>
    <n v="1807"/>
    <n v="0"/>
    <n v="0"/>
    <n v="385"/>
    <n v="1422"/>
    <n v="0"/>
    <n v="1807"/>
    <n v="0"/>
    <n v="0"/>
    <n v="0"/>
    <m/>
    <n v="0"/>
    <n v="3614"/>
    <n v="0"/>
    <n v="0"/>
    <n v="0"/>
    <n v="0"/>
    <n v="0"/>
    <n v="0"/>
    <n v="0"/>
    <n v="0"/>
    <n v="0"/>
    <x v="0"/>
  </r>
  <r>
    <s v="APD"/>
    <x v="2"/>
    <x v="91"/>
    <x v="0"/>
    <x v="0"/>
    <x v="0"/>
    <x v="97"/>
    <x v="28"/>
    <x v="0"/>
    <n v="1470"/>
    <n v="70"/>
    <n v="1400"/>
    <s v="No"/>
    <s v="05ABCEFGHIJK1ZP"/>
    <n v="0"/>
    <n v="0"/>
    <n v="35"/>
    <n v="0"/>
    <n v="0"/>
    <n v="35"/>
    <n v="0"/>
    <n v="0"/>
    <n v="35"/>
    <n v="0"/>
    <n v="0"/>
    <n v="35"/>
    <n v="0"/>
    <n v="0"/>
    <n v="0"/>
    <m/>
    <n v="0"/>
    <n v="70"/>
    <n v="0"/>
    <n v="0"/>
    <n v="0"/>
    <n v="0"/>
    <n v="0"/>
    <n v="0"/>
    <n v="0"/>
    <n v="0"/>
    <n v="0"/>
    <x v="0"/>
  </r>
  <r>
    <s v="APD"/>
    <x v="2"/>
    <x v="92"/>
    <x v="0"/>
    <x v="0"/>
    <x v="0"/>
    <x v="98"/>
    <x v="16"/>
    <x v="0"/>
    <n v="23340.400000000001"/>
    <n v="3560.4"/>
    <n v="19780"/>
    <s v="No"/>
    <s v="05ABCEFGHIJK2Z1"/>
    <n v="0"/>
    <n v="0"/>
    <n v="0"/>
    <n v="0"/>
    <n v="1780.2"/>
    <n v="1780.2"/>
    <n v="0"/>
    <n v="0"/>
    <n v="0"/>
    <n v="0"/>
    <n v="1780.2"/>
    <n v="1780.2"/>
    <n v="0"/>
    <n v="0"/>
    <n v="0"/>
    <m/>
    <n v="0"/>
    <n v="3560.4"/>
    <n v="0"/>
    <n v="0"/>
    <n v="0"/>
    <n v="0"/>
    <n v="0"/>
    <n v="0"/>
    <n v="0"/>
    <n v="0"/>
    <n v="0"/>
    <x v="0"/>
  </r>
  <r>
    <s v="APD"/>
    <x v="2"/>
    <x v="93"/>
    <x v="0"/>
    <x v="0"/>
    <x v="0"/>
    <x v="99"/>
    <x v="3"/>
    <x v="0"/>
    <n v="7694"/>
    <n v="1174"/>
    <n v="6520"/>
    <s v="No"/>
    <s v="05ABCEFGHIJK1Z2"/>
    <n v="0"/>
    <n v="0"/>
    <n v="0"/>
    <n v="0"/>
    <n v="587"/>
    <n v="587"/>
    <n v="0"/>
    <n v="0"/>
    <n v="0"/>
    <n v="0"/>
    <n v="587"/>
    <n v="587"/>
    <n v="0"/>
    <n v="0"/>
    <n v="0"/>
    <m/>
    <n v="0"/>
    <n v="1174"/>
    <n v="0"/>
    <n v="0"/>
    <n v="0"/>
    <n v="0"/>
    <n v="0"/>
    <n v="0"/>
    <n v="0"/>
    <n v="0"/>
    <n v="0"/>
    <x v="0"/>
  </r>
  <r>
    <s v="APD"/>
    <x v="2"/>
    <x v="94"/>
    <x v="0"/>
    <x v="0"/>
    <x v="0"/>
    <x v="100"/>
    <x v="18"/>
    <x v="0"/>
    <n v="6440.44"/>
    <n v="982.44"/>
    <n v="5458"/>
    <s v="No"/>
    <s v="05ABCEFGHIJK1Z5"/>
    <n v="0"/>
    <n v="0"/>
    <n v="0"/>
    <n v="0"/>
    <n v="491.22"/>
    <n v="491.22"/>
    <n v="0"/>
    <n v="0"/>
    <n v="0"/>
    <n v="0"/>
    <n v="491.22"/>
    <n v="491.22"/>
    <n v="0"/>
    <n v="0"/>
    <n v="0"/>
    <m/>
    <n v="0"/>
    <n v="982.44"/>
    <n v="0"/>
    <n v="0"/>
    <n v="0"/>
    <n v="0"/>
    <n v="0"/>
    <n v="0"/>
    <n v="0"/>
    <n v="0"/>
    <n v="0"/>
    <x v="0"/>
  </r>
  <r>
    <s v="APD"/>
    <x v="2"/>
    <x v="95"/>
    <x v="0"/>
    <x v="0"/>
    <x v="0"/>
    <x v="101"/>
    <x v="22"/>
    <x v="0"/>
    <n v="13125"/>
    <n v="1125"/>
    <n v="12000"/>
    <s v="No"/>
    <s v="05ABCEFGHIJK1ZP"/>
    <n v="0"/>
    <n v="0"/>
    <n v="112.5"/>
    <n v="450"/>
    <n v="0"/>
    <n v="562.5"/>
    <n v="0"/>
    <n v="0"/>
    <n v="112.5"/>
    <n v="450"/>
    <n v="0"/>
    <n v="562.5"/>
    <n v="0"/>
    <n v="0"/>
    <n v="0"/>
    <m/>
    <n v="0"/>
    <n v="1125"/>
    <n v="0"/>
    <n v="0"/>
    <n v="0"/>
    <n v="0"/>
    <n v="0"/>
    <n v="0"/>
    <n v="0"/>
    <n v="0"/>
    <n v="0"/>
    <x v="0"/>
  </r>
  <r>
    <s v="APD"/>
    <x v="2"/>
    <x v="96"/>
    <x v="0"/>
    <x v="0"/>
    <x v="0"/>
    <x v="102"/>
    <x v="0"/>
    <x v="0"/>
    <n v="5540.14"/>
    <n v="845.1"/>
    <n v="4695.04"/>
    <s v="No"/>
    <s v="05ABCEFGHIJK1ZX"/>
    <n v="0"/>
    <n v="0"/>
    <n v="0"/>
    <n v="0"/>
    <n v="422.55"/>
    <n v="422.55"/>
    <n v="0"/>
    <n v="0"/>
    <n v="0"/>
    <n v="0"/>
    <n v="422.55"/>
    <n v="422.55"/>
    <n v="0"/>
    <n v="0"/>
    <n v="0"/>
    <m/>
    <n v="0"/>
    <n v="845.1"/>
    <n v="0"/>
    <n v="0"/>
    <n v="0"/>
    <n v="0"/>
    <n v="0"/>
    <n v="0"/>
    <n v="0"/>
    <n v="0"/>
    <n v="0"/>
    <x v="0"/>
  </r>
  <r>
    <s v="APD"/>
    <x v="2"/>
    <x v="97"/>
    <x v="0"/>
    <x v="0"/>
    <x v="0"/>
    <x v="103"/>
    <x v="16"/>
    <x v="0"/>
    <n v="7316"/>
    <n v="1116"/>
    <n v="6200"/>
    <s v="No"/>
    <s v="05ABCEFGHIJK1ZL"/>
    <n v="0"/>
    <n v="0"/>
    <n v="0"/>
    <n v="0"/>
    <n v="558"/>
    <n v="558"/>
    <n v="0"/>
    <n v="0"/>
    <n v="0"/>
    <n v="0"/>
    <n v="558"/>
    <n v="558"/>
    <n v="0"/>
    <n v="0"/>
    <n v="0"/>
    <m/>
    <n v="0"/>
    <n v="1116"/>
    <n v="0"/>
    <n v="0"/>
    <n v="0"/>
    <n v="0"/>
    <n v="0"/>
    <n v="0"/>
    <n v="0"/>
    <n v="0"/>
    <n v="0"/>
    <x v="0"/>
  </r>
  <r>
    <s v="APD"/>
    <x v="2"/>
    <x v="98"/>
    <x v="0"/>
    <x v="0"/>
    <x v="0"/>
    <x v="104"/>
    <x v="21"/>
    <x v="0"/>
    <n v="5546"/>
    <n v="846"/>
    <n v="4700"/>
    <s v="No"/>
    <s v="05ABCEFGHIJK1ZF"/>
    <n v="0"/>
    <n v="0"/>
    <n v="0"/>
    <n v="0"/>
    <n v="423"/>
    <n v="423"/>
    <n v="0"/>
    <n v="0"/>
    <n v="0"/>
    <n v="0"/>
    <n v="423"/>
    <n v="423"/>
    <n v="0"/>
    <n v="0"/>
    <n v="0"/>
    <m/>
    <n v="0"/>
    <n v="846"/>
    <n v="0"/>
    <n v="0"/>
    <n v="0"/>
    <n v="0"/>
    <n v="0"/>
    <n v="0"/>
    <n v="0"/>
    <n v="0"/>
    <n v="0"/>
    <x v="0"/>
  </r>
  <r>
    <s v="APD"/>
    <x v="2"/>
    <x v="99"/>
    <x v="0"/>
    <x v="0"/>
    <x v="0"/>
    <x v="105"/>
    <x v="24"/>
    <x v="0"/>
    <n v="26505.759999999998"/>
    <n v="4043.26"/>
    <n v="22462.5"/>
    <s v="No"/>
    <s v="05ABCEFGHIJK1ZP"/>
    <n v="0"/>
    <n v="0"/>
    <n v="0"/>
    <n v="0"/>
    <n v="2021.63"/>
    <n v="2021.63"/>
    <n v="0"/>
    <n v="0"/>
    <n v="0"/>
    <n v="0"/>
    <n v="2021.63"/>
    <n v="2021.63"/>
    <n v="0"/>
    <n v="0"/>
    <n v="0"/>
    <m/>
    <n v="0"/>
    <n v="4043.26"/>
    <n v="0"/>
    <n v="0"/>
    <n v="0"/>
    <n v="0"/>
    <n v="0"/>
    <n v="0"/>
    <n v="0"/>
    <n v="0"/>
    <n v="0"/>
    <x v="0"/>
  </r>
  <r>
    <s v="APD"/>
    <x v="2"/>
    <x v="100"/>
    <x v="0"/>
    <x v="0"/>
    <x v="0"/>
    <x v="106"/>
    <x v="14"/>
    <x v="0"/>
    <n v="9283.66"/>
    <n v="1416.16"/>
    <n v="7867.5"/>
    <s v="No"/>
    <s v="05ABCEFGHIJK1ZZ"/>
    <n v="0"/>
    <n v="0"/>
    <n v="0"/>
    <n v="0"/>
    <n v="708.08"/>
    <n v="708.08"/>
    <n v="0"/>
    <n v="0"/>
    <n v="0"/>
    <n v="0"/>
    <n v="708.08"/>
    <n v="708.08"/>
    <n v="0"/>
    <n v="0"/>
    <n v="0"/>
    <m/>
    <n v="0"/>
    <n v="1416.16"/>
    <n v="0"/>
    <n v="0"/>
    <n v="0"/>
    <n v="0"/>
    <n v="0"/>
    <n v="0"/>
    <n v="0"/>
    <n v="0"/>
    <n v="0"/>
    <x v="0"/>
  </r>
  <r>
    <s v="APD"/>
    <x v="2"/>
    <x v="101"/>
    <x v="0"/>
    <x v="0"/>
    <x v="0"/>
    <x v="107"/>
    <x v="28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102"/>
    <x v="0"/>
    <x v="0"/>
    <x v="0"/>
    <x v="108"/>
    <x v="22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2"/>
    <x v="103"/>
    <x v="0"/>
    <x v="0"/>
    <x v="0"/>
    <x v="109"/>
    <x v="25"/>
    <x v="0"/>
    <n v="10030"/>
    <n v="1530"/>
    <n v="8500"/>
    <s v="No"/>
    <s v="05ABCEFGHIJK1ZQ"/>
    <n v="0"/>
    <n v="0"/>
    <n v="0"/>
    <n v="0"/>
    <n v="765"/>
    <n v="765"/>
    <n v="0"/>
    <n v="0"/>
    <n v="0"/>
    <n v="0"/>
    <n v="765"/>
    <n v="765"/>
    <n v="0"/>
    <n v="0"/>
    <n v="0"/>
    <m/>
    <n v="0"/>
    <n v="1530"/>
    <n v="0"/>
    <n v="0"/>
    <n v="0"/>
    <n v="0"/>
    <n v="0"/>
    <n v="0"/>
    <n v="0"/>
    <n v="0"/>
    <n v="0"/>
    <x v="0"/>
  </r>
  <r>
    <s v="APD"/>
    <x v="2"/>
    <x v="104"/>
    <x v="0"/>
    <x v="0"/>
    <x v="0"/>
    <x v="110"/>
    <x v="28"/>
    <x v="0"/>
    <n v="1824"/>
    <n v="278.24"/>
    <n v="1545.76"/>
    <s v="No"/>
    <s v="05ABCEFGHIJK1ZK"/>
    <n v="0"/>
    <n v="0"/>
    <n v="0"/>
    <n v="0"/>
    <n v="139.12"/>
    <n v="139.12"/>
    <n v="0"/>
    <n v="0"/>
    <n v="0"/>
    <n v="0"/>
    <n v="139.12"/>
    <n v="139.12"/>
    <n v="0"/>
    <n v="0"/>
    <n v="0"/>
    <m/>
    <n v="0"/>
    <n v="278.24"/>
    <n v="0"/>
    <n v="0"/>
    <n v="0"/>
    <n v="0"/>
    <n v="0"/>
    <n v="0"/>
    <n v="0"/>
    <n v="0"/>
    <n v="0"/>
    <x v="0"/>
  </r>
  <r>
    <s v="APD"/>
    <x v="2"/>
    <x v="105"/>
    <x v="0"/>
    <x v="0"/>
    <x v="0"/>
    <x v="111"/>
    <x v="17"/>
    <x v="0"/>
    <n v="38426.46"/>
    <n v="5861.66"/>
    <n v="32564.799999999999"/>
    <s v="No"/>
    <s v="06ABCEFGHIJK1ZH"/>
    <n v="0"/>
    <n v="0"/>
    <n v="0"/>
    <n v="0"/>
    <n v="0"/>
    <n v="0"/>
    <n v="0"/>
    <n v="0"/>
    <n v="0"/>
    <n v="0"/>
    <n v="0"/>
    <n v="0"/>
    <n v="0"/>
    <n v="0"/>
    <n v="5861.66"/>
    <m/>
    <n v="5861.66"/>
    <n v="5861.66"/>
    <n v="0"/>
    <n v="0"/>
    <n v="0"/>
    <n v="0"/>
    <n v="0"/>
    <n v="0"/>
    <n v="0"/>
    <n v="0"/>
    <n v="0"/>
    <x v="1"/>
  </r>
  <r>
    <s v="APD"/>
    <x v="2"/>
    <x v="106"/>
    <x v="0"/>
    <x v="0"/>
    <x v="0"/>
    <x v="112"/>
    <x v="17"/>
    <x v="0"/>
    <n v="14445.8"/>
    <n v="2203.6"/>
    <n v="12242.2"/>
    <s v="No"/>
    <s v="06ABCEFGHIJK1ZH"/>
    <n v="0"/>
    <n v="0"/>
    <n v="0"/>
    <n v="0"/>
    <n v="0"/>
    <n v="0"/>
    <n v="0"/>
    <n v="0"/>
    <n v="0"/>
    <n v="0"/>
    <n v="0"/>
    <n v="0"/>
    <n v="0"/>
    <n v="0"/>
    <n v="2203.6"/>
    <m/>
    <n v="2203.6"/>
    <n v="2203.6"/>
    <n v="0"/>
    <n v="0"/>
    <n v="0"/>
    <n v="0"/>
    <n v="0"/>
    <n v="0"/>
    <n v="0"/>
    <n v="0"/>
    <n v="0"/>
    <x v="1"/>
  </r>
  <r>
    <s v="APD"/>
    <x v="2"/>
    <x v="107"/>
    <x v="0"/>
    <x v="0"/>
    <x v="0"/>
    <x v="62"/>
    <x v="22"/>
    <x v="0"/>
    <n v="3721.22"/>
    <n v="567.72"/>
    <n v="3153.5"/>
    <s v="No"/>
    <s v="05ABCEFGHIJK1Z5"/>
    <n v="0"/>
    <n v="0"/>
    <n v="0"/>
    <n v="0"/>
    <n v="283.86"/>
    <n v="283.86"/>
    <n v="0"/>
    <n v="0"/>
    <n v="0"/>
    <n v="0"/>
    <n v="283.86"/>
    <n v="283.86"/>
    <n v="0"/>
    <n v="0"/>
    <n v="0"/>
    <m/>
    <n v="0"/>
    <n v="567.72"/>
    <n v="0"/>
    <n v="0"/>
    <n v="0"/>
    <n v="0"/>
    <n v="0"/>
    <n v="0"/>
    <n v="0"/>
    <n v="0"/>
    <n v="0"/>
    <x v="0"/>
  </r>
  <r>
    <s v="APD"/>
    <x v="2"/>
    <x v="108"/>
    <x v="0"/>
    <x v="0"/>
    <x v="0"/>
    <x v="113"/>
    <x v="25"/>
    <x v="0"/>
    <n v="1956.44"/>
    <n v="298.44"/>
    <n v="1658"/>
    <s v="No"/>
    <s v="05ABCEFGHIJK1Z5"/>
    <n v="0"/>
    <n v="0"/>
    <n v="0"/>
    <n v="0"/>
    <n v="149.22"/>
    <n v="149.22"/>
    <n v="0"/>
    <n v="0"/>
    <n v="0"/>
    <n v="0"/>
    <n v="149.22"/>
    <n v="149.22"/>
    <n v="0"/>
    <n v="0"/>
    <n v="0"/>
    <m/>
    <n v="0"/>
    <n v="298.44"/>
    <n v="0"/>
    <n v="0"/>
    <n v="0"/>
    <n v="0"/>
    <n v="0"/>
    <n v="0"/>
    <n v="0"/>
    <n v="0"/>
    <n v="0"/>
    <x v="0"/>
  </r>
  <r>
    <s v="APD"/>
    <x v="2"/>
    <x v="109"/>
    <x v="0"/>
    <x v="0"/>
    <x v="0"/>
    <x v="114"/>
    <x v="28"/>
    <x v="0"/>
    <n v="509.76"/>
    <n v="77.760000000000005"/>
    <n v="432"/>
    <s v="No"/>
    <s v="05ABCEFGHIJK1Z5"/>
    <n v="0"/>
    <n v="0"/>
    <n v="0"/>
    <n v="0"/>
    <n v="38.880000000000003"/>
    <n v="38.880000000000003"/>
    <n v="0"/>
    <n v="0"/>
    <n v="0"/>
    <n v="0"/>
    <n v="38.880000000000003"/>
    <n v="38.880000000000003"/>
    <n v="0"/>
    <n v="0"/>
    <n v="0"/>
    <m/>
    <n v="0"/>
    <n v="77.760000000000005"/>
    <n v="0"/>
    <n v="0"/>
    <n v="0"/>
    <n v="0"/>
    <n v="0"/>
    <n v="0"/>
    <n v="0"/>
    <n v="0"/>
    <n v="0"/>
    <x v="0"/>
  </r>
  <r>
    <s v="APD"/>
    <x v="2"/>
    <x v="110"/>
    <x v="0"/>
    <x v="0"/>
    <x v="0"/>
    <x v="115"/>
    <x v="29"/>
    <x v="0"/>
    <n v="731.6"/>
    <n v="111.6"/>
    <n v="620"/>
    <s v="No"/>
    <s v="05ABCEFGHIJK1Z5"/>
    <n v="0"/>
    <n v="0"/>
    <n v="0"/>
    <n v="0"/>
    <n v="55.8"/>
    <n v="55.8"/>
    <n v="0"/>
    <n v="0"/>
    <n v="0"/>
    <n v="0"/>
    <n v="55.8"/>
    <n v="55.8"/>
    <n v="0"/>
    <n v="0"/>
    <n v="0"/>
    <m/>
    <n v="0"/>
    <n v="111.6"/>
    <n v="0"/>
    <n v="0"/>
    <n v="0"/>
    <n v="0"/>
    <n v="0"/>
    <n v="0"/>
    <n v="0"/>
    <n v="0"/>
    <n v="0"/>
    <x v="0"/>
  </r>
  <r>
    <s v="APD"/>
    <x v="2"/>
    <x v="111"/>
    <x v="0"/>
    <x v="0"/>
    <x v="0"/>
    <x v="116"/>
    <x v="30"/>
    <x v="0"/>
    <n v="23600"/>
    <n v="3600"/>
    <n v="20000"/>
    <s v="No"/>
    <s v="06ABCEFGHIJK1Z6"/>
    <n v="0"/>
    <n v="0"/>
    <n v="0"/>
    <n v="0"/>
    <n v="0"/>
    <n v="0"/>
    <n v="0"/>
    <n v="0"/>
    <n v="0"/>
    <n v="0"/>
    <n v="0"/>
    <n v="0"/>
    <n v="0"/>
    <n v="0"/>
    <n v="3600"/>
    <m/>
    <n v="3600"/>
    <n v="3600"/>
    <n v="0"/>
    <n v="0"/>
    <n v="0"/>
    <n v="0"/>
    <n v="0"/>
    <n v="0"/>
    <n v="0"/>
    <n v="0"/>
    <n v="0"/>
    <x v="1"/>
  </r>
  <r>
    <s v="APD"/>
    <x v="2"/>
    <x v="112"/>
    <x v="0"/>
    <x v="0"/>
    <x v="0"/>
    <x v="117"/>
    <x v="15"/>
    <x v="0"/>
    <n v="4541.82"/>
    <n v="692.82"/>
    <n v="3849"/>
    <s v="No"/>
    <s v="05ABCEFGHIJK1ZX"/>
    <n v="0"/>
    <n v="0"/>
    <n v="0"/>
    <n v="0"/>
    <n v="346.41"/>
    <n v="346.41"/>
    <n v="0"/>
    <n v="0"/>
    <n v="0"/>
    <n v="0"/>
    <n v="346.41"/>
    <n v="346.41"/>
    <n v="0"/>
    <n v="0"/>
    <n v="0"/>
    <m/>
    <n v="0"/>
    <n v="692.82"/>
    <n v="0"/>
    <n v="0"/>
    <n v="0"/>
    <n v="0"/>
    <n v="0"/>
    <n v="0"/>
    <n v="0"/>
    <n v="0"/>
    <n v="0"/>
    <x v="0"/>
  </r>
  <r>
    <s v="APD"/>
    <x v="2"/>
    <x v="113"/>
    <x v="0"/>
    <x v="0"/>
    <x v="0"/>
    <x v="118"/>
    <x v="2"/>
    <x v="0"/>
    <n v="154592"/>
    <n v="0"/>
    <n v="154592"/>
    <s v="No"/>
    <s v="05ABCEFGHIJK1ZO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3"/>
    <x v="0"/>
    <x v="8"/>
    <x v="0"/>
    <x v="0"/>
    <x v="10"/>
    <x v="7"/>
    <x v="0"/>
    <n v="3121460.61"/>
    <n v="476155.01"/>
    <n v="2645305.6"/>
    <s v="No"/>
    <s v="24ABCEFGHIJK1Z9"/>
    <n v="0"/>
    <n v="0"/>
    <n v="0"/>
    <n v="0"/>
    <n v="0"/>
    <n v="0"/>
    <n v="0"/>
    <n v="0"/>
    <n v="0"/>
    <n v="0"/>
    <n v="0"/>
    <n v="0"/>
    <n v="0"/>
    <n v="0"/>
    <n v="476155.01"/>
    <m/>
    <n v="476155.01"/>
    <n v="476155.01"/>
    <n v="0"/>
    <n v="0"/>
    <n v="0"/>
    <n v="0"/>
    <n v="0"/>
    <n v="0"/>
    <n v="0"/>
    <n v="0"/>
    <n v="0"/>
    <x v="1"/>
  </r>
  <r>
    <s v="APD"/>
    <x v="3"/>
    <x v="1"/>
    <x v="8"/>
    <x v="0"/>
    <x v="0"/>
    <x v="119"/>
    <x v="31"/>
    <x v="0"/>
    <n v="876740"/>
    <n v="133740"/>
    <n v="743000"/>
    <s v="No"/>
    <s v="33ABCEFGHIJK1Z6"/>
    <n v="0"/>
    <n v="0"/>
    <n v="0"/>
    <n v="0"/>
    <n v="0"/>
    <n v="0"/>
    <n v="0"/>
    <n v="0"/>
    <n v="0"/>
    <n v="0"/>
    <n v="0"/>
    <n v="0"/>
    <n v="0"/>
    <n v="0"/>
    <n v="133740"/>
    <m/>
    <n v="133740"/>
    <n v="133740"/>
    <n v="0"/>
    <n v="0"/>
    <n v="0"/>
    <n v="0"/>
    <n v="0"/>
    <n v="0"/>
    <n v="0"/>
    <n v="0"/>
    <n v="0"/>
    <x v="1"/>
  </r>
  <r>
    <s v="APD"/>
    <x v="3"/>
    <x v="2"/>
    <x v="8"/>
    <x v="0"/>
    <x v="0"/>
    <x v="120"/>
    <x v="30"/>
    <x v="0"/>
    <n v="173755"/>
    <n v="26505"/>
    <n v="147250"/>
    <s v="No"/>
    <s v="24ABCEFGHIJK1ZS"/>
    <n v="0"/>
    <n v="0"/>
    <n v="0"/>
    <n v="0"/>
    <n v="0"/>
    <n v="0"/>
    <n v="0"/>
    <n v="0"/>
    <n v="0"/>
    <n v="0"/>
    <n v="0"/>
    <n v="0"/>
    <n v="0"/>
    <n v="0"/>
    <n v="26505"/>
    <m/>
    <n v="26505"/>
    <n v="26505"/>
    <n v="0"/>
    <n v="0"/>
    <n v="0"/>
    <n v="0"/>
    <n v="0"/>
    <n v="0"/>
    <n v="0"/>
    <n v="0"/>
    <n v="0"/>
    <x v="1"/>
  </r>
  <r>
    <s v="APD"/>
    <x v="3"/>
    <x v="3"/>
    <x v="8"/>
    <x v="0"/>
    <x v="0"/>
    <x v="121"/>
    <x v="7"/>
    <x v="0"/>
    <n v="1177640"/>
    <n v="179640"/>
    <n v="998000"/>
    <s v="No"/>
    <s v="33ABCEFGHIJK1Z6"/>
    <n v="0"/>
    <n v="0"/>
    <n v="0"/>
    <n v="0"/>
    <n v="0"/>
    <n v="0"/>
    <n v="0"/>
    <n v="0"/>
    <n v="0"/>
    <n v="0"/>
    <n v="0"/>
    <n v="0"/>
    <n v="0"/>
    <n v="0"/>
    <n v="179640"/>
    <m/>
    <n v="179640"/>
    <n v="179640"/>
    <n v="0"/>
    <n v="0"/>
    <n v="0"/>
    <n v="0"/>
    <n v="0"/>
    <n v="0"/>
    <n v="0"/>
    <n v="0"/>
    <n v="0"/>
    <x v="1"/>
  </r>
  <r>
    <s v="APD"/>
    <x v="3"/>
    <x v="4"/>
    <x v="8"/>
    <x v="0"/>
    <x v="0"/>
    <x v="122"/>
    <x v="27"/>
    <x v="0"/>
    <n v="231138.4"/>
    <n v="35258.400000000001"/>
    <n v="195880"/>
    <s v="No"/>
    <s v="09ABCEFGHIJK1Z1"/>
    <n v="0"/>
    <n v="0"/>
    <n v="0"/>
    <n v="0"/>
    <n v="0"/>
    <n v="0"/>
    <n v="0"/>
    <n v="0"/>
    <n v="0"/>
    <n v="0"/>
    <n v="0"/>
    <n v="0"/>
    <n v="0"/>
    <n v="0"/>
    <n v="35258.400000000001"/>
    <m/>
    <n v="35258.400000000001"/>
    <n v="35258.400000000001"/>
    <n v="0"/>
    <n v="0"/>
    <n v="0"/>
    <n v="0"/>
    <n v="0"/>
    <n v="0"/>
    <n v="0"/>
    <n v="0"/>
    <n v="0"/>
    <x v="1"/>
  </r>
  <r>
    <s v="APD"/>
    <x v="3"/>
    <x v="8"/>
    <x v="8"/>
    <x v="0"/>
    <x v="0"/>
    <x v="123"/>
    <x v="27"/>
    <x v="0"/>
    <n v="161400"/>
    <n v="24620"/>
    <n v="136780"/>
    <s v="No"/>
    <s v="05ABCEFGHIJK1ZC"/>
    <n v="0"/>
    <n v="0"/>
    <n v="0"/>
    <n v="0"/>
    <n v="12310"/>
    <n v="12310"/>
    <n v="0"/>
    <n v="0"/>
    <n v="0"/>
    <n v="0"/>
    <n v="12310"/>
    <n v="12310"/>
    <n v="0"/>
    <n v="0"/>
    <n v="0"/>
    <m/>
    <n v="0"/>
    <n v="24620"/>
    <n v="0"/>
    <n v="0"/>
    <n v="0"/>
    <n v="0"/>
    <n v="0"/>
    <n v="0"/>
    <n v="0"/>
    <n v="0"/>
    <n v="0"/>
    <x v="0"/>
  </r>
  <r>
    <s v="APD"/>
    <x v="3"/>
    <x v="5"/>
    <x v="8"/>
    <x v="0"/>
    <x v="0"/>
    <x v="124"/>
    <x v="32"/>
    <x v="0"/>
    <n v="1224170.04"/>
    <n v="186738"/>
    <n v="1037432.036"/>
    <s v="No"/>
    <s v="02ABCEFGHIJK1ZI"/>
    <n v="0"/>
    <n v="0"/>
    <n v="0"/>
    <n v="0"/>
    <n v="0"/>
    <n v="0"/>
    <n v="0"/>
    <n v="0"/>
    <n v="0"/>
    <n v="0"/>
    <n v="0"/>
    <n v="0"/>
    <n v="0"/>
    <n v="0"/>
    <n v="186738"/>
    <m/>
    <n v="186738"/>
    <n v="186738"/>
    <n v="0"/>
    <n v="0"/>
    <n v="0"/>
    <n v="0"/>
    <n v="0"/>
    <n v="0"/>
    <n v="0"/>
    <n v="0"/>
    <n v="0"/>
    <x v="1"/>
  </r>
  <r>
    <s v="APD"/>
    <x v="3"/>
    <x v="6"/>
    <x v="8"/>
    <x v="0"/>
    <x v="0"/>
    <x v="125"/>
    <x v="33"/>
    <x v="0"/>
    <n v="409665.09"/>
    <n v="62491.28"/>
    <n v="347173.80900000001"/>
    <s v="No"/>
    <s v="05ABCEFGHIJK1Z8"/>
    <n v="0"/>
    <n v="0"/>
    <n v="0"/>
    <n v="0"/>
    <n v="31245.64"/>
    <n v="31245.64"/>
    <n v="0"/>
    <n v="0"/>
    <n v="0"/>
    <n v="0"/>
    <n v="31245.64"/>
    <n v="31245.64"/>
    <n v="0"/>
    <n v="0"/>
    <n v="0"/>
    <m/>
    <n v="0"/>
    <n v="62491.28"/>
    <n v="0"/>
    <n v="0"/>
    <n v="0"/>
    <n v="0"/>
    <n v="0"/>
    <n v="0"/>
    <n v="0"/>
    <n v="0"/>
    <n v="0"/>
    <x v="0"/>
  </r>
  <r>
    <s v="APD"/>
    <x v="3"/>
    <x v="7"/>
    <x v="9"/>
    <x v="0"/>
    <x v="0"/>
    <x v="126"/>
    <x v="9"/>
    <x v="0"/>
    <n v="17980.939999999999"/>
    <n v="2742.86"/>
    <n v="15238.08"/>
    <s v="No"/>
    <s v="05ABCEFGHIJK1ZV"/>
    <n v="0"/>
    <n v="0"/>
    <n v="0"/>
    <n v="0"/>
    <n v="1371.43"/>
    <n v="1371.43"/>
    <n v="0"/>
    <n v="0"/>
    <n v="0"/>
    <n v="0"/>
    <n v="1371.43"/>
    <n v="1371.43"/>
    <n v="0"/>
    <n v="0"/>
    <n v="0"/>
    <m/>
    <n v="0"/>
    <n v="2742.86"/>
    <n v="0"/>
    <n v="0"/>
    <n v="0"/>
    <n v="0"/>
    <n v="0"/>
    <n v="0"/>
    <n v="0"/>
    <n v="0"/>
    <n v="0"/>
    <x v="0"/>
  </r>
  <r>
    <s v="APD"/>
    <x v="3"/>
    <x v="9"/>
    <x v="9"/>
    <x v="0"/>
    <x v="0"/>
    <x v="127"/>
    <x v="33"/>
    <x v="0"/>
    <n v="1208076.67"/>
    <n v="184283"/>
    <n v="1023793.673"/>
    <s v="No"/>
    <s v="02ABCEFGHIJK1ZI"/>
    <n v="0"/>
    <n v="0"/>
    <n v="0"/>
    <n v="0"/>
    <n v="0"/>
    <n v="0"/>
    <n v="0"/>
    <n v="0"/>
    <n v="0"/>
    <n v="0"/>
    <n v="0"/>
    <n v="0"/>
    <n v="0"/>
    <n v="0"/>
    <n v="184283"/>
    <m/>
    <n v="184283"/>
    <n v="184283"/>
    <n v="0"/>
    <n v="0"/>
    <n v="0"/>
    <n v="0"/>
    <n v="0"/>
    <n v="0"/>
    <n v="0"/>
    <n v="0"/>
    <n v="0"/>
    <x v="1"/>
  </r>
  <r>
    <s v="APD"/>
    <x v="3"/>
    <x v="10"/>
    <x v="9"/>
    <x v="0"/>
    <x v="0"/>
    <x v="128"/>
    <x v="27"/>
    <x v="0"/>
    <n v="1444367.28"/>
    <n v="220327"/>
    <n v="1224040.281"/>
    <s v="No"/>
    <s v="02ABCEFGHIJK1ZI"/>
    <n v="0"/>
    <n v="0"/>
    <n v="0"/>
    <n v="0"/>
    <n v="0"/>
    <n v="0"/>
    <n v="0"/>
    <n v="0"/>
    <n v="0"/>
    <n v="0"/>
    <n v="0"/>
    <n v="0"/>
    <n v="0"/>
    <n v="0"/>
    <n v="220327"/>
    <m/>
    <n v="220327"/>
    <n v="220327"/>
    <n v="0"/>
    <n v="0"/>
    <n v="0"/>
    <n v="0"/>
    <n v="0"/>
    <n v="0"/>
    <n v="0"/>
    <n v="0"/>
    <n v="0"/>
    <x v="1"/>
  </r>
  <r>
    <s v="APD"/>
    <x v="3"/>
    <x v="11"/>
    <x v="9"/>
    <x v="0"/>
    <x v="0"/>
    <x v="129"/>
    <x v="32"/>
    <x v="0"/>
    <n v="339371.18"/>
    <n v="51768.480000000003"/>
    <n v="287602.7"/>
    <s v="No"/>
    <s v="05ABCEFGHIJK1ZZ"/>
    <n v="0"/>
    <n v="0"/>
    <n v="0"/>
    <n v="0"/>
    <n v="25884.240000000002"/>
    <n v="25884.240000000002"/>
    <n v="0"/>
    <n v="0"/>
    <n v="0"/>
    <n v="0"/>
    <n v="25884.240000000002"/>
    <n v="25884.240000000002"/>
    <n v="0"/>
    <n v="0"/>
    <n v="0"/>
    <m/>
    <n v="0"/>
    <n v="51768.480000000003"/>
    <n v="0"/>
    <n v="0"/>
    <n v="0"/>
    <n v="0"/>
    <n v="0"/>
    <n v="0"/>
    <n v="0"/>
    <n v="0"/>
    <n v="0"/>
    <x v="0"/>
  </r>
  <r>
    <s v="APD"/>
    <x v="3"/>
    <x v="12"/>
    <x v="9"/>
    <x v="0"/>
    <x v="0"/>
    <x v="130"/>
    <x v="27"/>
    <x v="0"/>
    <n v="2080856.08"/>
    <n v="317418"/>
    <n v="1763438.08"/>
    <s v="No"/>
    <s v="05ABCEFGHIJK1ZR"/>
    <n v="0"/>
    <n v="0"/>
    <n v="0"/>
    <n v="0"/>
    <n v="158709"/>
    <n v="158709"/>
    <n v="0"/>
    <n v="0"/>
    <n v="0"/>
    <n v="0"/>
    <n v="158709"/>
    <n v="158709"/>
    <n v="0"/>
    <n v="0"/>
    <n v="0"/>
    <m/>
    <n v="0"/>
    <n v="317418"/>
    <n v="0"/>
    <n v="0"/>
    <n v="0"/>
    <n v="0"/>
    <n v="0"/>
    <n v="0"/>
    <n v="0"/>
    <n v="0"/>
    <n v="0"/>
    <x v="0"/>
  </r>
  <r>
    <s v="APD"/>
    <x v="3"/>
    <x v="13"/>
    <x v="9"/>
    <x v="0"/>
    <x v="0"/>
    <x v="131"/>
    <x v="10"/>
    <x v="0"/>
    <n v="62446"/>
    <n v="9526"/>
    <n v="52920"/>
    <s v="No"/>
    <s v="05ABCEFGHIJK1ZM"/>
    <n v="0"/>
    <n v="0"/>
    <n v="0"/>
    <n v="0"/>
    <n v="4763"/>
    <n v="4763"/>
    <n v="0"/>
    <n v="0"/>
    <n v="0"/>
    <n v="0"/>
    <n v="4763"/>
    <n v="4763"/>
    <n v="0"/>
    <n v="0"/>
    <n v="0"/>
    <m/>
    <n v="0"/>
    <n v="9526"/>
    <n v="0"/>
    <n v="0"/>
    <n v="0"/>
    <n v="0"/>
    <n v="0"/>
    <n v="0"/>
    <n v="0"/>
    <n v="0"/>
    <n v="0"/>
    <x v="0"/>
  </r>
  <r>
    <s v="APD"/>
    <x v="3"/>
    <x v="14"/>
    <x v="9"/>
    <x v="0"/>
    <x v="0"/>
    <x v="132"/>
    <x v="10"/>
    <x v="0"/>
    <n v="223763.4"/>
    <n v="34133.4"/>
    <n v="189630"/>
    <s v="No"/>
    <s v="05ABCEFGHIJK1ZZ"/>
    <n v="0"/>
    <n v="0"/>
    <n v="0"/>
    <n v="0"/>
    <n v="17066.7"/>
    <n v="17066.7"/>
    <n v="0"/>
    <n v="0"/>
    <n v="0"/>
    <n v="0"/>
    <n v="17066.7"/>
    <n v="17066.7"/>
    <n v="0"/>
    <n v="0"/>
    <n v="0"/>
    <m/>
    <n v="0"/>
    <n v="34133.4"/>
    <n v="0"/>
    <n v="0"/>
    <n v="0"/>
    <n v="0"/>
    <n v="0"/>
    <n v="0"/>
    <n v="0"/>
    <n v="0"/>
    <n v="0"/>
    <x v="0"/>
  </r>
  <r>
    <s v="APD"/>
    <x v="3"/>
    <x v="15"/>
    <x v="9"/>
    <x v="0"/>
    <x v="0"/>
    <x v="133"/>
    <x v="10"/>
    <x v="0"/>
    <n v="1476"/>
    <n v="226"/>
    <n v="1250"/>
    <s v="No"/>
    <s v="05ABCEFGHIJK1ZY"/>
    <n v="0"/>
    <n v="0"/>
    <n v="0"/>
    <n v="0"/>
    <n v="113"/>
    <n v="113"/>
    <n v="0"/>
    <n v="0"/>
    <n v="0"/>
    <n v="0"/>
    <n v="113"/>
    <n v="113"/>
    <n v="0"/>
    <n v="0"/>
    <n v="0"/>
    <m/>
    <n v="0"/>
    <n v="226"/>
    <n v="0"/>
    <n v="0"/>
    <n v="0"/>
    <n v="0"/>
    <n v="0"/>
    <n v="0"/>
    <n v="0"/>
    <n v="0"/>
    <n v="0"/>
    <x v="0"/>
  </r>
  <r>
    <s v="APD"/>
    <x v="3"/>
    <x v="16"/>
    <x v="10"/>
    <x v="0"/>
    <x v="0"/>
    <x v="134"/>
    <x v="27"/>
    <x v="0"/>
    <n v="1056525.1200000001"/>
    <n v="161164"/>
    <n v="895361.12"/>
    <s v="No"/>
    <s v="05ABCEFGHIJK1ZR"/>
    <n v="0"/>
    <n v="0"/>
    <n v="0"/>
    <n v="0"/>
    <n v="80582"/>
    <n v="80582"/>
    <n v="0"/>
    <n v="0"/>
    <n v="0"/>
    <n v="0"/>
    <n v="80582"/>
    <n v="80582"/>
    <n v="0"/>
    <n v="0"/>
    <n v="0"/>
    <m/>
    <n v="0"/>
    <n v="161164"/>
    <n v="0"/>
    <n v="0"/>
    <n v="0"/>
    <n v="0"/>
    <n v="0"/>
    <n v="0"/>
    <n v="0"/>
    <n v="0"/>
    <n v="0"/>
    <x v="0"/>
  </r>
  <r>
    <s v="APD"/>
    <x v="3"/>
    <x v="17"/>
    <x v="11"/>
    <x v="0"/>
    <x v="0"/>
    <x v="135"/>
    <x v="27"/>
    <x v="0"/>
    <n v="255729.6"/>
    <n v="39009.599999999999"/>
    <n v="216720"/>
    <s v="No"/>
    <s v="05ABCEFGHIJK1ZZ"/>
    <n v="0"/>
    <n v="0"/>
    <n v="0"/>
    <n v="0"/>
    <n v="19504.8"/>
    <n v="19504.8"/>
    <n v="0"/>
    <n v="0"/>
    <n v="0"/>
    <n v="0"/>
    <n v="19504.8"/>
    <n v="19504.8"/>
    <n v="0"/>
    <n v="0"/>
    <n v="0"/>
    <m/>
    <n v="0"/>
    <n v="39009.599999999999"/>
    <n v="0"/>
    <n v="0"/>
    <n v="0"/>
    <n v="0"/>
    <n v="0"/>
    <n v="0"/>
    <n v="0"/>
    <n v="0"/>
    <n v="0"/>
    <x v="0"/>
  </r>
  <r>
    <s v="APD"/>
    <x v="3"/>
    <x v="18"/>
    <x v="11"/>
    <x v="0"/>
    <x v="0"/>
    <x v="19"/>
    <x v="9"/>
    <x v="0"/>
    <n v="368000"/>
    <n v="0"/>
    <n v="36800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3"/>
    <x v="19"/>
    <x v="11"/>
    <x v="0"/>
    <x v="0"/>
    <x v="136"/>
    <x v="30"/>
    <x v="0"/>
    <n v="708000"/>
    <n v="108000"/>
    <n v="600000"/>
    <s v="No"/>
    <s v="27ABCEFGHIJK1Z2"/>
    <n v="0"/>
    <n v="0"/>
    <n v="0"/>
    <n v="0"/>
    <n v="0"/>
    <n v="0"/>
    <n v="0"/>
    <n v="0"/>
    <n v="0"/>
    <n v="0"/>
    <n v="0"/>
    <n v="0"/>
    <n v="0"/>
    <n v="0"/>
    <n v="108000"/>
    <m/>
    <n v="108000"/>
    <n v="108000"/>
    <n v="0"/>
    <n v="0"/>
    <n v="0"/>
    <n v="0"/>
    <n v="0"/>
    <n v="0"/>
    <n v="0"/>
    <n v="0"/>
    <n v="0"/>
    <x v="1"/>
  </r>
  <r>
    <s v="APD"/>
    <x v="3"/>
    <x v="20"/>
    <x v="11"/>
    <x v="0"/>
    <x v="0"/>
    <x v="137"/>
    <x v="30"/>
    <x v="0"/>
    <n v="575604"/>
    <n v="87804"/>
    <n v="487800"/>
    <s v="No"/>
    <s v="27ABCEFGHIJK1ZL"/>
    <n v="0"/>
    <n v="0"/>
    <n v="0"/>
    <n v="0"/>
    <n v="0"/>
    <n v="0"/>
    <n v="0"/>
    <n v="0"/>
    <n v="0"/>
    <n v="0"/>
    <n v="0"/>
    <n v="0"/>
    <n v="0"/>
    <n v="0"/>
    <n v="87804"/>
    <m/>
    <n v="87804"/>
    <n v="87804"/>
    <n v="0"/>
    <n v="0"/>
    <n v="0"/>
    <n v="0"/>
    <n v="0"/>
    <n v="0"/>
    <n v="0"/>
    <n v="0"/>
    <n v="0"/>
    <x v="1"/>
  </r>
  <r>
    <s v="APD"/>
    <x v="3"/>
    <x v="21"/>
    <x v="11"/>
    <x v="0"/>
    <x v="0"/>
    <x v="138"/>
    <x v="4"/>
    <x v="0"/>
    <n v="4358528.24"/>
    <n v="664860.24"/>
    <n v="3693668"/>
    <s v="No"/>
    <s v="24ABCEFGHIJK1ZH"/>
    <n v="0"/>
    <n v="0"/>
    <n v="0"/>
    <n v="0"/>
    <n v="0"/>
    <n v="0"/>
    <n v="0"/>
    <n v="0"/>
    <n v="0"/>
    <n v="0"/>
    <n v="0"/>
    <n v="0"/>
    <n v="0"/>
    <n v="0"/>
    <n v="664860.24"/>
    <m/>
    <n v="664860.24"/>
    <n v="664860.24"/>
    <n v="0"/>
    <n v="0"/>
    <n v="0"/>
    <n v="0"/>
    <n v="0"/>
    <n v="0"/>
    <n v="0"/>
    <n v="0"/>
    <n v="0"/>
    <x v="1"/>
  </r>
  <r>
    <s v="APD"/>
    <x v="3"/>
    <x v="22"/>
    <x v="11"/>
    <x v="0"/>
    <x v="0"/>
    <x v="139"/>
    <x v="30"/>
    <x v="0"/>
    <n v="44250"/>
    <n v="6750"/>
    <n v="37500"/>
    <s v="No"/>
    <s v="26ABCEFGHIJK1Z1"/>
    <n v="0"/>
    <n v="0"/>
    <n v="0"/>
    <n v="0"/>
    <n v="0"/>
    <n v="0"/>
    <n v="0"/>
    <n v="0"/>
    <n v="0"/>
    <n v="0"/>
    <n v="0"/>
    <n v="0"/>
    <n v="0"/>
    <n v="0"/>
    <n v="6750"/>
    <m/>
    <n v="6750"/>
    <n v="6750"/>
    <n v="0"/>
    <n v="0"/>
    <n v="0"/>
    <n v="0"/>
    <n v="0"/>
    <n v="0"/>
    <n v="0"/>
    <n v="0"/>
    <n v="0"/>
    <x v="1"/>
  </r>
  <r>
    <s v="APD"/>
    <x v="3"/>
    <x v="114"/>
    <x v="11"/>
    <x v="0"/>
    <x v="0"/>
    <x v="140"/>
    <x v="7"/>
    <x v="0"/>
    <n v="1040760"/>
    <n v="158760"/>
    <n v="882000"/>
    <s v="No"/>
    <s v="27ABCEFGHIJK1ZL"/>
    <n v="0"/>
    <n v="0"/>
    <n v="0"/>
    <n v="0"/>
    <n v="0"/>
    <n v="0"/>
    <n v="0"/>
    <n v="0"/>
    <n v="0"/>
    <n v="0"/>
    <n v="0"/>
    <n v="0"/>
    <n v="0"/>
    <n v="0"/>
    <n v="158760"/>
    <m/>
    <n v="158760"/>
    <n v="158760"/>
    <n v="0"/>
    <n v="0"/>
    <n v="0"/>
    <n v="0"/>
    <n v="0"/>
    <n v="0"/>
    <n v="0"/>
    <n v="0"/>
    <n v="0"/>
    <x v="1"/>
  </r>
  <r>
    <s v="APD"/>
    <x v="3"/>
    <x v="23"/>
    <x v="11"/>
    <x v="0"/>
    <x v="0"/>
    <x v="141"/>
    <x v="33"/>
    <x v="0"/>
    <n v="1275249.6000000001"/>
    <n v="194529.6"/>
    <n v="1080720"/>
    <s v="No"/>
    <s v="24ABCEFGHIJK1ZH"/>
    <n v="0"/>
    <n v="0"/>
    <n v="0"/>
    <n v="0"/>
    <n v="0"/>
    <n v="0"/>
    <n v="0"/>
    <n v="0"/>
    <n v="0"/>
    <n v="0"/>
    <n v="0"/>
    <n v="0"/>
    <n v="0"/>
    <n v="0"/>
    <n v="194529.6"/>
    <m/>
    <n v="194529.6"/>
    <n v="194529.6"/>
    <n v="0"/>
    <n v="0"/>
    <n v="0"/>
    <n v="0"/>
    <n v="0"/>
    <n v="0"/>
    <n v="0"/>
    <n v="0"/>
    <n v="0"/>
    <x v="1"/>
  </r>
  <r>
    <s v="APD"/>
    <x v="3"/>
    <x v="24"/>
    <x v="11"/>
    <x v="0"/>
    <x v="0"/>
    <x v="142"/>
    <x v="30"/>
    <x v="0"/>
    <n v="970540.56"/>
    <n v="148048.56"/>
    <n v="822492"/>
    <s v="No"/>
    <s v="34ABCEFGHIJK1Z4"/>
    <n v="0"/>
    <n v="0"/>
    <n v="0"/>
    <n v="0"/>
    <n v="0"/>
    <n v="0"/>
    <n v="0"/>
    <n v="0"/>
    <n v="0"/>
    <n v="0"/>
    <n v="0"/>
    <n v="0"/>
    <n v="0"/>
    <n v="0"/>
    <n v="148048.56"/>
    <m/>
    <n v="148048.56"/>
    <n v="148048.56"/>
    <n v="0"/>
    <n v="0"/>
    <n v="0"/>
    <n v="0"/>
    <n v="0"/>
    <n v="0"/>
    <n v="0"/>
    <n v="0"/>
    <n v="0"/>
    <x v="1"/>
  </r>
  <r>
    <s v="APD"/>
    <x v="3"/>
    <x v="25"/>
    <x v="11"/>
    <x v="0"/>
    <x v="0"/>
    <x v="143"/>
    <x v="27"/>
    <x v="0"/>
    <n v="1342368"/>
    <n v="204768"/>
    <n v="1137600"/>
    <s v="No"/>
    <s v="24ABCEFGHIJK1ZH"/>
    <n v="0"/>
    <n v="0"/>
    <n v="0"/>
    <n v="0"/>
    <n v="0"/>
    <n v="0"/>
    <n v="0"/>
    <n v="0"/>
    <n v="0"/>
    <n v="0"/>
    <n v="0"/>
    <n v="0"/>
    <n v="0"/>
    <n v="0"/>
    <n v="204768"/>
    <m/>
    <n v="204768"/>
    <n v="204768"/>
    <n v="0"/>
    <n v="0"/>
    <n v="0"/>
    <n v="0"/>
    <n v="0"/>
    <n v="0"/>
    <n v="0"/>
    <n v="0"/>
    <n v="0"/>
    <x v="1"/>
  </r>
  <r>
    <s v="APD"/>
    <x v="3"/>
    <x v="26"/>
    <x v="11"/>
    <x v="0"/>
    <x v="0"/>
    <x v="93"/>
    <x v="9"/>
    <x v="0"/>
    <n v="34998.230000000003"/>
    <n v="5338.72"/>
    <n v="29659.51"/>
    <s v="No"/>
    <s v="05ABCEFGHIJK1ZV"/>
    <n v="0"/>
    <n v="0"/>
    <n v="0"/>
    <n v="0"/>
    <n v="2669.36"/>
    <n v="2669.36"/>
    <n v="0"/>
    <n v="0"/>
    <n v="0"/>
    <n v="0"/>
    <n v="2669.36"/>
    <n v="2669.36"/>
    <n v="0"/>
    <n v="0"/>
    <n v="0"/>
    <m/>
    <n v="0"/>
    <n v="5338.72"/>
    <n v="0"/>
    <n v="0"/>
    <n v="0"/>
    <n v="0"/>
    <n v="0"/>
    <n v="0"/>
    <n v="0"/>
    <n v="0"/>
    <n v="0"/>
    <x v="0"/>
  </r>
  <r>
    <s v="APD"/>
    <x v="3"/>
    <x v="27"/>
    <x v="12"/>
    <x v="0"/>
    <x v="0"/>
    <x v="110"/>
    <x v="9"/>
    <x v="0"/>
    <n v="35837.33"/>
    <n v="5466.72"/>
    <n v="30370.61"/>
    <s v="No"/>
    <s v="05ABCEFGHIJK1ZV"/>
    <n v="0"/>
    <n v="0"/>
    <n v="0"/>
    <n v="0"/>
    <n v="2733.36"/>
    <n v="2733.36"/>
    <n v="0"/>
    <n v="0"/>
    <n v="0"/>
    <n v="0"/>
    <n v="2733.36"/>
    <n v="2733.36"/>
    <n v="0"/>
    <n v="0"/>
    <n v="0"/>
    <m/>
    <n v="0"/>
    <n v="5466.72"/>
    <n v="0"/>
    <n v="0"/>
    <n v="0"/>
    <n v="0"/>
    <n v="0"/>
    <n v="0"/>
    <n v="0"/>
    <n v="0"/>
    <n v="0"/>
    <x v="0"/>
  </r>
  <r>
    <s v="APD"/>
    <x v="3"/>
    <x v="28"/>
    <x v="12"/>
    <x v="0"/>
    <x v="0"/>
    <x v="144"/>
    <x v="13"/>
    <x v="0"/>
    <n v="25933.759999999998"/>
    <n v="3956"/>
    <n v="21977.759999999998"/>
    <s v="No"/>
    <s v="05ABCEFGHIJK1ZV"/>
    <n v="0"/>
    <n v="0"/>
    <n v="0"/>
    <n v="0"/>
    <n v="1978"/>
    <n v="1978"/>
    <n v="0"/>
    <n v="0"/>
    <n v="0"/>
    <n v="0"/>
    <n v="1978"/>
    <n v="1978"/>
    <n v="0"/>
    <n v="0"/>
    <n v="0"/>
    <m/>
    <n v="0"/>
    <n v="3956"/>
    <n v="0"/>
    <n v="0"/>
    <n v="0"/>
    <n v="0"/>
    <n v="0"/>
    <n v="0"/>
    <n v="0"/>
    <n v="0"/>
    <n v="0"/>
    <x v="0"/>
  </r>
  <r>
    <s v="APD"/>
    <x v="3"/>
    <x v="29"/>
    <x v="12"/>
    <x v="0"/>
    <x v="0"/>
    <x v="145"/>
    <x v="13"/>
    <x v="0"/>
    <n v="338618.7"/>
    <n v="51653.7"/>
    <n v="286965"/>
    <s v="No"/>
    <s v="05ABCEFGHIJK1ZZ"/>
    <n v="0"/>
    <n v="0"/>
    <n v="0"/>
    <n v="0"/>
    <n v="25826.85"/>
    <n v="25826.85"/>
    <n v="0"/>
    <n v="0"/>
    <n v="0"/>
    <n v="0"/>
    <n v="25826.85"/>
    <n v="25826.85"/>
    <n v="0"/>
    <n v="0"/>
    <n v="0"/>
    <m/>
    <n v="0"/>
    <n v="51653.7"/>
    <n v="0"/>
    <n v="0"/>
    <n v="0"/>
    <n v="0"/>
    <n v="0"/>
    <n v="0"/>
    <n v="0"/>
    <n v="0"/>
    <n v="0"/>
    <x v="0"/>
  </r>
  <r>
    <s v="APD"/>
    <x v="3"/>
    <x v="30"/>
    <x v="12"/>
    <x v="0"/>
    <x v="0"/>
    <x v="146"/>
    <x v="13"/>
    <x v="0"/>
    <n v="1327"/>
    <n v="202"/>
    <n v="1125"/>
    <s v="No"/>
    <s v="05ABCEFGHIJK1ZY"/>
    <n v="0"/>
    <n v="0"/>
    <n v="0"/>
    <n v="0"/>
    <n v="101"/>
    <n v="101"/>
    <n v="0"/>
    <n v="0"/>
    <n v="0"/>
    <n v="0"/>
    <n v="101"/>
    <n v="101"/>
    <n v="0"/>
    <n v="0"/>
    <n v="0"/>
    <m/>
    <n v="0"/>
    <n v="202"/>
    <n v="0"/>
    <n v="0"/>
    <n v="0"/>
    <n v="0"/>
    <n v="0"/>
    <n v="0"/>
    <n v="0"/>
    <n v="0"/>
    <n v="0"/>
    <x v="0"/>
  </r>
  <r>
    <s v="APD"/>
    <x v="3"/>
    <x v="32"/>
    <x v="12"/>
    <x v="0"/>
    <x v="0"/>
    <x v="147"/>
    <x v="32"/>
    <x v="0"/>
    <n v="204730"/>
    <n v="31230"/>
    <n v="173500"/>
    <s v="No"/>
    <s v="27ABCEFGHIJK1ZB"/>
    <n v="0"/>
    <n v="0"/>
    <n v="0"/>
    <n v="0"/>
    <n v="0"/>
    <n v="0"/>
    <n v="0"/>
    <n v="0"/>
    <n v="0"/>
    <n v="0"/>
    <n v="0"/>
    <n v="0"/>
    <n v="0"/>
    <n v="0"/>
    <n v="31230"/>
    <m/>
    <n v="31230"/>
    <n v="31230"/>
    <n v="0"/>
    <n v="0"/>
    <n v="0"/>
    <n v="0"/>
    <n v="0"/>
    <n v="0"/>
    <n v="0"/>
    <n v="0"/>
    <n v="0"/>
    <x v="1"/>
  </r>
  <r>
    <s v="APD"/>
    <x v="3"/>
    <x v="33"/>
    <x v="12"/>
    <x v="0"/>
    <x v="0"/>
    <x v="148"/>
    <x v="33"/>
    <x v="0"/>
    <n v="99828"/>
    <n v="15228"/>
    <n v="84600"/>
    <s v="No"/>
    <s v="27ABCEFGHIJK1ZM"/>
    <n v="0"/>
    <n v="0"/>
    <n v="0"/>
    <n v="0"/>
    <n v="0"/>
    <n v="0"/>
    <n v="0"/>
    <n v="0"/>
    <n v="0"/>
    <n v="0"/>
    <n v="0"/>
    <n v="0"/>
    <n v="0"/>
    <n v="0"/>
    <n v="15228"/>
    <m/>
    <n v="15228"/>
    <n v="15228"/>
    <n v="0"/>
    <n v="0"/>
    <n v="0"/>
    <n v="0"/>
    <n v="0"/>
    <n v="0"/>
    <n v="0"/>
    <n v="0"/>
    <n v="0"/>
    <x v="1"/>
  </r>
  <r>
    <s v="APD"/>
    <x v="3"/>
    <x v="34"/>
    <x v="12"/>
    <x v="0"/>
    <x v="0"/>
    <x v="149"/>
    <x v="34"/>
    <x v="0"/>
    <n v="154344"/>
    <n v="23544"/>
    <n v="130800"/>
    <s v="No"/>
    <s v="27ABCEFGHIJK3ZE"/>
    <n v="0"/>
    <n v="0"/>
    <n v="0"/>
    <n v="0"/>
    <n v="0"/>
    <n v="0"/>
    <n v="0"/>
    <n v="0"/>
    <n v="0"/>
    <n v="0"/>
    <n v="0"/>
    <n v="0"/>
    <n v="0"/>
    <n v="0"/>
    <n v="23544"/>
    <m/>
    <n v="23544"/>
    <n v="23544"/>
    <n v="0"/>
    <n v="0"/>
    <n v="0"/>
    <n v="0"/>
    <n v="0"/>
    <n v="0"/>
    <n v="0"/>
    <n v="0"/>
    <n v="0"/>
    <x v="1"/>
  </r>
  <r>
    <s v="APD"/>
    <x v="3"/>
    <x v="35"/>
    <x v="13"/>
    <x v="0"/>
    <x v="0"/>
    <x v="150"/>
    <x v="10"/>
    <x v="0"/>
    <n v="151830.6"/>
    <n v="23160.6"/>
    <n v="128670"/>
    <s v="No"/>
    <s v="09ABCEFGHIJK1Z1"/>
    <n v="0"/>
    <n v="0"/>
    <n v="0"/>
    <n v="0"/>
    <n v="0"/>
    <n v="0"/>
    <n v="0"/>
    <n v="0"/>
    <n v="0"/>
    <n v="0"/>
    <n v="0"/>
    <n v="0"/>
    <n v="0"/>
    <n v="0"/>
    <n v="23160.6"/>
    <m/>
    <n v="23160.6"/>
    <n v="23160.6"/>
    <n v="0"/>
    <n v="0"/>
    <n v="0"/>
    <n v="0"/>
    <n v="0"/>
    <n v="0"/>
    <n v="0"/>
    <n v="0"/>
    <n v="0"/>
    <x v="1"/>
  </r>
  <r>
    <s v="APD"/>
    <x v="3"/>
    <x v="36"/>
    <x v="13"/>
    <x v="0"/>
    <x v="0"/>
    <x v="151"/>
    <x v="13"/>
    <x v="0"/>
    <n v="245074.2"/>
    <n v="37384.199999999997"/>
    <n v="207690"/>
    <s v="No"/>
    <s v="05ABCEFGHIJK1ZZ"/>
    <n v="0"/>
    <n v="0"/>
    <n v="0"/>
    <n v="0"/>
    <n v="18692.099999999999"/>
    <n v="18692.099999999999"/>
    <n v="0"/>
    <n v="0"/>
    <n v="0"/>
    <n v="0"/>
    <n v="18692.099999999999"/>
    <n v="18692.099999999999"/>
    <n v="0"/>
    <n v="0"/>
    <n v="0"/>
    <m/>
    <n v="0"/>
    <n v="37384.199999999997"/>
    <n v="0"/>
    <n v="0"/>
    <n v="0"/>
    <n v="0"/>
    <n v="0"/>
    <n v="0"/>
    <n v="0"/>
    <n v="0"/>
    <n v="0"/>
    <x v="0"/>
  </r>
  <r>
    <s v="APD"/>
    <x v="3"/>
    <x v="37"/>
    <x v="13"/>
    <x v="0"/>
    <x v="0"/>
    <x v="152"/>
    <x v="13"/>
    <x v="0"/>
    <n v="551686.14"/>
    <n v="84156"/>
    <n v="467530.14399999997"/>
    <s v="No"/>
    <s v="05ABCEFGHIJK1ZR"/>
    <n v="0"/>
    <n v="0"/>
    <n v="0"/>
    <n v="0"/>
    <n v="42078"/>
    <n v="42078"/>
    <n v="0"/>
    <n v="0"/>
    <n v="0"/>
    <n v="0"/>
    <n v="42078"/>
    <n v="42078"/>
    <n v="0"/>
    <n v="0"/>
    <n v="0"/>
    <m/>
    <n v="0"/>
    <n v="84156"/>
    <n v="0"/>
    <n v="0"/>
    <n v="0"/>
    <n v="0"/>
    <n v="0"/>
    <n v="0"/>
    <n v="0"/>
    <n v="0"/>
    <n v="0"/>
    <x v="0"/>
  </r>
  <r>
    <s v="APD"/>
    <x v="3"/>
    <x v="38"/>
    <x v="13"/>
    <x v="0"/>
    <x v="0"/>
    <x v="153"/>
    <x v="32"/>
    <x v="0"/>
    <n v="1753480"/>
    <n v="267480"/>
    <n v="1486000"/>
    <s v="No"/>
    <s v="33ABCEFGHIJK1Z6"/>
    <n v="0"/>
    <n v="0"/>
    <n v="0"/>
    <n v="0"/>
    <n v="0"/>
    <n v="0"/>
    <n v="0"/>
    <n v="0"/>
    <n v="0"/>
    <n v="0"/>
    <n v="0"/>
    <n v="0"/>
    <n v="0"/>
    <n v="0"/>
    <n v="267480"/>
    <m/>
    <n v="267480"/>
    <n v="267480"/>
    <n v="0"/>
    <n v="0"/>
    <n v="0"/>
    <n v="0"/>
    <n v="0"/>
    <n v="0"/>
    <n v="0"/>
    <n v="0"/>
    <n v="0"/>
    <x v="1"/>
  </r>
  <r>
    <s v="APD"/>
    <x v="3"/>
    <x v="39"/>
    <x v="13"/>
    <x v="0"/>
    <x v="0"/>
    <x v="154"/>
    <x v="4"/>
    <x v="0"/>
    <n v="406746"/>
    <n v="62046"/>
    <n v="344700"/>
    <s v="No"/>
    <s v="33ABCEFGHIJK1ZT"/>
    <n v="0"/>
    <n v="0"/>
    <n v="0"/>
    <n v="0"/>
    <n v="0"/>
    <n v="0"/>
    <n v="0"/>
    <n v="0"/>
    <n v="0"/>
    <n v="0"/>
    <n v="0"/>
    <n v="0"/>
    <n v="0"/>
    <n v="0"/>
    <n v="62046"/>
    <m/>
    <n v="62046"/>
    <n v="62046"/>
    <n v="0"/>
    <n v="0"/>
    <n v="0"/>
    <n v="0"/>
    <n v="0"/>
    <n v="0"/>
    <n v="0"/>
    <n v="0"/>
    <n v="0"/>
    <x v="1"/>
  </r>
  <r>
    <s v="APD"/>
    <x v="3"/>
    <x v="40"/>
    <x v="13"/>
    <x v="0"/>
    <x v="0"/>
    <x v="155"/>
    <x v="13"/>
    <x v="0"/>
    <n v="284337.44"/>
    <n v="30984"/>
    <n v="253353.44"/>
    <s v="No"/>
    <s v="05ABCEFGHIJK1ZB"/>
    <n v="0"/>
    <n v="0"/>
    <n v="0"/>
    <n v="14619"/>
    <n v="873"/>
    <n v="15492"/>
    <n v="0"/>
    <n v="0"/>
    <n v="0"/>
    <n v="14619"/>
    <n v="873"/>
    <n v="15492"/>
    <n v="0"/>
    <n v="0"/>
    <n v="0"/>
    <m/>
    <n v="0"/>
    <n v="30984"/>
    <n v="0"/>
    <n v="0"/>
    <n v="0"/>
    <n v="0"/>
    <n v="0"/>
    <n v="0"/>
    <n v="0"/>
    <n v="0"/>
    <n v="0"/>
    <x v="0"/>
  </r>
  <r>
    <s v="APD"/>
    <x v="3"/>
    <x v="41"/>
    <x v="13"/>
    <x v="0"/>
    <x v="0"/>
    <x v="156"/>
    <x v="27"/>
    <x v="0"/>
    <n v="272137.5"/>
    <n v="41512.5"/>
    <n v="230625"/>
    <s v="No"/>
    <s v="27ABCEFGHIJK1Z3"/>
    <n v="0"/>
    <n v="0"/>
    <n v="0"/>
    <n v="0"/>
    <n v="0"/>
    <n v="0"/>
    <n v="0"/>
    <n v="0"/>
    <n v="0"/>
    <n v="0"/>
    <n v="0"/>
    <n v="0"/>
    <n v="0"/>
    <n v="0"/>
    <n v="41512.5"/>
    <m/>
    <n v="41512.5"/>
    <n v="41512.5"/>
    <n v="0"/>
    <n v="0"/>
    <n v="0"/>
    <n v="0"/>
    <n v="0"/>
    <n v="0"/>
    <n v="0"/>
    <n v="0"/>
    <n v="0"/>
    <x v="1"/>
  </r>
  <r>
    <s v="APD"/>
    <x v="3"/>
    <x v="42"/>
    <x v="13"/>
    <x v="0"/>
    <x v="0"/>
    <x v="157"/>
    <x v="32"/>
    <x v="0"/>
    <n v="1049020"/>
    <n v="160020"/>
    <n v="889000"/>
    <s v="No"/>
    <s v="27ABCEFGHIJK1ZI"/>
    <n v="0"/>
    <n v="0"/>
    <n v="0"/>
    <n v="0"/>
    <n v="0"/>
    <n v="0"/>
    <n v="0"/>
    <n v="0"/>
    <n v="0"/>
    <n v="0"/>
    <n v="0"/>
    <n v="0"/>
    <n v="0"/>
    <n v="0"/>
    <n v="160020"/>
    <m/>
    <n v="160020"/>
    <n v="160020"/>
    <n v="0"/>
    <n v="0"/>
    <n v="0"/>
    <n v="0"/>
    <n v="0"/>
    <n v="0"/>
    <n v="0"/>
    <n v="0"/>
    <n v="0"/>
    <x v="1"/>
  </r>
  <r>
    <s v="APD"/>
    <x v="3"/>
    <x v="43"/>
    <x v="13"/>
    <x v="0"/>
    <x v="0"/>
    <x v="158"/>
    <x v="13"/>
    <x v="0"/>
    <n v="146842.96"/>
    <n v="22400"/>
    <n v="124442.96"/>
    <s v="No"/>
    <s v="05ABCEFGHIJK1ZR"/>
    <n v="0"/>
    <n v="0"/>
    <n v="0"/>
    <n v="0"/>
    <n v="11200"/>
    <n v="11200"/>
    <n v="0"/>
    <n v="0"/>
    <n v="0"/>
    <n v="0"/>
    <n v="11200"/>
    <n v="11200"/>
    <n v="0"/>
    <n v="0"/>
    <n v="0"/>
    <m/>
    <n v="0"/>
    <n v="22400"/>
    <n v="0"/>
    <n v="0"/>
    <n v="0"/>
    <n v="0"/>
    <n v="0"/>
    <n v="0"/>
    <n v="0"/>
    <n v="0"/>
    <n v="0"/>
    <x v="0"/>
  </r>
  <r>
    <s v="APD"/>
    <x v="3"/>
    <x v="44"/>
    <x v="13"/>
    <x v="0"/>
    <x v="0"/>
    <x v="159"/>
    <x v="12"/>
    <x v="0"/>
    <n v="300769.26"/>
    <n v="45880.06"/>
    <n v="254889.2"/>
    <s v="No"/>
    <s v="05ABCEFGHIJK1ZZ"/>
    <n v="0"/>
    <n v="0"/>
    <n v="0"/>
    <n v="0"/>
    <n v="22940.03"/>
    <n v="22940.03"/>
    <n v="0"/>
    <n v="0"/>
    <n v="0"/>
    <n v="0"/>
    <n v="22940.03"/>
    <n v="22940.03"/>
    <n v="0"/>
    <n v="0"/>
    <n v="0"/>
    <m/>
    <n v="0"/>
    <n v="45880.06"/>
    <n v="0"/>
    <n v="0"/>
    <n v="0"/>
    <n v="0"/>
    <n v="0"/>
    <n v="0"/>
    <n v="0"/>
    <n v="0"/>
    <n v="0"/>
    <x v="0"/>
  </r>
  <r>
    <s v="APD"/>
    <x v="3"/>
    <x v="45"/>
    <x v="13"/>
    <x v="0"/>
    <x v="0"/>
    <x v="160"/>
    <x v="8"/>
    <x v="0"/>
    <n v="90860"/>
    <n v="13860"/>
    <n v="77000"/>
    <s v="No"/>
    <s v="05ABCEFGHIJK1ZR"/>
    <n v="0"/>
    <n v="0"/>
    <n v="0"/>
    <n v="0"/>
    <n v="6930"/>
    <n v="6930"/>
    <n v="0"/>
    <n v="0"/>
    <n v="0"/>
    <n v="0"/>
    <n v="6930"/>
    <n v="6930"/>
    <n v="0"/>
    <n v="0"/>
    <n v="0"/>
    <m/>
    <n v="0"/>
    <n v="13860"/>
    <n v="0"/>
    <n v="0"/>
    <n v="0"/>
    <n v="0"/>
    <n v="0"/>
    <n v="0"/>
    <n v="0"/>
    <n v="0"/>
    <n v="0"/>
    <x v="3"/>
  </r>
  <r>
    <s v="APD"/>
    <x v="3"/>
    <x v="46"/>
    <x v="13"/>
    <x v="0"/>
    <x v="0"/>
    <x v="161"/>
    <x v="12"/>
    <x v="0"/>
    <n v="313890.02"/>
    <n v="47882"/>
    <n v="266008.02399999998"/>
    <s v="No"/>
    <s v="05ABCEFGHIJK1ZR"/>
    <n v="0"/>
    <n v="0"/>
    <n v="0"/>
    <n v="0"/>
    <n v="23941"/>
    <n v="23941"/>
    <n v="0"/>
    <n v="0"/>
    <n v="0"/>
    <n v="0"/>
    <n v="23941"/>
    <n v="23941"/>
    <n v="0"/>
    <n v="0"/>
    <n v="0"/>
    <m/>
    <n v="0"/>
    <n v="47882"/>
    <n v="0"/>
    <n v="0"/>
    <n v="0"/>
    <n v="0"/>
    <n v="0"/>
    <n v="0"/>
    <n v="0"/>
    <n v="0"/>
    <n v="0"/>
    <x v="0"/>
  </r>
  <r>
    <s v="APD"/>
    <x v="3"/>
    <x v="47"/>
    <x v="13"/>
    <x v="0"/>
    <x v="0"/>
    <x v="23"/>
    <x v="8"/>
    <x v="0"/>
    <n v="346802"/>
    <n v="52902"/>
    <n v="293900"/>
    <s v="No"/>
    <s v="05ABCEFGHIJK1ZC"/>
    <n v="0"/>
    <n v="0"/>
    <n v="0"/>
    <n v="0"/>
    <n v="26451"/>
    <n v="26451"/>
    <n v="0"/>
    <n v="0"/>
    <n v="0"/>
    <n v="0"/>
    <n v="26451"/>
    <n v="26451"/>
    <n v="0"/>
    <n v="0"/>
    <n v="0"/>
    <m/>
    <n v="0"/>
    <n v="52902"/>
    <n v="0"/>
    <n v="0"/>
    <n v="0"/>
    <n v="0"/>
    <n v="0"/>
    <n v="0"/>
    <n v="0"/>
    <n v="0"/>
    <n v="0"/>
    <x v="0"/>
  </r>
  <r>
    <s v="APD"/>
    <x v="3"/>
    <x v="115"/>
    <x v="1"/>
    <x v="0"/>
    <x v="0"/>
    <x v="14"/>
    <x v="8"/>
    <x v="0"/>
    <n v="368603"/>
    <n v="56228"/>
    <n v="312375"/>
    <s v="No"/>
    <s v="05ABCEFGHIJK1ZM"/>
    <n v="0"/>
    <n v="0"/>
    <n v="0"/>
    <n v="0"/>
    <n v="28114"/>
    <n v="28114"/>
    <n v="0"/>
    <n v="0"/>
    <n v="0"/>
    <n v="0"/>
    <n v="28114"/>
    <n v="28114"/>
    <n v="0"/>
    <n v="0"/>
    <n v="0"/>
    <m/>
    <n v="0"/>
    <n v="56228"/>
    <n v="0"/>
    <n v="0"/>
    <n v="0"/>
    <n v="0"/>
    <n v="0"/>
    <n v="0"/>
    <n v="0"/>
    <n v="0"/>
    <n v="0"/>
    <x v="0"/>
  </r>
  <r>
    <s v="APD"/>
    <x v="3"/>
    <x v="48"/>
    <x v="1"/>
    <x v="0"/>
    <x v="0"/>
    <x v="162"/>
    <x v="8"/>
    <x v="0"/>
    <n v="5490.78"/>
    <n v="837.58"/>
    <n v="4653.2"/>
    <s v="No"/>
    <s v="05ABCEFGHIJK1ZV"/>
    <n v="0"/>
    <n v="0"/>
    <n v="0"/>
    <n v="0"/>
    <n v="418.79"/>
    <n v="418.79"/>
    <n v="0"/>
    <n v="0"/>
    <n v="0"/>
    <n v="0"/>
    <n v="418.79"/>
    <n v="418.79"/>
    <n v="0"/>
    <n v="0"/>
    <n v="0"/>
    <m/>
    <n v="0"/>
    <n v="837.58"/>
    <n v="0"/>
    <n v="0"/>
    <n v="0"/>
    <n v="0"/>
    <n v="0"/>
    <n v="0"/>
    <n v="0"/>
    <n v="0"/>
    <n v="0"/>
    <x v="0"/>
  </r>
  <r>
    <s v="APD"/>
    <x v="3"/>
    <x v="49"/>
    <x v="1"/>
    <x v="0"/>
    <x v="0"/>
    <x v="163"/>
    <x v="8"/>
    <x v="0"/>
    <n v="579318.68999999994"/>
    <n v="88371"/>
    <n v="490947.69500000001"/>
    <s v="No"/>
    <s v="02ABCEFGHIJK1ZI"/>
    <n v="0"/>
    <n v="0"/>
    <n v="0"/>
    <n v="0"/>
    <n v="0"/>
    <n v="0"/>
    <n v="0"/>
    <n v="0"/>
    <n v="0"/>
    <n v="0"/>
    <n v="0"/>
    <n v="0"/>
    <n v="0"/>
    <n v="0"/>
    <n v="88371"/>
    <m/>
    <n v="88371"/>
    <n v="88371"/>
    <n v="0"/>
    <n v="0"/>
    <n v="0"/>
    <n v="0"/>
    <n v="0"/>
    <n v="0"/>
    <n v="0"/>
    <n v="0"/>
    <n v="0"/>
    <x v="1"/>
  </r>
  <r>
    <s v="APD"/>
    <x v="3"/>
    <x v="50"/>
    <x v="1"/>
    <x v="0"/>
    <x v="0"/>
    <x v="164"/>
    <x v="0"/>
    <x v="0"/>
    <n v="571854.31999999995"/>
    <n v="87232.02"/>
    <n v="484622.3"/>
    <s v="No"/>
    <s v="05ABCEFGHIJK1Z8"/>
    <n v="0"/>
    <n v="0"/>
    <n v="0"/>
    <n v="0"/>
    <n v="43616.01"/>
    <n v="43616.01"/>
    <n v="0"/>
    <n v="0"/>
    <n v="0"/>
    <n v="0"/>
    <n v="43616.01"/>
    <n v="43616.01"/>
    <n v="0"/>
    <n v="0"/>
    <n v="0"/>
    <m/>
    <n v="0"/>
    <n v="87232.02"/>
    <n v="0"/>
    <n v="0"/>
    <n v="0"/>
    <n v="0"/>
    <n v="0"/>
    <n v="0"/>
    <n v="0"/>
    <n v="0"/>
    <n v="0"/>
    <x v="0"/>
  </r>
  <r>
    <s v="APD"/>
    <x v="3"/>
    <x v="51"/>
    <x v="1"/>
    <x v="0"/>
    <x v="0"/>
    <x v="165"/>
    <x v="0"/>
    <x v="0"/>
    <n v="57613.5"/>
    <n v="8788.5"/>
    <n v="48825"/>
    <s v="No"/>
    <s v="05ABCEFGHIJK1ZR"/>
    <n v="0"/>
    <n v="0"/>
    <n v="0"/>
    <n v="0"/>
    <n v="4394.25"/>
    <n v="4394.25"/>
    <n v="0"/>
    <n v="0"/>
    <n v="0"/>
    <n v="0"/>
    <n v="4394.25"/>
    <n v="4394.25"/>
    <n v="0"/>
    <n v="0"/>
    <n v="0"/>
    <m/>
    <n v="0"/>
    <n v="8788.5"/>
    <n v="0"/>
    <n v="0"/>
    <n v="0"/>
    <n v="0"/>
    <n v="0"/>
    <n v="0"/>
    <n v="0"/>
    <n v="0"/>
    <n v="0"/>
    <x v="3"/>
  </r>
  <r>
    <s v="APD"/>
    <x v="3"/>
    <x v="52"/>
    <x v="1"/>
    <x v="0"/>
    <x v="0"/>
    <x v="166"/>
    <x v="0"/>
    <x v="0"/>
    <n v="306198.34000000003"/>
    <n v="46708.22"/>
    <n v="259490.12"/>
    <s v="No"/>
    <s v="05ABCEFGHIJK1ZW"/>
    <n v="0"/>
    <n v="0"/>
    <n v="0"/>
    <n v="0"/>
    <n v="23354.11"/>
    <n v="23354.11"/>
    <n v="0"/>
    <n v="0"/>
    <n v="0"/>
    <n v="0"/>
    <n v="23354.11"/>
    <n v="23354.11"/>
    <n v="0"/>
    <n v="0"/>
    <n v="0"/>
    <m/>
    <n v="0"/>
    <n v="46708.22"/>
    <n v="0"/>
    <n v="0"/>
    <n v="0"/>
    <n v="0"/>
    <n v="0"/>
    <n v="0"/>
    <n v="0"/>
    <n v="0"/>
    <n v="0"/>
    <x v="3"/>
  </r>
  <r>
    <s v="APD"/>
    <x v="3"/>
    <x v="53"/>
    <x v="1"/>
    <x v="0"/>
    <x v="0"/>
    <x v="167"/>
    <x v="0"/>
    <x v="0"/>
    <n v="232601.60000000001"/>
    <n v="35481.599999999999"/>
    <n v="197120"/>
    <s v="No"/>
    <s v="05ABCEFGHIJK1ZZ"/>
    <n v="0"/>
    <n v="0"/>
    <n v="0"/>
    <n v="0"/>
    <n v="17740.8"/>
    <n v="17740.8"/>
    <n v="0"/>
    <n v="0"/>
    <n v="0"/>
    <n v="0"/>
    <n v="17740.8"/>
    <n v="17740.8"/>
    <n v="0"/>
    <n v="0"/>
    <n v="0"/>
    <m/>
    <n v="0"/>
    <n v="35481.599999999999"/>
    <n v="0"/>
    <n v="0"/>
    <n v="0"/>
    <n v="0"/>
    <n v="0"/>
    <n v="0"/>
    <n v="0"/>
    <n v="0"/>
    <n v="0"/>
    <x v="0"/>
  </r>
  <r>
    <s v="APD"/>
    <x v="3"/>
    <x v="54"/>
    <x v="1"/>
    <x v="0"/>
    <x v="0"/>
    <x v="168"/>
    <x v="3"/>
    <x v="0"/>
    <n v="968153.18"/>
    <n v="147684.38"/>
    <n v="820468.8"/>
    <s v="No"/>
    <s v="05ABCEFGHIJK1Z8"/>
    <n v="0"/>
    <n v="0"/>
    <n v="0"/>
    <n v="0"/>
    <n v="73842.19"/>
    <n v="73842.19"/>
    <n v="0"/>
    <n v="0"/>
    <n v="0"/>
    <n v="0"/>
    <n v="73842.19"/>
    <n v="73842.19"/>
    <n v="0"/>
    <n v="0"/>
    <n v="0"/>
    <m/>
    <n v="0"/>
    <n v="147684.38"/>
    <n v="0"/>
    <n v="0"/>
    <n v="0"/>
    <n v="0"/>
    <n v="0"/>
    <n v="0"/>
    <n v="0"/>
    <n v="0"/>
    <n v="0"/>
    <x v="0"/>
  </r>
  <r>
    <s v="APD"/>
    <x v="3"/>
    <x v="55"/>
    <x v="1"/>
    <x v="0"/>
    <x v="0"/>
    <x v="169"/>
    <x v="3"/>
    <x v="0"/>
    <n v="40768.269999999997"/>
    <n v="6218.9"/>
    <n v="34549.370000000003"/>
    <s v="No"/>
    <s v="05ABCEFGHIJK1ZV"/>
    <n v="0"/>
    <n v="0"/>
    <n v="0"/>
    <n v="0"/>
    <n v="3109.45"/>
    <n v="3109.45"/>
    <n v="0"/>
    <n v="0"/>
    <n v="0"/>
    <n v="0"/>
    <n v="3109.45"/>
    <n v="3109.45"/>
    <n v="0"/>
    <n v="0"/>
    <n v="0"/>
    <m/>
    <n v="0"/>
    <n v="6218.9"/>
    <n v="0"/>
    <n v="0"/>
    <n v="0"/>
    <n v="0"/>
    <n v="0"/>
    <n v="0"/>
    <n v="0"/>
    <n v="0"/>
    <n v="0"/>
    <x v="0"/>
  </r>
  <r>
    <s v="APD"/>
    <x v="3"/>
    <x v="56"/>
    <x v="1"/>
    <x v="0"/>
    <x v="0"/>
    <x v="170"/>
    <x v="3"/>
    <x v="0"/>
    <n v="18571.73"/>
    <n v="2832.98"/>
    <n v="15738.75"/>
    <s v="No"/>
    <s v="05ABCEFGHIJK1ZV"/>
    <n v="0"/>
    <n v="0"/>
    <n v="0"/>
    <n v="0"/>
    <n v="1416.49"/>
    <n v="1416.49"/>
    <n v="0"/>
    <n v="0"/>
    <n v="0"/>
    <n v="0"/>
    <n v="1416.49"/>
    <n v="1416.49"/>
    <n v="0"/>
    <n v="0"/>
    <n v="0"/>
    <m/>
    <n v="0"/>
    <n v="2832.98"/>
    <n v="0"/>
    <n v="0"/>
    <n v="0"/>
    <n v="0"/>
    <n v="0"/>
    <n v="0"/>
    <n v="0"/>
    <n v="0"/>
    <n v="0"/>
    <x v="0"/>
  </r>
  <r>
    <s v="APD"/>
    <x v="3"/>
    <x v="57"/>
    <x v="1"/>
    <x v="0"/>
    <x v="0"/>
    <x v="171"/>
    <x v="0"/>
    <x v="0"/>
    <n v="1091230.05"/>
    <n v="166459"/>
    <n v="924771.04599999997"/>
    <s v="No"/>
    <s v="02ABCEFGHIJK1ZI"/>
    <n v="0"/>
    <n v="0"/>
    <n v="0"/>
    <n v="0"/>
    <n v="0"/>
    <n v="0"/>
    <n v="0"/>
    <n v="0"/>
    <n v="0"/>
    <n v="0"/>
    <n v="0"/>
    <n v="0"/>
    <n v="0"/>
    <n v="0"/>
    <n v="166459"/>
    <m/>
    <n v="166459"/>
    <n v="166459"/>
    <n v="0"/>
    <n v="0"/>
    <n v="0"/>
    <n v="0"/>
    <n v="0"/>
    <n v="0"/>
    <n v="0"/>
    <n v="0"/>
    <n v="0"/>
    <x v="1"/>
  </r>
  <r>
    <s v="APD"/>
    <x v="3"/>
    <x v="58"/>
    <x v="1"/>
    <x v="0"/>
    <x v="0"/>
    <x v="172"/>
    <x v="3"/>
    <x v="0"/>
    <n v="25853.94"/>
    <n v="3943.82"/>
    <n v="21910.12"/>
    <s v="No"/>
    <s v="05ABCEFGHIJK1ZV"/>
    <n v="0"/>
    <n v="0"/>
    <n v="0"/>
    <n v="0"/>
    <n v="1971.91"/>
    <n v="1971.91"/>
    <n v="0"/>
    <n v="0"/>
    <n v="0"/>
    <n v="0"/>
    <n v="1971.91"/>
    <n v="1971.91"/>
    <n v="0"/>
    <n v="0"/>
    <n v="0"/>
    <m/>
    <n v="0"/>
    <n v="3943.82"/>
    <n v="0"/>
    <n v="0"/>
    <n v="0"/>
    <n v="0"/>
    <n v="0"/>
    <n v="0"/>
    <n v="0"/>
    <n v="0"/>
    <n v="0"/>
    <x v="0"/>
  </r>
  <r>
    <s v="APD"/>
    <x v="3"/>
    <x v="59"/>
    <x v="1"/>
    <x v="0"/>
    <x v="0"/>
    <x v="173"/>
    <x v="16"/>
    <x v="0"/>
    <n v="172255.34"/>
    <n v="26276.240000000002"/>
    <n v="145979.1"/>
    <s v="No"/>
    <s v="05ABCEFGHIJK1ZN"/>
    <n v="0"/>
    <n v="0"/>
    <n v="0"/>
    <n v="0"/>
    <n v="13138.12"/>
    <n v="13138.12"/>
    <n v="0"/>
    <n v="0"/>
    <n v="0"/>
    <n v="0"/>
    <n v="13138.12"/>
    <n v="13138.12"/>
    <n v="0"/>
    <n v="0"/>
    <n v="0"/>
    <m/>
    <n v="0"/>
    <n v="26276.240000000002"/>
    <n v="0"/>
    <n v="0"/>
    <n v="0"/>
    <n v="0"/>
    <n v="0"/>
    <n v="0"/>
    <n v="0"/>
    <n v="0"/>
    <n v="0"/>
    <x v="3"/>
  </r>
  <r>
    <s v="APD"/>
    <x v="3"/>
    <x v="60"/>
    <x v="1"/>
    <x v="0"/>
    <x v="0"/>
    <x v="174"/>
    <x v="16"/>
    <x v="0"/>
    <n v="13053.9"/>
    <n v="1991.28"/>
    <n v="11062.62"/>
    <s v="No"/>
    <s v="05ABCEFGHIJK1ZV"/>
    <n v="0"/>
    <n v="0"/>
    <n v="0"/>
    <n v="0"/>
    <n v="995.64"/>
    <n v="995.64"/>
    <n v="0"/>
    <n v="0"/>
    <n v="0"/>
    <n v="0"/>
    <n v="995.64"/>
    <n v="995.64"/>
    <n v="0"/>
    <n v="0"/>
    <n v="0"/>
    <m/>
    <n v="0"/>
    <n v="1991.28"/>
    <n v="0"/>
    <n v="0"/>
    <n v="0"/>
    <n v="0"/>
    <n v="0"/>
    <n v="0"/>
    <n v="0"/>
    <n v="0"/>
    <n v="0"/>
    <x v="0"/>
  </r>
  <r>
    <s v="APD"/>
    <x v="3"/>
    <x v="61"/>
    <x v="1"/>
    <x v="0"/>
    <x v="0"/>
    <x v="175"/>
    <x v="16"/>
    <x v="0"/>
    <n v="987010.52"/>
    <n v="150560.92000000001"/>
    <n v="836449.6"/>
    <s v="No"/>
    <s v="05ABCEFGHIJK1Z8"/>
    <n v="0"/>
    <n v="0"/>
    <n v="0"/>
    <n v="0"/>
    <n v="75280.460000000006"/>
    <n v="75280.460000000006"/>
    <n v="0"/>
    <n v="0"/>
    <n v="0"/>
    <n v="0"/>
    <n v="75280.460000000006"/>
    <n v="75280.460000000006"/>
    <n v="0"/>
    <n v="0"/>
    <n v="0"/>
    <m/>
    <n v="0"/>
    <n v="150560.92000000001"/>
    <n v="0"/>
    <n v="0"/>
    <n v="0"/>
    <n v="0"/>
    <n v="0"/>
    <n v="0"/>
    <n v="0"/>
    <n v="0"/>
    <n v="0"/>
    <x v="0"/>
  </r>
  <r>
    <s v="APD"/>
    <x v="3"/>
    <x v="62"/>
    <x v="1"/>
    <x v="0"/>
    <x v="0"/>
    <x v="176"/>
    <x v="0"/>
    <x v="0"/>
    <n v="236478.14"/>
    <n v="36072.94"/>
    <n v="200405.2"/>
    <s v="No"/>
    <s v="05ABCEFGHIJK1ZZ"/>
    <n v="0"/>
    <n v="0"/>
    <n v="0"/>
    <n v="0"/>
    <n v="18036.47"/>
    <n v="18036.47"/>
    <n v="0"/>
    <n v="0"/>
    <n v="0"/>
    <n v="0"/>
    <n v="18036.47"/>
    <n v="18036.47"/>
    <n v="0"/>
    <n v="0"/>
    <n v="0"/>
    <m/>
    <n v="0"/>
    <n v="36072.94"/>
    <n v="0"/>
    <n v="0"/>
    <n v="0"/>
    <n v="0"/>
    <n v="0"/>
    <n v="0"/>
    <n v="0"/>
    <n v="0"/>
    <n v="0"/>
    <x v="0"/>
  </r>
  <r>
    <s v="APD"/>
    <x v="3"/>
    <x v="63"/>
    <x v="1"/>
    <x v="0"/>
    <x v="0"/>
    <x v="5"/>
    <x v="3"/>
    <x v="0"/>
    <n v="1420790.74"/>
    <n v="216731"/>
    <n v="1204059.737"/>
    <s v="No"/>
    <s v="02ABCEFGHIJK1ZI"/>
    <n v="0"/>
    <n v="0"/>
    <n v="0"/>
    <n v="0"/>
    <n v="0"/>
    <n v="0"/>
    <n v="0"/>
    <n v="0"/>
    <n v="0"/>
    <n v="0"/>
    <n v="0"/>
    <n v="0"/>
    <n v="0"/>
    <n v="0"/>
    <n v="216731"/>
    <m/>
    <n v="216731"/>
    <n v="216731"/>
    <n v="0"/>
    <n v="0"/>
    <n v="0"/>
    <n v="0"/>
    <n v="0"/>
    <n v="0"/>
    <n v="0"/>
    <n v="0"/>
    <n v="0"/>
    <x v="1"/>
  </r>
  <r>
    <s v="APD"/>
    <x v="3"/>
    <x v="64"/>
    <x v="1"/>
    <x v="0"/>
    <x v="0"/>
    <x v="177"/>
    <x v="16"/>
    <x v="0"/>
    <n v="1608774.85"/>
    <n v="245406"/>
    <n v="1363368.848"/>
    <s v="No"/>
    <s v="05ABCEFGHIJK1ZR"/>
    <n v="0"/>
    <n v="0"/>
    <n v="0"/>
    <n v="0"/>
    <n v="122703"/>
    <n v="122703"/>
    <n v="0"/>
    <n v="0"/>
    <n v="0"/>
    <n v="0"/>
    <n v="122703"/>
    <n v="122703"/>
    <n v="0"/>
    <n v="0"/>
    <n v="0"/>
    <m/>
    <n v="0"/>
    <n v="245406"/>
    <n v="0"/>
    <n v="0"/>
    <n v="0"/>
    <n v="0"/>
    <n v="0"/>
    <n v="0"/>
    <n v="0"/>
    <n v="0"/>
    <n v="0"/>
    <x v="0"/>
  </r>
  <r>
    <s v="APD"/>
    <x v="3"/>
    <x v="65"/>
    <x v="1"/>
    <x v="0"/>
    <x v="0"/>
    <x v="92"/>
    <x v="17"/>
    <x v="0"/>
    <n v="14977.96"/>
    <n v="2284.7600000000002"/>
    <n v="12693.2"/>
    <s v="No"/>
    <s v="05ABCEFGHIJK1ZV"/>
    <n v="0"/>
    <n v="0"/>
    <n v="0"/>
    <n v="0"/>
    <n v="1142.3800000000001"/>
    <n v="1142.3800000000001"/>
    <n v="0"/>
    <n v="0"/>
    <n v="0"/>
    <n v="0"/>
    <n v="1142.3800000000001"/>
    <n v="1142.3800000000001"/>
    <n v="0"/>
    <n v="0"/>
    <n v="0"/>
    <m/>
    <n v="0"/>
    <n v="2284.7600000000002"/>
    <n v="0"/>
    <n v="0"/>
    <n v="0"/>
    <n v="0"/>
    <n v="0"/>
    <n v="0"/>
    <n v="0"/>
    <n v="0"/>
    <n v="0"/>
    <x v="0"/>
  </r>
  <r>
    <s v="APD"/>
    <x v="3"/>
    <x v="66"/>
    <x v="1"/>
    <x v="0"/>
    <x v="0"/>
    <x v="178"/>
    <x v="17"/>
    <x v="0"/>
    <n v="245074.2"/>
    <n v="37384.199999999997"/>
    <n v="207690"/>
    <s v="No"/>
    <s v="05ABCEFGHIJK1ZZ"/>
    <n v="0"/>
    <n v="0"/>
    <n v="0"/>
    <n v="0"/>
    <n v="18692.099999999999"/>
    <n v="18692.099999999999"/>
    <n v="0"/>
    <n v="0"/>
    <n v="0"/>
    <n v="0"/>
    <n v="18692.099999999999"/>
    <n v="18692.099999999999"/>
    <n v="0"/>
    <n v="0"/>
    <n v="0"/>
    <m/>
    <n v="0"/>
    <n v="37384.199999999997"/>
    <n v="0"/>
    <n v="0"/>
    <n v="0"/>
    <n v="0"/>
    <n v="0"/>
    <n v="0"/>
    <n v="0"/>
    <n v="0"/>
    <n v="0"/>
    <x v="0"/>
  </r>
  <r>
    <s v="APD"/>
    <x v="3"/>
    <x v="67"/>
    <x v="2"/>
    <x v="0"/>
    <x v="0"/>
    <x v="179"/>
    <x v="17"/>
    <x v="0"/>
    <n v="149544.48000000001"/>
    <n v="22962.720000000001"/>
    <n v="127570.68"/>
    <s v="No"/>
    <s v="05ABCEFGHIJK1Z3"/>
    <n v="0"/>
    <n v="0"/>
    <n v="0"/>
    <n v="0"/>
    <n v="11481.36"/>
    <n v="11481.36"/>
    <n v="0"/>
    <n v="0"/>
    <n v="0"/>
    <n v="0"/>
    <n v="11481.36"/>
    <n v="11481.36"/>
    <n v="0"/>
    <n v="0"/>
    <n v="0"/>
    <m/>
    <n v="0"/>
    <n v="22962.720000000001"/>
    <n v="0"/>
    <n v="0"/>
    <n v="0"/>
    <n v="0"/>
    <n v="0"/>
    <n v="0"/>
    <n v="0"/>
    <n v="0"/>
    <n v="0"/>
    <x v="0"/>
  </r>
  <r>
    <s v="APD"/>
    <x v="3"/>
    <x v="68"/>
    <x v="2"/>
    <x v="0"/>
    <x v="0"/>
    <x v="180"/>
    <x v="17"/>
    <x v="0"/>
    <n v="1397731.15"/>
    <n v="213213"/>
    <n v="1184518.1459999999"/>
    <s v="No"/>
    <s v="02ABCEFGHIJK1ZI"/>
    <n v="0"/>
    <n v="0"/>
    <n v="0"/>
    <n v="0"/>
    <n v="0"/>
    <n v="0"/>
    <n v="0"/>
    <n v="0"/>
    <n v="0"/>
    <n v="0"/>
    <n v="0"/>
    <n v="0"/>
    <n v="0"/>
    <n v="0"/>
    <n v="213213"/>
    <m/>
    <n v="213213"/>
    <n v="213213"/>
    <n v="0"/>
    <n v="0"/>
    <n v="0"/>
    <n v="0"/>
    <n v="0"/>
    <n v="0"/>
    <n v="0"/>
    <n v="0"/>
    <n v="0"/>
    <x v="1"/>
  </r>
  <r>
    <s v="APD"/>
    <x v="3"/>
    <x v="69"/>
    <x v="2"/>
    <x v="0"/>
    <x v="0"/>
    <x v="181"/>
    <x v="16"/>
    <x v="0"/>
    <n v="984038.75"/>
    <n v="150108"/>
    <n v="833930.75"/>
    <s v="No"/>
    <s v="05ABCEFGHIJK1ZR"/>
    <n v="0"/>
    <n v="0"/>
    <n v="0"/>
    <n v="0"/>
    <n v="75054"/>
    <n v="75054"/>
    <n v="0"/>
    <n v="0"/>
    <n v="0"/>
    <n v="0"/>
    <n v="75054"/>
    <n v="75054"/>
    <n v="0"/>
    <n v="0"/>
    <n v="0"/>
    <m/>
    <n v="0"/>
    <n v="150108"/>
    <n v="0"/>
    <n v="0"/>
    <n v="0"/>
    <n v="0"/>
    <n v="0"/>
    <n v="0"/>
    <n v="0"/>
    <n v="0"/>
    <n v="0"/>
    <x v="0"/>
  </r>
  <r>
    <s v="APD"/>
    <x v="3"/>
    <x v="70"/>
    <x v="2"/>
    <x v="0"/>
    <x v="0"/>
    <x v="182"/>
    <x v="17"/>
    <x v="0"/>
    <n v="238319.88"/>
    <n v="36353.879999999997"/>
    <n v="201966"/>
    <s v="No"/>
    <s v="05ABCEFGHIJK1ZW"/>
    <n v="0"/>
    <n v="0"/>
    <n v="0"/>
    <n v="0"/>
    <n v="18176.939999999999"/>
    <n v="18176.939999999999"/>
    <n v="0"/>
    <n v="0"/>
    <n v="0"/>
    <n v="0"/>
    <n v="18176.939999999999"/>
    <n v="18176.939999999999"/>
    <n v="0"/>
    <n v="0"/>
    <n v="0"/>
    <m/>
    <n v="0"/>
    <n v="36353.879999999997"/>
    <n v="0"/>
    <n v="0"/>
    <n v="0"/>
    <n v="0"/>
    <n v="0"/>
    <n v="0"/>
    <n v="0"/>
    <n v="0"/>
    <n v="0"/>
    <x v="3"/>
  </r>
  <r>
    <s v="APD"/>
    <x v="3"/>
    <x v="71"/>
    <x v="2"/>
    <x v="0"/>
    <x v="0"/>
    <x v="183"/>
    <x v="18"/>
    <x v="0"/>
    <n v="1031998.06"/>
    <n v="157423.44"/>
    <n v="874574.62"/>
    <s v="No"/>
    <s v="05ABCEFGHIJK1Z8"/>
    <n v="0"/>
    <n v="0"/>
    <n v="0"/>
    <n v="0"/>
    <n v="78711.72"/>
    <n v="78711.72"/>
    <n v="0"/>
    <n v="0"/>
    <n v="0"/>
    <n v="0"/>
    <n v="78711.72"/>
    <n v="78711.72"/>
    <n v="0"/>
    <n v="0"/>
    <n v="0"/>
    <m/>
    <n v="0"/>
    <n v="157423.44"/>
    <n v="0"/>
    <n v="0"/>
    <n v="0"/>
    <n v="0"/>
    <n v="0"/>
    <n v="0"/>
    <n v="0"/>
    <n v="0"/>
    <n v="0"/>
    <x v="0"/>
  </r>
  <r>
    <s v="APD"/>
    <x v="3"/>
    <x v="72"/>
    <x v="2"/>
    <x v="0"/>
    <x v="0"/>
    <x v="184"/>
    <x v="17"/>
    <x v="0"/>
    <n v="211077"/>
    <n v="32197"/>
    <n v="178880"/>
    <s v="No"/>
    <s v="02ABCEFGHIJK1ZX"/>
    <n v="0"/>
    <n v="0"/>
    <n v="0"/>
    <n v="0"/>
    <n v="0"/>
    <n v="0"/>
    <n v="0"/>
    <n v="0"/>
    <n v="0"/>
    <n v="0"/>
    <n v="0"/>
    <n v="0"/>
    <n v="0"/>
    <n v="0"/>
    <n v="32197"/>
    <m/>
    <n v="32197"/>
    <n v="32197"/>
    <n v="0"/>
    <n v="0"/>
    <n v="0"/>
    <n v="0"/>
    <n v="0"/>
    <n v="0"/>
    <n v="0"/>
    <n v="0"/>
    <n v="0"/>
    <x v="1"/>
  </r>
  <r>
    <s v="APD"/>
    <x v="3"/>
    <x v="74"/>
    <x v="2"/>
    <x v="0"/>
    <x v="0"/>
    <x v="185"/>
    <x v="14"/>
    <x v="0"/>
    <n v="1083440.1200000001"/>
    <n v="165270.51999999999"/>
    <n v="918169.59999999998"/>
    <s v="No"/>
    <s v="05ABCEFGHIJK1Z8"/>
    <n v="0"/>
    <n v="0"/>
    <n v="0"/>
    <n v="0"/>
    <n v="82635.259999999995"/>
    <n v="82635.259999999995"/>
    <n v="0"/>
    <n v="0"/>
    <n v="0"/>
    <n v="0"/>
    <n v="82635.259999999995"/>
    <n v="82635.259999999995"/>
    <n v="0"/>
    <n v="0"/>
    <n v="0"/>
    <m/>
    <n v="0"/>
    <n v="165270.51999999999"/>
    <n v="0"/>
    <n v="0"/>
    <n v="0"/>
    <n v="0"/>
    <n v="0"/>
    <n v="0"/>
    <n v="0"/>
    <n v="0"/>
    <n v="0"/>
    <x v="0"/>
  </r>
  <r>
    <s v="APD"/>
    <x v="3"/>
    <x v="75"/>
    <x v="2"/>
    <x v="0"/>
    <x v="0"/>
    <x v="186"/>
    <x v="14"/>
    <x v="0"/>
    <n v="126324.9"/>
    <n v="19269.900000000001"/>
    <n v="107055"/>
    <s v="No"/>
    <s v="05ABCEFGHIJK1ZN"/>
    <n v="0"/>
    <n v="0"/>
    <n v="0"/>
    <n v="0"/>
    <n v="9634.9500000000007"/>
    <n v="9634.9500000000007"/>
    <n v="0"/>
    <n v="0"/>
    <n v="0"/>
    <n v="0"/>
    <n v="9634.9500000000007"/>
    <n v="9634.9500000000007"/>
    <n v="0"/>
    <n v="0"/>
    <n v="0"/>
    <m/>
    <n v="0"/>
    <n v="19269.900000000001"/>
    <n v="0"/>
    <n v="0"/>
    <n v="0"/>
    <n v="0"/>
    <n v="0"/>
    <n v="0"/>
    <n v="0"/>
    <n v="0"/>
    <n v="0"/>
    <x v="3"/>
  </r>
  <r>
    <s v="APD"/>
    <x v="3"/>
    <x v="76"/>
    <x v="2"/>
    <x v="0"/>
    <x v="0"/>
    <x v="187"/>
    <x v="18"/>
    <x v="0"/>
    <n v="236090.62"/>
    <n v="36013.82"/>
    <n v="200076.79999999999"/>
    <s v="No"/>
    <s v="05ABCEFGHIJK1ZZ"/>
    <n v="0"/>
    <n v="0"/>
    <n v="0"/>
    <n v="0"/>
    <n v="18006.91"/>
    <n v="18006.91"/>
    <n v="0"/>
    <n v="0"/>
    <n v="0"/>
    <n v="0"/>
    <n v="18006.91"/>
    <n v="18006.91"/>
    <n v="0"/>
    <n v="0"/>
    <n v="0"/>
    <m/>
    <n v="0"/>
    <n v="36013.82"/>
    <n v="0"/>
    <n v="0"/>
    <n v="0"/>
    <n v="0"/>
    <n v="0"/>
    <n v="0"/>
    <n v="0"/>
    <n v="0"/>
    <n v="0"/>
    <x v="0"/>
  </r>
  <r>
    <s v="APD"/>
    <x v="3"/>
    <x v="77"/>
    <x v="2"/>
    <x v="0"/>
    <x v="0"/>
    <x v="188"/>
    <x v="15"/>
    <x v="0"/>
    <n v="76750.740000000005"/>
    <n v="11707.74"/>
    <n v="65043"/>
    <s v="No"/>
    <s v="05ABCEFGHIJK1ZR"/>
    <n v="0"/>
    <n v="0"/>
    <n v="0"/>
    <n v="0"/>
    <n v="5853.87"/>
    <n v="5853.87"/>
    <n v="0"/>
    <n v="0"/>
    <n v="0"/>
    <n v="0"/>
    <n v="5853.87"/>
    <n v="5853.87"/>
    <n v="0"/>
    <n v="0"/>
    <n v="0"/>
    <m/>
    <n v="0"/>
    <n v="11707.74"/>
    <n v="0"/>
    <n v="0"/>
    <n v="0"/>
    <n v="0"/>
    <n v="0"/>
    <n v="0"/>
    <n v="0"/>
    <n v="0"/>
    <n v="0"/>
    <x v="3"/>
  </r>
  <r>
    <s v="APD"/>
    <x v="3"/>
    <x v="78"/>
    <x v="2"/>
    <x v="0"/>
    <x v="0"/>
    <x v="189"/>
    <x v="14"/>
    <x v="0"/>
    <n v="1135880.48"/>
    <n v="173270"/>
    <n v="962610.48"/>
    <s v="No"/>
    <s v="05ABCEFGHIJK1ZR"/>
    <n v="0"/>
    <n v="0"/>
    <n v="0"/>
    <n v="0"/>
    <n v="86635"/>
    <n v="86635"/>
    <n v="0"/>
    <n v="0"/>
    <n v="0"/>
    <n v="0"/>
    <n v="86635"/>
    <n v="86635"/>
    <n v="0"/>
    <n v="0"/>
    <n v="0"/>
    <m/>
    <n v="0"/>
    <n v="173270"/>
    <n v="0"/>
    <n v="0"/>
    <n v="0"/>
    <n v="0"/>
    <n v="0"/>
    <n v="0"/>
    <n v="0"/>
    <n v="0"/>
    <n v="0"/>
    <x v="0"/>
  </r>
  <r>
    <s v="APD"/>
    <x v="3"/>
    <x v="79"/>
    <x v="2"/>
    <x v="0"/>
    <x v="0"/>
    <x v="190"/>
    <x v="15"/>
    <x v="0"/>
    <n v="207533"/>
    <n v="31658"/>
    <n v="175875"/>
    <s v="No"/>
    <s v="05ABCEFGHIJK1ZC"/>
    <n v="0"/>
    <n v="0"/>
    <n v="0"/>
    <n v="0"/>
    <n v="15829"/>
    <n v="15829"/>
    <n v="0"/>
    <n v="0"/>
    <n v="0"/>
    <n v="0"/>
    <n v="15829"/>
    <n v="15829"/>
    <n v="0"/>
    <n v="0"/>
    <n v="0"/>
    <m/>
    <n v="0"/>
    <n v="31658"/>
    <n v="0"/>
    <n v="0"/>
    <n v="0"/>
    <n v="0"/>
    <n v="0"/>
    <n v="0"/>
    <n v="0"/>
    <n v="0"/>
    <n v="0"/>
    <x v="0"/>
  </r>
  <r>
    <s v="APD"/>
    <x v="3"/>
    <x v="80"/>
    <x v="2"/>
    <x v="0"/>
    <x v="0"/>
    <x v="191"/>
    <x v="14"/>
    <x v="0"/>
    <n v="285121.52"/>
    <n v="43493.120000000003"/>
    <n v="241628.4"/>
    <s v="No"/>
    <s v="05ABCEFGHIJK1ZZ"/>
    <n v="0"/>
    <n v="0"/>
    <n v="0"/>
    <n v="0"/>
    <n v="21746.560000000001"/>
    <n v="21746.560000000001"/>
    <n v="0"/>
    <n v="0"/>
    <n v="0"/>
    <n v="0"/>
    <n v="21746.560000000001"/>
    <n v="21746.560000000001"/>
    <n v="0"/>
    <n v="0"/>
    <n v="0"/>
    <m/>
    <n v="0"/>
    <n v="43493.120000000003"/>
    <n v="0"/>
    <n v="0"/>
    <n v="0"/>
    <n v="0"/>
    <n v="0"/>
    <n v="0"/>
    <n v="0"/>
    <n v="0"/>
    <n v="0"/>
    <x v="0"/>
  </r>
  <r>
    <s v="APD"/>
    <x v="3"/>
    <x v="81"/>
    <x v="2"/>
    <x v="0"/>
    <x v="0"/>
    <x v="192"/>
    <x v="15"/>
    <x v="0"/>
    <n v="121684.8"/>
    <n v="18562.080000000002"/>
    <n v="103122.72"/>
    <s v="No"/>
    <s v="05ABCEFGHIJK1Z7"/>
    <n v="0"/>
    <n v="0"/>
    <n v="0"/>
    <n v="0"/>
    <n v="9281.0400000000009"/>
    <n v="9281.0400000000009"/>
    <n v="0"/>
    <n v="0"/>
    <n v="0"/>
    <n v="0"/>
    <n v="9281.0400000000009"/>
    <n v="9281.0400000000009"/>
    <n v="0"/>
    <n v="0"/>
    <n v="0"/>
    <m/>
    <n v="0"/>
    <n v="18562.080000000002"/>
    <n v="0"/>
    <n v="0"/>
    <n v="0"/>
    <n v="0"/>
    <n v="0"/>
    <n v="0"/>
    <n v="0"/>
    <n v="0"/>
    <n v="0"/>
    <x v="0"/>
  </r>
  <r>
    <s v="APD"/>
    <x v="3"/>
    <x v="82"/>
    <x v="2"/>
    <x v="0"/>
    <x v="0"/>
    <x v="193"/>
    <x v="17"/>
    <x v="0"/>
    <n v="217710"/>
    <n v="33210"/>
    <n v="184500"/>
    <s v="No"/>
    <s v="36ABCEFGHIJK1ZW"/>
    <n v="0"/>
    <n v="0"/>
    <n v="0"/>
    <n v="0"/>
    <n v="0"/>
    <n v="0"/>
    <n v="0"/>
    <n v="0"/>
    <n v="0"/>
    <n v="0"/>
    <n v="0"/>
    <n v="0"/>
    <n v="0"/>
    <n v="0"/>
    <n v="33210"/>
    <m/>
    <n v="33210"/>
    <n v="33210"/>
    <n v="0"/>
    <n v="0"/>
    <n v="0"/>
    <n v="0"/>
    <n v="0"/>
    <n v="0"/>
    <n v="0"/>
    <n v="0"/>
    <n v="0"/>
    <x v="1"/>
  </r>
  <r>
    <s v="APD"/>
    <x v="3"/>
    <x v="83"/>
    <x v="2"/>
    <x v="0"/>
    <x v="0"/>
    <x v="194"/>
    <x v="19"/>
    <x v="0"/>
    <n v="76750.740000000005"/>
    <n v="11707.74"/>
    <n v="65043"/>
    <s v="No"/>
    <s v="05ABCEFGHIJK1ZR"/>
    <n v="0"/>
    <n v="0"/>
    <n v="0"/>
    <n v="0"/>
    <n v="5853.87"/>
    <n v="5853.87"/>
    <n v="0"/>
    <n v="0"/>
    <n v="0"/>
    <n v="0"/>
    <n v="5853.87"/>
    <n v="5853.87"/>
    <n v="0"/>
    <n v="0"/>
    <n v="0"/>
    <m/>
    <n v="0"/>
    <n v="11707.74"/>
    <n v="0"/>
    <n v="0"/>
    <n v="0"/>
    <n v="0"/>
    <n v="0"/>
    <n v="0"/>
    <n v="0"/>
    <n v="0"/>
    <n v="0"/>
    <x v="3"/>
  </r>
  <r>
    <s v="APD"/>
    <x v="3"/>
    <x v="84"/>
    <x v="2"/>
    <x v="0"/>
    <x v="0"/>
    <x v="195"/>
    <x v="21"/>
    <x v="0"/>
    <n v="19617"/>
    <n v="2992"/>
    <n v="16625"/>
    <s v="No"/>
    <s v="05ABCEFGHIJK1ZC"/>
    <n v="0"/>
    <n v="0"/>
    <n v="0"/>
    <n v="0"/>
    <n v="1496"/>
    <n v="1496"/>
    <n v="0"/>
    <n v="0"/>
    <n v="0"/>
    <n v="0"/>
    <n v="1496"/>
    <n v="1496"/>
    <n v="0"/>
    <n v="0"/>
    <n v="0"/>
    <m/>
    <n v="0"/>
    <n v="2992"/>
    <n v="0"/>
    <n v="0"/>
    <n v="0"/>
    <n v="0"/>
    <n v="0"/>
    <n v="0"/>
    <n v="0"/>
    <n v="0"/>
    <n v="0"/>
    <x v="0"/>
  </r>
  <r>
    <s v="APD"/>
    <x v="3"/>
    <x v="85"/>
    <x v="2"/>
    <x v="0"/>
    <x v="0"/>
    <x v="196"/>
    <x v="19"/>
    <x v="0"/>
    <n v="205493"/>
    <n v="31348"/>
    <n v="174147"/>
    <s v="No"/>
    <s v="05ABCEFGHIJK1ZC"/>
    <n v="0"/>
    <n v="0"/>
    <n v="0"/>
    <n v="0"/>
    <n v="15674"/>
    <n v="15674"/>
    <n v="0"/>
    <n v="0"/>
    <n v="0"/>
    <n v="0"/>
    <n v="15674"/>
    <n v="15674"/>
    <n v="0"/>
    <n v="0"/>
    <n v="0"/>
    <m/>
    <n v="0"/>
    <n v="31348"/>
    <n v="0"/>
    <n v="0"/>
    <n v="0"/>
    <n v="0"/>
    <n v="0"/>
    <n v="0"/>
    <n v="0"/>
    <n v="0"/>
    <n v="0"/>
    <x v="0"/>
  </r>
  <r>
    <s v="APD"/>
    <x v="3"/>
    <x v="86"/>
    <x v="2"/>
    <x v="0"/>
    <x v="0"/>
    <x v="197"/>
    <x v="19"/>
    <x v="0"/>
    <n v="289755.14"/>
    <n v="44199.94"/>
    <n v="245555.20000000001"/>
    <s v="No"/>
    <s v="05ABCEFGHIJK1ZZ"/>
    <n v="0"/>
    <n v="0"/>
    <n v="0"/>
    <n v="0"/>
    <n v="22099.97"/>
    <n v="22099.97"/>
    <n v="0"/>
    <n v="0"/>
    <n v="0"/>
    <n v="0"/>
    <n v="22099.97"/>
    <n v="22099.97"/>
    <n v="0"/>
    <n v="0"/>
    <n v="0"/>
    <m/>
    <n v="0"/>
    <n v="44199.94"/>
    <n v="0"/>
    <n v="0"/>
    <n v="0"/>
    <n v="0"/>
    <n v="0"/>
    <n v="0"/>
    <n v="0"/>
    <n v="0"/>
    <n v="0"/>
    <x v="0"/>
  </r>
  <r>
    <s v="APD"/>
    <x v="3"/>
    <x v="87"/>
    <x v="2"/>
    <x v="0"/>
    <x v="0"/>
    <x v="198"/>
    <x v="8"/>
    <x v="0"/>
    <n v="777449.03"/>
    <n v="118594"/>
    <n v="658855.02500000002"/>
    <s v="No"/>
    <s v="05ABCEFGHIJK1ZD"/>
    <n v="0"/>
    <n v="0"/>
    <n v="0"/>
    <n v="0"/>
    <n v="59297"/>
    <n v="59297"/>
    <n v="0"/>
    <n v="0"/>
    <n v="0"/>
    <n v="0"/>
    <n v="59297"/>
    <n v="59297"/>
    <n v="0"/>
    <n v="0"/>
    <n v="0"/>
    <m/>
    <n v="0"/>
    <n v="118594"/>
    <n v="0"/>
    <n v="0"/>
    <n v="0"/>
    <n v="0"/>
    <n v="0"/>
    <n v="0"/>
    <n v="0"/>
    <n v="0"/>
    <n v="0"/>
    <x v="0"/>
  </r>
  <r>
    <s v="APD"/>
    <x v="3"/>
    <x v="88"/>
    <x v="2"/>
    <x v="0"/>
    <x v="0"/>
    <x v="199"/>
    <x v="33"/>
    <x v="0"/>
    <n v="520380"/>
    <n v="79380"/>
    <n v="441000"/>
    <s v="No"/>
    <s v="23ABCEFGHIJK1Z0"/>
    <n v="0"/>
    <n v="0"/>
    <n v="0"/>
    <n v="0"/>
    <n v="0"/>
    <n v="0"/>
    <n v="0"/>
    <n v="0"/>
    <n v="0"/>
    <n v="0"/>
    <n v="0"/>
    <n v="0"/>
    <n v="0"/>
    <n v="0"/>
    <n v="79380"/>
    <m/>
    <n v="79380"/>
    <n v="79380"/>
    <n v="0"/>
    <n v="0"/>
    <n v="0"/>
    <n v="0"/>
    <n v="0"/>
    <n v="0"/>
    <n v="0"/>
    <n v="0"/>
    <n v="0"/>
    <x v="1"/>
  </r>
  <r>
    <s v="APD"/>
    <x v="3"/>
    <x v="89"/>
    <x v="2"/>
    <x v="0"/>
    <x v="0"/>
    <x v="200"/>
    <x v="34"/>
    <x v="0"/>
    <n v="72688"/>
    <n v="11088"/>
    <n v="61600"/>
    <s v="No"/>
    <s v="27ABCEFGHIJK1ZN"/>
    <n v="0"/>
    <n v="0"/>
    <n v="0"/>
    <n v="0"/>
    <n v="0"/>
    <n v="0"/>
    <n v="0"/>
    <n v="0"/>
    <n v="0"/>
    <n v="0"/>
    <n v="0"/>
    <n v="0"/>
    <n v="0"/>
    <n v="0"/>
    <n v="11088"/>
    <m/>
    <n v="11088"/>
    <n v="11088"/>
    <n v="0"/>
    <n v="0"/>
    <n v="0"/>
    <n v="0"/>
    <n v="0"/>
    <n v="0"/>
    <n v="0"/>
    <n v="0"/>
    <n v="0"/>
    <x v="1"/>
  </r>
  <r>
    <s v="APD"/>
    <x v="3"/>
    <x v="90"/>
    <x v="2"/>
    <x v="0"/>
    <x v="0"/>
    <x v="201"/>
    <x v="4"/>
    <x v="0"/>
    <n v="265500"/>
    <n v="40500"/>
    <n v="225000"/>
    <s v="No"/>
    <s v="27ABCEFGHIJK1ZX"/>
    <n v="0"/>
    <n v="0"/>
    <n v="0"/>
    <n v="0"/>
    <n v="0"/>
    <n v="0"/>
    <n v="0"/>
    <n v="0"/>
    <n v="0"/>
    <n v="0"/>
    <n v="0"/>
    <n v="0"/>
    <n v="0"/>
    <n v="0"/>
    <n v="40500"/>
    <m/>
    <n v="40500"/>
    <n v="40500"/>
    <n v="0"/>
    <n v="0"/>
    <n v="0"/>
    <n v="0"/>
    <n v="0"/>
    <n v="0"/>
    <n v="0"/>
    <n v="0"/>
    <n v="0"/>
    <x v="1"/>
  </r>
  <r>
    <s v="APD"/>
    <x v="3"/>
    <x v="91"/>
    <x v="2"/>
    <x v="0"/>
    <x v="0"/>
    <x v="202"/>
    <x v="27"/>
    <x v="0"/>
    <n v="562860"/>
    <n v="85860"/>
    <n v="477000"/>
    <s v="No"/>
    <s v="26ABCEFGHIJK1ZU"/>
    <n v="0"/>
    <n v="0"/>
    <n v="0"/>
    <n v="0"/>
    <n v="0"/>
    <n v="0"/>
    <n v="0"/>
    <n v="0"/>
    <n v="0"/>
    <n v="0"/>
    <n v="0"/>
    <n v="0"/>
    <n v="0"/>
    <n v="0"/>
    <n v="85860"/>
    <m/>
    <n v="85860"/>
    <n v="85860"/>
    <n v="0"/>
    <n v="0"/>
    <n v="0"/>
    <n v="0"/>
    <n v="0"/>
    <n v="0"/>
    <n v="0"/>
    <n v="0"/>
    <n v="0"/>
    <x v="1"/>
  </r>
  <r>
    <s v="APD"/>
    <x v="3"/>
    <x v="92"/>
    <x v="2"/>
    <x v="0"/>
    <x v="0"/>
    <x v="203"/>
    <x v="33"/>
    <x v="0"/>
    <n v="226560"/>
    <n v="34560"/>
    <n v="192000"/>
    <s v="No"/>
    <s v="24ABCEFGHIJK1ZI"/>
    <n v="0"/>
    <n v="0"/>
    <n v="0"/>
    <n v="0"/>
    <n v="0"/>
    <n v="0"/>
    <n v="0"/>
    <n v="0"/>
    <n v="0"/>
    <n v="0"/>
    <n v="0"/>
    <n v="0"/>
    <n v="0"/>
    <n v="0"/>
    <n v="34560"/>
    <m/>
    <n v="34560"/>
    <n v="34560"/>
    <n v="0"/>
    <n v="0"/>
    <n v="0"/>
    <n v="0"/>
    <n v="0"/>
    <n v="0"/>
    <n v="0"/>
    <n v="0"/>
    <n v="0"/>
    <x v="1"/>
  </r>
  <r>
    <s v="APD"/>
    <x v="3"/>
    <x v="93"/>
    <x v="2"/>
    <x v="0"/>
    <x v="0"/>
    <x v="204"/>
    <x v="34"/>
    <x v="0"/>
    <n v="1040760"/>
    <n v="158760"/>
    <n v="882000"/>
    <s v="No"/>
    <s v="27ABCEFGHIJK1ZL"/>
    <n v="0"/>
    <n v="0"/>
    <n v="0"/>
    <n v="0"/>
    <n v="0"/>
    <n v="0"/>
    <n v="0"/>
    <n v="0"/>
    <n v="0"/>
    <n v="0"/>
    <n v="0"/>
    <n v="0"/>
    <n v="0"/>
    <n v="0"/>
    <n v="158760"/>
    <m/>
    <n v="158760"/>
    <n v="158760"/>
    <n v="0"/>
    <n v="0"/>
    <n v="0"/>
    <n v="0"/>
    <n v="0"/>
    <n v="0"/>
    <n v="0"/>
    <n v="0"/>
    <n v="0"/>
    <x v="1"/>
  </r>
  <r>
    <s v="APD"/>
    <x v="3"/>
    <x v="94"/>
    <x v="2"/>
    <x v="0"/>
    <x v="0"/>
    <x v="205"/>
    <x v="32"/>
    <x v="0"/>
    <n v="96465"/>
    <n v="14715"/>
    <n v="81750"/>
    <s v="No"/>
    <s v="27ABCEFGHIJK1ZT"/>
    <n v="0"/>
    <n v="0"/>
    <n v="0"/>
    <n v="0"/>
    <n v="0"/>
    <n v="0"/>
    <n v="0"/>
    <n v="0"/>
    <n v="0"/>
    <n v="0"/>
    <n v="0"/>
    <n v="0"/>
    <n v="0"/>
    <n v="0"/>
    <n v="14715"/>
    <m/>
    <n v="14715"/>
    <n v="14715"/>
    <n v="0"/>
    <n v="0"/>
    <n v="0"/>
    <n v="0"/>
    <n v="0"/>
    <n v="0"/>
    <n v="0"/>
    <n v="0"/>
    <n v="0"/>
    <x v="1"/>
  </r>
  <r>
    <s v="APD"/>
    <x v="3"/>
    <x v="95"/>
    <x v="2"/>
    <x v="0"/>
    <x v="0"/>
    <x v="206"/>
    <x v="33"/>
    <x v="0"/>
    <n v="708000"/>
    <n v="108000"/>
    <n v="600000"/>
    <s v="No"/>
    <s v="27ABCEFGHIJK1Z2"/>
    <n v="0"/>
    <n v="0"/>
    <n v="0"/>
    <n v="0"/>
    <n v="0"/>
    <n v="0"/>
    <n v="0"/>
    <n v="0"/>
    <n v="0"/>
    <n v="0"/>
    <n v="0"/>
    <n v="0"/>
    <n v="0"/>
    <n v="0"/>
    <n v="108000"/>
    <m/>
    <n v="108000"/>
    <n v="108000"/>
    <n v="0"/>
    <n v="0"/>
    <n v="0"/>
    <n v="0"/>
    <n v="0"/>
    <n v="0"/>
    <n v="0"/>
    <n v="0"/>
    <n v="0"/>
    <x v="1"/>
  </r>
  <r>
    <s v="APD"/>
    <x v="3"/>
    <x v="96"/>
    <x v="2"/>
    <x v="0"/>
    <x v="0"/>
    <x v="207"/>
    <x v="13"/>
    <x v="0"/>
    <n v="1402784"/>
    <n v="213984"/>
    <n v="1188800"/>
    <s v="No"/>
    <s v="33ABCEFGHIJK1Z6"/>
    <n v="0"/>
    <n v="0"/>
    <n v="0"/>
    <n v="0"/>
    <n v="0"/>
    <n v="0"/>
    <n v="0"/>
    <n v="0"/>
    <n v="0"/>
    <n v="0"/>
    <n v="0"/>
    <n v="0"/>
    <n v="0"/>
    <n v="0"/>
    <n v="213984"/>
    <m/>
    <n v="213984"/>
    <n v="213984"/>
    <n v="0"/>
    <n v="0"/>
    <n v="0"/>
    <n v="0"/>
    <n v="0"/>
    <n v="0"/>
    <n v="0"/>
    <n v="0"/>
    <n v="0"/>
    <x v="1"/>
  </r>
  <r>
    <s v="APD"/>
    <x v="3"/>
    <x v="97"/>
    <x v="2"/>
    <x v="0"/>
    <x v="0"/>
    <x v="208"/>
    <x v="13"/>
    <x v="0"/>
    <n v="110920"/>
    <n v="16920"/>
    <n v="94000"/>
    <s v="No"/>
    <s v="33ABCEFGHIJK1ZO"/>
    <n v="0"/>
    <n v="0"/>
    <n v="0"/>
    <n v="0"/>
    <n v="0"/>
    <n v="0"/>
    <n v="0"/>
    <n v="0"/>
    <n v="0"/>
    <n v="0"/>
    <n v="0"/>
    <n v="0"/>
    <n v="0"/>
    <n v="0"/>
    <n v="16920"/>
    <m/>
    <n v="16920"/>
    <n v="16920"/>
    <n v="0"/>
    <n v="0"/>
    <n v="0"/>
    <n v="0"/>
    <n v="0"/>
    <n v="0"/>
    <n v="0"/>
    <n v="0"/>
    <n v="0"/>
    <x v="1"/>
  </r>
  <r>
    <s v="APD"/>
    <x v="3"/>
    <x v="98"/>
    <x v="2"/>
    <x v="0"/>
    <x v="0"/>
    <x v="209"/>
    <x v="12"/>
    <x v="0"/>
    <n v="140090"/>
    <n v="21370"/>
    <n v="118720"/>
    <s v="No"/>
    <s v="26ABCEFGHIJK1ZB"/>
    <n v="0"/>
    <n v="0"/>
    <n v="0"/>
    <n v="0"/>
    <n v="0"/>
    <n v="0"/>
    <n v="0"/>
    <n v="0"/>
    <n v="0"/>
    <n v="0"/>
    <n v="0"/>
    <n v="0"/>
    <n v="0"/>
    <n v="0"/>
    <n v="21370"/>
    <m/>
    <n v="21370"/>
    <n v="21370"/>
    <n v="0"/>
    <n v="0"/>
    <n v="0"/>
    <n v="0"/>
    <n v="0"/>
    <n v="0"/>
    <n v="0"/>
    <n v="0"/>
    <n v="0"/>
    <x v="1"/>
  </r>
  <r>
    <s v="APD"/>
    <x v="3"/>
    <x v="116"/>
    <x v="2"/>
    <x v="0"/>
    <x v="0"/>
    <x v="210"/>
    <x v="16"/>
    <x v="0"/>
    <n v="591476"/>
    <n v="90226"/>
    <n v="501250"/>
    <s v="No"/>
    <s v="05ABCEFGHIJK1Z4"/>
    <n v="0"/>
    <n v="0"/>
    <n v="0"/>
    <n v="0"/>
    <n v="45113"/>
    <n v="45113"/>
    <n v="0"/>
    <n v="0"/>
    <n v="0"/>
    <n v="0"/>
    <n v="45113"/>
    <n v="45113"/>
    <n v="0"/>
    <n v="0"/>
    <n v="0"/>
    <m/>
    <n v="0"/>
    <n v="90226"/>
    <n v="0"/>
    <n v="0"/>
    <n v="0"/>
    <n v="0"/>
    <n v="0"/>
    <n v="0"/>
    <n v="0"/>
    <n v="0"/>
    <n v="0"/>
    <x v="0"/>
  </r>
  <r>
    <s v="APD"/>
    <x v="3"/>
    <x v="99"/>
    <x v="2"/>
    <x v="0"/>
    <x v="0"/>
    <x v="211"/>
    <x v="8"/>
    <x v="0"/>
    <n v="4954017.5999999996"/>
    <n v="755697.6"/>
    <n v="4198320"/>
    <s v="No"/>
    <s v="24ABCEFGHIJK1ZR"/>
    <n v="0"/>
    <n v="0"/>
    <n v="0"/>
    <n v="0"/>
    <n v="0"/>
    <n v="0"/>
    <n v="0"/>
    <n v="0"/>
    <n v="0"/>
    <n v="0"/>
    <n v="0"/>
    <n v="0"/>
    <n v="0"/>
    <n v="0"/>
    <n v="755697.6"/>
    <m/>
    <n v="755697.6"/>
    <n v="755697.6"/>
    <n v="0"/>
    <n v="0"/>
    <n v="0"/>
    <n v="0"/>
    <n v="0"/>
    <n v="0"/>
    <n v="0"/>
    <n v="0"/>
    <n v="0"/>
    <x v="1"/>
  </r>
  <r>
    <s v="APD"/>
    <x v="3"/>
    <x v="100"/>
    <x v="2"/>
    <x v="0"/>
    <x v="0"/>
    <x v="212"/>
    <x v="13"/>
    <x v="0"/>
    <n v="623736.19999999995"/>
    <n v="95146.2"/>
    <n v="528590"/>
    <s v="No"/>
    <s v="27ABCEFGHIJK1Z0"/>
    <n v="0"/>
    <n v="0"/>
    <n v="0"/>
    <n v="0"/>
    <n v="0"/>
    <n v="0"/>
    <n v="0"/>
    <n v="0"/>
    <n v="0"/>
    <n v="0"/>
    <n v="0"/>
    <n v="0"/>
    <n v="0"/>
    <n v="0"/>
    <n v="95146.2"/>
    <m/>
    <n v="95146.2"/>
    <n v="95146.2"/>
    <n v="0"/>
    <n v="0"/>
    <n v="0"/>
    <n v="0"/>
    <n v="0"/>
    <n v="0"/>
    <n v="0"/>
    <n v="0"/>
    <n v="0"/>
    <x v="1"/>
  </r>
  <r>
    <s v="APD"/>
    <x v="3"/>
    <x v="101"/>
    <x v="2"/>
    <x v="0"/>
    <x v="0"/>
    <x v="213"/>
    <x v="12"/>
    <x v="0"/>
    <n v="4901059.2"/>
    <n v="747619.2"/>
    <n v="4153440"/>
    <s v="No"/>
    <s v="24ABCEFGHIJK1ZR"/>
    <n v="0"/>
    <n v="0"/>
    <n v="0"/>
    <n v="0"/>
    <n v="0"/>
    <n v="0"/>
    <n v="0"/>
    <n v="0"/>
    <n v="0"/>
    <n v="0"/>
    <n v="0"/>
    <n v="0"/>
    <n v="0"/>
    <n v="0"/>
    <n v="747619.2"/>
    <m/>
    <n v="747619.2"/>
    <n v="747619.2"/>
    <n v="0"/>
    <n v="0"/>
    <n v="0"/>
    <n v="0"/>
    <n v="0"/>
    <n v="0"/>
    <n v="0"/>
    <n v="0"/>
    <n v="0"/>
    <x v="1"/>
  </r>
  <r>
    <s v="APD"/>
    <x v="3"/>
    <x v="102"/>
    <x v="2"/>
    <x v="0"/>
    <x v="0"/>
    <x v="214"/>
    <x v="15"/>
    <x v="0"/>
    <n v="63720"/>
    <n v="9720"/>
    <n v="54000"/>
    <s v="No"/>
    <s v="05ABCEFGHIJKIZH"/>
    <n v="0"/>
    <n v="0"/>
    <n v="0"/>
    <n v="0"/>
    <n v="4860"/>
    <n v="4860"/>
    <n v="0"/>
    <n v="0"/>
    <n v="0"/>
    <n v="0"/>
    <n v="4860"/>
    <n v="4860"/>
    <n v="0"/>
    <n v="0"/>
    <n v="0"/>
    <m/>
    <n v="0"/>
    <n v="9720"/>
    <n v="0"/>
    <n v="0"/>
    <n v="0"/>
    <n v="0"/>
    <n v="0"/>
    <n v="0"/>
    <n v="0"/>
    <n v="0"/>
    <n v="0"/>
    <x v="0"/>
  </r>
  <r>
    <s v="APD"/>
    <x v="3"/>
    <x v="117"/>
    <x v="2"/>
    <x v="0"/>
    <x v="0"/>
    <x v="215"/>
    <x v="9"/>
    <x v="0"/>
    <n v="1040760"/>
    <n v="158760"/>
    <n v="882000"/>
    <s v="No"/>
    <s v="27ABCEFGHIJK1ZL"/>
    <n v="0"/>
    <n v="0"/>
    <n v="0"/>
    <n v="0"/>
    <n v="0"/>
    <n v="0"/>
    <n v="0"/>
    <n v="0"/>
    <n v="0"/>
    <n v="0"/>
    <n v="0"/>
    <n v="0"/>
    <n v="0"/>
    <n v="0"/>
    <n v="158760"/>
    <m/>
    <n v="158760"/>
    <n v="158760"/>
    <n v="0"/>
    <n v="0"/>
    <n v="0"/>
    <n v="0"/>
    <n v="0"/>
    <n v="0"/>
    <n v="0"/>
    <n v="0"/>
    <n v="0"/>
    <x v="1"/>
  </r>
  <r>
    <s v="APD"/>
    <x v="3"/>
    <x v="103"/>
    <x v="2"/>
    <x v="0"/>
    <x v="0"/>
    <x v="216"/>
    <x v="0"/>
    <x v="0"/>
    <n v="832608"/>
    <n v="127008"/>
    <n v="705600"/>
    <s v="No"/>
    <s v="27ABCEFGHIJK1ZL"/>
    <n v="0"/>
    <n v="0"/>
    <n v="0"/>
    <n v="0"/>
    <n v="0"/>
    <n v="0"/>
    <n v="0"/>
    <n v="0"/>
    <n v="0"/>
    <n v="0"/>
    <n v="0"/>
    <n v="0"/>
    <n v="0"/>
    <n v="0"/>
    <n v="127008"/>
    <m/>
    <n v="127008"/>
    <n v="127008"/>
    <n v="0"/>
    <n v="0"/>
    <n v="0"/>
    <n v="0"/>
    <n v="0"/>
    <n v="0"/>
    <n v="0"/>
    <n v="0"/>
    <n v="0"/>
    <x v="1"/>
  </r>
  <r>
    <s v="APD"/>
    <x v="3"/>
    <x v="104"/>
    <x v="14"/>
    <x v="0"/>
    <x v="0"/>
    <x v="217"/>
    <x v="8"/>
    <x v="0"/>
    <n v="128620"/>
    <n v="19620"/>
    <n v="109000"/>
    <s v="No"/>
    <s v="27ABCEFGHIJK1ZT"/>
    <n v="0"/>
    <n v="0"/>
    <n v="0"/>
    <n v="0"/>
    <n v="0"/>
    <n v="0"/>
    <n v="0"/>
    <n v="0"/>
    <n v="0"/>
    <n v="0"/>
    <n v="0"/>
    <n v="0"/>
    <n v="0"/>
    <n v="0"/>
    <n v="19620"/>
    <m/>
    <n v="19620"/>
    <n v="19620"/>
    <n v="0"/>
    <n v="0"/>
    <n v="0"/>
    <n v="0"/>
    <n v="0"/>
    <n v="0"/>
    <n v="0"/>
    <n v="0"/>
    <n v="0"/>
    <x v="1"/>
  </r>
  <r>
    <s v="APD"/>
    <x v="3"/>
    <x v="105"/>
    <x v="14"/>
    <x v="0"/>
    <x v="0"/>
    <x v="218"/>
    <x v="8"/>
    <x v="0"/>
    <n v="311786"/>
    <n v="47561"/>
    <n v="264225"/>
    <s v="No"/>
    <s v="27ABCEFGHIJK1ZL"/>
    <n v="0"/>
    <n v="0"/>
    <n v="0"/>
    <n v="0"/>
    <n v="0"/>
    <n v="0"/>
    <n v="0"/>
    <n v="0"/>
    <n v="0"/>
    <n v="0"/>
    <n v="0"/>
    <n v="0"/>
    <n v="0"/>
    <n v="0"/>
    <n v="47561"/>
    <m/>
    <n v="47561"/>
    <n v="47561"/>
    <n v="0"/>
    <n v="0"/>
    <n v="0"/>
    <n v="0"/>
    <n v="0"/>
    <n v="0"/>
    <n v="0"/>
    <n v="0"/>
    <n v="0"/>
    <x v="1"/>
  </r>
  <r>
    <s v="APD"/>
    <x v="3"/>
    <x v="106"/>
    <x v="14"/>
    <x v="0"/>
    <x v="0"/>
    <x v="219"/>
    <x v="12"/>
    <x v="0"/>
    <n v="265500"/>
    <n v="40500"/>
    <n v="225000"/>
    <s v="No"/>
    <s v="27ABCEFGHIJK1ZX"/>
    <n v="0"/>
    <n v="0"/>
    <n v="0"/>
    <n v="0"/>
    <n v="0"/>
    <n v="0"/>
    <n v="0"/>
    <n v="0"/>
    <n v="0"/>
    <n v="0"/>
    <n v="0"/>
    <n v="0"/>
    <n v="0"/>
    <n v="0"/>
    <n v="40500"/>
    <m/>
    <n v="40500"/>
    <n v="40500"/>
    <n v="0"/>
    <n v="0"/>
    <n v="0"/>
    <n v="0"/>
    <n v="0"/>
    <n v="0"/>
    <n v="0"/>
    <n v="0"/>
    <n v="0"/>
    <x v="1"/>
  </r>
  <r>
    <s v="APD"/>
    <x v="3"/>
    <x v="107"/>
    <x v="14"/>
    <x v="0"/>
    <x v="0"/>
    <x v="220"/>
    <x v="3"/>
    <x v="0"/>
    <n v="155052"/>
    <n v="23652"/>
    <n v="131400"/>
    <s v="No"/>
    <s v="33ABCEFGHIJK2ZJ"/>
    <n v="0"/>
    <n v="0"/>
    <n v="0"/>
    <n v="0"/>
    <n v="0"/>
    <n v="0"/>
    <n v="0"/>
    <n v="0"/>
    <n v="0"/>
    <n v="0"/>
    <n v="0"/>
    <n v="0"/>
    <n v="0"/>
    <n v="0"/>
    <n v="23652"/>
    <m/>
    <n v="23652"/>
    <n v="23652"/>
    <n v="0"/>
    <n v="0"/>
    <n v="0"/>
    <n v="0"/>
    <n v="0"/>
    <n v="0"/>
    <n v="0"/>
    <n v="0"/>
    <n v="0"/>
    <x v="1"/>
  </r>
  <r>
    <s v="APD"/>
    <x v="3"/>
    <x v="108"/>
    <x v="14"/>
    <x v="0"/>
    <x v="0"/>
    <x v="221"/>
    <x v="27"/>
    <x v="0"/>
    <n v="1128670"/>
    <n v="172170"/>
    <n v="956500"/>
    <s v="No"/>
    <s v="34ABCEFGHIJK1Z4"/>
    <n v="0"/>
    <n v="0"/>
    <n v="0"/>
    <n v="0"/>
    <n v="0"/>
    <n v="0"/>
    <n v="0"/>
    <n v="0"/>
    <n v="0"/>
    <n v="0"/>
    <n v="0"/>
    <n v="0"/>
    <n v="0"/>
    <n v="0"/>
    <n v="172170"/>
    <m/>
    <n v="172170"/>
    <n v="172170"/>
    <n v="0"/>
    <n v="0"/>
    <n v="0"/>
    <n v="0"/>
    <n v="0"/>
    <n v="0"/>
    <n v="0"/>
    <n v="0"/>
    <n v="0"/>
    <x v="1"/>
  </r>
  <r>
    <s v="APD"/>
    <x v="3"/>
    <x v="109"/>
    <x v="14"/>
    <x v="0"/>
    <x v="0"/>
    <x v="222"/>
    <x v="32"/>
    <x v="0"/>
    <n v="1244938.3500000001"/>
    <n v="189905.85"/>
    <n v="1055032.5"/>
    <s v="No"/>
    <s v="27ABCEFGHIJK1ZM"/>
    <n v="0"/>
    <n v="0"/>
    <n v="0"/>
    <n v="0"/>
    <n v="0"/>
    <n v="0"/>
    <n v="0"/>
    <n v="0"/>
    <n v="0"/>
    <n v="0"/>
    <n v="0"/>
    <n v="0"/>
    <n v="0"/>
    <n v="0"/>
    <n v="189905.85"/>
    <m/>
    <n v="189905.85"/>
    <n v="189905.85"/>
    <n v="0"/>
    <n v="0"/>
    <n v="0"/>
    <n v="0"/>
    <n v="0"/>
    <n v="0"/>
    <n v="0"/>
    <n v="0"/>
    <n v="0"/>
    <x v="1"/>
  </r>
  <r>
    <s v="APD"/>
    <x v="3"/>
    <x v="110"/>
    <x v="14"/>
    <x v="0"/>
    <x v="0"/>
    <x v="223"/>
    <x v="14"/>
    <x v="0"/>
    <n v="45400.5"/>
    <n v="6925.5"/>
    <n v="38475"/>
    <s v="No"/>
    <s v="27ABCEFGHIJK1ZM"/>
    <n v="0"/>
    <n v="0"/>
    <n v="0"/>
    <n v="0"/>
    <n v="0"/>
    <n v="0"/>
    <n v="0"/>
    <n v="0"/>
    <n v="0"/>
    <n v="0"/>
    <n v="0"/>
    <n v="0"/>
    <n v="0"/>
    <n v="0"/>
    <n v="6925.5"/>
    <m/>
    <n v="6925.5"/>
    <n v="6925.5"/>
    <n v="0"/>
    <n v="0"/>
    <n v="0"/>
    <n v="0"/>
    <n v="0"/>
    <n v="0"/>
    <n v="0"/>
    <n v="0"/>
    <n v="0"/>
    <x v="1"/>
  </r>
  <r>
    <s v="APD"/>
    <x v="3"/>
    <x v="111"/>
    <x v="14"/>
    <x v="0"/>
    <x v="0"/>
    <x v="224"/>
    <x v="17"/>
    <x v="0"/>
    <n v="339840"/>
    <n v="51840"/>
    <n v="288000"/>
    <s v="No"/>
    <s v="27ABCEFGHIJK1ZM"/>
    <n v="0"/>
    <n v="0"/>
    <n v="0"/>
    <n v="0"/>
    <n v="0"/>
    <n v="0"/>
    <n v="0"/>
    <n v="0"/>
    <n v="0"/>
    <n v="0"/>
    <n v="0"/>
    <n v="0"/>
    <n v="0"/>
    <n v="0"/>
    <n v="51840"/>
    <m/>
    <n v="51840"/>
    <n v="51840"/>
    <n v="0"/>
    <n v="0"/>
    <n v="0"/>
    <n v="0"/>
    <n v="0"/>
    <n v="0"/>
    <n v="0"/>
    <n v="0"/>
    <n v="0"/>
    <x v="1"/>
  </r>
  <r>
    <s v="APD"/>
    <x v="3"/>
    <x v="112"/>
    <x v="14"/>
    <x v="0"/>
    <x v="0"/>
    <x v="225"/>
    <x v="33"/>
    <x v="0"/>
    <n v="1275302.7"/>
    <n v="194537.7"/>
    <n v="1080765"/>
    <s v="No"/>
    <s v="27ABCEFGHIJK1ZM"/>
    <n v="0"/>
    <n v="0"/>
    <n v="0"/>
    <n v="0"/>
    <n v="0"/>
    <n v="0"/>
    <n v="0"/>
    <n v="0"/>
    <n v="0"/>
    <n v="0"/>
    <n v="0"/>
    <n v="0"/>
    <n v="0"/>
    <n v="0"/>
    <n v="194537.7"/>
    <m/>
    <n v="194537.7"/>
    <n v="194537.7"/>
    <n v="0"/>
    <n v="0"/>
    <n v="0"/>
    <n v="0"/>
    <n v="0"/>
    <n v="0"/>
    <n v="0"/>
    <n v="0"/>
    <n v="0"/>
    <x v="1"/>
  </r>
  <r>
    <s v="APD"/>
    <x v="3"/>
    <x v="118"/>
    <x v="14"/>
    <x v="0"/>
    <x v="0"/>
    <x v="226"/>
    <x v="17"/>
    <x v="0"/>
    <n v="19175"/>
    <n v="2925"/>
    <n v="16250"/>
    <s v="No"/>
    <s v="36ABCEFGHIJK1ZW"/>
    <n v="0"/>
    <n v="0"/>
    <n v="0"/>
    <n v="0"/>
    <n v="0"/>
    <n v="0"/>
    <n v="0"/>
    <n v="0"/>
    <n v="0"/>
    <n v="0"/>
    <n v="0"/>
    <n v="0"/>
    <n v="0"/>
    <n v="0"/>
    <n v="2925"/>
    <m/>
    <n v="2925"/>
    <n v="2925"/>
    <n v="0"/>
    <n v="0"/>
    <n v="0"/>
    <n v="0"/>
    <n v="0"/>
    <n v="0"/>
    <n v="0"/>
    <n v="0"/>
    <n v="0"/>
    <x v="1"/>
  </r>
  <r>
    <s v="APD"/>
    <x v="3"/>
    <x v="113"/>
    <x v="14"/>
    <x v="0"/>
    <x v="0"/>
    <x v="227"/>
    <x v="27"/>
    <x v="0"/>
    <n v="515660"/>
    <n v="78660"/>
    <n v="437000"/>
    <s v="No"/>
    <s v="27ABCEFGHIJK1ZM"/>
    <n v="0"/>
    <n v="0"/>
    <n v="0"/>
    <n v="0"/>
    <n v="0"/>
    <n v="0"/>
    <n v="0"/>
    <n v="0"/>
    <n v="0"/>
    <n v="0"/>
    <n v="0"/>
    <n v="0"/>
    <n v="0"/>
    <n v="0"/>
    <n v="78660"/>
    <m/>
    <n v="78660"/>
    <n v="78660"/>
    <n v="0"/>
    <n v="0"/>
    <n v="0"/>
    <n v="0"/>
    <n v="0"/>
    <n v="0"/>
    <n v="0"/>
    <n v="0"/>
    <n v="0"/>
    <x v="1"/>
  </r>
  <r>
    <s v="APD"/>
    <x v="3"/>
    <x v="119"/>
    <x v="14"/>
    <x v="0"/>
    <x v="0"/>
    <x v="228"/>
    <x v="27"/>
    <x v="0"/>
    <n v="493240"/>
    <n v="75240"/>
    <n v="418000"/>
    <s v="No"/>
    <s v="27ABCEFGHIJK1ZM"/>
    <n v="0"/>
    <n v="0"/>
    <n v="0"/>
    <n v="0"/>
    <n v="0"/>
    <n v="0"/>
    <n v="0"/>
    <n v="0"/>
    <n v="0"/>
    <n v="0"/>
    <n v="0"/>
    <n v="0"/>
    <n v="0"/>
    <n v="0"/>
    <n v="75240"/>
    <m/>
    <n v="75240"/>
    <n v="75240"/>
    <n v="0"/>
    <n v="0"/>
    <n v="0"/>
    <n v="0"/>
    <n v="0"/>
    <n v="0"/>
    <n v="0"/>
    <n v="0"/>
    <n v="0"/>
    <x v="1"/>
  </r>
  <r>
    <s v="APD"/>
    <x v="3"/>
    <x v="120"/>
    <x v="14"/>
    <x v="0"/>
    <x v="0"/>
    <x v="229"/>
    <x v="21"/>
    <x v="0"/>
    <n v="227740.79999999999"/>
    <n v="34740.120000000003"/>
    <n v="193000.68"/>
    <s v="No"/>
    <s v="05ABCEFGHIJK1ZW"/>
    <n v="0"/>
    <n v="0"/>
    <n v="0"/>
    <n v="0"/>
    <n v="17370.060000000001"/>
    <n v="17370.060000000001"/>
    <n v="0"/>
    <n v="0"/>
    <n v="0"/>
    <n v="0"/>
    <n v="17370.060000000001"/>
    <n v="17370.060000000001"/>
    <n v="0"/>
    <n v="0"/>
    <n v="0"/>
    <m/>
    <n v="0"/>
    <n v="34740.120000000003"/>
    <n v="0"/>
    <n v="0"/>
    <n v="0"/>
    <n v="0"/>
    <n v="0"/>
    <n v="0"/>
    <n v="0"/>
    <n v="0"/>
    <n v="0"/>
    <x v="3"/>
  </r>
  <r>
    <s v="APD"/>
    <x v="3"/>
    <x v="121"/>
    <x v="0"/>
    <x v="0"/>
    <x v="0"/>
    <x v="230"/>
    <x v="9"/>
    <x v="0"/>
    <n v="299560.21999999997"/>
    <n v="45695.62"/>
    <n v="253864.6"/>
    <s v="No"/>
    <s v="05ABCEFGHIJK1ZZ"/>
    <n v="0"/>
    <n v="0"/>
    <n v="0"/>
    <n v="0"/>
    <n v="22847.81"/>
    <n v="22847.81"/>
    <n v="0"/>
    <n v="0"/>
    <n v="0"/>
    <n v="0"/>
    <n v="22847.81"/>
    <n v="22847.81"/>
    <n v="0"/>
    <n v="0"/>
    <n v="0"/>
    <m/>
    <n v="0"/>
    <n v="45695.62"/>
    <n v="0"/>
    <n v="0"/>
    <n v="0"/>
    <n v="0"/>
    <n v="0"/>
    <n v="0"/>
    <n v="0"/>
    <n v="0"/>
    <n v="0"/>
    <x v="0"/>
  </r>
  <r>
    <s v="APD"/>
    <x v="3"/>
    <x v="122"/>
    <x v="0"/>
    <x v="0"/>
    <x v="0"/>
    <x v="4"/>
    <x v="0"/>
    <x v="0"/>
    <n v="39317.019999999997"/>
    <n v="5997.52"/>
    <n v="33319.5"/>
    <s v="No"/>
    <s v="05ABCEFGHIJK1ZV"/>
    <n v="0"/>
    <n v="0"/>
    <n v="0"/>
    <n v="0"/>
    <n v="2998.76"/>
    <n v="2998.76"/>
    <n v="0"/>
    <n v="0"/>
    <n v="0"/>
    <n v="0"/>
    <n v="2998.76"/>
    <n v="2998.76"/>
    <n v="0"/>
    <n v="0"/>
    <n v="0"/>
    <m/>
    <n v="0"/>
    <n v="5997.52"/>
    <n v="0"/>
    <n v="0"/>
    <n v="0"/>
    <n v="0"/>
    <n v="0"/>
    <n v="0"/>
    <n v="0"/>
    <n v="0"/>
    <n v="0"/>
    <x v="0"/>
  </r>
  <r>
    <s v="APD"/>
    <x v="3"/>
    <x v="123"/>
    <x v="0"/>
    <x v="0"/>
    <x v="0"/>
    <x v="231"/>
    <x v="14"/>
    <x v="0"/>
    <n v="17331.84"/>
    <n v="2643.84"/>
    <n v="14688"/>
    <s v="No"/>
    <s v="05ABCEFGHIJK1ZY"/>
    <n v="0"/>
    <n v="0"/>
    <n v="0"/>
    <n v="0"/>
    <n v="1321.92"/>
    <n v="1321.92"/>
    <n v="0"/>
    <n v="0"/>
    <n v="0"/>
    <n v="0"/>
    <n v="1321.92"/>
    <n v="1321.92"/>
    <n v="0"/>
    <n v="0"/>
    <n v="0"/>
    <m/>
    <n v="0"/>
    <n v="2643.84"/>
    <n v="0"/>
    <n v="0"/>
    <n v="0"/>
    <n v="0"/>
    <n v="0"/>
    <n v="0"/>
    <n v="0"/>
    <n v="0"/>
    <n v="0"/>
    <x v="0"/>
  </r>
  <r>
    <s v="APD"/>
    <x v="3"/>
    <x v="124"/>
    <x v="0"/>
    <x v="0"/>
    <x v="0"/>
    <x v="232"/>
    <x v="19"/>
    <x v="0"/>
    <n v="180241.8"/>
    <n v="27494"/>
    <n v="152747.79999999999"/>
    <s v="No"/>
    <s v="05ABCEFGHIJK1ZC"/>
    <n v="0"/>
    <n v="0"/>
    <n v="0"/>
    <n v="0"/>
    <n v="13747"/>
    <n v="13747"/>
    <n v="0"/>
    <n v="0"/>
    <n v="0"/>
    <n v="0"/>
    <n v="13747"/>
    <n v="13747"/>
    <n v="0"/>
    <n v="0"/>
    <n v="0"/>
    <m/>
    <n v="0"/>
    <n v="27494"/>
    <n v="0"/>
    <n v="0"/>
    <n v="0"/>
    <n v="0"/>
    <n v="0"/>
    <n v="0"/>
    <n v="0"/>
    <n v="0"/>
    <n v="0"/>
    <x v="0"/>
  </r>
  <r>
    <s v="APD"/>
    <x v="3"/>
    <x v="125"/>
    <x v="0"/>
    <x v="0"/>
    <x v="0"/>
    <x v="8"/>
    <x v="5"/>
    <x v="0"/>
    <n v="525367.28"/>
    <n v="80140.78"/>
    <n v="445226.5"/>
    <s v="No"/>
    <s v="05ABCEFGHIJK1Z8"/>
    <n v="0"/>
    <n v="0"/>
    <n v="0"/>
    <n v="0"/>
    <n v="40070.39"/>
    <n v="40070.39"/>
    <n v="0"/>
    <n v="0"/>
    <n v="0"/>
    <n v="0"/>
    <n v="40070.39"/>
    <n v="40070.39"/>
    <n v="0"/>
    <n v="0"/>
    <n v="0"/>
    <m/>
    <n v="0"/>
    <n v="80140.78"/>
    <n v="0"/>
    <n v="0"/>
    <n v="0"/>
    <n v="0"/>
    <n v="0"/>
    <n v="0"/>
    <n v="0"/>
    <n v="0"/>
    <n v="0"/>
    <x v="0"/>
  </r>
  <r>
    <s v="APD"/>
    <x v="3"/>
    <x v="126"/>
    <x v="0"/>
    <x v="0"/>
    <x v="0"/>
    <x v="233"/>
    <x v="5"/>
    <x v="0"/>
    <n v="490880.24"/>
    <n v="74880.039999999994"/>
    <n v="416000.2"/>
    <s v="No"/>
    <s v="05ABCEFGHIJK1Z8"/>
    <n v="0"/>
    <n v="0"/>
    <n v="0"/>
    <n v="0"/>
    <n v="37440.019999999997"/>
    <n v="37440.019999999997"/>
    <n v="0"/>
    <n v="0"/>
    <n v="0"/>
    <n v="0"/>
    <n v="37440.019999999997"/>
    <n v="37440.019999999997"/>
    <n v="0"/>
    <n v="0"/>
    <n v="0"/>
    <m/>
    <n v="0"/>
    <n v="74880.039999999994"/>
    <n v="0"/>
    <n v="0"/>
    <n v="0"/>
    <n v="0"/>
    <n v="0"/>
    <n v="0"/>
    <n v="0"/>
    <n v="0"/>
    <n v="0"/>
    <x v="0"/>
  </r>
  <r>
    <s v="APD"/>
    <x v="3"/>
    <x v="127"/>
    <x v="0"/>
    <x v="0"/>
    <x v="0"/>
    <x v="234"/>
    <x v="21"/>
    <x v="0"/>
    <n v="38341.24"/>
    <n v="5848"/>
    <n v="32493.24"/>
    <s v="No"/>
    <s v="05ABCEFGHIJK1ZR"/>
    <n v="0"/>
    <n v="0"/>
    <n v="0"/>
    <n v="0"/>
    <n v="2924"/>
    <n v="2924"/>
    <n v="0"/>
    <n v="0"/>
    <n v="0"/>
    <n v="0"/>
    <n v="2924"/>
    <n v="2924"/>
    <n v="0"/>
    <n v="0"/>
    <n v="0"/>
    <m/>
    <n v="0"/>
    <n v="5848"/>
    <n v="0"/>
    <n v="0"/>
    <n v="0"/>
    <n v="0"/>
    <n v="0"/>
    <n v="0"/>
    <n v="0"/>
    <n v="0"/>
    <n v="0"/>
    <x v="0"/>
  </r>
  <r>
    <s v="APD"/>
    <x v="3"/>
    <x v="128"/>
    <x v="0"/>
    <x v="0"/>
    <x v="0"/>
    <x v="235"/>
    <x v="21"/>
    <x v="0"/>
    <n v="245074.2"/>
    <n v="37384.199999999997"/>
    <n v="207690"/>
    <s v="No"/>
    <s v="05ABCEFGHIJK1ZZ"/>
    <n v="0"/>
    <n v="0"/>
    <n v="0"/>
    <n v="0"/>
    <n v="18692.099999999999"/>
    <n v="18692.099999999999"/>
    <n v="0"/>
    <n v="0"/>
    <n v="0"/>
    <n v="0"/>
    <n v="18692.099999999999"/>
    <n v="18692.099999999999"/>
    <n v="0"/>
    <n v="0"/>
    <n v="0"/>
    <m/>
    <n v="0"/>
    <n v="37384.199999999997"/>
    <n v="0"/>
    <n v="0"/>
    <n v="0"/>
    <n v="0"/>
    <n v="0"/>
    <n v="0"/>
    <n v="0"/>
    <n v="0"/>
    <n v="0"/>
    <x v="0"/>
  </r>
  <r>
    <s v="APD"/>
    <x v="3"/>
    <x v="129"/>
    <x v="0"/>
    <x v="0"/>
    <x v="0"/>
    <x v="236"/>
    <x v="5"/>
    <x v="0"/>
    <n v="349906"/>
    <n v="53375.5"/>
    <n v="296530.5"/>
    <s v="No"/>
    <s v="05ABCEFGHIJK1ZZ"/>
    <n v="0"/>
    <n v="0"/>
    <n v="0"/>
    <n v="0"/>
    <n v="26687.75"/>
    <n v="26687.75"/>
    <n v="0"/>
    <n v="0"/>
    <n v="0"/>
    <n v="0"/>
    <n v="26687.75"/>
    <n v="26687.75"/>
    <n v="0"/>
    <n v="0"/>
    <n v="0"/>
    <m/>
    <n v="0"/>
    <n v="53375.5"/>
    <n v="0"/>
    <n v="0"/>
    <n v="0"/>
    <n v="0"/>
    <n v="0"/>
    <n v="0"/>
    <n v="0"/>
    <n v="0"/>
    <n v="0"/>
    <x v="0"/>
  </r>
  <r>
    <s v="APD"/>
    <x v="3"/>
    <x v="130"/>
    <x v="0"/>
    <x v="0"/>
    <x v="0"/>
    <x v="237"/>
    <x v="5"/>
    <x v="0"/>
    <n v="18793.98"/>
    <n v="2866.88"/>
    <n v="15927.1"/>
    <s v="No"/>
    <s v="05ABCEFGHIJK1ZV"/>
    <n v="0"/>
    <n v="0"/>
    <n v="0"/>
    <n v="0"/>
    <n v="1433.44"/>
    <n v="1433.44"/>
    <n v="0"/>
    <n v="0"/>
    <n v="0"/>
    <n v="0"/>
    <n v="1433.44"/>
    <n v="1433.44"/>
    <n v="0"/>
    <n v="0"/>
    <n v="0"/>
    <m/>
    <n v="0"/>
    <n v="2866.88"/>
    <n v="0"/>
    <n v="0"/>
    <n v="0"/>
    <n v="0"/>
    <n v="0"/>
    <n v="0"/>
    <n v="0"/>
    <n v="0"/>
    <n v="0"/>
    <x v="0"/>
  </r>
  <r>
    <s v="APD"/>
    <x v="3"/>
    <x v="131"/>
    <x v="0"/>
    <x v="0"/>
    <x v="0"/>
    <x v="238"/>
    <x v="5"/>
    <x v="0"/>
    <n v="9915.26"/>
    <n v="1512.5"/>
    <n v="8402.76"/>
    <s v="No"/>
    <s v="05ABCEFGHIJK1ZV"/>
    <n v="0"/>
    <n v="0"/>
    <n v="0"/>
    <n v="0"/>
    <n v="756.25"/>
    <n v="756.25"/>
    <n v="0"/>
    <n v="0"/>
    <n v="0"/>
    <n v="0"/>
    <n v="756.25"/>
    <n v="756.25"/>
    <n v="0"/>
    <n v="0"/>
    <n v="0"/>
    <m/>
    <n v="0"/>
    <n v="1512.5"/>
    <n v="0"/>
    <n v="0"/>
    <n v="0"/>
    <n v="0"/>
    <n v="0"/>
    <n v="0"/>
    <n v="0"/>
    <n v="0"/>
    <n v="0"/>
    <x v="0"/>
  </r>
  <r>
    <s v="APD"/>
    <x v="3"/>
    <x v="132"/>
    <x v="0"/>
    <x v="0"/>
    <x v="0"/>
    <x v="239"/>
    <x v="26"/>
    <x v="0"/>
    <n v="211837.14"/>
    <n v="32314.14"/>
    <n v="179523"/>
    <s v="No"/>
    <s v="05ABCEFGHIJK1ZN"/>
    <n v="0"/>
    <n v="0"/>
    <n v="0"/>
    <n v="0"/>
    <n v="16157.07"/>
    <n v="16157.07"/>
    <n v="0"/>
    <n v="0"/>
    <n v="0"/>
    <n v="0"/>
    <n v="16157.07"/>
    <n v="16157.07"/>
    <n v="0"/>
    <n v="0"/>
    <n v="0"/>
    <m/>
    <n v="0"/>
    <n v="32314.14"/>
    <n v="0"/>
    <n v="0"/>
    <n v="0"/>
    <n v="0"/>
    <n v="0"/>
    <n v="0"/>
    <n v="0"/>
    <n v="0"/>
    <n v="0"/>
    <x v="3"/>
  </r>
  <r>
    <s v="APD"/>
    <x v="3"/>
    <x v="133"/>
    <x v="0"/>
    <x v="0"/>
    <x v="0"/>
    <x v="240"/>
    <x v="26"/>
    <x v="0"/>
    <n v="27548.99"/>
    <n v="4202.38"/>
    <n v="23346.61"/>
    <s v="No"/>
    <s v="05ABCEFGHIJK1ZV"/>
    <n v="0"/>
    <n v="0"/>
    <n v="0"/>
    <n v="0"/>
    <n v="2101.19"/>
    <n v="2101.19"/>
    <n v="0"/>
    <n v="0"/>
    <n v="0"/>
    <n v="0"/>
    <n v="2101.19"/>
    <n v="2101.19"/>
    <n v="0"/>
    <n v="0"/>
    <n v="0"/>
    <m/>
    <n v="0"/>
    <n v="4202.38"/>
    <n v="0"/>
    <n v="0"/>
    <n v="0"/>
    <n v="0"/>
    <n v="0"/>
    <n v="0"/>
    <n v="0"/>
    <n v="0"/>
    <n v="0"/>
    <x v="0"/>
  </r>
  <r>
    <s v="APD"/>
    <x v="3"/>
    <x v="134"/>
    <x v="0"/>
    <x v="0"/>
    <x v="0"/>
    <x v="25"/>
    <x v="26"/>
    <x v="0"/>
    <n v="250707.04"/>
    <n v="38242"/>
    <n v="212465.04"/>
    <s v="No"/>
    <s v="05ABCEFGHIJK1ZC"/>
    <n v="0"/>
    <n v="0"/>
    <n v="0"/>
    <n v="0"/>
    <n v="19121"/>
    <n v="19121"/>
    <n v="0"/>
    <n v="0"/>
    <n v="0"/>
    <n v="0"/>
    <n v="19121"/>
    <n v="19121"/>
    <n v="0"/>
    <n v="0"/>
    <n v="0"/>
    <m/>
    <n v="0"/>
    <n v="38242"/>
    <n v="0"/>
    <n v="0"/>
    <n v="0"/>
    <n v="0"/>
    <n v="0"/>
    <n v="0"/>
    <n v="0"/>
    <n v="0"/>
    <n v="0"/>
    <x v="0"/>
  </r>
  <r>
    <s v="APD"/>
    <x v="3"/>
    <x v="135"/>
    <x v="0"/>
    <x v="0"/>
    <x v="0"/>
    <x v="241"/>
    <x v="5"/>
    <x v="0"/>
    <n v="742926.4"/>
    <n v="113328"/>
    <n v="629598.4"/>
    <s v="No"/>
    <s v="05ABCEFGHIJK1ZR"/>
    <n v="0"/>
    <n v="0"/>
    <n v="0"/>
    <n v="0"/>
    <n v="56664"/>
    <n v="56664"/>
    <n v="0"/>
    <n v="0"/>
    <n v="0"/>
    <n v="0"/>
    <n v="56664"/>
    <n v="56664"/>
    <n v="0"/>
    <n v="0"/>
    <n v="0"/>
    <m/>
    <n v="0"/>
    <n v="113328"/>
    <n v="0"/>
    <n v="0"/>
    <n v="0"/>
    <n v="0"/>
    <n v="0"/>
    <n v="0"/>
    <n v="0"/>
    <n v="0"/>
    <n v="0"/>
    <x v="0"/>
  </r>
  <r>
    <s v="APD"/>
    <x v="3"/>
    <x v="136"/>
    <x v="0"/>
    <x v="0"/>
    <x v="0"/>
    <x v="242"/>
    <x v="2"/>
    <x v="0"/>
    <n v="862321.7"/>
    <n v="131540.6"/>
    <n v="730781.1"/>
    <s v="No"/>
    <s v="05ABCEFGHIJK1Z8"/>
    <n v="0"/>
    <n v="0"/>
    <n v="0"/>
    <n v="0"/>
    <n v="65770.3"/>
    <n v="65770.3"/>
    <n v="0"/>
    <n v="0"/>
    <n v="0"/>
    <n v="0"/>
    <n v="65770.3"/>
    <n v="65770.3"/>
    <n v="0"/>
    <n v="0"/>
    <n v="0"/>
    <m/>
    <n v="0"/>
    <n v="131540.6"/>
    <n v="0"/>
    <n v="0"/>
    <n v="0"/>
    <n v="0"/>
    <n v="0"/>
    <n v="0"/>
    <n v="0"/>
    <n v="0"/>
    <n v="0"/>
    <x v="0"/>
  </r>
  <r>
    <s v="APD"/>
    <x v="3"/>
    <x v="137"/>
    <x v="0"/>
    <x v="0"/>
    <x v="0"/>
    <x v="243"/>
    <x v="2"/>
    <x v="0"/>
    <n v="347648.54"/>
    <n v="53031.14"/>
    <n v="294617.40000000002"/>
    <s v="No"/>
    <s v="05ABCEFGHIJK1ZZ"/>
    <n v="0"/>
    <n v="0"/>
    <n v="0"/>
    <n v="0"/>
    <n v="26515.57"/>
    <n v="26515.57"/>
    <n v="0"/>
    <n v="0"/>
    <n v="0"/>
    <n v="0"/>
    <n v="26515.57"/>
    <n v="26515.57"/>
    <n v="0"/>
    <n v="0"/>
    <n v="0"/>
    <m/>
    <n v="0"/>
    <n v="53031.14"/>
    <n v="0"/>
    <n v="0"/>
    <n v="0"/>
    <n v="0"/>
    <n v="0"/>
    <n v="0"/>
    <n v="0"/>
    <n v="0"/>
    <n v="0"/>
    <x v="0"/>
  </r>
  <r>
    <s v="APD"/>
    <x v="3"/>
    <x v="138"/>
    <x v="0"/>
    <x v="0"/>
    <x v="0"/>
    <x v="244"/>
    <x v="21"/>
    <x v="0"/>
    <n v="51562.46"/>
    <n v="7865.46"/>
    <n v="43697"/>
    <s v="No"/>
    <s v="36ABCEFGHIJK1ZY"/>
    <n v="0"/>
    <n v="0"/>
    <n v="0"/>
    <n v="0"/>
    <n v="0"/>
    <n v="0"/>
    <n v="0"/>
    <n v="0"/>
    <n v="0"/>
    <n v="0"/>
    <n v="0"/>
    <n v="0"/>
    <n v="0"/>
    <n v="0"/>
    <n v="7865.46"/>
    <m/>
    <n v="7865.46"/>
    <n v="7865.46"/>
    <n v="0"/>
    <n v="0"/>
    <n v="0"/>
    <n v="0"/>
    <n v="0"/>
    <n v="0"/>
    <n v="0"/>
    <n v="0"/>
    <n v="0"/>
    <x v="1"/>
  </r>
  <r>
    <s v="APD"/>
    <x v="3"/>
    <x v="139"/>
    <x v="0"/>
    <x v="0"/>
    <x v="0"/>
    <x v="245"/>
    <x v="23"/>
    <x v="0"/>
    <n v="319732.8"/>
    <n v="48772.800000000003"/>
    <n v="270960"/>
    <s v="No"/>
    <s v="05ABCEFGHIJK1ZW"/>
    <n v="0"/>
    <n v="0"/>
    <n v="0"/>
    <n v="0"/>
    <n v="24386.400000000001"/>
    <n v="24386.400000000001"/>
    <n v="0"/>
    <n v="0"/>
    <n v="0"/>
    <n v="0"/>
    <n v="24386.400000000001"/>
    <n v="24386.400000000001"/>
    <n v="0"/>
    <n v="0"/>
    <n v="0"/>
    <m/>
    <n v="0"/>
    <n v="48772.800000000003"/>
    <n v="0"/>
    <n v="0"/>
    <n v="0"/>
    <n v="0"/>
    <n v="0"/>
    <n v="0"/>
    <n v="0"/>
    <n v="0"/>
    <n v="0"/>
    <x v="3"/>
  </r>
  <r>
    <s v="APD"/>
    <x v="3"/>
    <x v="140"/>
    <x v="15"/>
    <x v="0"/>
    <x v="0"/>
    <x v="246"/>
    <x v="23"/>
    <x v="0"/>
    <n v="13487.4"/>
    <n v="2057.4"/>
    <n v="11430"/>
    <s v="No"/>
    <s v="05ABCEFGHIJK1ZA"/>
    <n v="0"/>
    <n v="0"/>
    <n v="0"/>
    <n v="0"/>
    <n v="1028.7"/>
    <n v="1028.7"/>
    <n v="0"/>
    <n v="0"/>
    <n v="0"/>
    <n v="0"/>
    <n v="1028.7"/>
    <n v="1028.7"/>
    <n v="0"/>
    <n v="0"/>
    <n v="0"/>
    <m/>
    <n v="0"/>
    <n v="2057.4"/>
    <n v="0"/>
    <n v="0"/>
    <n v="0"/>
    <n v="0"/>
    <n v="0"/>
    <n v="0"/>
    <n v="0"/>
    <n v="0"/>
    <n v="0"/>
    <x v="0"/>
  </r>
  <r>
    <s v="APD"/>
    <x v="3"/>
    <x v="141"/>
    <x v="0"/>
    <x v="0"/>
    <x v="0"/>
    <x v="100"/>
    <x v="35"/>
    <x v="0"/>
    <n v="38290.33"/>
    <n v="5840.9"/>
    <n v="32449.43"/>
    <s v="No"/>
    <s v="05ABCEFGHIJK1ZV"/>
    <n v="0"/>
    <n v="0"/>
    <n v="0"/>
    <n v="0"/>
    <n v="2920.45"/>
    <n v="2920.45"/>
    <n v="0"/>
    <n v="0"/>
    <n v="0"/>
    <n v="0"/>
    <n v="2920.45"/>
    <n v="2920.45"/>
    <n v="0"/>
    <n v="0"/>
    <n v="0"/>
    <m/>
    <n v="0"/>
    <n v="5840.9"/>
    <n v="0"/>
    <n v="0"/>
    <n v="0"/>
    <n v="0"/>
    <n v="0"/>
    <n v="0"/>
    <n v="0"/>
    <n v="0"/>
    <n v="0"/>
    <x v="0"/>
  </r>
  <r>
    <s v="APD"/>
    <x v="3"/>
    <x v="142"/>
    <x v="0"/>
    <x v="0"/>
    <x v="0"/>
    <x v="247"/>
    <x v="22"/>
    <x v="0"/>
    <n v="412745.48"/>
    <n v="62961.18"/>
    <n v="349784.3"/>
    <s v="No"/>
    <s v="05ABCEFGHIJK1Z8"/>
    <n v="0"/>
    <n v="0"/>
    <n v="0"/>
    <n v="0"/>
    <n v="31480.59"/>
    <n v="31480.59"/>
    <n v="0"/>
    <n v="0"/>
    <n v="0"/>
    <n v="0"/>
    <n v="31480.59"/>
    <n v="31480.59"/>
    <n v="0"/>
    <n v="0"/>
    <n v="0"/>
    <m/>
    <n v="0"/>
    <n v="62961.18"/>
    <n v="0"/>
    <n v="0"/>
    <n v="0"/>
    <n v="0"/>
    <n v="0"/>
    <n v="0"/>
    <n v="0"/>
    <n v="0"/>
    <n v="0"/>
    <x v="0"/>
  </r>
  <r>
    <s v="APD"/>
    <x v="3"/>
    <x v="143"/>
    <x v="0"/>
    <x v="0"/>
    <x v="0"/>
    <x v="248"/>
    <x v="22"/>
    <x v="0"/>
    <n v="447138.7"/>
    <n v="68207.600000000006"/>
    <n v="378931.1"/>
    <s v="No"/>
    <s v="05ABCEFGHIJK1Z8"/>
    <n v="0"/>
    <n v="0"/>
    <n v="0"/>
    <n v="0"/>
    <n v="34103.800000000003"/>
    <n v="34103.800000000003"/>
    <n v="0"/>
    <n v="0"/>
    <n v="0"/>
    <n v="0"/>
    <n v="34103.800000000003"/>
    <n v="34103.800000000003"/>
    <n v="0"/>
    <n v="0"/>
    <n v="0"/>
    <m/>
    <n v="0"/>
    <n v="68207.600000000006"/>
    <n v="0"/>
    <n v="0"/>
    <n v="0"/>
    <n v="0"/>
    <n v="0"/>
    <n v="0"/>
    <n v="0"/>
    <n v="0"/>
    <n v="0"/>
    <x v="0"/>
  </r>
  <r>
    <s v="APD"/>
    <x v="3"/>
    <x v="144"/>
    <x v="0"/>
    <x v="0"/>
    <x v="0"/>
    <x v="249"/>
    <x v="6"/>
    <x v="0"/>
    <n v="19494.2"/>
    <n v="2973.7"/>
    <n v="16520.5"/>
    <s v="No"/>
    <s v="05ABCEFGHIJK1ZV"/>
    <n v="0"/>
    <n v="0"/>
    <n v="0"/>
    <n v="0"/>
    <n v="1486.85"/>
    <n v="1486.85"/>
    <n v="0"/>
    <n v="0"/>
    <n v="0"/>
    <n v="0"/>
    <n v="1486.85"/>
    <n v="1486.85"/>
    <n v="0"/>
    <n v="0"/>
    <n v="0"/>
    <m/>
    <n v="0"/>
    <n v="2973.7"/>
    <n v="0"/>
    <n v="0"/>
    <n v="0"/>
    <n v="0"/>
    <n v="0"/>
    <n v="0"/>
    <n v="0"/>
    <n v="0"/>
    <n v="0"/>
    <x v="0"/>
  </r>
  <r>
    <s v="APD"/>
    <x v="3"/>
    <x v="145"/>
    <x v="0"/>
    <x v="0"/>
    <x v="0"/>
    <x v="250"/>
    <x v="26"/>
    <x v="0"/>
    <n v="37382"/>
    <n v="5702"/>
    <n v="31680"/>
    <s v="No"/>
    <s v="36ABCEFGHIJK2Z9"/>
    <n v="0"/>
    <n v="0"/>
    <n v="0"/>
    <n v="0"/>
    <n v="0"/>
    <n v="0"/>
    <n v="0"/>
    <n v="0"/>
    <n v="0"/>
    <n v="0"/>
    <n v="0"/>
    <n v="0"/>
    <n v="0"/>
    <n v="0"/>
    <n v="5702"/>
    <m/>
    <n v="5702"/>
    <n v="5702"/>
    <n v="0"/>
    <n v="0"/>
    <n v="0"/>
    <n v="0"/>
    <n v="0"/>
    <n v="0"/>
    <n v="0"/>
    <n v="0"/>
    <n v="0"/>
    <x v="1"/>
  </r>
  <r>
    <s v="APD"/>
    <x v="3"/>
    <x v="146"/>
    <x v="0"/>
    <x v="0"/>
    <x v="0"/>
    <x v="162"/>
    <x v="6"/>
    <x v="0"/>
    <n v="98412"/>
    <n v="15012"/>
    <n v="83400"/>
    <s v="No"/>
    <s v="05ABCEFGHIJK2ZL"/>
    <n v="0"/>
    <n v="0"/>
    <n v="0"/>
    <n v="0"/>
    <n v="7506"/>
    <n v="7506"/>
    <n v="0"/>
    <n v="0"/>
    <n v="0"/>
    <n v="0"/>
    <n v="7506"/>
    <n v="7506"/>
    <n v="0"/>
    <n v="0"/>
    <n v="0"/>
    <m/>
    <n v="0"/>
    <n v="15012"/>
    <n v="0"/>
    <n v="0"/>
    <n v="0"/>
    <n v="0"/>
    <n v="0"/>
    <n v="0"/>
    <n v="0"/>
    <n v="0"/>
    <n v="0"/>
    <x v="0"/>
  </r>
  <r>
    <s v="APD"/>
    <x v="3"/>
    <x v="147"/>
    <x v="0"/>
    <x v="0"/>
    <x v="0"/>
    <x v="4"/>
    <x v="6"/>
    <x v="0"/>
    <n v="219557.1"/>
    <n v="33492"/>
    <n v="186065.1"/>
    <s v="No"/>
    <s v="05ABCEFGHIJK1ZC"/>
    <n v="0"/>
    <n v="0"/>
    <n v="0"/>
    <n v="0"/>
    <n v="16746"/>
    <n v="16746"/>
    <n v="0"/>
    <n v="0"/>
    <n v="0"/>
    <n v="0"/>
    <n v="16746"/>
    <n v="16746"/>
    <n v="0"/>
    <n v="0"/>
    <n v="0"/>
    <m/>
    <n v="0"/>
    <n v="33492"/>
    <n v="0"/>
    <n v="0"/>
    <n v="0"/>
    <n v="0"/>
    <n v="0"/>
    <n v="0"/>
    <n v="0"/>
    <n v="0"/>
    <n v="0"/>
    <x v="0"/>
  </r>
  <r>
    <s v="APD"/>
    <x v="3"/>
    <x v="148"/>
    <x v="0"/>
    <x v="0"/>
    <x v="0"/>
    <x v="251"/>
    <x v="6"/>
    <x v="0"/>
    <n v="1068845.3600000001"/>
    <n v="163044"/>
    <n v="905801.35499999998"/>
    <s v="No"/>
    <s v="05ABCEFGHIJK1ZR"/>
    <n v="0"/>
    <n v="0"/>
    <n v="0"/>
    <n v="0"/>
    <n v="81522"/>
    <n v="81522"/>
    <n v="0"/>
    <n v="0"/>
    <n v="0"/>
    <n v="0"/>
    <n v="81522"/>
    <n v="81522"/>
    <n v="0"/>
    <n v="0"/>
    <n v="0"/>
    <m/>
    <n v="0"/>
    <n v="163044"/>
    <n v="0"/>
    <n v="0"/>
    <n v="0"/>
    <n v="0"/>
    <n v="0"/>
    <n v="0"/>
    <n v="0"/>
    <n v="0"/>
    <n v="0"/>
    <x v="0"/>
  </r>
  <r>
    <s v="APD"/>
    <x v="3"/>
    <x v="149"/>
    <x v="0"/>
    <x v="0"/>
    <x v="0"/>
    <x v="252"/>
    <x v="6"/>
    <x v="0"/>
    <n v="108642.6"/>
    <n v="16572.599999999999"/>
    <n v="92070"/>
    <s v="No"/>
    <s v="05ABCEFGHIJK1ZP"/>
    <n v="0"/>
    <n v="0"/>
    <n v="0"/>
    <n v="0"/>
    <n v="8286.2999999999993"/>
    <n v="8286.2999999999993"/>
    <n v="0"/>
    <n v="0"/>
    <n v="0"/>
    <n v="0"/>
    <n v="8286.2999999999993"/>
    <n v="8286.2999999999993"/>
    <n v="0"/>
    <n v="0"/>
    <n v="0"/>
    <m/>
    <n v="0"/>
    <n v="16572.599999999999"/>
    <n v="0"/>
    <n v="0"/>
    <n v="0"/>
    <n v="0"/>
    <n v="0"/>
    <n v="0"/>
    <n v="0"/>
    <n v="0"/>
    <n v="0"/>
    <x v="0"/>
  </r>
  <r>
    <s v="APD"/>
    <x v="3"/>
    <x v="150"/>
    <x v="0"/>
    <x v="0"/>
    <x v="0"/>
    <x v="253"/>
    <x v="6"/>
    <x v="0"/>
    <n v="108642.6"/>
    <n v="16572.599999999999"/>
    <n v="92070"/>
    <s v="No"/>
    <s v="05ABCEFGHIJK1ZP"/>
    <n v="0"/>
    <n v="0"/>
    <n v="0"/>
    <n v="0"/>
    <n v="8286.2999999999993"/>
    <n v="8286.2999999999993"/>
    <n v="0"/>
    <n v="0"/>
    <n v="0"/>
    <n v="0"/>
    <n v="8286.2999999999993"/>
    <n v="8286.2999999999993"/>
    <n v="0"/>
    <n v="0"/>
    <n v="0"/>
    <m/>
    <n v="0"/>
    <n v="16572.599999999999"/>
    <n v="0"/>
    <n v="0"/>
    <n v="0"/>
    <n v="0"/>
    <n v="0"/>
    <n v="0"/>
    <n v="0"/>
    <n v="0"/>
    <n v="0"/>
    <x v="0"/>
  </r>
  <r>
    <s v="APD"/>
    <x v="3"/>
    <x v="151"/>
    <x v="0"/>
    <x v="0"/>
    <x v="0"/>
    <x v="254"/>
    <x v="24"/>
    <x v="0"/>
    <n v="34019.56"/>
    <n v="5189.42"/>
    <n v="28830.14"/>
    <s v="No"/>
    <s v="05ABCEFGHIJK1ZV"/>
    <n v="0"/>
    <n v="0"/>
    <n v="0"/>
    <n v="0"/>
    <n v="2594.71"/>
    <n v="2594.71"/>
    <n v="0"/>
    <n v="0"/>
    <n v="0"/>
    <n v="0"/>
    <n v="2594.71"/>
    <n v="2594.71"/>
    <n v="0"/>
    <n v="0"/>
    <n v="0"/>
    <m/>
    <n v="0"/>
    <n v="5189.42"/>
    <n v="0"/>
    <n v="0"/>
    <n v="0"/>
    <n v="0"/>
    <n v="0"/>
    <n v="0"/>
    <n v="0"/>
    <n v="0"/>
    <n v="0"/>
    <x v="0"/>
  </r>
  <r>
    <s v="APD"/>
    <x v="3"/>
    <x v="152"/>
    <x v="0"/>
    <x v="0"/>
    <x v="0"/>
    <x v="255"/>
    <x v="6"/>
    <x v="0"/>
    <n v="349906"/>
    <n v="53375.5"/>
    <n v="296530.5"/>
    <s v="No"/>
    <s v="05ABCEFGHIJK1ZZ"/>
    <n v="0"/>
    <n v="0"/>
    <n v="0"/>
    <n v="0"/>
    <n v="26687.75"/>
    <n v="26687.75"/>
    <n v="0"/>
    <n v="0"/>
    <n v="0"/>
    <n v="0"/>
    <n v="26687.75"/>
    <n v="26687.75"/>
    <n v="0"/>
    <n v="0"/>
    <n v="0"/>
    <m/>
    <n v="0"/>
    <n v="53375.5"/>
    <n v="0"/>
    <n v="0"/>
    <n v="0"/>
    <n v="0"/>
    <n v="0"/>
    <n v="0"/>
    <n v="0"/>
    <n v="0"/>
    <n v="0"/>
    <x v="0"/>
  </r>
  <r>
    <s v="APD"/>
    <x v="3"/>
    <x v="153"/>
    <x v="0"/>
    <x v="0"/>
    <x v="0"/>
    <x v="256"/>
    <x v="35"/>
    <x v="0"/>
    <n v="1419902.35"/>
    <n v="216595"/>
    <n v="1203307.3470000001"/>
    <s v="No"/>
    <s v="02ABCEFGHIJK1ZI"/>
    <n v="0"/>
    <n v="0"/>
    <n v="0"/>
    <n v="0"/>
    <n v="0"/>
    <n v="0"/>
    <n v="0"/>
    <n v="0"/>
    <n v="0"/>
    <n v="0"/>
    <n v="0"/>
    <n v="0"/>
    <n v="0"/>
    <n v="0"/>
    <n v="216595"/>
    <m/>
    <n v="216595"/>
    <n v="216595"/>
    <n v="0"/>
    <n v="0"/>
    <n v="0"/>
    <n v="0"/>
    <n v="0"/>
    <n v="0"/>
    <n v="0"/>
    <n v="0"/>
    <n v="0"/>
    <x v="1"/>
  </r>
  <r>
    <s v="APD"/>
    <x v="3"/>
    <x v="154"/>
    <x v="0"/>
    <x v="0"/>
    <x v="0"/>
    <x v="257"/>
    <x v="32"/>
    <x v="0"/>
    <n v="3681505.6"/>
    <n v="561585.6"/>
    <n v="3119920"/>
    <s v="No"/>
    <s v="24ABCEFGHIJK1ZH"/>
    <n v="0"/>
    <n v="0"/>
    <n v="0"/>
    <n v="0"/>
    <n v="0"/>
    <n v="0"/>
    <n v="0"/>
    <n v="0"/>
    <n v="0"/>
    <n v="0"/>
    <n v="0"/>
    <n v="0"/>
    <n v="0"/>
    <n v="0"/>
    <n v="561585.6"/>
    <m/>
    <n v="561585.6"/>
    <n v="561585.6"/>
    <n v="0"/>
    <n v="0"/>
    <n v="0"/>
    <n v="0"/>
    <n v="0"/>
    <n v="0"/>
    <n v="0"/>
    <n v="0"/>
    <n v="0"/>
    <x v="1"/>
  </r>
  <r>
    <s v="APD"/>
    <x v="3"/>
    <x v="155"/>
    <x v="0"/>
    <x v="0"/>
    <x v="0"/>
    <x v="258"/>
    <x v="10"/>
    <x v="0"/>
    <n v="4520764.08"/>
    <n v="689608.08"/>
    <n v="3831156"/>
    <s v="No"/>
    <s v="24ABCEFGHIJK1ZH"/>
    <n v="0"/>
    <n v="0"/>
    <n v="0"/>
    <n v="0"/>
    <n v="0"/>
    <n v="0"/>
    <n v="0"/>
    <n v="0"/>
    <n v="0"/>
    <n v="0"/>
    <n v="0"/>
    <n v="0"/>
    <n v="0"/>
    <n v="0"/>
    <n v="689608.08"/>
    <m/>
    <n v="689608.08"/>
    <n v="689608.08"/>
    <n v="0"/>
    <n v="0"/>
    <n v="0"/>
    <n v="0"/>
    <n v="0"/>
    <n v="0"/>
    <n v="0"/>
    <n v="0"/>
    <n v="0"/>
    <x v="1"/>
  </r>
  <r>
    <s v="APD"/>
    <x v="3"/>
    <x v="156"/>
    <x v="0"/>
    <x v="0"/>
    <x v="0"/>
    <x v="259"/>
    <x v="3"/>
    <x v="0"/>
    <n v="26550"/>
    <n v="4050"/>
    <n v="22500"/>
    <s v="No"/>
    <s v="33ABCEFGHIJK2ZJ"/>
    <n v="0"/>
    <n v="0"/>
    <n v="0"/>
    <n v="0"/>
    <n v="0"/>
    <n v="0"/>
    <n v="0"/>
    <n v="0"/>
    <n v="0"/>
    <n v="0"/>
    <n v="0"/>
    <n v="0"/>
    <n v="0"/>
    <n v="0"/>
    <n v="4050"/>
    <m/>
    <n v="4050"/>
    <n v="4050"/>
    <n v="0"/>
    <n v="0"/>
    <n v="0"/>
    <n v="0"/>
    <n v="0"/>
    <n v="0"/>
    <n v="0"/>
    <n v="0"/>
    <n v="0"/>
    <x v="1"/>
  </r>
  <r>
    <s v="APD"/>
    <x v="3"/>
    <x v="157"/>
    <x v="0"/>
    <x v="0"/>
    <x v="0"/>
    <x v="260"/>
    <x v="17"/>
    <x v="0"/>
    <n v="2939366.78"/>
    <n v="448377.98"/>
    <n v="2490988.7999999998"/>
    <s v="No"/>
    <s v="24ABCEFGHIJK1Z9"/>
    <n v="0"/>
    <n v="0"/>
    <n v="0"/>
    <n v="0"/>
    <n v="0"/>
    <n v="0"/>
    <n v="0"/>
    <n v="0"/>
    <n v="0"/>
    <n v="0"/>
    <n v="0"/>
    <n v="0"/>
    <n v="0"/>
    <n v="0"/>
    <n v="448377.98"/>
    <m/>
    <n v="448377.98"/>
    <n v="448377.98"/>
    <n v="0"/>
    <n v="0"/>
    <n v="0"/>
    <n v="0"/>
    <n v="0"/>
    <n v="0"/>
    <n v="0"/>
    <n v="0"/>
    <n v="0"/>
    <x v="1"/>
  </r>
  <r>
    <s v="APD"/>
    <x v="3"/>
    <x v="158"/>
    <x v="0"/>
    <x v="0"/>
    <x v="0"/>
    <x v="261"/>
    <x v="14"/>
    <x v="0"/>
    <n v="173755"/>
    <n v="26505"/>
    <n v="147250"/>
    <s v="No"/>
    <s v="24ABCEFGHIJK1ZS"/>
    <n v="0"/>
    <n v="0"/>
    <n v="0"/>
    <n v="0"/>
    <n v="0"/>
    <n v="0"/>
    <n v="0"/>
    <n v="0"/>
    <n v="0"/>
    <n v="0"/>
    <n v="0"/>
    <n v="0"/>
    <n v="0"/>
    <n v="0"/>
    <n v="26505"/>
    <m/>
    <n v="26505"/>
    <n v="26505"/>
    <n v="0"/>
    <n v="0"/>
    <n v="0"/>
    <n v="0"/>
    <n v="0"/>
    <n v="0"/>
    <n v="0"/>
    <n v="0"/>
    <n v="0"/>
    <x v="1"/>
  </r>
  <r>
    <s v="APD"/>
    <x v="3"/>
    <x v="159"/>
    <x v="0"/>
    <x v="0"/>
    <x v="0"/>
    <x v="262"/>
    <x v="14"/>
    <x v="0"/>
    <n v="59000"/>
    <n v="9000"/>
    <n v="50000"/>
    <s v="No"/>
    <s v="29ABCEFGHIJK1ZT"/>
    <n v="0"/>
    <n v="0"/>
    <n v="0"/>
    <n v="0"/>
    <n v="0"/>
    <n v="0"/>
    <n v="0"/>
    <n v="0"/>
    <n v="0"/>
    <n v="0"/>
    <n v="0"/>
    <n v="0"/>
    <n v="0"/>
    <n v="0"/>
    <n v="9000"/>
    <m/>
    <n v="9000"/>
    <n v="9000"/>
    <n v="0"/>
    <n v="0"/>
    <n v="0"/>
    <n v="0"/>
    <n v="0"/>
    <n v="0"/>
    <n v="0"/>
    <n v="0"/>
    <n v="0"/>
    <x v="1"/>
  </r>
  <r>
    <s v="APD"/>
    <x v="3"/>
    <x v="160"/>
    <x v="0"/>
    <x v="0"/>
    <x v="0"/>
    <x v="263"/>
    <x v="5"/>
    <x v="0"/>
    <n v="77880"/>
    <n v="11880"/>
    <n v="66000"/>
    <s v="No"/>
    <s v="02ABCEFGHIJK1ZA"/>
    <n v="0"/>
    <n v="0"/>
    <n v="0"/>
    <n v="0"/>
    <n v="0"/>
    <n v="0"/>
    <n v="0"/>
    <n v="0"/>
    <n v="0"/>
    <n v="0"/>
    <n v="0"/>
    <n v="0"/>
    <n v="0"/>
    <n v="0"/>
    <n v="11880"/>
    <m/>
    <n v="11880"/>
    <n v="11880"/>
    <n v="0"/>
    <n v="0"/>
    <n v="0"/>
    <n v="0"/>
    <n v="0"/>
    <n v="0"/>
    <n v="0"/>
    <n v="0"/>
    <n v="0"/>
    <x v="1"/>
  </r>
  <r>
    <s v="APD"/>
    <x v="3"/>
    <x v="161"/>
    <x v="0"/>
    <x v="0"/>
    <x v="0"/>
    <x v="264"/>
    <x v="2"/>
    <x v="0"/>
    <n v="204789"/>
    <n v="31239"/>
    <n v="173550"/>
    <s v="No"/>
    <s v="09ABCEFGHIJK1Z1"/>
    <n v="0"/>
    <n v="0"/>
    <n v="0"/>
    <n v="0"/>
    <n v="0"/>
    <n v="0"/>
    <n v="0"/>
    <n v="0"/>
    <n v="0"/>
    <n v="0"/>
    <n v="0"/>
    <n v="0"/>
    <n v="0"/>
    <n v="0"/>
    <n v="31239"/>
    <m/>
    <n v="31239"/>
    <n v="31239"/>
    <n v="0"/>
    <n v="0"/>
    <n v="0"/>
    <n v="0"/>
    <n v="0"/>
    <n v="0"/>
    <n v="0"/>
    <n v="0"/>
    <n v="0"/>
    <x v="1"/>
  </r>
  <r>
    <s v="APD"/>
    <x v="3"/>
    <x v="162"/>
    <x v="0"/>
    <x v="0"/>
    <x v="0"/>
    <x v="265"/>
    <x v="5"/>
    <x v="0"/>
    <n v="133576"/>
    <n v="20376"/>
    <n v="113200"/>
    <s v="No"/>
    <s v="27ABCEFGHIJK1ZU"/>
    <n v="0"/>
    <n v="0"/>
    <n v="0"/>
    <n v="0"/>
    <n v="0"/>
    <n v="0"/>
    <n v="0"/>
    <n v="0"/>
    <n v="0"/>
    <n v="0"/>
    <n v="0"/>
    <n v="0"/>
    <n v="0"/>
    <n v="0"/>
    <n v="20376"/>
    <m/>
    <n v="20376"/>
    <n v="20376"/>
    <n v="0"/>
    <n v="0"/>
    <n v="0"/>
    <n v="0"/>
    <n v="0"/>
    <n v="0"/>
    <n v="0"/>
    <n v="0"/>
    <n v="0"/>
    <x v="1"/>
  </r>
  <r>
    <s v="APD"/>
    <x v="3"/>
    <x v="163"/>
    <x v="0"/>
    <x v="0"/>
    <x v="0"/>
    <x v="266"/>
    <x v="21"/>
    <x v="0"/>
    <n v="13098"/>
    <n v="1998"/>
    <n v="11100"/>
    <s v="No"/>
    <s v="27ABCEFGHIJK1Z1"/>
    <n v="0"/>
    <n v="0"/>
    <n v="0"/>
    <n v="0"/>
    <n v="0"/>
    <n v="0"/>
    <n v="0"/>
    <n v="0"/>
    <n v="0"/>
    <n v="0"/>
    <n v="0"/>
    <n v="0"/>
    <n v="0"/>
    <n v="0"/>
    <n v="1998"/>
    <m/>
    <n v="1998"/>
    <n v="1998"/>
    <n v="0"/>
    <n v="0"/>
    <n v="0"/>
    <n v="0"/>
    <n v="0"/>
    <n v="0"/>
    <n v="0"/>
    <n v="0"/>
    <n v="0"/>
    <x v="1"/>
  </r>
  <r>
    <s v="APD"/>
    <x v="3"/>
    <x v="164"/>
    <x v="0"/>
    <x v="0"/>
    <x v="0"/>
    <x v="267"/>
    <x v="21"/>
    <x v="0"/>
    <n v="65490"/>
    <n v="9990"/>
    <n v="55500"/>
    <s v="No"/>
    <s v="27ABCEFGHIJK1Z1"/>
    <n v="0"/>
    <n v="0"/>
    <n v="0"/>
    <n v="0"/>
    <n v="0"/>
    <n v="0"/>
    <n v="0"/>
    <n v="0"/>
    <n v="0"/>
    <n v="0"/>
    <n v="0"/>
    <n v="0"/>
    <n v="0"/>
    <n v="0"/>
    <n v="9990"/>
    <m/>
    <n v="9990"/>
    <n v="9990"/>
    <n v="0"/>
    <n v="0"/>
    <n v="0"/>
    <n v="0"/>
    <n v="0"/>
    <n v="0"/>
    <n v="0"/>
    <n v="0"/>
    <n v="0"/>
    <x v="1"/>
  </r>
  <r>
    <s v="APD"/>
    <x v="3"/>
    <x v="165"/>
    <x v="0"/>
    <x v="0"/>
    <x v="0"/>
    <x v="268"/>
    <x v="22"/>
    <x v="0"/>
    <n v="338470.8"/>
    <n v="36914"/>
    <n v="301556.8"/>
    <s v="No"/>
    <s v="05ABCEFGHIJK1ZB"/>
    <n v="0"/>
    <n v="0"/>
    <n v="0"/>
    <n v="17365"/>
    <n v="1092"/>
    <n v="18457"/>
    <n v="0"/>
    <n v="0"/>
    <n v="0"/>
    <n v="17365"/>
    <n v="1092"/>
    <n v="18457"/>
    <n v="0"/>
    <n v="0"/>
    <n v="0"/>
    <m/>
    <n v="0"/>
    <n v="36914"/>
    <n v="0"/>
    <n v="0"/>
    <n v="0"/>
    <n v="0"/>
    <n v="0"/>
    <n v="0"/>
    <n v="0"/>
    <n v="0"/>
    <n v="0"/>
    <x v="0"/>
  </r>
  <r>
    <s v="APD"/>
    <x v="3"/>
    <x v="166"/>
    <x v="0"/>
    <x v="0"/>
    <x v="0"/>
    <x v="269"/>
    <x v="15"/>
    <x v="0"/>
    <n v="283938"/>
    <n v="43313"/>
    <n v="240625"/>
    <s v="No"/>
    <s v="27ABCEFGHIJK1ZC"/>
    <n v="0"/>
    <n v="0"/>
    <n v="0"/>
    <n v="0"/>
    <n v="0"/>
    <n v="0"/>
    <n v="0"/>
    <n v="0"/>
    <n v="0"/>
    <n v="0"/>
    <n v="0"/>
    <n v="0"/>
    <n v="0"/>
    <n v="0"/>
    <n v="43313"/>
    <m/>
    <n v="43313"/>
    <n v="43313"/>
    <n v="0"/>
    <n v="0"/>
    <n v="0"/>
    <n v="0"/>
    <n v="0"/>
    <n v="0"/>
    <n v="0"/>
    <n v="0"/>
    <n v="0"/>
    <x v="1"/>
  </r>
  <r>
    <s v="APD"/>
    <x v="3"/>
    <x v="167"/>
    <x v="0"/>
    <x v="0"/>
    <x v="0"/>
    <x v="270"/>
    <x v="21"/>
    <x v="0"/>
    <n v="1040760"/>
    <n v="158760"/>
    <n v="882000"/>
    <s v="No"/>
    <s v="27ABCEFGHIJK1ZL"/>
    <n v="0"/>
    <n v="0"/>
    <n v="0"/>
    <n v="0"/>
    <n v="0"/>
    <n v="0"/>
    <n v="0"/>
    <n v="0"/>
    <n v="0"/>
    <n v="0"/>
    <n v="0"/>
    <n v="0"/>
    <n v="0"/>
    <n v="0"/>
    <n v="158760"/>
    <m/>
    <n v="158760"/>
    <n v="158760"/>
    <n v="0"/>
    <n v="0"/>
    <n v="0"/>
    <n v="0"/>
    <n v="0"/>
    <n v="0"/>
    <n v="0"/>
    <n v="0"/>
    <n v="0"/>
    <x v="1"/>
  </r>
  <r>
    <s v="APD"/>
    <x v="3"/>
    <x v="168"/>
    <x v="0"/>
    <x v="0"/>
    <x v="0"/>
    <x v="271"/>
    <x v="18"/>
    <x v="0"/>
    <n v="187177.5"/>
    <n v="28552.5"/>
    <n v="158625"/>
    <s v="No"/>
    <s v="27ABCEFGHIJK1ZM"/>
    <n v="0"/>
    <n v="0"/>
    <n v="0"/>
    <n v="0"/>
    <n v="0"/>
    <n v="0"/>
    <n v="0"/>
    <n v="0"/>
    <n v="0"/>
    <n v="0"/>
    <n v="0"/>
    <n v="0"/>
    <n v="0"/>
    <n v="0"/>
    <n v="28552.5"/>
    <m/>
    <n v="28552.5"/>
    <n v="28552.5"/>
    <n v="0"/>
    <n v="0"/>
    <n v="0"/>
    <n v="0"/>
    <n v="0"/>
    <n v="0"/>
    <n v="0"/>
    <n v="0"/>
    <n v="0"/>
    <x v="1"/>
  </r>
  <r>
    <s v="APD"/>
    <x v="3"/>
    <x v="169"/>
    <x v="0"/>
    <x v="0"/>
    <x v="0"/>
    <x v="272"/>
    <x v="3"/>
    <x v="0"/>
    <n v="1128670"/>
    <n v="172170"/>
    <n v="956500"/>
    <s v="No"/>
    <s v="34ABCEFGHIJK1Z4"/>
    <n v="0"/>
    <n v="0"/>
    <n v="0"/>
    <n v="0"/>
    <n v="0"/>
    <n v="0"/>
    <n v="0"/>
    <n v="0"/>
    <n v="0"/>
    <n v="0"/>
    <n v="0"/>
    <n v="0"/>
    <n v="0"/>
    <n v="0"/>
    <n v="172170"/>
    <m/>
    <n v="172170"/>
    <n v="172170"/>
    <n v="0"/>
    <n v="0"/>
    <n v="0"/>
    <n v="0"/>
    <n v="0"/>
    <n v="0"/>
    <n v="0"/>
    <n v="0"/>
    <n v="0"/>
    <x v="1"/>
  </r>
  <r>
    <s v="APD"/>
    <x v="3"/>
    <x v="170"/>
    <x v="0"/>
    <x v="0"/>
    <x v="0"/>
    <x v="273"/>
    <x v="15"/>
    <x v="0"/>
    <n v="327568"/>
    <n v="49968"/>
    <n v="277600"/>
    <s v="No"/>
    <s v="27ABCEFGHIJK1ZC"/>
    <n v="0"/>
    <n v="0"/>
    <n v="0"/>
    <n v="0"/>
    <n v="0"/>
    <n v="0"/>
    <n v="0"/>
    <n v="0"/>
    <n v="0"/>
    <n v="0"/>
    <n v="0"/>
    <n v="0"/>
    <n v="0"/>
    <n v="0"/>
    <n v="49968"/>
    <m/>
    <n v="49968"/>
    <n v="49968"/>
    <n v="0"/>
    <n v="0"/>
    <n v="0"/>
    <n v="0"/>
    <n v="0"/>
    <n v="0"/>
    <n v="0"/>
    <n v="0"/>
    <n v="0"/>
    <x v="1"/>
  </r>
  <r>
    <s v="APD"/>
    <x v="3"/>
    <x v="171"/>
    <x v="0"/>
    <x v="0"/>
    <x v="0"/>
    <x v="274"/>
    <x v="15"/>
    <x v="0"/>
    <n v="128620"/>
    <n v="19620"/>
    <n v="109000"/>
    <s v="No"/>
    <s v="27ABCEFGHIJK1ZT"/>
    <n v="0"/>
    <n v="0"/>
    <n v="0"/>
    <n v="0"/>
    <n v="0"/>
    <n v="0"/>
    <n v="0"/>
    <n v="0"/>
    <n v="0"/>
    <n v="0"/>
    <n v="0"/>
    <n v="0"/>
    <n v="0"/>
    <n v="0"/>
    <n v="19620"/>
    <m/>
    <n v="19620"/>
    <n v="19620"/>
    <n v="0"/>
    <n v="0"/>
    <n v="0"/>
    <n v="0"/>
    <n v="0"/>
    <n v="0"/>
    <n v="0"/>
    <n v="0"/>
    <n v="0"/>
    <x v="1"/>
  </r>
  <r>
    <s v="APD"/>
    <x v="3"/>
    <x v="172"/>
    <x v="0"/>
    <x v="0"/>
    <x v="0"/>
    <x v="275"/>
    <x v="22"/>
    <x v="0"/>
    <n v="11210"/>
    <n v="1710"/>
    <n v="9500"/>
    <s v="No"/>
    <s v="07ABCEFGHIJK1Z5"/>
    <n v="0"/>
    <n v="0"/>
    <n v="0"/>
    <n v="0"/>
    <n v="0"/>
    <n v="0"/>
    <n v="0"/>
    <n v="0"/>
    <n v="0"/>
    <n v="0"/>
    <n v="0"/>
    <n v="0"/>
    <n v="0"/>
    <n v="0"/>
    <n v="1710"/>
    <m/>
    <n v="1710"/>
    <n v="1710"/>
    <n v="0"/>
    <n v="0"/>
    <n v="0"/>
    <n v="0"/>
    <n v="0"/>
    <n v="0"/>
    <n v="0"/>
    <n v="0"/>
    <n v="0"/>
    <x v="2"/>
  </r>
  <r>
    <s v="APD"/>
    <x v="3"/>
    <x v="173"/>
    <x v="0"/>
    <x v="0"/>
    <x v="0"/>
    <x v="276"/>
    <x v="20"/>
    <x v="0"/>
    <n v="179903"/>
    <n v="27443"/>
    <n v="152460"/>
    <s v="No"/>
    <s v="27ABCEFGHIJK1Z7"/>
    <n v="0"/>
    <n v="0"/>
    <n v="0"/>
    <n v="0"/>
    <n v="0"/>
    <n v="0"/>
    <n v="0"/>
    <n v="0"/>
    <n v="0"/>
    <n v="0"/>
    <n v="0"/>
    <n v="0"/>
    <n v="0"/>
    <n v="0"/>
    <n v="27443"/>
    <m/>
    <n v="27443"/>
    <n v="27443"/>
    <n v="0"/>
    <n v="0"/>
    <n v="0"/>
    <n v="0"/>
    <n v="0"/>
    <n v="0"/>
    <n v="0"/>
    <n v="0"/>
    <n v="0"/>
    <x v="1"/>
  </r>
  <r>
    <s v="APD"/>
    <x v="3"/>
    <x v="174"/>
    <x v="0"/>
    <x v="0"/>
    <x v="0"/>
    <x v="277"/>
    <x v="23"/>
    <x v="0"/>
    <n v="20414"/>
    <n v="3114"/>
    <n v="17300"/>
    <s v="No"/>
    <s v="07ABCEFGHIJK1Z5"/>
    <n v="0"/>
    <n v="0"/>
    <n v="0"/>
    <n v="0"/>
    <n v="0"/>
    <n v="0"/>
    <n v="0"/>
    <n v="0"/>
    <n v="0"/>
    <n v="0"/>
    <n v="0"/>
    <n v="0"/>
    <n v="0"/>
    <n v="0"/>
    <n v="3114"/>
    <m/>
    <n v="3114"/>
    <n v="3114"/>
    <n v="0"/>
    <n v="0"/>
    <n v="0"/>
    <n v="0"/>
    <n v="0"/>
    <n v="0"/>
    <n v="0"/>
    <n v="0"/>
    <n v="0"/>
    <x v="2"/>
  </r>
  <r>
    <s v="APD"/>
    <x v="3"/>
    <x v="175"/>
    <x v="0"/>
    <x v="0"/>
    <x v="0"/>
    <x v="278"/>
    <x v="5"/>
    <x v="0"/>
    <n v="34957.5"/>
    <n v="5332.5"/>
    <n v="29625"/>
    <s v="No"/>
    <s v="33ABCEFGHIJK1ZE"/>
    <n v="0"/>
    <n v="0"/>
    <n v="0"/>
    <n v="0"/>
    <n v="0"/>
    <n v="0"/>
    <n v="0"/>
    <n v="0"/>
    <n v="0"/>
    <n v="0"/>
    <n v="0"/>
    <n v="0"/>
    <n v="0"/>
    <n v="0"/>
    <n v="5332.5"/>
    <m/>
    <n v="5332.5"/>
    <n v="5332.5"/>
    <n v="0"/>
    <n v="0"/>
    <n v="0"/>
    <n v="0"/>
    <n v="0"/>
    <n v="0"/>
    <n v="0"/>
    <n v="0"/>
    <n v="0"/>
    <x v="1"/>
  </r>
  <r>
    <s v="APD"/>
    <x v="3"/>
    <x v="176"/>
    <x v="0"/>
    <x v="0"/>
    <x v="0"/>
    <x v="279"/>
    <x v="18"/>
    <x v="0"/>
    <n v="4989323.2"/>
    <n v="761083.2"/>
    <n v="4228240"/>
    <s v="No"/>
    <s v="24ABCEFGHIJK1ZR"/>
    <n v="0"/>
    <n v="0"/>
    <n v="0"/>
    <n v="0"/>
    <n v="0"/>
    <n v="0"/>
    <n v="0"/>
    <n v="0"/>
    <n v="0"/>
    <n v="0"/>
    <n v="0"/>
    <n v="0"/>
    <n v="0"/>
    <n v="0"/>
    <n v="761083.2"/>
    <m/>
    <n v="761083.2"/>
    <n v="761083.2"/>
    <n v="0"/>
    <n v="0"/>
    <n v="0"/>
    <n v="0"/>
    <n v="0"/>
    <n v="0"/>
    <n v="0"/>
    <n v="0"/>
    <n v="0"/>
    <x v="1"/>
  </r>
  <r>
    <s v="APD"/>
    <x v="3"/>
    <x v="177"/>
    <x v="0"/>
    <x v="0"/>
    <x v="0"/>
    <x v="280"/>
    <x v="26"/>
    <x v="0"/>
    <n v="67968"/>
    <n v="10368"/>
    <n v="57600"/>
    <s v="No"/>
    <s v="37ABCEFGHIJK1ZM"/>
    <n v="0"/>
    <n v="0"/>
    <n v="0"/>
    <n v="0"/>
    <n v="0"/>
    <n v="0"/>
    <n v="0"/>
    <n v="0"/>
    <n v="0"/>
    <n v="0"/>
    <n v="0"/>
    <n v="0"/>
    <n v="0"/>
    <n v="0"/>
    <n v="10368"/>
    <m/>
    <n v="10368"/>
    <n v="10368"/>
    <n v="0"/>
    <n v="0"/>
    <n v="0"/>
    <n v="0"/>
    <n v="0"/>
    <n v="0"/>
    <n v="0"/>
    <n v="0"/>
    <n v="0"/>
    <x v="1"/>
  </r>
  <r>
    <s v="APD"/>
    <x v="3"/>
    <x v="178"/>
    <x v="0"/>
    <x v="0"/>
    <x v="0"/>
    <x v="281"/>
    <x v="2"/>
    <x v="0"/>
    <n v="1227436"/>
    <n v="187236"/>
    <n v="1040200"/>
    <s v="No"/>
    <s v="33ABCEFGHIJK1Z6"/>
    <n v="0"/>
    <n v="0"/>
    <n v="0"/>
    <n v="0"/>
    <n v="0"/>
    <n v="0"/>
    <n v="0"/>
    <n v="0"/>
    <n v="0"/>
    <n v="0"/>
    <n v="0"/>
    <n v="0"/>
    <n v="0"/>
    <n v="0"/>
    <n v="187236"/>
    <m/>
    <n v="187236"/>
    <n v="187236"/>
    <n v="0"/>
    <n v="0"/>
    <n v="0"/>
    <n v="0"/>
    <n v="0"/>
    <n v="0"/>
    <n v="0"/>
    <n v="0"/>
    <n v="0"/>
    <x v="1"/>
  </r>
  <r>
    <s v="APD"/>
    <x v="3"/>
    <x v="179"/>
    <x v="0"/>
    <x v="0"/>
    <x v="0"/>
    <x v="282"/>
    <x v="2"/>
    <x v="0"/>
    <n v="350696"/>
    <n v="53496"/>
    <n v="297200"/>
    <s v="No"/>
    <s v="33ABCEFGHIJK1Z6"/>
    <n v="0"/>
    <n v="0"/>
    <n v="0"/>
    <n v="0"/>
    <n v="0"/>
    <n v="0"/>
    <n v="0"/>
    <n v="0"/>
    <n v="0"/>
    <n v="0"/>
    <n v="0"/>
    <n v="0"/>
    <n v="0"/>
    <n v="0"/>
    <n v="53496"/>
    <m/>
    <n v="53496"/>
    <n v="53496"/>
    <n v="0"/>
    <n v="0"/>
    <n v="0"/>
    <n v="0"/>
    <n v="0"/>
    <n v="0"/>
    <n v="0"/>
    <n v="0"/>
    <n v="0"/>
    <x v="1"/>
  </r>
  <r>
    <s v="APD"/>
    <x v="3"/>
    <x v="180"/>
    <x v="0"/>
    <x v="0"/>
    <x v="0"/>
    <x v="283"/>
    <x v="26"/>
    <x v="0"/>
    <n v="180717"/>
    <n v="27567"/>
    <n v="153150"/>
    <s v="No"/>
    <s v="29ABCEFGHIJK1ZU"/>
    <n v="0"/>
    <n v="0"/>
    <n v="0"/>
    <n v="0"/>
    <n v="0"/>
    <n v="0"/>
    <n v="0"/>
    <n v="0"/>
    <n v="0"/>
    <n v="0"/>
    <n v="0"/>
    <n v="0"/>
    <n v="0"/>
    <n v="0"/>
    <n v="27567"/>
    <m/>
    <n v="27567"/>
    <n v="27567"/>
    <n v="0"/>
    <n v="0"/>
    <n v="0"/>
    <n v="0"/>
    <n v="0"/>
    <n v="0"/>
    <n v="0"/>
    <n v="0"/>
    <n v="0"/>
    <x v="1"/>
  </r>
  <r>
    <s v="APD"/>
    <x v="3"/>
    <x v="181"/>
    <x v="0"/>
    <x v="0"/>
    <x v="0"/>
    <x v="284"/>
    <x v="22"/>
    <x v="0"/>
    <n v="1959980"/>
    <n v="298980"/>
    <n v="1661000"/>
    <s v="No"/>
    <s v="06ABCEFGHIJK1ZF"/>
    <n v="0"/>
    <n v="0"/>
    <n v="0"/>
    <n v="0"/>
    <n v="0"/>
    <n v="0"/>
    <n v="0"/>
    <n v="0"/>
    <n v="0"/>
    <n v="0"/>
    <n v="0"/>
    <n v="0"/>
    <n v="0"/>
    <n v="0"/>
    <n v="298980"/>
    <m/>
    <n v="298980"/>
    <n v="298980"/>
    <n v="0"/>
    <n v="0"/>
    <n v="0"/>
    <n v="0"/>
    <n v="0"/>
    <n v="0"/>
    <n v="0"/>
    <n v="0"/>
    <n v="0"/>
    <x v="1"/>
  </r>
  <r>
    <s v="APD"/>
    <x v="3"/>
    <x v="182"/>
    <x v="0"/>
    <x v="0"/>
    <x v="0"/>
    <x v="285"/>
    <x v="5"/>
    <x v="0"/>
    <n v="89562"/>
    <n v="13662"/>
    <n v="75900"/>
    <s v="No"/>
    <s v="27ABCEFGHIJK1ZB"/>
    <n v="0"/>
    <n v="0"/>
    <n v="0"/>
    <n v="0"/>
    <n v="0"/>
    <n v="0"/>
    <n v="0"/>
    <n v="0"/>
    <n v="0"/>
    <n v="0"/>
    <n v="0"/>
    <n v="0"/>
    <n v="0"/>
    <n v="0"/>
    <n v="13662"/>
    <m/>
    <n v="13662"/>
    <n v="13662"/>
    <n v="0"/>
    <n v="0"/>
    <n v="0"/>
    <n v="0"/>
    <n v="0"/>
    <n v="0"/>
    <n v="0"/>
    <n v="0"/>
    <n v="0"/>
    <x v="1"/>
  </r>
  <r>
    <s v="APD"/>
    <x v="4"/>
    <x v="0"/>
    <x v="4"/>
    <x v="0"/>
    <x v="0"/>
    <x v="104"/>
    <x v="0"/>
    <x v="1"/>
    <n v="168499"/>
    <n v="8424.9599999999991"/>
    <n v="168499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4212.4799999999996"/>
    <n v="0"/>
    <n v="4212.4799999999996"/>
    <n v="4212.4799999999996"/>
    <n v="0"/>
    <n v="4212.4799999999996"/>
    <n v="0"/>
    <n v="0"/>
    <n v="8424.9599999999991"/>
    <x v="0"/>
  </r>
  <r>
    <s v="APD"/>
    <x v="4"/>
    <x v="1"/>
    <x v="4"/>
    <x v="0"/>
    <x v="0"/>
    <x v="286"/>
    <x v="0"/>
    <x v="1"/>
    <n v="156045"/>
    <n v="7802.26"/>
    <n v="156045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3901.13"/>
    <n v="0"/>
    <n v="3901.13"/>
    <n v="3901.13"/>
    <n v="0"/>
    <n v="3901.13"/>
    <n v="0"/>
    <n v="0"/>
    <n v="7802.26"/>
    <x v="0"/>
  </r>
  <r>
    <s v="APD"/>
    <x v="4"/>
    <x v="3"/>
    <x v="7"/>
    <x v="0"/>
    <x v="0"/>
    <x v="287"/>
    <x v="14"/>
    <x v="2"/>
    <n v="144"/>
    <n v="21.96"/>
    <n v="122.04"/>
    <s v="Yes"/>
    <s v="05ABCEFGHIJK1ZP"/>
    <n v="0"/>
    <n v="0"/>
    <n v="0"/>
    <n v="0"/>
    <n v="10.98"/>
    <n v="10.98"/>
    <n v="0"/>
    <n v="0"/>
    <n v="0"/>
    <n v="0"/>
    <n v="10.98"/>
    <n v="10.98"/>
    <n v="0"/>
    <n v="0"/>
    <n v="0"/>
    <m/>
    <n v="0"/>
    <n v="21.96"/>
    <n v="0"/>
    <n v="0"/>
    <n v="0"/>
    <n v="0"/>
    <n v="0"/>
    <n v="0"/>
    <n v="0"/>
    <n v="0"/>
    <n v="0"/>
    <x v="0"/>
  </r>
  <r>
    <s v="APD"/>
    <x v="4"/>
    <x v="4"/>
    <x v="7"/>
    <x v="0"/>
    <x v="0"/>
    <x v="288"/>
    <x v="0"/>
    <x v="2"/>
    <n v="1020.02"/>
    <n v="48.58"/>
    <n v="971.44"/>
    <s v="Yes"/>
    <s v="05ABCEFGHIJK1ZP"/>
    <n v="0"/>
    <n v="0"/>
    <n v="24.29"/>
    <n v="0"/>
    <n v="0"/>
    <n v="24.29"/>
    <n v="0"/>
    <n v="0"/>
    <n v="24.29"/>
    <n v="0"/>
    <n v="0"/>
    <n v="24.29"/>
    <n v="0"/>
    <n v="0"/>
    <n v="0"/>
    <m/>
    <n v="0"/>
    <n v="48.58"/>
    <n v="0"/>
    <n v="0"/>
    <n v="0"/>
    <n v="0"/>
    <n v="0"/>
    <n v="0"/>
    <n v="0"/>
    <n v="0"/>
    <n v="0"/>
    <x v="0"/>
  </r>
  <r>
    <s v="APD"/>
    <x v="4"/>
    <x v="8"/>
    <x v="7"/>
    <x v="0"/>
    <x v="0"/>
    <x v="289"/>
    <x v="8"/>
    <x v="2"/>
    <n v="701.03"/>
    <n v="84.18"/>
    <n v="616.85"/>
    <s v="Yes"/>
    <s v="05ABCEFGHIJK1ZP"/>
    <n v="0"/>
    <n v="0"/>
    <n v="0"/>
    <n v="26.84"/>
    <n v="15.25"/>
    <n v="42.09"/>
    <n v="0"/>
    <n v="0"/>
    <n v="0"/>
    <n v="26.84"/>
    <n v="15.25"/>
    <n v="42.09"/>
    <n v="0"/>
    <n v="0"/>
    <n v="0"/>
    <m/>
    <n v="0"/>
    <n v="84.18"/>
    <n v="0"/>
    <n v="0"/>
    <n v="0"/>
    <n v="0"/>
    <n v="0"/>
    <n v="0"/>
    <n v="0"/>
    <n v="0"/>
    <n v="0"/>
    <x v="0"/>
  </r>
  <r>
    <s v="APD"/>
    <x v="4"/>
    <x v="5"/>
    <x v="7"/>
    <x v="0"/>
    <x v="0"/>
    <x v="290"/>
    <x v="7"/>
    <x v="2"/>
    <n v="210"/>
    <n v="27.94"/>
    <n v="182.06"/>
    <s v="Yes"/>
    <s v="05ABCEFGHIJK1ZP"/>
    <n v="0"/>
    <n v="0"/>
    <n v="0"/>
    <n v="4.82"/>
    <n v="9.15"/>
    <n v="13.97"/>
    <n v="0"/>
    <n v="0"/>
    <n v="0"/>
    <n v="4.82"/>
    <n v="9.15"/>
    <n v="13.97"/>
    <n v="0"/>
    <n v="0"/>
    <n v="0"/>
    <m/>
    <n v="0"/>
    <n v="27.94"/>
    <n v="0"/>
    <n v="0"/>
    <n v="0"/>
    <n v="0"/>
    <n v="0"/>
    <n v="0"/>
    <n v="0"/>
    <n v="0"/>
    <n v="0"/>
    <x v="0"/>
  </r>
  <r>
    <s v="APD"/>
    <x v="4"/>
    <x v="6"/>
    <x v="7"/>
    <x v="0"/>
    <x v="0"/>
    <x v="291"/>
    <x v="36"/>
    <x v="2"/>
    <n v="7415.83"/>
    <n v="944.7"/>
    <n v="6471.13"/>
    <s v="Yes"/>
    <s v="05ABCEFGHIJK1ZP"/>
    <n v="0"/>
    <n v="0"/>
    <n v="17.739999999999998"/>
    <n v="127.86"/>
    <n v="326.75"/>
    <n v="472.35"/>
    <n v="0"/>
    <n v="0"/>
    <n v="17.739999999999998"/>
    <n v="127.86"/>
    <n v="326.75"/>
    <n v="472.35"/>
    <n v="0"/>
    <n v="0"/>
    <n v="0"/>
    <m/>
    <n v="0"/>
    <n v="944.7"/>
    <n v="0"/>
    <n v="0"/>
    <n v="0"/>
    <n v="0"/>
    <n v="0"/>
    <n v="0"/>
    <n v="0"/>
    <n v="0"/>
    <n v="0"/>
    <x v="0"/>
  </r>
  <r>
    <s v="APD"/>
    <x v="4"/>
    <x v="7"/>
    <x v="7"/>
    <x v="0"/>
    <x v="0"/>
    <x v="292"/>
    <x v="33"/>
    <x v="2"/>
    <n v="1330.98"/>
    <n v="83.66"/>
    <n v="1247.32"/>
    <s v="Yes"/>
    <s v="05ABCEFGHIJK1ZP"/>
    <n v="0"/>
    <n v="0"/>
    <n v="26.19"/>
    <n v="4.66"/>
    <n v="10.98"/>
    <n v="41.83"/>
    <n v="0"/>
    <n v="0"/>
    <n v="26.19"/>
    <n v="4.66"/>
    <n v="10.98"/>
    <n v="41.83"/>
    <n v="0"/>
    <n v="0"/>
    <n v="0"/>
    <m/>
    <n v="0"/>
    <n v="83.66"/>
    <n v="0"/>
    <n v="0"/>
    <n v="0"/>
    <n v="0"/>
    <n v="0"/>
    <n v="0"/>
    <n v="0"/>
    <n v="0"/>
    <n v="0"/>
    <x v="0"/>
  </r>
  <r>
    <s v="APD"/>
    <x v="4"/>
    <x v="9"/>
    <x v="7"/>
    <x v="0"/>
    <x v="0"/>
    <x v="293"/>
    <x v="37"/>
    <x v="0"/>
    <n v="2116"/>
    <n v="322"/>
    <n v="1794"/>
    <s v="No"/>
    <s v="05ABCEFGHIJK1ZT"/>
    <n v="0"/>
    <n v="0"/>
    <n v="0"/>
    <n v="0"/>
    <n v="161"/>
    <n v="161"/>
    <n v="0"/>
    <n v="0"/>
    <n v="0"/>
    <n v="0"/>
    <n v="161"/>
    <n v="161"/>
    <n v="0"/>
    <n v="0"/>
    <n v="0"/>
    <m/>
    <n v="0"/>
    <n v="322"/>
    <n v="0"/>
    <n v="0"/>
    <n v="0"/>
    <n v="0"/>
    <n v="0"/>
    <n v="0"/>
    <n v="0"/>
    <n v="0"/>
    <n v="0"/>
    <x v="0"/>
  </r>
  <r>
    <s v="APD"/>
    <x v="4"/>
    <x v="10"/>
    <x v="7"/>
    <x v="0"/>
    <x v="0"/>
    <x v="294"/>
    <x v="22"/>
    <x v="1"/>
    <n v="7500"/>
    <n v="376"/>
    <n v="750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8"/>
    <n v="0"/>
    <n v="188"/>
    <n v="188"/>
    <n v="0"/>
    <n v="188"/>
    <n v="0"/>
    <n v="0"/>
    <n v="376"/>
    <x v="0"/>
  </r>
  <r>
    <s v="APD"/>
    <x v="4"/>
    <x v="11"/>
    <x v="7"/>
    <x v="0"/>
    <x v="0"/>
    <x v="295"/>
    <x v="13"/>
    <x v="1"/>
    <n v="7500"/>
    <n v="376"/>
    <n v="750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188"/>
    <n v="0"/>
    <n v="188"/>
    <n v="188"/>
    <n v="0"/>
    <n v="188"/>
    <n v="0"/>
    <n v="0"/>
    <n v="376"/>
    <x v="0"/>
  </r>
  <r>
    <s v="APD"/>
    <x v="4"/>
    <x v="12"/>
    <x v="16"/>
    <x v="0"/>
    <x v="0"/>
    <x v="296"/>
    <x v="15"/>
    <x v="1"/>
    <n v="5360"/>
    <n v="268"/>
    <n v="5360"/>
    <s v="No"/>
    <s v="27ABCEFGHIJK1ZI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268"/>
    <n v="268"/>
    <n v="268"/>
    <x v="1"/>
  </r>
  <r>
    <s v="APD"/>
    <x v="4"/>
    <x v="13"/>
    <x v="0"/>
    <x v="0"/>
    <x v="0"/>
    <x v="170"/>
    <x v="28"/>
    <x v="0"/>
    <n v="49500"/>
    <n v="0"/>
    <n v="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4"/>
    <x v="14"/>
    <x v="0"/>
    <x v="0"/>
    <x v="0"/>
    <x v="50"/>
    <x v="38"/>
    <x v="0"/>
    <n v="89300"/>
    <n v="0"/>
    <n v="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4"/>
    <x v="15"/>
    <x v="0"/>
    <x v="0"/>
    <x v="0"/>
    <x v="297"/>
    <x v="38"/>
    <x v="0"/>
    <n v="17500"/>
    <n v="0"/>
    <n v="0"/>
    <s v="No"/>
    <s v="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x v="0"/>
  </r>
  <r>
    <s v="APD"/>
    <x v="4"/>
    <x v="16"/>
    <x v="0"/>
    <x v="0"/>
    <x v="0"/>
    <x v="298"/>
    <x v="25"/>
    <x v="0"/>
    <n v="9369.2000000000007"/>
    <n v="1429.2"/>
    <n v="7940"/>
    <s v="No"/>
    <s v="05ABCEFGHIJK1ZF"/>
    <n v="0"/>
    <n v="0"/>
    <n v="0"/>
    <n v="0"/>
    <n v="714.6"/>
    <n v="714.6"/>
    <n v="0"/>
    <n v="0"/>
    <n v="0"/>
    <n v="0"/>
    <n v="714.6"/>
    <n v="714.6"/>
    <n v="0"/>
    <n v="0"/>
    <n v="0"/>
    <m/>
    <n v="0"/>
    <n v="1429.2"/>
    <n v="0"/>
    <n v="0"/>
    <n v="0"/>
    <n v="0"/>
    <n v="0"/>
    <n v="0"/>
    <n v="0"/>
    <n v="0"/>
    <n v="0"/>
    <x v="0"/>
  </r>
  <r>
    <s v="APD"/>
    <x v="4"/>
    <x v="17"/>
    <x v="0"/>
    <x v="0"/>
    <x v="0"/>
    <x v="299"/>
    <x v="2"/>
    <x v="0"/>
    <n v="37217.199999999997"/>
    <n v="5677.2"/>
    <n v="31540"/>
    <s v="No"/>
    <s v="05ABCEFGHIJK1ZF"/>
    <n v="0"/>
    <n v="0"/>
    <n v="0"/>
    <n v="0"/>
    <n v="2838.6"/>
    <n v="2838.6"/>
    <n v="0"/>
    <n v="0"/>
    <n v="0"/>
    <n v="0"/>
    <n v="2838.6"/>
    <n v="2838.6"/>
    <n v="0"/>
    <n v="0"/>
    <n v="0"/>
    <m/>
    <n v="0"/>
    <n v="5677.2"/>
    <n v="0"/>
    <n v="0"/>
    <n v="0"/>
    <n v="0"/>
    <n v="0"/>
    <n v="0"/>
    <n v="0"/>
    <n v="0"/>
    <n v="0"/>
    <x v="0"/>
  </r>
  <r>
    <s v="APD"/>
    <x v="4"/>
    <x v="18"/>
    <x v="0"/>
    <x v="0"/>
    <x v="0"/>
    <x v="300"/>
    <x v="22"/>
    <x v="0"/>
    <n v="69552"/>
    <n v="7452"/>
    <n v="62100"/>
    <s v="No"/>
    <s v="05ABCEFGHIJK1ZF"/>
    <n v="0"/>
    <n v="0"/>
    <n v="0"/>
    <n v="3726"/>
    <n v="0"/>
    <n v="3726"/>
    <n v="0"/>
    <n v="0"/>
    <n v="0"/>
    <n v="3726"/>
    <n v="0"/>
    <n v="3726"/>
    <n v="0"/>
    <n v="0"/>
    <n v="0"/>
    <m/>
    <n v="0"/>
    <n v="7452"/>
    <n v="0"/>
    <n v="0"/>
    <n v="0"/>
    <n v="0"/>
    <n v="0"/>
    <n v="0"/>
    <n v="0"/>
    <n v="0"/>
    <n v="0"/>
    <x v="0"/>
  </r>
  <r>
    <s v="APD"/>
    <x v="4"/>
    <x v="19"/>
    <x v="0"/>
    <x v="0"/>
    <x v="0"/>
    <x v="4"/>
    <x v="22"/>
    <x v="0"/>
    <n v="69552"/>
    <n v="7452"/>
    <n v="62100"/>
    <s v="No"/>
    <s v="05ABCEFGHIJK1ZF"/>
    <n v="0"/>
    <n v="0"/>
    <n v="0"/>
    <n v="3726"/>
    <n v="0"/>
    <n v="3726"/>
    <n v="0"/>
    <n v="0"/>
    <n v="0"/>
    <n v="3726"/>
    <n v="0"/>
    <n v="3726"/>
    <n v="0"/>
    <n v="0"/>
    <n v="0"/>
    <m/>
    <n v="0"/>
    <n v="7452"/>
    <n v="0"/>
    <n v="0"/>
    <n v="0"/>
    <n v="0"/>
    <n v="0"/>
    <n v="0"/>
    <n v="0"/>
    <n v="0"/>
    <n v="0"/>
    <x v="0"/>
  </r>
  <r>
    <s v="APD"/>
    <x v="4"/>
    <x v="20"/>
    <x v="0"/>
    <x v="0"/>
    <x v="0"/>
    <x v="13"/>
    <x v="15"/>
    <x v="0"/>
    <n v="69496"/>
    <n v="7446"/>
    <n v="62050"/>
    <s v="No"/>
    <s v="05ABCEFGHIJK1ZF"/>
    <n v="0"/>
    <n v="0"/>
    <n v="0"/>
    <n v="3723"/>
    <n v="0"/>
    <n v="3723"/>
    <n v="0"/>
    <n v="0"/>
    <n v="0"/>
    <n v="3723"/>
    <n v="0"/>
    <n v="3723"/>
    <n v="0"/>
    <n v="0"/>
    <n v="0"/>
    <m/>
    <n v="0"/>
    <n v="7446"/>
    <n v="0"/>
    <n v="0"/>
    <n v="0"/>
    <n v="0"/>
    <n v="0"/>
    <n v="0"/>
    <n v="0"/>
    <n v="0"/>
    <n v="0"/>
    <x v="0"/>
  </r>
  <r>
    <s v="APD"/>
    <x v="4"/>
    <x v="21"/>
    <x v="0"/>
    <x v="0"/>
    <x v="0"/>
    <x v="301"/>
    <x v="15"/>
    <x v="0"/>
    <n v="69496"/>
    <n v="7446"/>
    <n v="62050"/>
    <s v="No"/>
    <s v="05ABCEFGHIJK1ZF"/>
    <n v="0"/>
    <n v="0"/>
    <n v="0"/>
    <n v="3723"/>
    <n v="0"/>
    <n v="3723"/>
    <n v="0"/>
    <n v="0"/>
    <n v="0"/>
    <n v="3723"/>
    <n v="0"/>
    <n v="3723"/>
    <n v="0"/>
    <n v="0"/>
    <n v="0"/>
    <m/>
    <n v="0"/>
    <n v="7446"/>
    <n v="0"/>
    <n v="0"/>
    <n v="0"/>
    <n v="0"/>
    <n v="0"/>
    <n v="0"/>
    <n v="0"/>
    <n v="0"/>
    <n v="0"/>
    <x v="0"/>
  </r>
  <r>
    <s v="APD"/>
    <x v="4"/>
    <x v="22"/>
    <x v="0"/>
    <x v="0"/>
    <x v="0"/>
    <x v="144"/>
    <x v="16"/>
    <x v="0"/>
    <n v="2856"/>
    <n v="306"/>
    <n v="2550"/>
    <s v="No"/>
    <s v="36ABCEFGHIJK1ZJ"/>
    <n v="0"/>
    <n v="0"/>
    <n v="0"/>
    <n v="0"/>
    <n v="0"/>
    <n v="0"/>
    <n v="0"/>
    <n v="0"/>
    <n v="0"/>
    <n v="0"/>
    <n v="0"/>
    <n v="0"/>
    <n v="0"/>
    <n v="306"/>
    <n v="0"/>
    <m/>
    <n v="306"/>
    <n v="306"/>
    <n v="0"/>
    <n v="0"/>
    <n v="0"/>
    <n v="0"/>
    <n v="0"/>
    <n v="0"/>
    <n v="0"/>
    <n v="0"/>
    <n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12" firstHeaderRow="1" firstDataRow="2" firstDataCol="7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h="1" m="1" x="5"/>
        <item h="1" m="1" x="3"/>
        <item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7">
    <i>
      <x/>
      <x v="1903"/>
      <x/>
      <x v="220"/>
      <x v="220"/>
      <x v="1838"/>
      <x v="7"/>
    </i>
    <i>
      <x v="3"/>
      <x v="1896"/>
      <x v="4"/>
      <x v="220"/>
      <x v="220"/>
      <x v="1923"/>
      <x/>
    </i>
    <i r="1">
      <x v="1897"/>
      <x v="4"/>
      <x v="220"/>
      <x v="220"/>
      <x v="2093"/>
      <x/>
    </i>
    <i r="1">
      <x v="1906"/>
      <x v="7"/>
      <x v="220"/>
      <x v="220"/>
      <x v="2100"/>
      <x v="22"/>
    </i>
    <i r="1">
      <x v="1907"/>
      <x v="7"/>
      <x v="220"/>
      <x v="220"/>
      <x v="2101"/>
      <x v="13"/>
    </i>
    <i r="1">
      <x v="1908"/>
      <x v="16"/>
      <x v="220"/>
      <x v="220"/>
      <x v="2102"/>
      <x v="1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8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117">
      <pivotArea outline="0" collapsedLevelsAreSubtotals="1" fieldPosition="0"/>
    </format>
    <format dxfId="116">
      <pivotArea dataOnly="0" labelOnly="1" outline="0" fieldPosition="0">
        <references count="1">
          <reference field="1" count="0"/>
        </references>
      </pivotArea>
    </format>
    <format dxfId="115">
      <pivotArea dataOnly="0" labelOnly="1" grandRow="1" outline="0" fieldPosition="0"/>
    </format>
    <format dxfId="114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M6" firstHeaderRow="1" firstDataRow="2" firstDataCol="7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h="1" m="1" x="5"/>
        <item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"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8" hier="-1"/>
  </pageFields>
  <dataFields count="6"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109">
      <pivotArea outline="0" collapsedLevelsAreSubtotals="1" fieldPosition="0"/>
    </format>
    <format dxfId="108">
      <pivotArea dataOnly="0" labelOnly="1" outline="0" fieldPosition="0">
        <references count="1">
          <reference field="1" count="0"/>
        </references>
      </pivotArea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5">
            <x v="0"/>
            <x v="1"/>
            <x v="2"/>
            <x v="3"/>
            <x v="5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2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P4:AC6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2072"/>
        <item m="1" x="319"/>
        <item m="1" x="395"/>
        <item m="1" x="473"/>
        <item m="1" x="1885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797"/>
        <item m="1" x="856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955"/>
        <item m="1" x="1073"/>
        <item m="1" x="806"/>
        <item m="1" x="865"/>
        <item m="1" x="915"/>
        <item m="1" x="959"/>
        <item m="1" x="995"/>
        <item m="1" x="1022"/>
        <item m="1" x="1048"/>
        <item m="1" x="1103"/>
        <item m="1" x="1146"/>
        <item m="1" x="920"/>
        <item m="1" x="964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08"/>
        <item m="1" x="1151"/>
        <item m="1" x="1196"/>
        <item m="1" x="1253"/>
        <item m="1" x="1314"/>
        <item m="1" x="1374"/>
        <item m="1" x="1057"/>
        <item m="1" x="1082"/>
        <item m="1" x="1112"/>
        <item m="1" x="1155"/>
        <item m="1" x="1200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641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178"/>
        <item m="1" x="1231"/>
        <item m="1" x="1288"/>
        <item m="1" x="1347"/>
        <item m="1" x="1406"/>
        <item m="1" x="1473"/>
        <item m="1" x="1542"/>
        <item m="1" x="1617"/>
        <item m="1" x="1692"/>
        <item m="1" x="1233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"/>
        <item m="1" x="183"/>
        <item m="1" x="158"/>
        <item m="1" x="149"/>
        <item m="1" x="71"/>
        <item m="1" x="73"/>
        <item m="1" x="155"/>
        <item m="1" x="191"/>
        <item m="1" x="23"/>
        <item m="1" x="80"/>
        <item m="1" x="31"/>
        <item m="1" x="109"/>
        <item m="1" x="127"/>
        <item m="1" x="197"/>
        <item m="1" x="107"/>
        <item m="1" x="62"/>
        <item m="1" x="88"/>
        <item m="1" x="68"/>
        <item m="1" x="86"/>
        <item m="1" x="15"/>
        <item m="1" x="27"/>
        <item m="1" x="10"/>
        <item m="1" x="21"/>
        <item m="1" x="33"/>
        <item m="1" x="47"/>
        <item m="1" x="200"/>
        <item m="1" x="184"/>
        <item m="1" x="212"/>
        <item m="1" x="48"/>
        <item m="1" x="67"/>
        <item m="1" x="89"/>
        <item m="1" x="64"/>
        <item m="1" x="49"/>
        <item m="1" x="208"/>
        <item m="1" x="22"/>
        <item m="1" x="111"/>
        <item m="1" x="174"/>
        <item m="1" x="190"/>
        <item m="1" x="32"/>
        <item m="1" x="58"/>
        <item m="1" x="83"/>
        <item m="1" x="95"/>
        <item m="1" x="108"/>
        <item m="1" x="39"/>
        <item m="1" x="59"/>
        <item m="1" x="202"/>
        <item m="1" x="84"/>
        <item m="1" x="187"/>
        <item m="1" x="205"/>
        <item m="1" x="6"/>
        <item m="1" x="17"/>
        <item m="1" x="87"/>
        <item m="1" x="60"/>
        <item m="1" x="173"/>
        <item m="1" x="81"/>
        <item m="1" x="172"/>
        <item m="1" x="113"/>
        <item m="1" x="180"/>
        <item m="1" x="157"/>
        <item m="1" x="117"/>
        <item m="1" x="209"/>
        <item m="1" x="78"/>
        <item m="1" x="101"/>
        <item m="1" x="178"/>
        <item m="1" x="24"/>
        <item m="1" x="4"/>
        <item m="1" x="153"/>
        <item m="1" x="38"/>
        <item m="1" x="12"/>
        <item m="1" x="145"/>
        <item m="1" x="44"/>
        <item m="1" x="34"/>
        <item m="1" x="122"/>
        <item m="1" x="159"/>
        <item m="1" x="69"/>
        <item m="1" x="82"/>
        <item m="1" x="99"/>
        <item m="1" x="165"/>
        <item m="1" x="171"/>
        <item m="1" x="213"/>
        <item m="1" x="85"/>
        <item m="1" x="46"/>
        <item m="1" x="100"/>
        <item m="1" x="3"/>
        <item m="1" x="77"/>
        <item m="1" x="57"/>
        <item m="1" x="169"/>
        <item m="1" x="194"/>
        <item m="1" x="94"/>
        <item m="1" x="30"/>
        <item m="1" x="139"/>
        <item m="1" x="201"/>
        <item m="1" x="43"/>
        <item m="1" x="195"/>
        <item m="1" x="196"/>
        <item m="1" x="161"/>
        <item m="1" x="216"/>
        <item m="1" x="162"/>
        <item m="1" x="120"/>
        <item m="1" x="66"/>
        <item m="1" x="156"/>
        <item m="1" x="160"/>
        <item m="1" x="142"/>
        <item m="1" x="96"/>
        <item m="1" x="11"/>
        <item m="1" x="135"/>
        <item m="1" x="7"/>
        <item m="1" x="5"/>
        <item m="1" x="8"/>
        <item m="1" x="116"/>
        <item m="1" x="103"/>
        <item m="1" x="2"/>
        <item m="1" x="207"/>
        <item m="1" x="176"/>
        <item m="1" x="102"/>
        <item m="1" x="177"/>
        <item m="1" x="128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70"/>
        <item m="1" x="107"/>
        <item m="1" x="73"/>
        <item m="1" x="93"/>
        <item m="1" x="22"/>
        <item m="1" x="69"/>
        <item m="1" x="63"/>
        <item m="1" x="116"/>
        <item m="1" x="193"/>
        <item m="1" x="50"/>
        <item m="1" x="119"/>
        <item m="1" x="52"/>
        <item m="1" x="187"/>
        <item m="1" x="17"/>
        <item m="1" x="161"/>
        <item m="1" x="174"/>
        <item m="1" x="51"/>
        <item m="1" x="200"/>
        <item m="1" x="178"/>
        <item m="1" x="96"/>
        <item m="1" x="16"/>
        <item m="1" x="32"/>
        <item m="1" x="156"/>
        <item m="1" x="145"/>
        <item m="1" x="141"/>
        <item m="1" x="134"/>
        <item m="1" x="35"/>
        <item m="1" x="192"/>
        <item m="1" x="56"/>
        <item m="1" x="198"/>
        <item m="1" x="123"/>
        <item m="1" x="7"/>
        <item m="1" x="128"/>
        <item m="1" x="140"/>
        <item m="1" x="184"/>
        <item m="1" x="204"/>
        <item m="1" x="82"/>
        <item m="1" x="166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158"/>
        <item m="1" x="215"/>
        <item m="1" x="147"/>
        <item m="1" x="74"/>
        <item m="1" x="110"/>
        <item m="1" x="163"/>
        <item m="1" x="197"/>
        <item m="1" x="57"/>
        <item m="1" x="199"/>
        <item m="1" x="13"/>
        <item m="1" x="189"/>
        <item m="1" x="191"/>
        <item m="1" x="120"/>
        <item m="1" x="173"/>
        <item m="1" x="20"/>
        <item m="1" x="10"/>
        <item m="1" x="133"/>
        <item m="1" x="78"/>
        <item m="1" x="95"/>
        <item m="1" x="212"/>
        <item m="1" x="85"/>
        <item m="1" x="219"/>
        <item m="1" x="181"/>
        <item m="1" x="188"/>
        <item m="1" x="165"/>
        <item m="1" x="60"/>
        <item m="1" x="19"/>
        <item m="1" x="21"/>
        <item m="1" x="209"/>
        <item m="1" x="151"/>
        <item m="1" x="160"/>
        <item m="1" x="15"/>
        <item m="1" x="150"/>
        <item m="1" x="149"/>
        <item m="1" x="207"/>
        <item m="1" x="40"/>
        <item m="1" x="195"/>
        <item m="1" x="105"/>
        <item m="1" x="90"/>
        <item m="1" x="125"/>
        <item m="1" x="37"/>
        <item m="1" x="91"/>
        <item m="1" x="177"/>
        <item m="1" x="42"/>
        <item m="1" x="100"/>
        <item m="1" x="2"/>
        <item m="1" x="213"/>
        <item m="1" x="43"/>
        <item m="1" x="3"/>
        <item m="1" x="118"/>
        <item m="1" x="180"/>
        <item m="1" x="68"/>
        <item m="1" x="45"/>
        <item m="1" x="64"/>
        <item m="1" x="28"/>
        <item m="1" x="33"/>
        <item m="1" x="214"/>
        <item m="1" x="62"/>
        <item m="1" x="99"/>
        <item m="1" x="26"/>
        <item m="1" x="55"/>
        <item m="1" x="154"/>
        <item m="1" x="94"/>
        <item m="1" x="153"/>
        <item m="1" x="12"/>
        <item m="1" x="59"/>
        <item m="1" x="65"/>
        <item m="1" x="171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2"/>
        <item m="1" x="507"/>
        <item m="1" x="1742"/>
        <item x="299"/>
        <item m="1" x="1713"/>
        <item m="1" x="355"/>
        <item m="1" x="418"/>
        <item m="1" x="390"/>
        <item m="1" x="1302"/>
        <item m="1" x="1402"/>
        <item m="1" x="515"/>
        <item m="1" x="704"/>
        <item m="1" x="1793"/>
        <item m="1" x="1781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x="99"/>
        <item m="1" x="1918"/>
        <item m="1" x="1004"/>
        <item m="1" x="1048"/>
        <item m="1" x="456"/>
        <item m="1" x="733"/>
        <item m="1" x="1709"/>
        <item m="1" x="1712"/>
        <item m="1" x="338"/>
        <item m="1" x="380"/>
        <item m="1" x="416"/>
        <item m="1" x="936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1914"/>
        <item m="1" x="2032"/>
        <item m="1" x="1877"/>
        <item m="1" x="1661"/>
        <item m="1" x="1403"/>
        <item m="1" x="1585"/>
        <item m="1" x="1957"/>
        <item m="1" x="1170"/>
        <item m="1" x="1433"/>
        <item m="1" x="548"/>
        <item m="1" x="1789"/>
        <item m="1" x="1437"/>
        <item m="1" x="1841"/>
        <item m="1" x="878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885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95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37"/>
        <item m="1" x="915"/>
        <item m="1" x="444"/>
        <item x="249"/>
        <item m="1" x="525"/>
        <item m="1" x="529"/>
        <item m="1" x="534"/>
        <item m="1" x="465"/>
        <item m="1" x="1711"/>
        <item m="1" x="454"/>
        <item m="1" x="2052"/>
        <item m="1" x="1336"/>
        <item m="1" x="1686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h="1" m="1" x="5"/>
        <item h="1" m="1" x="3"/>
        <item h="1"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h="1" x="1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"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CGST RCM Total" fld="37" baseField="0" baseItem="0"/>
    <dataField name=" SGST RCM Total" fld="34" baseField="0" baseItem="0"/>
    <dataField name=" IGST RCM Total" fld="39" baseField="0" baseItem="0"/>
  </dataFields>
  <formats count="8">
    <format dxfId="93">
      <pivotArea outline="0" collapsedLevelsAreSubtotals="1" fieldPosition="0"/>
    </format>
    <format dxfId="92">
      <pivotArea dataOnly="0" labelOnly="1" outline="0" fieldPosition="0">
        <references count="1">
          <reference field="1" count="0"/>
        </references>
      </pivotArea>
    </format>
    <format dxfId="91">
      <pivotArea dataOnly="0" labelOnly="1" grandRow="1" outline="0" fieldPosition="0"/>
    </format>
    <format dxfId="90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89">
      <pivotArea outline="0" collapsedLevelsAreSubtotals="1" fieldPosition="0"/>
    </format>
    <format dxfId="88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87">
      <pivotArea dataOnly="0" labelOnly="1" grandRow="1" outline="0" fieldPosition="0"/>
    </format>
    <format dxfId="86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6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2072"/>
        <item m="1" x="319"/>
        <item m="1" x="395"/>
        <item m="1" x="473"/>
        <item m="1" x="1885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797"/>
        <item m="1" x="856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955"/>
        <item m="1" x="1073"/>
        <item m="1" x="806"/>
        <item m="1" x="865"/>
        <item m="1" x="915"/>
        <item m="1" x="959"/>
        <item m="1" x="995"/>
        <item m="1" x="1022"/>
        <item m="1" x="1048"/>
        <item m="1" x="1103"/>
        <item m="1" x="1146"/>
        <item m="1" x="920"/>
        <item m="1" x="964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08"/>
        <item m="1" x="1151"/>
        <item m="1" x="1196"/>
        <item m="1" x="1253"/>
        <item m="1" x="1314"/>
        <item m="1" x="1374"/>
        <item m="1" x="1057"/>
        <item m="1" x="1082"/>
        <item m="1" x="1112"/>
        <item m="1" x="1155"/>
        <item m="1" x="1200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641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178"/>
        <item m="1" x="1231"/>
        <item m="1" x="1288"/>
        <item m="1" x="1347"/>
        <item m="1" x="1406"/>
        <item m="1" x="1473"/>
        <item m="1" x="1542"/>
        <item m="1" x="1617"/>
        <item m="1" x="1692"/>
        <item m="1" x="1233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"/>
        <item m="1" x="183"/>
        <item m="1" x="158"/>
        <item m="1" x="149"/>
        <item m="1" x="71"/>
        <item m="1" x="73"/>
        <item m="1" x="155"/>
        <item m="1" x="191"/>
        <item m="1" x="23"/>
        <item m="1" x="80"/>
        <item m="1" x="31"/>
        <item m="1" x="109"/>
        <item m="1" x="127"/>
        <item m="1" x="197"/>
        <item m="1" x="107"/>
        <item m="1" x="62"/>
        <item m="1" x="88"/>
        <item m="1" x="68"/>
        <item m="1" x="86"/>
        <item m="1" x="15"/>
        <item m="1" x="27"/>
        <item m="1" x="10"/>
        <item m="1" x="21"/>
        <item m="1" x="33"/>
        <item m="1" x="47"/>
        <item m="1" x="200"/>
        <item m="1" x="184"/>
        <item m="1" x="212"/>
        <item m="1" x="48"/>
        <item m="1" x="67"/>
        <item m="1" x="89"/>
        <item m="1" x="64"/>
        <item m="1" x="49"/>
        <item m="1" x="208"/>
        <item m="1" x="22"/>
        <item m="1" x="111"/>
        <item m="1" x="174"/>
        <item m="1" x="190"/>
        <item m="1" x="32"/>
        <item m="1" x="58"/>
        <item m="1" x="83"/>
        <item m="1" x="95"/>
        <item m="1" x="108"/>
        <item m="1" x="39"/>
        <item m="1" x="59"/>
        <item m="1" x="202"/>
        <item m="1" x="84"/>
        <item m="1" x="187"/>
        <item m="1" x="205"/>
        <item m="1" x="6"/>
        <item m="1" x="17"/>
        <item m="1" x="87"/>
        <item m="1" x="60"/>
        <item m="1" x="173"/>
        <item m="1" x="81"/>
        <item m="1" x="172"/>
        <item m="1" x="113"/>
        <item m="1" x="180"/>
        <item m="1" x="157"/>
        <item m="1" x="117"/>
        <item m="1" x="209"/>
        <item m="1" x="78"/>
        <item m="1" x="101"/>
        <item m="1" x="178"/>
        <item m="1" x="24"/>
        <item m="1" x="4"/>
        <item m="1" x="153"/>
        <item m="1" x="38"/>
        <item m="1" x="12"/>
        <item m="1" x="145"/>
        <item m="1" x="44"/>
        <item m="1" x="34"/>
        <item m="1" x="122"/>
        <item m="1" x="159"/>
        <item m="1" x="69"/>
        <item m="1" x="82"/>
        <item m="1" x="99"/>
        <item m="1" x="165"/>
        <item m="1" x="171"/>
        <item m="1" x="213"/>
        <item m="1" x="85"/>
        <item m="1" x="46"/>
        <item m="1" x="100"/>
        <item m="1" x="3"/>
        <item m="1" x="77"/>
        <item m="1" x="57"/>
        <item m="1" x="169"/>
        <item m="1" x="194"/>
        <item m="1" x="94"/>
        <item m="1" x="30"/>
        <item m="1" x="139"/>
        <item m="1" x="201"/>
        <item m="1" x="43"/>
        <item m="1" x="195"/>
        <item m="1" x="196"/>
        <item m="1" x="161"/>
        <item m="1" x="216"/>
        <item m="1" x="162"/>
        <item m="1" x="120"/>
        <item m="1" x="66"/>
        <item m="1" x="156"/>
        <item m="1" x="160"/>
        <item m="1" x="142"/>
        <item m="1" x="96"/>
        <item m="1" x="11"/>
        <item m="1" x="135"/>
        <item m="1" x="7"/>
        <item m="1" x="5"/>
        <item m="1" x="8"/>
        <item m="1" x="116"/>
        <item m="1" x="103"/>
        <item m="1" x="2"/>
        <item m="1" x="207"/>
        <item m="1" x="176"/>
        <item m="1" x="102"/>
        <item m="1" x="177"/>
        <item m="1" x="128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70"/>
        <item m="1" x="107"/>
        <item m="1" x="73"/>
        <item m="1" x="93"/>
        <item m="1" x="22"/>
        <item m="1" x="69"/>
        <item m="1" x="63"/>
        <item m="1" x="116"/>
        <item m="1" x="193"/>
        <item m="1" x="50"/>
        <item m="1" x="119"/>
        <item m="1" x="52"/>
        <item m="1" x="187"/>
        <item m="1" x="17"/>
        <item m="1" x="161"/>
        <item m="1" x="174"/>
        <item m="1" x="51"/>
        <item m="1" x="200"/>
        <item m="1" x="178"/>
        <item m="1" x="96"/>
        <item m="1" x="16"/>
        <item m="1" x="32"/>
        <item m="1" x="156"/>
        <item m="1" x="145"/>
        <item m="1" x="141"/>
        <item m="1" x="134"/>
        <item m="1" x="35"/>
        <item m="1" x="192"/>
        <item m="1" x="56"/>
        <item m="1" x="198"/>
        <item m="1" x="123"/>
        <item m="1" x="7"/>
        <item m="1" x="128"/>
        <item m="1" x="140"/>
        <item m="1" x="184"/>
        <item m="1" x="204"/>
        <item m="1" x="82"/>
        <item m="1" x="166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158"/>
        <item m="1" x="215"/>
        <item m="1" x="147"/>
        <item m="1" x="74"/>
        <item m="1" x="110"/>
        <item m="1" x="163"/>
        <item m="1" x="197"/>
        <item m="1" x="57"/>
        <item m="1" x="199"/>
        <item m="1" x="13"/>
        <item m="1" x="189"/>
        <item m="1" x="191"/>
        <item m="1" x="120"/>
        <item m="1" x="173"/>
        <item m="1" x="20"/>
        <item m="1" x="10"/>
        <item m="1" x="133"/>
        <item m="1" x="78"/>
        <item m="1" x="95"/>
        <item m="1" x="212"/>
        <item m="1" x="85"/>
        <item m="1" x="219"/>
        <item m="1" x="181"/>
        <item m="1" x="188"/>
        <item m="1" x="165"/>
        <item m="1" x="60"/>
        <item m="1" x="19"/>
        <item m="1" x="21"/>
        <item m="1" x="209"/>
        <item m="1" x="151"/>
        <item m="1" x="160"/>
        <item m="1" x="15"/>
        <item m="1" x="150"/>
        <item m="1" x="149"/>
        <item m="1" x="207"/>
        <item m="1" x="40"/>
        <item m="1" x="195"/>
        <item m="1" x="105"/>
        <item m="1" x="90"/>
        <item m="1" x="125"/>
        <item m="1" x="37"/>
        <item m="1" x="91"/>
        <item m="1" x="177"/>
        <item m="1" x="42"/>
        <item m="1" x="100"/>
        <item m="1" x="2"/>
        <item m="1" x="213"/>
        <item m="1" x="43"/>
        <item m="1" x="3"/>
        <item m="1" x="118"/>
        <item m="1" x="180"/>
        <item m="1" x="68"/>
        <item m="1" x="45"/>
        <item m="1" x="64"/>
        <item m="1" x="28"/>
        <item m="1" x="33"/>
        <item m="1" x="214"/>
        <item m="1" x="62"/>
        <item m="1" x="99"/>
        <item m="1" x="26"/>
        <item m="1" x="55"/>
        <item m="1" x="154"/>
        <item m="1" x="94"/>
        <item m="1" x="153"/>
        <item m="1" x="12"/>
        <item m="1" x="59"/>
        <item m="1" x="65"/>
        <item m="1" x="171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2"/>
        <item m="1" x="507"/>
        <item m="1" x="1742"/>
        <item x="299"/>
        <item m="1" x="1713"/>
        <item m="1" x="355"/>
        <item m="1" x="418"/>
        <item m="1" x="390"/>
        <item m="1" x="1302"/>
        <item m="1" x="1402"/>
        <item m="1" x="515"/>
        <item m="1" x="704"/>
        <item m="1" x="1793"/>
        <item m="1" x="1781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x="99"/>
        <item m="1" x="1918"/>
        <item m="1" x="1004"/>
        <item m="1" x="1048"/>
        <item m="1" x="456"/>
        <item m="1" x="733"/>
        <item m="1" x="1709"/>
        <item m="1" x="1712"/>
        <item m="1" x="338"/>
        <item m="1" x="380"/>
        <item m="1" x="416"/>
        <item m="1" x="936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1914"/>
        <item m="1" x="2032"/>
        <item m="1" x="1877"/>
        <item m="1" x="1661"/>
        <item m="1" x="1403"/>
        <item m="1" x="1585"/>
        <item m="1" x="1957"/>
        <item m="1" x="1170"/>
        <item m="1" x="1433"/>
        <item m="1" x="548"/>
        <item m="1" x="1789"/>
        <item m="1" x="1437"/>
        <item m="1" x="1841"/>
        <item m="1" x="878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885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95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37"/>
        <item m="1" x="915"/>
        <item m="1" x="444"/>
        <item x="249"/>
        <item m="1" x="525"/>
        <item m="1" x="529"/>
        <item m="1" x="534"/>
        <item m="1" x="465"/>
        <item m="1" x="1711"/>
        <item m="1" x="454"/>
        <item m="1" x="2052"/>
        <item m="1" x="1336"/>
        <item m="1" x="1686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h="1" m="1" x="5"/>
        <item h="1" m="1" x="3"/>
        <item h="1"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x="1"/>
        <item h="1"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"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CGST RCM Total" fld="37" baseField="0" baseItem="0"/>
    <dataField name=" SGST RCM Total" fld="34" baseField="0" baseItem="0"/>
    <dataField name=" IGST RCM Total" fld="39" baseField="0" baseItem="0"/>
  </dataFields>
  <formats count="8">
    <format dxfId="101">
      <pivotArea outline="0" collapsedLevelsAreSubtotals="1" fieldPosition="0"/>
    </format>
    <format dxfId="100">
      <pivotArea dataOnly="0" labelOnly="1" outline="0" fieldPosition="0">
        <references count="1">
          <reference field="1" count="0"/>
        </references>
      </pivotArea>
    </format>
    <format dxfId="99">
      <pivotArea dataOnly="0" labelOnly="1" grandRow="1" outline="0" fieldPosition="0"/>
    </format>
    <format dxfId="98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97">
      <pivotArea outline="0" collapsedLevelsAreSubtotals="1" fieldPosition="0"/>
    </format>
    <format dxfId="96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le3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P4:AC6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m="1" x="5"/>
        <item h="1"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h="1" x="1"/>
        <item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"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10">
    <format dxfId="77">
      <pivotArea outline="0" collapsedLevelsAreSubtotals="1" fieldPosition="0"/>
    </format>
    <format dxfId="76">
      <pivotArea dataOnly="0" labelOnly="1" outline="0" fieldPosition="0">
        <references count="1">
          <reference field="1" count="0"/>
        </references>
      </pivotArea>
    </format>
    <format dxfId="75">
      <pivotArea dataOnly="0" labelOnly="1" grandRow="1" outline="0" fieldPosition="0"/>
    </format>
    <format dxfId="74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73">
      <pivotArea outline="0" collapsedLevelsAreSubtotals="1" fieldPosition="0"/>
    </format>
    <format dxfId="72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69">
      <pivotArea dataOnly="0" labelOnly="1" outline="0" fieldPosition="0">
        <references count="2">
          <reference field="1" count="1" selected="0">
            <x v="1"/>
          </reference>
          <reference field="2" count="1">
            <x v="85"/>
          </reference>
        </references>
      </pivotArea>
    </format>
    <format dxfId="68">
      <pivotArea dataOnly="0" labelOnly="1" outline="0" fieldPosition="0">
        <references count="2">
          <reference field="1" count="1" selected="0">
            <x v="1"/>
          </reference>
          <reference field="2" count="1">
            <x v="8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6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h="1" x="0"/>
        <item m="1" x="5"/>
        <item h="1"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x="1"/>
        <item h="1"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"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85">
      <pivotArea outline="0" collapsedLevelsAreSubtotals="1" fieldPosition="0"/>
    </format>
    <format dxfId="84">
      <pivotArea dataOnly="0" labelOnly="1" outline="0" fieldPosition="0">
        <references count="1">
          <reference field="1" count="0"/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81">
      <pivotArea outline="0" collapsedLevelsAreSubtotals="1" fieldPosition="0"/>
    </format>
    <format dxfId="80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308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x="0"/>
        <item h="1" m="1" x="5"/>
        <item h="1"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CGST RCM Total2"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h="1" x="3"/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303">
    <i>
      <x/>
      <x v="1897"/>
      <x v="1"/>
      <x v="220"/>
      <x v="220"/>
      <x v="1834"/>
      <x v="3"/>
    </i>
    <i r="1">
      <x v="1898"/>
      <x v="2"/>
      <x v="220"/>
      <x v="220"/>
      <x v="1497"/>
      <x v="4"/>
    </i>
    <i r="1">
      <x v="1899"/>
      <x v="2"/>
      <x v="220"/>
      <x v="220"/>
      <x v="1835"/>
      <x v="2"/>
    </i>
    <i r="1">
      <x v="1901"/>
      <x/>
      <x v="220"/>
      <x v="220"/>
      <x v="1836"/>
      <x v="5"/>
    </i>
    <i r="1">
      <x v="1902"/>
      <x/>
      <x v="220"/>
      <x v="220"/>
      <x v="1837"/>
      <x v="6"/>
    </i>
    <i>
      <x v="1"/>
      <x v="1896"/>
      <x v="3"/>
      <x v="220"/>
      <x v="220"/>
      <x v="1839"/>
      <x v="8"/>
    </i>
    <i r="1">
      <x v="1897"/>
      <x v="3"/>
      <x v="220"/>
      <x v="220"/>
      <x v="1840"/>
      <x v="9"/>
    </i>
    <i r="1">
      <x v="1898"/>
      <x v="3"/>
      <x v="220"/>
      <x v="220"/>
      <x v="1841"/>
      <x v="10"/>
    </i>
    <i r="1">
      <x v="1899"/>
      <x v="3"/>
      <x v="220"/>
      <x v="220"/>
      <x v="1842"/>
      <x v="9"/>
    </i>
    <i r="1">
      <x v="1900"/>
      <x v="3"/>
      <x v="220"/>
      <x v="220"/>
      <x v="1843"/>
      <x v="11"/>
    </i>
    <i r="1">
      <x v="1901"/>
      <x v="4"/>
      <x v="220"/>
      <x v="220"/>
      <x v="1845"/>
      <x v="10"/>
    </i>
    <i r="1">
      <x v="1902"/>
      <x v="4"/>
      <x v="220"/>
      <x v="220"/>
      <x v="1846"/>
      <x v="12"/>
    </i>
    <i r="1">
      <x v="1903"/>
      <x v="4"/>
      <x v="220"/>
      <x v="220"/>
      <x v="1847"/>
      <x v="9"/>
    </i>
    <i r="1">
      <x v="1904"/>
      <x v="4"/>
      <x v="220"/>
      <x v="220"/>
      <x v="1844"/>
      <x v="3"/>
    </i>
    <i r="1">
      <x v="1905"/>
      <x v="4"/>
      <x v="220"/>
      <x v="220"/>
      <x v="1848"/>
      <x v="9"/>
    </i>
    <i r="1">
      <x v="1906"/>
      <x v="4"/>
      <x v="220"/>
      <x v="220"/>
      <x v="1849"/>
      <x v="9"/>
    </i>
    <i r="1">
      <x v="1907"/>
      <x v="4"/>
      <x v="220"/>
      <x v="220"/>
      <x v="1850"/>
      <x v="3"/>
    </i>
    <i r="1">
      <x v="1908"/>
      <x v="4"/>
      <x v="220"/>
      <x v="220"/>
      <x v="1851"/>
      <x v="9"/>
    </i>
    <i r="1">
      <x v="1909"/>
      <x v="4"/>
      <x v="220"/>
      <x v="220"/>
      <x v="793"/>
      <x v="9"/>
    </i>
    <i r="1">
      <x v="1910"/>
      <x v="4"/>
      <x v="220"/>
      <x v="220"/>
      <x v="1852"/>
      <x v="13"/>
    </i>
    <i r="1">
      <x v="1911"/>
      <x v="4"/>
      <x v="220"/>
      <x v="220"/>
      <x v="1853"/>
      <x v="13"/>
    </i>
    <i r="1">
      <x v="1912"/>
      <x v="4"/>
      <x v="220"/>
      <x v="220"/>
      <x v="1854"/>
      <x v="13"/>
    </i>
    <i r="1">
      <x v="1913"/>
      <x v="4"/>
      <x v="220"/>
      <x v="220"/>
      <x v="1855"/>
      <x v="3"/>
    </i>
    <i r="1">
      <x v="1914"/>
      <x v="5"/>
      <x v="220"/>
      <x v="220"/>
      <x v="1856"/>
      <x v="14"/>
    </i>
    <i r="1">
      <x v="1915"/>
      <x v="5"/>
      <x v="220"/>
      <x v="220"/>
      <x v="1857"/>
      <x v="15"/>
    </i>
    <i r="1">
      <x v="1916"/>
      <x v="5"/>
      <x v="220"/>
      <x v="220"/>
      <x v="1858"/>
      <x v="14"/>
    </i>
    <i r="1">
      <x v="1917"/>
      <x v="5"/>
      <x v="220"/>
      <x v="220"/>
      <x v="1859"/>
      <x v="14"/>
    </i>
    <i r="1">
      <x v="1918"/>
      <x v="6"/>
      <x v="220"/>
      <x v="220"/>
      <x v="1860"/>
      <x v="15"/>
    </i>
    <i r="1">
      <x v="1919"/>
      <x v="5"/>
      <x v="220"/>
      <x v="220"/>
      <x v="405"/>
      <x v="3"/>
    </i>
    <i r="1">
      <x v="1920"/>
      <x v="5"/>
      <x v="220"/>
      <x v="220"/>
      <x v="1861"/>
      <x v="16"/>
    </i>
    <i r="1">
      <x v="1921"/>
      <x v="5"/>
      <x v="220"/>
      <x v="220"/>
      <x v="1862"/>
      <x v="15"/>
    </i>
    <i r="1">
      <x v="1922"/>
      <x v="5"/>
      <x v="220"/>
      <x v="220"/>
      <x v="1152"/>
      <x v="14"/>
    </i>
    <i r="1">
      <x v="1923"/>
      <x v="5"/>
      <x v="220"/>
      <x v="220"/>
      <x v="1863"/>
      <x v="16"/>
    </i>
    <i r="1">
      <x v="1924"/>
      <x v="5"/>
      <x v="220"/>
      <x v="220"/>
      <x v="1864"/>
      <x v="17"/>
    </i>
    <i r="1">
      <x v="1925"/>
      <x v="5"/>
      <x v="220"/>
      <x v="220"/>
      <x v="1865"/>
      <x v="16"/>
    </i>
    <i r="1">
      <x v="1926"/>
      <x v="5"/>
      <x v="220"/>
      <x v="220"/>
      <x v="1866"/>
      <x v="16"/>
    </i>
    <i r="1">
      <x v="1927"/>
      <x v="6"/>
      <x v="220"/>
      <x v="220"/>
      <x v="1867"/>
      <x v="16"/>
    </i>
    <i r="1">
      <x v="1928"/>
      <x v="5"/>
      <x v="220"/>
      <x v="220"/>
      <x v="1868"/>
      <x v="16"/>
    </i>
    <i r="1">
      <x v="1929"/>
      <x v="5"/>
      <x v="220"/>
      <x v="220"/>
      <x v="1869"/>
      <x v="16"/>
    </i>
    <i r="1">
      <x v="1930"/>
      <x v="5"/>
      <x v="220"/>
      <x v="220"/>
      <x v="1870"/>
      <x v="3"/>
    </i>
    <i r="1">
      <x v="1931"/>
      <x v="5"/>
      <x v="220"/>
      <x v="220"/>
      <x v="1871"/>
      <x v="3"/>
    </i>
    <i r="1">
      <x v="1932"/>
      <x v="5"/>
      <x v="220"/>
      <x v="220"/>
      <x v="1872"/>
      <x v="9"/>
    </i>
    <i r="1">
      <x v="1933"/>
      <x v="5"/>
      <x v="220"/>
      <x v="220"/>
      <x v="1873"/>
      <x v="17"/>
    </i>
    <i r="1">
      <x v="1934"/>
      <x v="5"/>
      <x v="220"/>
      <x v="220"/>
      <x v="1874"/>
      <x v="18"/>
    </i>
    <i r="1">
      <x v="1935"/>
      <x v="5"/>
      <x v="220"/>
      <x v="220"/>
      <x v="1875"/>
      <x v="9"/>
    </i>
    <i r="1">
      <x v="1936"/>
      <x v="5"/>
      <x v="220"/>
      <x v="220"/>
      <x v="1876"/>
      <x v="13"/>
    </i>
    <i r="1">
      <x v="1937"/>
      <x v="5"/>
      <x v="220"/>
      <x v="220"/>
      <x v="1870"/>
      <x v="13"/>
    </i>
    <i r="1">
      <x v="1938"/>
      <x v="5"/>
      <x v="220"/>
      <x v="220"/>
      <x v="1877"/>
      <x v="12"/>
    </i>
    <i r="1">
      <x v="1939"/>
      <x v="5"/>
      <x v="220"/>
      <x v="220"/>
      <x v="1878"/>
      <x v="10"/>
    </i>
    <i r="1">
      <x v="1940"/>
      <x v="5"/>
      <x v="220"/>
      <x v="220"/>
      <x v="1879"/>
      <x v="8"/>
    </i>
    <i r="1">
      <x v="1941"/>
      <x v="5"/>
      <x v="220"/>
      <x v="220"/>
      <x v="795"/>
      <x v="9"/>
    </i>
    <i r="1">
      <x v="1942"/>
      <x v="5"/>
      <x v="220"/>
      <x v="220"/>
      <x v="1880"/>
      <x/>
    </i>
    <i r="1">
      <x v="1944"/>
      <x v="7"/>
      <x v="220"/>
      <x v="220"/>
      <x v="798"/>
      <x v="14"/>
    </i>
    <i r="1">
      <x v="1945"/>
      <x v="7"/>
      <x v="220"/>
      <x v="220"/>
      <x v="1881"/>
      <x v="19"/>
    </i>
    <i r="1">
      <x v="1946"/>
      <x v="7"/>
      <x v="220"/>
      <x v="220"/>
      <x v="1882"/>
      <x v="19"/>
    </i>
    <i r="1">
      <x v="1947"/>
      <x v="7"/>
      <x v="220"/>
      <x v="220"/>
      <x v="1883"/>
      <x v="19"/>
    </i>
    <i r="1">
      <x v="1948"/>
      <x v="7"/>
      <x v="220"/>
      <x v="220"/>
      <x v="1884"/>
      <x v="14"/>
    </i>
    <i r="1">
      <x v="1949"/>
      <x v="7"/>
      <x v="220"/>
      <x v="220"/>
      <x v="1885"/>
      <x v="19"/>
    </i>
    <i r="1">
      <x v="1950"/>
      <x v="7"/>
      <x v="220"/>
      <x v="220"/>
      <x v="1886"/>
      <x v="20"/>
    </i>
    <i r="1">
      <x v="1951"/>
      <x v="7"/>
      <x v="220"/>
      <x v="220"/>
      <x v="1887"/>
      <x v="21"/>
    </i>
    <i r="1">
      <x v="1952"/>
      <x v="7"/>
      <x v="220"/>
      <x v="220"/>
      <x v="1199"/>
      <x v="21"/>
    </i>
    <i r="1">
      <x v="1953"/>
      <x v="7"/>
      <x v="220"/>
      <x v="220"/>
      <x v="1888"/>
      <x v="21"/>
    </i>
    <i r="1">
      <x v="1954"/>
      <x v="7"/>
      <x v="220"/>
      <x v="220"/>
      <x v="1889"/>
      <x v="21"/>
    </i>
    <i r="1">
      <x v="1955"/>
      <x v="7"/>
      <x v="220"/>
      <x v="220"/>
      <x v="1890"/>
      <x v="12"/>
    </i>
    <i r="1">
      <x v="1956"/>
      <x/>
      <x v="220"/>
      <x v="220"/>
      <x v="1891"/>
      <x v="21"/>
    </i>
    <i r="1">
      <x v="1957"/>
      <x/>
      <x v="220"/>
      <x v="220"/>
      <x v="1892"/>
      <x v="2"/>
    </i>
    <i r="1">
      <x v="1958"/>
      <x/>
      <x v="220"/>
      <x v="220"/>
      <x v="1893"/>
      <x v="2"/>
    </i>
    <i r="1">
      <x v="1959"/>
      <x/>
      <x v="220"/>
      <x v="220"/>
      <x v="1894"/>
      <x v="2"/>
    </i>
    <i r="1">
      <x v="1960"/>
      <x/>
      <x v="220"/>
      <x v="220"/>
      <x v="1895"/>
      <x v="2"/>
    </i>
    <i r="1">
      <x v="1961"/>
      <x/>
      <x v="220"/>
      <x v="220"/>
      <x v="1896"/>
      <x v="22"/>
    </i>
    <i r="1">
      <x v="1962"/>
      <x/>
      <x v="220"/>
      <x v="220"/>
      <x v="1897"/>
      <x v="2"/>
    </i>
    <i r="1">
      <x v="1963"/>
      <x/>
      <x v="220"/>
      <x v="220"/>
      <x v="1898"/>
      <x v="23"/>
    </i>
    <i r="1">
      <x v="1964"/>
      <x/>
      <x v="220"/>
      <x v="220"/>
      <x v="1477"/>
      <x v="24"/>
    </i>
    <i r="1">
      <x v="1965"/>
      <x/>
      <x v="220"/>
      <x v="220"/>
      <x v="1899"/>
      <x v="19"/>
    </i>
    <i r="1">
      <x v="1966"/>
      <x/>
      <x v="220"/>
      <x v="220"/>
      <x v="1900"/>
      <x v="5"/>
    </i>
    <i r="1">
      <x v="1967"/>
      <x/>
      <x v="220"/>
      <x v="220"/>
      <x v="1901"/>
      <x v="25"/>
    </i>
    <i r="1">
      <x v="1968"/>
      <x/>
      <x v="220"/>
      <x v="220"/>
      <x v="1852"/>
      <x v="26"/>
    </i>
    <i r="1">
      <x v="1969"/>
      <x/>
      <x v="220"/>
      <x v="220"/>
      <x v="1902"/>
      <x v="23"/>
    </i>
    <i r="1">
      <x v="1970"/>
      <x/>
      <x v="220"/>
      <x v="220"/>
      <x v="1903"/>
      <x v="27"/>
    </i>
    <i r="1">
      <x v="1971"/>
      <x/>
      <x v="220"/>
      <x v="220"/>
      <x v="1904"/>
      <x v="17"/>
    </i>
    <i r="1">
      <x v="1972"/>
      <x/>
      <x v="220"/>
      <x v="220"/>
      <x v="1905"/>
      <x v="24"/>
    </i>
    <i r="1">
      <x v="1973"/>
      <x/>
      <x v="220"/>
      <x v="220"/>
      <x v="1906"/>
      <x v="24"/>
    </i>
    <i r="1">
      <x v="1974"/>
      <x/>
      <x v="220"/>
      <x v="220"/>
      <x v="1907"/>
      <x v="24"/>
    </i>
    <i r="1">
      <x v="1975"/>
      <x/>
      <x v="220"/>
      <x v="220"/>
      <x v="1908"/>
      <x/>
    </i>
    <i r="1">
      <x v="1976"/>
      <x/>
      <x v="220"/>
      <x v="220"/>
      <x v="1909"/>
      <x v="13"/>
    </i>
    <i r="1">
      <x v="1977"/>
      <x/>
      <x v="220"/>
      <x v="220"/>
      <x v="1910"/>
      <x v="28"/>
    </i>
    <i r="1">
      <x v="1978"/>
      <x/>
      <x v="220"/>
      <x v="220"/>
      <x v="1911"/>
      <x v="28"/>
    </i>
    <i r="1">
      <x v="1979"/>
      <x/>
      <x v="220"/>
      <x v="220"/>
      <x v="1842"/>
      <x v="28"/>
    </i>
    <i r="1">
      <x v="1980"/>
      <x/>
      <x v="220"/>
      <x v="220"/>
      <x v="1912"/>
      <x v="2"/>
    </i>
    <i r="1">
      <x v="1982"/>
      <x/>
      <x v="220"/>
      <x v="220"/>
      <x v="1872"/>
      <x v="26"/>
    </i>
    <i r="1">
      <x v="1983"/>
      <x/>
      <x v="220"/>
      <x v="220"/>
      <x v="1913"/>
      <x v="17"/>
    </i>
    <i r="1">
      <x v="1984"/>
      <x/>
      <x v="220"/>
      <x v="220"/>
      <x v="1914"/>
      <x v="26"/>
    </i>
    <i r="1">
      <x v="1986"/>
      <x/>
      <x v="220"/>
      <x v="220"/>
      <x v="1916"/>
      <x v="18"/>
    </i>
    <i r="1">
      <x v="1987"/>
      <x/>
      <x v="220"/>
      <x v="220"/>
      <x v="1917"/>
      <x v="28"/>
    </i>
    <i r="1">
      <x v="1988"/>
      <x/>
      <x v="220"/>
      <x v="220"/>
      <x v="1918"/>
      <x v="16"/>
    </i>
    <i r="1">
      <x v="1989"/>
      <x/>
      <x v="220"/>
      <x v="220"/>
      <x/>
      <x v="3"/>
    </i>
    <i r="1">
      <x v="1990"/>
      <x/>
      <x v="220"/>
      <x v="220"/>
      <x v="1919"/>
      <x v="18"/>
    </i>
    <i r="1">
      <x v="1991"/>
      <x/>
      <x v="220"/>
      <x v="220"/>
      <x v="1920"/>
      <x v="22"/>
    </i>
    <i r="1">
      <x v="1992"/>
      <x/>
      <x v="220"/>
      <x v="220"/>
      <x v="1921"/>
      <x/>
    </i>
    <i r="1">
      <x v="1993"/>
      <x/>
      <x v="220"/>
      <x v="220"/>
      <x v="1922"/>
      <x v="16"/>
    </i>
    <i r="1">
      <x v="1994"/>
      <x/>
      <x v="220"/>
      <x v="220"/>
      <x v="1923"/>
      <x v="21"/>
    </i>
    <i r="1">
      <x v="1995"/>
      <x/>
      <x v="220"/>
      <x v="220"/>
      <x v="1924"/>
      <x v="24"/>
    </i>
    <i r="1">
      <x v="1996"/>
      <x/>
      <x v="220"/>
      <x v="220"/>
      <x v="1925"/>
      <x v="14"/>
    </i>
    <i r="1">
      <x v="1997"/>
      <x/>
      <x v="220"/>
      <x v="220"/>
      <x v="1926"/>
      <x v="28"/>
    </i>
    <i r="1">
      <x v="1998"/>
      <x/>
      <x v="220"/>
      <x v="220"/>
      <x v="1927"/>
      <x v="22"/>
    </i>
    <i r="1">
      <x v="1999"/>
      <x/>
      <x v="220"/>
      <x v="220"/>
      <x v="1928"/>
      <x v="25"/>
    </i>
    <i r="1">
      <x v="2000"/>
      <x/>
      <x v="220"/>
      <x v="220"/>
      <x v="820"/>
      <x v="28"/>
    </i>
    <i r="1">
      <x v="2001"/>
      <x/>
      <x v="220"/>
      <x v="220"/>
      <x v="1929"/>
      <x v="17"/>
    </i>
    <i r="1">
      <x v="2002"/>
      <x/>
      <x v="220"/>
      <x v="220"/>
      <x v="1930"/>
      <x v="17"/>
    </i>
    <i r="1">
      <x v="2003"/>
      <x/>
      <x v="220"/>
      <x v="220"/>
      <x v="1885"/>
      <x v="22"/>
    </i>
    <i r="1">
      <x v="2004"/>
      <x/>
      <x v="220"/>
      <x v="220"/>
      <x v="1931"/>
      <x v="25"/>
    </i>
    <i r="1">
      <x v="2005"/>
      <x/>
      <x v="220"/>
      <x v="220"/>
      <x v="1932"/>
      <x v="28"/>
    </i>
    <i r="1">
      <x v="2006"/>
      <x/>
      <x v="220"/>
      <x v="220"/>
      <x v="1933"/>
      <x v="29"/>
    </i>
    <i r="1">
      <x v="2007"/>
      <x/>
      <x v="220"/>
      <x v="220"/>
      <x v="1934"/>
      <x v="30"/>
    </i>
    <i r="1">
      <x v="2008"/>
      <x/>
      <x v="220"/>
      <x v="220"/>
      <x v="1935"/>
      <x v="15"/>
    </i>
    <i r="1">
      <x v="2009"/>
      <x/>
      <x v="220"/>
      <x v="220"/>
      <x v="1936"/>
      <x v="2"/>
    </i>
    <i>
      <x v="2"/>
      <x v="1896"/>
      <x v="8"/>
      <x v="220"/>
      <x v="220"/>
      <x v="1838"/>
      <x v="7"/>
    </i>
    <i r="1">
      <x v="1897"/>
      <x v="8"/>
      <x v="220"/>
      <x v="220"/>
      <x v="1937"/>
      <x v="31"/>
    </i>
    <i r="1">
      <x v="1898"/>
      <x v="8"/>
      <x v="220"/>
      <x v="220"/>
      <x v="1938"/>
      <x v="30"/>
    </i>
    <i r="1">
      <x v="1899"/>
      <x v="8"/>
      <x v="220"/>
      <x v="220"/>
      <x v="1939"/>
      <x v="7"/>
    </i>
    <i r="1">
      <x v="1900"/>
      <x v="8"/>
      <x v="220"/>
      <x v="220"/>
      <x v="1940"/>
      <x v="27"/>
    </i>
    <i r="1">
      <x v="1901"/>
      <x v="8"/>
      <x v="220"/>
      <x v="220"/>
      <x v="1942"/>
      <x v="32"/>
    </i>
    <i r="1">
      <x v="1902"/>
      <x v="8"/>
      <x v="220"/>
      <x v="220"/>
      <x v="1943"/>
      <x v="33"/>
    </i>
    <i r="1">
      <x v="1903"/>
      <x v="9"/>
      <x v="220"/>
      <x v="220"/>
      <x v="317"/>
      <x v="9"/>
    </i>
    <i r="1">
      <x v="1904"/>
      <x v="8"/>
      <x v="220"/>
      <x v="220"/>
      <x v="1941"/>
      <x v="27"/>
    </i>
    <i r="1">
      <x v="1905"/>
      <x v="9"/>
      <x v="220"/>
      <x v="220"/>
      <x v="1944"/>
      <x v="33"/>
    </i>
    <i r="1">
      <x v="1906"/>
      <x v="9"/>
      <x v="220"/>
      <x v="220"/>
      <x v="1945"/>
      <x v="27"/>
    </i>
    <i r="1">
      <x v="1907"/>
      <x v="9"/>
      <x v="220"/>
      <x v="220"/>
      <x v="1946"/>
      <x v="32"/>
    </i>
    <i r="1">
      <x v="1908"/>
      <x v="9"/>
      <x v="220"/>
      <x v="220"/>
      <x v="1947"/>
      <x v="27"/>
    </i>
    <i r="1">
      <x v="1909"/>
      <x v="9"/>
      <x v="220"/>
      <x v="220"/>
      <x v="1475"/>
      <x v="10"/>
    </i>
    <i r="1">
      <x v="1910"/>
      <x v="9"/>
      <x v="220"/>
      <x v="220"/>
      <x v="1948"/>
      <x v="10"/>
    </i>
    <i r="1">
      <x v="1911"/>
      <x v="9"/>
      <x v="220"/>
      <x v="220"/>
      <x v="1166"/>
      <x v="10"/>
    </i>
    <i r="1">
      <x v="1912"/>
      <x v="10"/>
      <x v="220"/>
      <x v="220"/>
      <x v="1949"/>
      <x v="27"/>
    </i>
    <i r="1">
      <x v="1913"/>
      <x v="11"/>
      <x v="220"/>
      <x v="220"/>
      <x v="1950"/>
      <x v="27"/>
    </i>
    <i r="1">
      <x v="1914"/>
      <x v="11"/>
      <x v="220"/>
      <x v="220"/>
      <x v="1847"/>
      <x v="9"/>
    </i>
    <i r="1">
      <x v="1915"/>
      <x v="11"/>
      <x v="220"/>
      <x v="220"/>
      <x v="1951"/>
      <x v="30"/>
    </i>
    <i r="1">
      <x v="1916"/>
      <x v="11"/>
      <x v="220"/>
      <x v="220"/>
      <x v="1952"/>
      <x v="30"/>
    </i>
    <i r="1">
      <x v="1917"/>
      <x v="11"/>
      <x v="220"/>
      <x v="220"/>
      <x v="1953"/>
      <x v="4"/>
    </i>
    <i r="1">
      <x v="1918"/>
      <x v="11"/>
      <x v="220"/>
      <x v="220"/>
      <x v="1954"/>
      <x v="30"/>
    </i>
    <i r="1">
      <x v="1919"/>
      <x v="11"/>
      <x v="220"/>
      <x v="220"/>
      <x v="1956"/>
      <x v="33"/>
    </i>
    <i r="1">
      <x v="1920"/>
      <x v="11"/>
      <x v="220"/>
      <x v="220"/>
      <x v="1957"/>
      <x v="30"/>
    </i>
    <i r="1">
      <x v="1921"/>
      <x v="11"/>
      <x v="220"/>
      <x v="220"/>
      <x v="1958"/>
      <x v="27"/>
    </i>
    <i r="1">
      <x v="1922"/>
      <x v="11"/>
      <x v="220"/>
      <x v="220"/>
      <x v="1913"/>
      <x v="9"/>
    </i>
    <i r="1">
      <x v="1923"/>
      <x v="12"/>
      <x v="220"/>
      <x v="220"/>
      <x v="820"/>
      <x v="9"/>
    </i>
    <i r="1">
      <x v="1924"/>
      <x v="12"/>
      <x v="220"/>
      <x v="220"/>
      <x v="1959"/>
      <x v="13"/>
    </i>
    <i r="1">
      <x v="1925"/>
      <x v="12"/>
      <x v="220"/>
      <x v="220"/>
      <x v="1960"/>
      <x v="13"/>
    </i>
    <i r="1">
      <x v="1926"/>
      <x v="12"/>
      <x v="220"/>
      <x v="220"/>
      <x v="1961"/>
      <x v="13"/>
    </i>
    <i r="1">
      <x v="1928"/>
      <x v="12"/>
      <x v="220"/>
      <x v="220"/>
      <x v="1962"/>
      <x v="32"/>
    </i>
    <i r="1">
      <x v="1929"/>
      <x v="12"/>
      <x v="220"/>
      <x v="220"/>
      <x v="1963"/>
      <x v="33"/>
    </i>
    <i r="1">
      <x v="1930"/>
      <x v="12"/>
      <x v="220"/>
      <x v="220"/>
      <x v="1964"/>
      <x v="34"/>
    </i>
    <i r="1">
      <x v="1931"/>
      <x v="13"/>
      <x v="220"/>
      <x v="220"/>
      <x v="1965"/>
      <x v="10"/>
    </i>
    <i r="1">
      <x v="1932"/>
      <x v="13"/>
      <x v="220"/>
      <x v="220"/>
      <x v="1966"/>
      <x v="13"/>
    </i>
    <i r="1">
      <x v="1933"/>
      <x v="13"/>
      <x v="220"/>
      <x v="220"/>
      <x v="1967"/>
      <x v="13"/>
    </i>
    <i r="1">
      <x v="1934"/>
      <x v="13"/>
      <x v="220"/>
      <x v="220"/>
      <x v="1968"/>
      <x v="32"/>
    </i>
    <i r="1">
      <x v="1935"/>
      <x v="13"/>
      <x v="220"/>
      <x v="220"/>
      <x v="1969"/>
      <x v="4"/>
    </i>
    <i r="1">
      <x v="1936"/>
      <x v="13"/>
      <x v="220"/>
      <x v="220"/>
      <x v="1970"/>
      <x v="13"/>
    </i>
    <i r="1">
      <x v="1937"/>
      <x v="13"/>
      <x v="220"/>
      <x v="220"/>
      <x v="1971"/>
      <x v="27"/>
    </i>
    <i r="1">
      <x v="1938"/>
      <x v="13"/>
      <x v="220"/>
      <x v="220"/>
      <x v="1972"/>
      <x v="32"/>
    </i>
    <i r="1">
      <x v="1939"/>
      <x v="13"/>
      <x v="220"/>
      <x v="220"/>
      <x v="1973"/>
      <x v="13"/>
    </i>
    <i r="1">
      <x v="1940"/>
      <x v="13"/>
      <x v="220"/>
      <x v="220"/>
      <x v="1974"/>
      <x v="12"/>
    </i>
    <i r="1">
      <x v="1942"/>
      <x v="13"/>
      <x v="220"/>
      <x v="220"/>
      <x v="1976"/>
      <x v="12"/>
    </i>
    <i r="1">
      <x v="1943"/>
      <x v="13"/>
      <x v="220"/>
      <x v="220"/>
      <x v="1851"/>
      <x v="8"/>
    </i>
    <i r="1">
      <x v="1944"/>
      <x v="1"/>
      <x v="220"/>
      <x v="220"/>
      <x v="1354"/>
      <x v="8"/>
    </i>
    <i r="1">
      <x v="1945"/>
      <x v="1"/>
      <x v="220"/>
      <x v="220"/>
      <x v="1977"/>
      <x v="8"/>
    </i>
    <i r="1">
      <x v="1946"/>
      <x v="1"/>
      <x v="220"/>
      <x v="220"/>
      <x v="1978"/>
      <x/>
    </i>
    <i r="1">
      <x v="1949"/>
      <x v="1"/>
      <x v="220"/>
      <x v="220"/>
      <x v="1981"/>
      <x/>
    </i>
    <i r="1">
      <x v="1950"/>
      <x v="1"/>
      <x v="220"/>
      <x v="220"/>
      <x v="1982"/>
      <x v="3"/>
    </i>
    <i r="1">
      <x v="1951"/>
      <x v="1"/>
      <x v="220"/>
      <x v="220"/>
      <x v="1462"/>
      <x v="3"/>
    </i>
    <i r="1">
      <x v="1952"/>
      <x v="1"/>
      <x v="220"/>
      <x v="220"/>
      <x v="803"/>
      <x v="3"/>
    </i>
    <i r="1">
      <x v="1953"/>
      <x v="1"/>
      <x v="220"/>
      <x v="220"/>
      <x v="1983"/>
      <x/>
    </i>
    <i r="1">
      <x v="1954"/>
      <x v="1"/>
      <x v="220"/>
      <x v="220"/>
      <x v="1808"/>
      <x v="3"/>
    </i>
    <i r="1">
      <x v="1956"/>
      <x v="1"/>
      <x v="220"/>
      <x v="220"/>
      <x v="866"/>
      <x v="16"/>
    </i>
    <i r="1">
      <x v="1957"/>
      <x v="1"/>
      <x v="220"/>
      <x v="220"/>
      <x v="1985"/>
      <x v="16"/>
    </i>
    <i r="1">
      <x v="1958"/>
      <x v="1"/>
      <x v="220"/>
      <x v="220"/>
      <x v="1986"/>
      <x/>
    </i>
    <i r="1">
      <x v="1959"/>
      <x v="1"/>
      <x v="220"/>
      <x v="220"/>
      <x v="1834"/>
      <x v="3"/>
    </i>
    <i r="1">
      <x v="1960"/>
      <x v="1"/>
      <x v="220"/>
      <x v="220"/>
      <x v="1987"/>
      <x v="16"/>
    </i>
    <i r="1">
      <x v="1961"/>
      <x v="1"/>
      <x v="220"/>
      <x v="220"/>
      <x v="89"/>
      <x v="17"/>
    </i>
    <i r="1">
      <x v="1962"/>
      <x v="1"/>
      <x v="220"/>
      <x v="220"/>
      <x v="1988"/>
      <x v="17"/>
    </i>
    <i r="1">
      <x v="1963"/>
      <x v="2"/>
      <x v="220"/>
      <x v="220"/>
      <x v="1989"/>
      <x v="17"/>
    </i>
    <i r="1">
      <x v="1964"/>
      <x v="2"/>
      <x v="220"/>
      <x v="220"/>
      <x v="1990"/>
      <x v="17"/>
    </i>
    <i r="1">
      <x v="1965"/>
      <x v="2"/>
      <x v="220"/>
      <x v="220"/>
      <x v="1991"/>
      <x v="16"/>
    </i>
    <i r="1">
      <x v="1967"/>
      <x v="2"/>
      <x v="220"/>
      <x v="220"/>
      <x v="1993"/>
      <x v="18"/>
    </i>
    <i r="1">
      <x v="1968"/>
      <x v="2"/>
      <x v="220"/>
      <x v="220"/>
      <x v="1994"/>
      <x v="17"/>
    </i>
    <i r="1">
      <x v="1970"/>
      <x v="2"/>
      <x v="220"/>
      <x v="220"/>
      <x v="1995"/>
      <x v="14"/>
    </i>
    <i r="1">
      <x v="1972"/>
      <x v="2"/>
      <x v="220"/>
      <x v="220"/>
      <x v="1997"/>
      <x v="18"/>
    </i>
    <i r="1">
      <x v="1974"/>
      <x v="2"/>
      <x v="220"/>
      <x v="220"/>
      <x v="1999"/>
      <x v="14"/>
    </i>
    <i r="1">
      <x v="1975"/>
      <x v="2"/>
      <x v="220"/>
      <x v="220"/>
      <x v="2000"/>
      <x v="15"/>
    </i>
    <i r="1">
      <x v="1976"/>
      <x v="2"/>
      <x v="220"/>
      <x v="220"/>
      <x v="2001"/>
      <x v="14"/>
    </i>
    <i r="1">
      <x v="1977"/>
      <x v="2"/>
      <x v="220"/>
      <x v="220"/>
      <x v="2002"/>
      <x v="15"/>
    </i>
    <i r="1">
      <x v="1978"/>
      <x v="2"/>
      <x v="220"/>
      <x v="220"/>
      <x v="2003"/>
      <x v="17"/>
    </i>
    <i r="1">
      <x v="1980"/>
      <x v="2"/>
      <x v="220"/>
      <x v="220"/>
      <x v="2005"/>
      <x v="21"/>
    </i>
    <i r="1">
      <x v="1981"/>
      <x v="2"/>
      <x v="220"/>
      <x v="220"/>
      <x v="2006"/>
      <x v="19"/>
    </i>
    <i r="1">
      <x v="1982"/>
      <x v="2"/>
      <x v="220"/>
      <x v="220"/>
      <x v="2007"/>
      <x v="19"/>
    </i>
    <i r="1">
      <x v="1983"/>
      <x v="2"/>
      <x v="220"/>
      <x v="220"/>
      <x v="2008"/>
      <x v="8"/>
    </i>
    <i r="1">
      <x v="1984"/>
      <x v="2"/>
      <x v="220"/>
      <x v="220"/>
      <x v="2009"/>
      <x v="33"/>
    </i>
    <i r="1">
      <x v="1985"/>
      <x v="2"/>
      <x v="220"/>
      <x v="220"/>
      <x v="2010"/>
      <x v="34"/>
    </i>
    <i r="1">
      <x v="1986"/>
      <x v="2"/>
      <x v="220"/>
      <x v="220"/>
      <x v="2011"/>
      <x v="4"/>
    </i>
    <i r="1">
      <x v="1987"/>
      <x v="2"/>
      <x v="220"/>
      <x v="220"/>
      <x v="2012"/>
      <x v="27"/>
    </i>
    <i r="1">
      <x v="1988"/>
      <x v="2"/>
      <x v="220"/>
      <x v="220"/>
      <x v="2013"/>
      <x v="33"/>
    </i>
    <i r="1">
      <x v="1989"/>
      <x v="2"/>
      <x v="220"/>
      <x v="220"/>
      <x v="2014"/>
      <x v="34"/>
    </i>
    <i r="1">
      <x v="1990"/>
      <x v="2"/>
      <x v="220"/>
      <x v="220"/>
      <x v="2015"/>
      <x v="32"/>
    </i>
    <i r="1">
      <x v="1991"/>
      <x v="2"/>
      <x v="220"/>
      <x v="220"/>
      <x v="2016"/>
      <x v="33"/>
    </i>
    <i r="1">
      <x v="1992"/>
      <x v="2"/>
      <x v="220"/>
      <x v="220"/>
      <x v="2017"/>
      <x v="13"/>
    </i>
    <i r="1">
      <x v="1993"/>
      <x v="2"/>
      <x v="220"/>
      <x v="220"/>
      <x v="2018"/>
      <x v="13"/>
    </i>
    <i r="1">
      <x v="1994"/>
      <x v="2"/>
      <x v="220"/>
      <x v="220"/>
      <x v="2019"/>
      <x v="12"/>
    </i>
    <i r="1">
      <x v="1995"/>
      <x v="2"/>
      <x v="220"/>
      <x v="220"/>
      <x v="2021"/>
      <x v="8"/>
    </i>
    <i r="1">
      <x v="1996"/>
      <x v="2"/>
      <x v="220"/>
      <x v="220"/>
      <x v="2022"/>
      <x v="13"/>
    </i>
    <i r="1">
      <x v="1997"/>
      <x v="2"/>
      <x v="220"/>
      <x v="220"/>
      <x v="2023"/>
      <x v="12"/>
    </i>
    <i r="1">
      <x v="1998"/>
      <x v="2"/>
      <x v="220"/>
      <x v="220"/>
      <x v="2024"/>
      <x v="15"/>
    </i>
    <i r="1">
      <x v="1999"/>
      <x v="2"/>
      <x v="220"/>
      <x v="220"/>
      <x v="2026"/>
      <x/>
    </i>
    <i r="1">
      <x v="2000"/>
      <x v="14"/>
      <x v="220"/>
      <x v="220"/>
      <x v="2027"/>
      <x v="8"/>
    </i>
    <i r="1">
      <x v="2001"/>
      <x v="14"/>
      <x v="220"/>
      <x v="220"/>
      <x v="2028"/>
      <x v="8"/>
    </i>
    <i r="1">
      <x v="2002"/>
      <x v="14"/>
      <x v="220"/>
      <x v="220"/>
      <x v="2029"/>
      <x v="12"/>
    </i>
    <i r="1">
      <x v="2003"/>
      <x v="14"/>
      <x v="220"/>
      <x v="220"/>
      <x v="2030"/>
      <x v="3"/>
    </i>
    <i r="1">
      <x v="2004"/>
      <x v="14"/>
      <x v="220"/>
      <x v="220"/>
      <x v="2031"/>
      <x v="27"/>
    </i>
    <i r="1">
      <x v="2005"/>
      <x v="14"/>
      <x v="220"/>
      <x v="220"/>
      <x v="2032"/>
      <x v="32"/>
    </i>
    <i r="1">
      <x v="2006"/>
      <x v="14"/>
      <x v="220"/>
      <x v="220"/>
      <x v="2033"/>
      <x v="14"/>
    </i>
    <i r="1">
      <x v="2007"/>
      <x v="14"/>
      <x v="220"/>
      <x v="220"/>
      <x v="2034"/>
      <x v="17"/>
    </i>
    <i r="1">
      <x v="2008"/>
      <x v="14"/>
      <x v="220"/>
      <x v="220"/>
      <x v="2035"/>
      <x v="33"/>
    </i>
    <i r="1">
      <x v="2009"/>
      <x v="14"/>
      <x v="220"/>
      <x v="220"/>
      <x v="2037"/>
      <x v="27"/>
    </i>
    <i r="1">
      <x v="2010"/>
      <x v="11"/>
      <x v="220"/>
      <x v="220"/>
      <x v="1955"/>
      <x v="7"/>
    </i>
    <i r="1">
      <x v="2011"/>
      <x v="1"/>
      <x v="220"/>
      <x v="220"/>
      <x v="1842"/>
      <x v="8"/>
    </i>
    <i r="1">
      <x v="2012"/>
      <x v="2"/>
      <x v="220"/>
      <x v="220"/>
      <x v="2020"/>
      <x v="16"/>
    </i>
    <i r="1">
      <x v="2013"/>
      <x v="2"/>
      <x v="220"/>
      <x v="220"/>
      <x v="2025"/>
      <x v="9"/>
    </i>
    <i r="1">
      <x v="2014"/>
      <x v="14"/>
      <x v="220"/>
      <x v="220"/>
      <x v="2036"/>
      <x v="17"/>
    </i>
    <i r="1">
      <x v="2015"/>
      <x v="14"/>
      <x v="220"/>
      <x v="220"/>
      <x v="2038"/>
      <x v="27"/>
    </i>
    <i r="1">
      <x v="2017"/>
      <x/>
      <x v="220"/>
      <x v="220"/>
      <x v="2040"/>
      <x v="9"/>
    </i>
    <i r="1">
      <x v="2018"/>
      <x/>
      <x v="220"/>
      <x v="220"/>
      <x v="819"/>
      <x/>
    </i>
    <i r="1">
      <x v="2019"/>
      <x/>
      <x v="220"/>
      <x v="220"/>
      <x v="2041"/>
      <x v="14"/>
    </i>
    <i r="1">
      <x v="2020"/>
      <x/>
      <x v="220"/>
      <x v="220"/>
      <x v="2042"/>
      <x v="19"/>
    </i>
    <i r="1">
      <x v="2021"/>
      <x/>
      <x v="220"/>
      <x v="220"/>
      <x v="1836"/>
      <x v="5"/>
    </i>
    <i r="1">
      <x v="2022"/>
      <x/>
      <x v="220"/>
      <x v="220"/>
      <x v="2043"/>
      <x v="5"/>
    </i>
    <i r="1">
      <x v="2023"/>
      <x/>
      <x v="220"/>
      <x v="220"/>
      <x v="2044"/>
      <x v="21"/>
    </i>
    <i r="1">
      <x v="2024"/>
      <x/>
      <x v="220"/>
      <x v="220"/>
      <x v="2045"/>
      <x v="21"/>
    </i>
    <i r="1">
      <x v="2025"/>
      <x/>
      <x v="220"/>
      <x v="220"/>
      <x v="2046"/>
      <x v="5"/>
    </i>
    <i r="1">
      <x v="2026"/>
      <x/>
      <x v="220"/>
      <x v="220"/>
      <x v="3"/>
      <x v="5"/>
    </i>
    <i r="1">
      <x v="2027"/>
      <x/>
      <x v="220"/>
      <x v="220"/>
      <x v="2047"/>
      <x v="5"/>
    </i>
    <i r="1">
      <x v="2029"/>
      <x/>
      <x v="220"/>
      <x v="220"/>
      <x v="2049"/>
      <x v="26"/>
    </i>
    <i r="1">
      <x v="2030"/>
      <x/>
      <x v="220"/>
      <x v="220"/>
      <x v="1852"/>
      <x v="26"/>
    </i>
    <i r="1">
      <x v="2031"/>
      <x/>
      <x v="220"/>
      <x v="220"/>
      <x v="2050"/>
      <x v="5"/>
    </i>
    <i r="1">
      <x v="2032"/>
      <x/>
      <x v="220"/>
      <x v="220"/>
      <x v="2051"/>
      <x v="2"/>
    </i>
    <i r="1">
      <x v="2033"/>
      <x/>
      <x v="220"/>
      <x v="220"/>
      <x v="2052"/>
      <x v="2"/>
    </i>
    <i r="1">
      <x v="2034"/>
      <x/>
      <x v="220"/>
      <x v="220"/>
      <x v="2053"/>
      <x v="21"/>
    </i>
    <i r="1">
      <x v="2036"/>
      <x v="15"/>
      <x v="220"/>
      <x v="220"/>
      <x v="2055"/>
      <x v="23"/>
    </i>
    <i r="1">
      <x v="2037"/>
      <x/>
      <x v="220"/>
      <x v="220"/>
      <x v="1919"/>
      <x v="35"/>
    </i>
    <i r="1">
      <x v="2038"/>
      <x/>
      <x v="220"/>
      <x v="220"/>
      <x v="2056"/>
      <x v="22"/>
    </i>
    <i r="1">
      <x v="2039"/>
      <x/>
      <x v="220"/>
      <x v="220"/>
      <x v="2057"/>
      <x v="22"/>
    </i>
    <i r="1">
      <x v="2040"/>
      <x/>
      <x v="220"/>
      <x v="220"/>
      <x v="334"/>
      <x v="6"/>
    </i>
    <i r="1">
      <x v="2041"/>
      <x/>
      <x v="220"/>
      <x v="220"/>
      <x v="2058"/>
      <x v="26"/>
    </i>
    <i r="1">
      <x v="2042"/>
      <x/>
      <x v="220"/>
      <x v="220"/>
      <x v="1354"/>
      <x v="6"/>
    </i>
    <i r="1">
      <x v="2043"/>
      <x/>
      <x v="220"/>
      <x v="220"/>
      <x v="819"/>
      <x v="6"/>
    </i>
    <i r="1">
      <x v="2044"/>
      <x/>
      <x v="220"/>
      <x v="220"/>
      <x v="2059"/>
      <x v="6"/>
    </i>
    <i r="1">
      <x v="2045"/>
      <x/>
      <x v="220"/>
      <x v="220"/>
      <x v="2060"/>
      <x v="6"/>
    </i>
    <i r="1">
      <x v="2046"/>
      <x/>
      <x v="220"/>
      <x v="220"/>
      <x v="2061"/>
      <x v="6"/>
    </i>
    <i r="1">
      <x v="2047"/>
      <x/>
      <x v="220"/>
      <x v="220"/>
      <x v="799"/>
      <x v="24"/>
    </i>
    <i r="1">
      <x v="2048"/>
      <x/>
      <x v="220"/>
      <x v="220"/>
      <x v="2062"/>
      <x v="6"/>
    </i>
    <i r="1">
      <x v="2049"/>
      <x/>
      <x v="220"/>
      <x v="220"/>
      <x v="2063"/>
      <x v="35"/>
    </i>
    <i r="1">
      <x v="2050"/>
      <x/>
      <x v="220"/>
      <x v="220"/>
      <x v="2064"/>
      <x v="32"/>
    </i>
    <i r="1">
      <x v="2051"/>
      <x/>
      <x v="220"/>
      <x v="220"/>
      <x v="2065"/>
      <x v="10"/>
    </i>
    <i r="1">
      <x v="2052"/>
      <x/>
      <x v="220"/>
      <x v="220"/>
      <x v="2066"/>
      <x v="3"/>
    </i>
    <i r="1">
      <x v="2053"/>
      <x/>
      <x v="220"/>
      <x v="220"/>
      <x v="2067"/>
      <x v="17"/>
    </i>
    <i r="1">
      <x v="2054"/>
      <x/>
      <x v="220"/>
      <x v="220"/>
      <x v="2068"/>
      <x v="14"/>
    </i>
    <i r="1">
      <x v="2055"/>
      <x/>
      <x v="220"/>
      <x v="220"/>
      <x v="2069"/>
      <x v="14"/>
    </i>
    <i r="1">
      <x v="2056"/>
      <x/>
      <x v="220"/>
      <x v="220"/>
      <x v="2070"/>
      <x v="5"/>
    </i>
    <i r="1">
      <x v="2057"/>
      <x/>
      <x v="220"/>
      <x v="220"/>
      <x v="2071"/>
      <x v="2"/>
    </i>
    <i r="1">
      <x v="2058"/>
      <x/>
      <x v="220"/>
      <x v="220"/>
      <x v="2072"/>
      <x v="5"/>
    </i>
    <i r="1">
      <x v="2059"/>
      <x/>
      <x v="220"/>
      <x v="220"/>
      <x v="2073"/>
      <x v="21"/>
    </i>
    <i r="1">
      <x v="2060"/>
      <x/>
      <x v="220"/>
      <x v="220"/>
      <x v="2074"/>
      <x v="21"/>
    </i>
    <i r="1">
      <x v="2061"/>
      <x/>
      <x v="220"/>
      <x v="220"/>
      <x v="2075"/>
      <x v="22"/>
    </i>
    <i r="1">
      <x v="2062"/>
      <x/>
      <x v="220"/>
      <x v="220"/>
      <x v="2076"/>
      <x v="15"/>
    </i>
    <i r="1">
      <x v="2063"/>
      <x/>
      <x v="220"/>
      <x v="220"/>
      <x v="2077"/>
      <x v="21"/>
    </i>
    <i r="1">
      <x v="2064"/>
      <x/>
      <x v="220"/>
      <x v="220"/>
      <x v="2078"/>
      <x v="18"/>
    </i>
    <i r="1">
      <x v="2065"/>
      <x/>
      <x v="220"/>
      <x v="220"/>
      <x v="2079"/>
      <x v="3"/>
    </i>
    <i r="1">
      <x v="2066"/>
      <x/>
      <x v="220"/>
      <x v="220"/>
      <x v="2080"/>
      <x v="15"/>
    </i>
    <i r="1">
      <x v="2067"/>
      <x/>
      <x v="220"/>
      <x v="220"/>
      <x v="2081"/>
      <x v="15"/>
    </i>
    <i r="1">
      <x v="2068"/>
      <x/>
      <x v="220"/>
      <x v="220"/>
      <x v="2082"/>
      <x v="22"/>
    </i>
    <i r="1">
      <x v="2069"/>
      <x/>
      <x v="220"/>
      <x v="220"/>
      <x v="2083"/>
      <x v="20"/>
    </i>
    <i r="1">
      <x v="2070"/>
      <x/>
      <x v="220"/>
      <x v="220"/>
      <x v="2084"/>
      <x v="23"/>
    </i>
    <i r="1">
      <x v="2071"/>
      <x/>
      <x v="220"/>
      <x v="220"/>
      <x v="2085"/>
      <x v="5"/>
    </i>
    <i r="1">
      <x v="2072"/>
      <x/>
      <x v="220"/>
      <x v="220"/>
      <x v="2086"/>
      <x v="18"/>
    </i>
    <i r="1">
      <x v="2073"/>
      <x/>
      <x v="220"/>
      <x v="220"/>
      <x v="2087"/>
      <x v="26"/>
    </i>
    <i r="1">
      <x v="2074"/>
      <x/>
      <x v="220"/>
      <x v="220"/>
      <x v="2088"/>
      <x v="2"/>
    </i>
    <i r="1">
      <x v="2075"/>
      <x/>
      <x v="220"/>
      <x v="220"/>
      <x v="2089"/>
      <x v="2"/>
    </i>
    <i r="1">
      <x v="2076"/>
      <x/>
      <x v="220"/>
      <x v="220"/>
      <x v="2090"/>
      <x v="26"/>
    </i>
    <i r="1">
      <x v="2077"/>
      <x/>
      <x v="220"/>
      <x v="220"/>
      <x v="2091"/>
      <x v="22"/>
    </i>
    <i r="1">
      <x v="2078"/>
      <x/>
      <x v="220"/>
      <x v="220"/>
      <x v="2092"/>
      <x v="5"/>
    </i>
    <i>
      <x v="3"/>
      <x v="1905"/>
      <x v="7"/>
      <x v="220"/>
      <x v="220"/>
      <x v="2099"/>
      <x v="37"/>
    </i>
    <i r="1">
      <x v="1909"/>
      <x/>
      <x v="220"/>
      <x v="220"/>
      <x v="803"/>
      <x v="28"/>
    </i>
    <i r="1">
      <x v="1910"/>
      <x/>
      <x v="220"/>
      <x v="220"/>
      <x v="1875"/>
      <x v="38"/>
    </i>
    <i r="1">
      <x v="1911"/>
      <x/>
      <x v="220"/>
      <x v="220"/>
      <x v="2103"/>
      <x v="38"/>
    </i>
    <i r="1">
      <x v="1912"/>
      <x/>
      <x v="220"/>
      <x v="220"/>
      <x v="1463"/>
      <x v="25"/>
    </i>
    <i r="1">
      <x v="1913"/>
      <x/>
      <x v="220"/>
      <x v="220"/>
      <x v="15"/>
      <x v="2"/>
    </i>
    <i r="1">
      <x v="1914"/>
      <x/>
      <x v="220"/>
      <x v="220"/>
      <x v="1146"/>
      <x v="22"/>
    </i>
    <i r="1">
      <x v="1915"/>
      <x/>
      <x v="220"/>
      <x v="220"/>
      <x v="819"/>
      <x v="22"/>
    </i>
    <i r="1">
      <x v="1916"/>
      <x/>
      <x v="220"/>
      <x v="220"/>
      <x v="1841"/>
      <x v="15"/>
    </i>
    <i r="1">
      <x v="1917"/>
      <x/>
      <x v="220"/>
      <x v="220"/>
      <x v="2104"/>
      <x v="15"/>
    </i>
    <i r="1">
      <x v="1918"/>
      <x/>
      <x v="220"/>
      <x v="220"/>
      <x v="1959"/>
      <x v="16"/>
    </i>
    <i>
      <x v="4"/>
      <x v="1896"/>
      <x/>
      <x v="220"/>
      <x v="220"/>
      <x v="1832"/>
      <x/>
    </i>
    <i r="1">
      <x v="1897"/>
      <x/>
      <x v="220"/>
      <x v="220"/>
      <x v="875"/>
      <x v="1"/>
    </i>
    <i r="1">
      <x v="1898"/>
      <x/>
      <x v="220"/>
      <x v="220"/>
      <x v="1833"/>
      <x/>
    </i>
    <i r="1">
      <x v="1899"/>
      <x/>
      <x v="220"/>
      <x v="220"/>
      <x v="818"/>
      <x v="2"/>
    </i>
    <i r="1">
      <x v="1900"/>
      <x/>
      <x v="220"/>
      <x v="220"/>
      <x v="819"/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67">
      <pivotArea outline="0" collapsedLevelsAreSubtotals="1" fieldPosition="0"/>
    </format>
    <format dxfId="66">
      <pivotArea dataOnly="0" labelOnly="1" outline="0" fieldPosition="0">
        <references count="1">
          <reference field="1" count="0"/>
        </references>
      </pivotArea>
    </format>
    <format dxfId="65">
      <pivotArea dataOnly="0" labelOnly="1" grandRow="1" outline="0" fieldPosition="0"/>
    </format>
    <format dxfId="64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63">
      <pivotArea outline="0" collapsedLevelsAreSubtotals="1" fieldPosition="0"/>
    </format>
    <format dxfId="62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15" firstHeaderRow="1" firstDataRow="2" firstDataCol="7" rowPageCount="1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x="2"/>
        <item h="1" x="0"/>
        <item h="1" m="1" x="5"/>
        <item h="1"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0">
    <i>
      <x v="1"/>
      <x v="1943"/>
      <x v="5"/>
      <x v="220"/>
      <x v="220"/>
      <x v="1876"/>
      <x v="13"/>
    </i>
    <i r="1">
      <x v="1981"/>
      <x/>
      <x v="220"/>
      <x v="220"/>
      <x v="89"/>
      <x v="24"/>
    </i>
    <i r="1">
      <x v="1985"/>
      <x/>
      <x v="220"/>
      <x v="220"/>
      <x v="1915"/>
      <x v="15"/>
    </i>
    <i>
      <x v="3"/>
      <x v="1899"/>
      <x v="7"/>
      <x v="220"/>
      <x v="220"/>
      <x v="1165"/>
      <x v="14"/>
    </i>
    <i r="1">
      <x v="1900"/>
      <x v="7"/>
      <x v="220"/>
      <x v="220"/>
      <x v="2094"/>
      <x/>
    </i>
    <i r="1">
      <x v="1901"/>
      <x v="7"/>
      <x v="220"/>
      <x v="220"/>
      <x v="2096"/>
      <x v="7"/>
    </i>
    <i r="1">
      <x v="1902"/>
      <x v="7"/>
      <x v="220"/>
      <x v="220"/>
      <x v="2097"/>
      <x v="36"/>
    </i>
    <i r="1">
      <x v="1903"/>
      <x v="7"/>
      <x v="220"/>
      <x v="220"/>
      <x v="2098"/>
      <x v="33"/>
    </i>
    <i r="1">
      <x v="1904"/>
      <x v="7"/>
      <x v="220"/>
      <x v="220"/>
      <x v="2095"/>
      <x v="8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8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59">
      <pivotArea outline="0" collapsedLevelsAreSubtotals="1" fieldPosition="0"/>
    </format>
    <format dxfId="58">
      <pivotArea dataOnly="0" labelOnly="1" outline="0" fieldPosition="0">
        <references count="1">
          <reference field="1" count="0"/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55">
      <pivotArea outline="0" collapsedLevelsAreSubtotals="1" fieldPosition="0"/>
    </format>
    <format dxfId="54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53">
      <pivotArea dataOnly="0" labelOnly="1" grandRow="1" outline="0" fieldPosition="0"/>
    </format>
    <format dxfId="52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PivotTable1" cacheId="44" applyNumberFormats="0" applyBorderFormats="0" applyFontFormats="0" applyPatternFormats="0" applyAlignmentFormats="0" applyWidthHeightFormats="1" dataCaption="Values" updatedVersion="5" minRefreshableVersion="3" showDrill="0" useAutoFormatting="1" itemPrintTitles="1" createdVersion="5" indent="0" compact="0" compactData="0" gridDropZones="1" multipleFieldFilters="0">
  <location ref="A4:N17" firstHeaderRow="1" firstDataRow="2" firstDataCol="7" rowPageCount="2" colPageCount="1"/>
  <pivotFields count="4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1"/>
        <item x="2"/>
        <item x="3"/>
        <item x="4"/>
        <item x="0"/>
        <item m="1" x="6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9">
        <item m="1" x="1891"/>
        <item m="1" x="1954"/>
        <item m="1" x="2013"/>
        <item m="1" x="183"/>
        <item m="1" x="255"/>
        <item m="1" x="331"/>
        <item m="1" x="412"/>
        <item m="1" x="491"/>
        <item m="1" x="1897"/>
        <item m="1" x="1959"/>
        <item m="1" x="2016"/>
        <item m="1" x="186"/>
        <item m="1" x="257"/>
        <item m="1" x="333"/>
        <item m="1" x="414"/>
        <item m="1" x="493"/>
        <item m="1" x="567"/>
        <item m="1" x="639"/>
        <item m="1" x="2022"/>
        <item m="1" x="191"/>
        <item m="1" x="261"/>
        <item m="1" x="336"/>
        <item m="1" x="495"/>
        <item m="1" x="569"/>
        <item m="1" x="708"/>
        <item m="1" x="771"/>
        <item m="1" x="266"/>
        <item m="1" x="341"/>
        <item m="1" x="419"/>
        <item m="1" x="497"/>
        <item m="1" x="571"/>
        <item m="1" x="643"/>
        <item m="1" x="710"/>
        <item m="1" x="773"/>
        <item m="1" x="835"/>
        <item m="1" x="894"/>
        <item m="1" x="424"/>
        <item m="1" x="501"/>
        <item m="1" x="574"/>
        <item m="1" x="645"/>
        <item m="1" x="712"/>
        <item m="1" x="775"/>
        <item m="1" x="837"/>
        <item m="1" x="896"/>
        <item m="1" x="943"/>
        <item m="1" x="988"/>
        <item m="1" x="1135"/>
        <item m="1" x="1406"/>
        <item m="1" x="1473"/>
        <item m="1" x="1542"/>
        <item m="1" x="1617"/>
        <item m="1" x="1692"/>
        <item m="1" x="1233"/>
        <item m="1" x="282"/>
        <item m="1" x="354"/>
        <item m="1" x="433"/>
        <item m="1" x="510"/>
        <item m="1" x="653"/>
        <item m="1" x="2048"/>
        <item m="1" x="215"/>
        <item m="1" x="290"/>
        <item m="1" x="361"/>
        <item m="1" x="440"/>
        <item m="1" x="517"/>
        <item m="1" x="588"/>
        <item m="1" x="659"/>
        <item m="1" x="724"/>
        <item m="1" x="785"/>
        <item m="1" x="297"/>
        <item m="1" x="369"/>
        <item m="1" x="447"/>
        <item m="1" x="525"/>
        <item m="1" x="595"/>
        <item m="1" x="665"/>
        <item m="1" x="730"/>
        <item m="1" x="791"/>
        <item m="1" x="850"/>
        <item m="1" x="905"/>
        <item m="1" x="455"/>
        <item m="1" x="533"/>
        <item m="1" x="603"/>
        <item m="1" x="672"/>
        <item m="1" x="737"/>
        <item m="1" x="909"/>
        <item m="1" x="953"/>
        <item m="1" x="994"/>
        <item m="1" x="214"/>
        <item m="1" x="288"/>
        <item m="1" x="359"/>
        <item m="1" x="438"/>
        <item m="1" x="514"/>
        <item m="1" x="586"/>
        <item m="1" x="656"/>
        <item m="1" x="721"/>
        <item m="1" x="782"/>
        <item m="1" x="842"/>
        <item m="1" x="367"/>
        <item m="1" x="444"/>
        <item m="1" x="522"/>
        <item m="1" x="592"/>
        <item m="1" x="663"/>
        <item m="1" x="728"/>
        <item m="1" x="788"/>
        <item m="1" x="847"/>
        <item m="1" x="903"/>
        <item m="1" x="948"/>
        <item m="1" x="530"/>
        <item m="1" x="600"/>
        <item m="1" x="669"/>
        <item m="1" x="734"/>
        <item m="1" x="794"/>
        <item m="1" x="853"/>
        <item m="1" x="907"/>
        <item m="1" x="951"/>
        <item m="1" x="993"/>
        <item m="1" x="1020"/>
        <item m="1" x="676"/>
        <item m="1" x="741"/>
        <item m="1" x="800"/>
        <item m="1" x="859"/>
        <item m="1" x="911"/>
        <item m="1" x="1073"/>
        <item m="1" x="995"/>
        <item m="1" x="1022"/>
        <item m="1" x="1048"/>
        <item m="1" x="1103"/>
        <item m="1" x="1146"/>
        <item m="1" x="920"/>
        <item m="1" x="964"/>
        <item m="1" x="641"/>
        <item m="1" x="1178"/>
        <item m="1" x="1231"/>
        <item m="1" x="1288"/>
        <item m="1" x="1347"/>
        <item m="1" x="998"/>
        <item m="1" x="1025"/>
        <item m="1" x="1050"/>
        <item m="1" x="1075"/>
        <item m="1" x="1105"/>
        <item m="1" x="1148"/>
        <item m="1" x="1194"/>
        <item m="1" x="1029"/>
        <item m="1" x="1053"/>
        <item m="1" x="1078"/>
        <item m="1" x="1151"/>
        <item m="1" x="1196"/>
        <item m="1" x="1253"/>
        <item m="1" x="1314"/>
        <item m="1" x="1082"/>
        <item m="1" x="1112"/>
        <item m="1" x="1155"/>
        <item m="1" x="1200"/>
        <item m="1" x="2072"/>
        <item m="1" x="319"/>
        <item m="1" x="395"/>
        <item m="1" x="473"/>
        <item m="1" x="1885"/>
        <item m="1" x="797"/>
        <item m="1" x="856"/>
        <item m="1" x="955"/>
        <item m="1" x="806"/>
        <item m="1" x="865"/>
        <item m="1" x="915"/>
        <item m="1" x="959"/>
        <item m="1" x="1108"/>
        <item m="1" x="1374"/>
        <item m="1" x="1057"/>
        <item m="1" x="1416"/>
        <item m="1" x="1552"/>
        <item m="1" x="1625"/>
        <item m="1" x="1698"/>
        <item m="1" x="1762"/>
        <item m="1" x="254"/>
        <item m="1" x="330"/>
        <item m="1" x="411"/>
        <item m="1" x="490"/>
        <item m="1" x="565"/>
        <item m="1" x="637"/>
        <item m="1" x="705"/>
        <item m="1" x="768"/>
        <item m="1" x="831"/>
        <item m="1" x="890"/>
        <item m="1" x="413"/>
        <item m="1" x="492"/>
        <item m="1" x="566"/>
        <item m="1" x="638"/>
        <item m="1" x="706"/>
        <item m="1" x="769"/>
        <item m="1" x="832"/>
        <item m="1" x="891"/>
        <item m="1" x="939"/>
        <item m="1" x="984"/>
        <item m="1" x="568"/>
        <item m="1" x="640"/>
        <item m="1" x="707"/>
        <item m="1" x="770"/>
        <item m="1" x="833"/>
        <item m="1" x="892"/>
        <item m="1" x="940"/>
        <item m="1" x="985"/>
        <item m="1" x="1015"/>
        <item m="1" x="1043"/>
        <item m="1" x="709"/>
        <item m="1" x="772"/>
        <item m="1" x="834"/>
        <item m="1" x="893"/>
        <item m="1" x="941"/>
        <item m="1" x="986"/>
        <item m="1" x="1016"/>
        <item m="1" x="1044"/>
        <item m="1" x="1069"/>
        <item m="1" x="1094"/>
        <item m="1" x="836"/>
        <item m="1" x="895"/>
        <item m="1" x="942"/>
        <item m="1" x="987"/>
        <item m="1" x="1017"/>
        <item m="1" x="1045"/>
        <item m="1" x="1095"/>
        <item m="1" x="1133"/>
        <item m="1" x="1176"/>
        <item m="1" x="944"/>
        <item m="1" x="989"/>
        <item m="1" x="1018"/>
        <item m="1" x="1046"/>
        <item m="1" x="1070"/>
        <item m="1" x="1096"/>
        <item m="1" x="1134"/>
        <item m="1" x="1177"/>
        <item m="1" x="1230"/>
        <item m="1" x="1287"/>
        <item m="1" x="1019"/>
        <item m="1" x="1047"/>
        <item m="1" x="1071"/>
        <item m="1" x="1097"/>
        <item m="1" x="1136"/>
        <item m="1" x="1179"/>
        <item m="1" x="1232"/>
        <item m="1" x="1289"/>
        <item m="1" x="1348"/>
        <item m="1" x="1407"/>
        <item m="1" x="1072"/>
        <item m="1" x="1099"/>
        <item m="1" x="1139"/>
        <item m="1" x="1182"/>
        <item m="1" x="1236"/>
        <item m="1" x="1293"/>
        <item m="1" x="1477"/>
        <item m="1" x="1546"/>
        <item m="1" x="1142"/>
        <item m="1" x="1186"/>
        <item m="1" x="1241"/>
        <item m="1" x="1298"/>
        <item m="1" x="1357"/>
        <item m="1" x="1417"/>
        <item m="1" x="1483"/>
        <item m="1" x="1553"/>
        <item m="1" x="1626"/>
        <item m="1" x="1699"/>
        <item m="1" x="1246"/>
        <item m="1" x="1304"/>
        <item m="1" x="1364"/>
        <item m="1" x="1424"/>
        <item m="1" x="1490"/>
        <item m="1" x="1560"/>
        <item m="1" x="1633"/>
        <item m="1" x="1705"/>
        <item m="1" x="1768"/>
        <item m="1" x="1831"/>
        <item m="1" x="1098"/>
        <item m="1" x="1138"/>
        <item m="1" x="1181"/>
        <item m="1" x="1235"/>
        <item m="1" x="1292"/>
        <item m="1" x="1351"/>
        <item m="1" x="1410"/>
        <item m="1" x="1476"/>
        <item m="1" x="1545"/>
        <item m="1" x="1619"/>
        <item m="1" x="1184"/>
        <item m="1" x="1239"/>
        <item m="1" x="1296"/>
        <item m="1" x="1355"/>
        <item m="1" x="1414"/>
        <item m="1" x="1481"/>
        <item m="1" x="1550"/>
        <item m="1" x="1623"/>
        <item m="1" x="1697"/>
        <item m="1" x="1761"/>
        <item m="1" x="1301"/>
        <item m="1" x="1361"/>
        <item m="1" x="1421"/>
        <item m="1" x="1487"/>
        <item m="1" x="1557"/>
        <item m="1" x="1630"/>
        <item m="1" x="1703"/>
        <item m="1" x="1766"/>
        <item m="1" x="1830"/>
        <item m="1" x="1890"/>
        <item m="1" x="1426"/>
        <item m="1" x="1493"/>
        <item m="1" x="1563"/>
        <item m="1" x="1637"/>
        <item m="1" x="1709"/>
        <item m="1" x="1772"/>
        <item m="1" x="1835"/>
        <item m="1" x="1895"/>
        <item m="1" x="1958"/>
        <item m="1" x="1568"/>
        <item m="1" x="1643"/>
        <item m="1" x="1714"/>
        <item m="1" x="1777"/>
        <item m="1" x="1839"/>
        <item m="1" x="1901"/>
        <item m="1" x="1963"/>
        <item m="1" x="2020"/>
        <item m="1" x="190"/>
        <item m="1" x="260"/>
        <item m="1" x="1782"/>
        <item m="1" x="1907"/>
        <item m="1" x="1968"/>
        <item m="1" x="2026"/>
        <item m="1" x="264"/>
        <item m="1" x="340"/>
        <item m="1" x="418"/>
        <item m="1" x="1847"/>
        <item m="1" x="1913"/>
        <item m="1" x="1972"/>
        <item m="1" x="2031"/>
        <item m="1" x="199"/>
        <item m="1" x="270"/>
        <item m="1" x="344"/>
        <item m="1" x="2037"/>
        <item m="1" x="204"/>
        <item m="1" x="276"/>
        <item m="1" x="349"/>
        <item m="1" x="428"/>
        <item m="1" x="505"/>
        <item m="1" x="578"/>
        <item m="1" x="649"/>
        <item m="1" x="715"/>
        <item m="1" x="209"/>
        <item m="1" x="283"/>
        <item m="1" x="355"/>
        <item m="1" x="434"/>
        <item m="1" x="511"/>
        <item m="1" x="583"/>
        <item m="1" x="654"/>
        <item m="1" x="719"/>
        <item m="1" x="781"/>
        <item m="1" x="841"/>
        <item m="1" x="362"/>
        <item m="1" x="441"/>
        <item m="1" x="518"/>
        <item m="1" x="589"/>
        <item m="1" x="660"/>
        <item m="1" x="725"/>
        <item m="1" x="786"/>
        <item m="1" x="845"/>
        <item m="1" x="902"/>
        <item m="1" x="947"/>
        <item m="1" x="1100"/>
        <item m="1" x="248"/>
        <item m="1" x="401"/>
        <item m="1" x="481"/>
        <item m="1" x="2011"/>
        <item m="1" x="2077"/>
        <item m="1" x="251"/>
        <item m="1" x="327"/>
        <item m="1" x="405"/>
        <item m="1" x="1257"/>
        <item m="1" x="1318"/>
        <item m="1" x="1378"/>
        <item m="1" x="1441"/>
        <item m="1" x="1510"/>
        <item m="1" x="1116"/>
        <item m="1" x="1159"/>
        <item m="1" x="1205"/>
        <item m="1" x="1262"/>
        <item m="1" x="1323"/>
        <item m="1" x="1383"/>
        <item m="1" x="1446"/>
        <item m="1" x="1515"/>
        <item m="1" x="1587"/>
        <item m="1" x="1662"/>
        <item m="1" x="1211"/>
        <item m="1" x="1268"/>
        <item m="1" x="1328"/>
        <item m="1" x="1389"/>
        <item m="1" x="1452"/>
        <item m="1" x="1521"/>
        <item m="1" x="1593"/>
        <item m="1" x="1668"/>
        <item m="1" x="1735"/>
        <item m="1" x="1802"/>
        <item m="1" x="221"/>
        <item m="1" x="296"/>
        <item m="1" x="368"/>
        <item m="1" x="445"/>
        <item m="1" x="523"/>
        <item m="1" x="593"/>
        <item m="1" x="789"/>
        <item m="1" x="848"/>
        <item m="1" x="375"/>
        <item m="1" x="453"/>
        <item m="1" x="531"/>
        <item m="1" x="601"/>
        <item m="1" x="670"/>
        <item m="1" x="735"/>
        <item m="1" x="795"/>
        <item m="1" x="854"/>
        <item m="1" x="908"/>
        <item m="1" x="952"/>
        <item m="1" x="538"/>
        <item m="1" x="608"/>
        <item m="1" x="677"/>
        <item m="1" x="801"/>
        <item m="1" x="860"/>
        <item m="1" x="912"/>
        <item m="1" x="956"/>
        <item m="1" x="1021"/>
        <item m="1" x="683"/>
        <item m="1" x="746"/>
        <item m="1" x="807"/>
        <item m="1" x="866"/>
        <item m="1" x="916"/>
        <item m="1" x="960"/>
        <item m="1" x="996"/>
        <item m="1" x="1023"/>
        <item m="1" x="1049"/>
        <item m="1" x="1074"/>
        <item m="1" x="813"/>
        <item m="1" x="872"/>
        <item m="1" x="921"/>
        <item m="1" x="965"/>
        <item m="1" x="999"/>
        <item m="1" x="1026"/>
        <item m="1" x="1051"/>
        <item m="1" x="1076"/>
        <item m="1" x="1106"/>
        <item m="1" x="1149"/>
        <item m="1" x="970"/>
        <item m="1" x="1002"/>
        <item m="1" x="1030"/>
        <item m="1" x="1054"/>
        <item m="1" x="1079"/>
        <item m="1" x="1109"/>
        <item m="1" x="1152"/>
        <item m="1" x="1197"/>
        <item m="1" x="1254"/>
        <item m="1" x="1006"/>
        <item m="1" x="1034"/>
        <item m="1" x="1058"/>
        <item m="1" x="1083"/>
        <item m="1" x="1113"/>
        <item m="1" x="1156"/>
        <item m="1" x="1201"/>
        <item m="1" x="1258"/>
        <item m="1" x="1319"/>
        <item m="1" x="1379"/>
        <item m="1" x="1062"/>
        <item m="1" x="1087"/>
        <item m="1" x="1117"/>
        <item m="1" x="1160"/>
        <item m="1" x="1206"/>
        <item m="1" x="1263"/>
        <item m="1" x="1384"/>
        <item m="1" x="1447"/>
        <item m="1" x="1141"/>
        <item m="1" x="1185"/>
        <item m="1" x="1240"/>
        <item m="1" x="1297"/>
        <item m="1" x="1356"/>
        <item m="1" x="1415"/>
        <item m="1" x="1482"/>
        <item m="1" x="1551"/>
        <item m="1" x="1624"/>
        <item m="1" x="1188"/>
        <item m="1" x="1244"/>
        <item m="1" x="1302"/>
        <item m="1" x="1362"/>
        <item m="1" x="1422"/>
        <item m="1" x="1488"/>
        <item m="1" x="1558"/>
        <item m="1" x="1631"/>
        <item m="1" x="1704"/>
        <item m="1" x="1767"/>
        <item m="1" x="1305"/>
        <item m="1" x="1427"/>
        <item m="1" x="1494"/>
        <item m="1" x="1564"/>
        <item m="1" x="1638"/>
        <item m="1" x="1710"/>
        <item m="1" x="1773"/>
        <item m="1" x="1836"/>
        <item m="1" x="1896"/>
        <item m="1" x="1430"/>
        <item m="1" x="1498"/>
        <item m="1" x="1569"/>
        <item m="1" x="1644"/>
        <item m="1" x="1715"/>
        <item m="1" x="1778"/>
        <item m="1" x="1840"/>
        <item m="1" x="1902"/>
        <item m="1" x="1964"/>
        <item m="1" x="2021"/>
        <item m="1" x="1573"/>
        <item m="1" x="1649"/>
        <item m="1" x="1719"/>
        <item m="1" x="1783"/>
        <item m="1" x="1844"/>
        <item m="1" x="1908"/>
        <item m="1" x="1969"/>
        <item m="1" x="2027"/>
        <item m="1" x="195"/>
        <item m="1" x="265"/>
        <item m="1" x="1721"/>
        <item m="1" x="1787"/>
        <item m="1" x="1848"/>
        <item m="1" x="1914"/>
        <item m="1" x="1973"/>
        <item m="1" x="2032"/>
        <item m="1" x="200"/>
        <item m="1" x="271"/>
        <item m="1" x="345"/>
        <item m="1" x="423"/>
        <item m="1" x="1852"/>
        <item m="1" x="1919"/>
        <item m="1" x="1976"/>
        <item m="1" x="2038"/>
        <item m="1" x="205"/>
        <item m="1" x="277"/>
        <item m="1" x="350"/>
        <item m="1" x="429"/>
        <item m="1" x="506"/>
        <item m="1" x="579"/>
        <item m="1" x="1980"/>
        <item m="1" x="2043"/>
        <item m="1" x="210"/>
        <item m="1" x="284"/>
        <item m="1" x="356"/>
        <item m="1" x="435"/>
        <item m="1" x="512"/>
        <item m="1" x="584"/>
        <item m="1" x="655"/>
        <item m="1" x="720"/>
        <item m="1" x="216"/>
        <item m="1" x="291"/>
        <item m="1" x="363"/>
        <item m="1" x="442"/>
        <item m="1" x="519"/>
        <item m="1" x="590"/>
        <item m="1" x="661"/>
        <item m="1" x="726"/>
        <item m="1" x="787"/>
        <item m="1" x="846"/>
        <item m="1" x="370"/>
        <item m="1" x="448"/>
        <item m="1" x="526"/>
        <item m="1" x="596"/>
        <item m="1" x="666"/>
        <item m="1" x="731"/>
        <item m="1" x="792"/>
        <item m="1" x="851"/>
        <item m="1" x="906"/>
        <item m="1" x="950"/>
        <item m="1" x="1101"/>
        <item m="1" x="1144"/>
        <item m="1" x="1189"/>
        <item m="1" x="1245"/>
        <item m="1" x="1303"/>
        <item m="1" x="1363"/>
        <item m="1" x="1423"/>
        <item m="1" x="1489"/>
        <item m="1" x="1559"/>
        <item m="1" x="1632"/>
        <item m="1" x="1190"/>
        <item m="1" x="1247"/>
        <item m="1" x="1306"/>
        <item m="1" x="1366"/>
        <item m="1" x="1428"/>
        <item m="1" x="1495"/>
        <item m="1" x="1565"/>
        <item m="1" x="1639"/>
        <item m="1" x="1711"/>
        <item m="1" x="1774"/>
        <item m="1" x="1308"/>
        <item m="1" x="1368"/>
        <item m="1" x="1431"/>
        <item m="1" x="1499"/>
        <item m="1" x="1570"/>
        <item m="1" x="1645"/>
        <item m="1" x="1716"/>
        <item m="1" x="1779"/>
        <item m="1" x="1841"/>
        <item m="1" x="1903"/>
        <item m="1" x="1434"/>
        <item m="1" x="1502"/>
        <item m="1" x="1574"/>
        <item m="1" x="1650"/>
        <item m="1" x="1720"/>
        <item m="1" x="1784"/>
        <item m="1" x="1845"/>
        <item m="1" x="1909"/>
        <item m="1" x="1788"/>
        <item m="1" x="1849"/>
        <item m="1" x="1915"/>
        <item m="1" x="2033"/>
        <item m="1" x="201"/>
        <item m="1" x="272"/>
        <item m="1" x="1725"/>
        <item m="1" x="1792"/>
        <item m="1" x="1853"/>
        <item m="1" x="1920"/>
        <item m="1" x="1977"/>
        <item m="1" x="2039"/>
        <item m="1" x="206"/>
        <item m="1" x="278"/>
        <item m="1" x="351"/>
        <item m="1" x="430"/>
        <item m="1" x="1857"/>
        <item m="1" x="1924"/>
        <item m="1" x="1981"/>
        <item m="1" x="2044"/>
        <item m="1" x="211"/>
        <item m="1" x="285"/>
        <item m="1" x="357"/>
        <item m="1" x="436"/>
        <item m="1" x="513"/>
        <item m="1" x="585"/>
        <item m="1" x="1985"/>
        <item m="1" x="2049"/>
        <item m="1" x="217"/>
        <item m="1" x="292"/>
        <item m="1" x="364"/>
        <item m="1" x="520"/>
        <item m="1" x="591"/>
        <item m="1" x="662"/>
        <item m="1" x="727"/>
        <item m="1" x="222"/>
        <item m="1" x="298"/>
        <item m="1" x="371"/>
        <item m="1" x="449"/>
        <item m="1" x="527"/>
        <item m="1" x="597"/>
        <item m="1" x="667"/>
        <item m="1" x="732"/>
        <item m="1" x="793"/>
        <item m="1" x="852"/>
        <item m="1" x="377"/>
        <item m="1" x="456"/>
        <item m="1" x="534"/>
        <item m="1" x="604"/>
        <item m="1" x="673"/>
        <item m="1" x="738"/>
        <item m="1" x="798"/>
        <item m="1" x="857"/>
        <item m="1" x="910"/>
        <item m="1" x="954"/>
        <item m="1" x="1102"/>
        <item m="1" x="1145"/>
        <item m="1" x="1191"/>
        <item m="1" x="1248"/>
        <item m="1" x="1307"/>
        <item m="1" x="1367"/>
        <item m="1" x="1429"/>
        <item m="1" x="1496"/>
        <item m="1" x="1566"/>
        <item m="1" x="1640"/>
        <item m="1" x="1192"/>
        <item m="1" x="1249"/>
        <item m="1" x="1309"/>
        <item m="1" x="1369"/>
        <item m="1" x="1432"/>
        <item m="1" x="1500"/>
        <item m="1" x="1571"/>
        <item m="1" x="1646"/>
        <item m="1" x="1717"/>
        <item m="1" x="1311"/>
        <item m="1" x="1371"/>
        <item m="1" x="1435"/>
        <item m="1" x="1503"/>
        <item m="1" x="1575"/>
        <item m="1" x="1910"/>
        <item m="1" x="1438"/>
        <item m="1" x="1506"/>
        <item m="1" x="1578"/>
        <item m="1" x="1653"/>
        <item m="1" x="1722"/>
        <item m="1" x="1789"/>
        <item m="1" x="1850"/>
        <item m="1" x="1916"/>
        <item m="1" x="1974"/>
        <item m="1" x="2034"/>
        <item m="1" x="1582"/>
        <item m="1" x="1657"/>
        <item m="1" x="1726"/>
        <item m="1" x="1793"/>
        <item m="1" x="1854"/>
        <item m="1" x="1921"/>
        <item m="1" x="1978"/>
        <item m="1" x="2040"/>
        <item m="1" x="207"/>
        <item m="1" x="279"/>
        <item m="1" x="1730"/>
        <item m="1" x="1797"/>
        <item m="1" x="1858"/>
        <item m="1" x="1925"/>
        <item m="1" x="1982"/>
        <item m="1" x="2045"/>
        <item m="1" x="212"/>
        <item m="1" x="286"/>
        <item m="1" x="358"/>
        <item m="1" x="437"/>
        <item m="1" x="2050"/>
        <item m="1" x="218"/>
        <item m="1" x="293"/>
        <item m="1" x="365"/>
        <item m="1" x="521"/>
        <item m="1" x="1989"/>
        <item m="1" x="2054"/>
        <item m="1" x="223"/>
        <item m="1" x="299"/>
        <item m="1" x="372"/>
        <item m="1" x="450"/>
        <item m="1" x="528"/>
        <item m="1" x="598"/>
        <item m="1" x="668"/>
        <item m="1" x="733"/>
        <item m="1" x="228"/>
        <item m="1" x="304"/>
        <item m="1" x="378"/>
        <item m="1" x="457"/>
        <item m="1" x="535"/>
        <item m="1" x="605"/>
        <item m="1" x="674"/>
        <item m="1" x="739"/>
        <item m="1" x="799"/>
        <item m="1" x="858"/>
        <item m="1" x="384"/>
        <item m="1" x="462"/>
        <item m="1" x="541"/>
        <item m="1" x="611"/>
        <item m="1" x="680"/>
        <item m="1" x="743"/>
        <item m="1" x="804"/>
        <item m="1" x="863"/>
        <item m="1" x="914"/>
        <item m="1" x="958"/>
        <item m="1" x="1104"/>
        <item m="1" x="1147"/>
        <item m="1" x="1193"/>
        <item m="1" x="1250"/>
        <item m="1" x="1310"/>
        <item m="1" x="1370"/>
        <item m="1" x="1433"/>
        <item m="1" x="1501"/>
        <item m="1" x="1572"/>
        <item m="1" x="1647"/>
        <item m="1" x="1195"/>
        <item m="1" x="1251"/>
        <item m="1" x="1312"/>
        <item m="1" x="1372"/>
        <item m="1" x="1436"/>
        <item m="1" x="1290"/>
        <item m="1" x="1349"/>
        <item m="1" x="1408"/>
        <item m="1" x="1474"/>
        <item m="1" x="1543"/>
        <item m="1" x="1693"/>
        <item m="1" x="1758"/>
        <item m="1" x="1824"/>
        <item m="1" x="1352"/>
        <item m="1" x="1411"/>
        <item m="1" x="1478"/>
        <item m="1" x="1547"/>
        <item m="1" x="1620"/>
        <item m="1" x="1759"/>
        <item m="1" x="1825"/>
        <item m="1" x="1887"/>
        <item m="1" x="1951"/>
        <item m="1" x="1484"/>
        <item m="1" x="1554"/>
        <item m="1" x="1627"/>
        <item m="1" x="1700"/>
        <item m="1" x="1763"/>
        <item m="1" x="1827"/>
        <item m="1" x="1888"/>
        <item m="1" x="1952"/>
        <item m="1" x="2012"/>
        <item m="1" x="2078"/>
        <item m="1" x="1634"/>
        <item m="1" x="1706"/>
        <item m="1" x="1769"/>
        <item m="1" x="1832"/>
        <item m="1" x="1892"/>
        <item m="1" x="1955"/>
        <item m="1" x="2014"/>
        <item m="1" x="184"/>
        <item m="1" x="256"/>
        <item m="1" x="332"/>
        <item m="1" x="1898"/>
        <item m="1" x="1960"/>
        <item m="1" x="2017"/>
        <item m="1" x="187"/>
        <item m="1" x="258"/>
        <item m="1" x="334"/>
        <item m="1" x="415"/>
        <item m="1" x="494"/>
        <item m="1" x="1904"/>
        <item m="1" x="1965"/>
        <item m="1" x="2023"/>
        <item m="1" x="192"/>
        <item m="1" x="262"/>
        <item m="1" x="337"/>
        <item m="1" x="416"/>
        <item m="1" x="496"/>
        <item m="1" x="570"/>
        <item m="1" x="642"/>
        <item m="1" x="2028"/>
        <item m="1" x="196"/>
        <item m="1" x="267"/>
        <item m="1" x="342"/>
        <item m="1" x="420"/>
        <item m="1" x="498"/>
        <item m="1" x="572"/>
        <item m="1" x="644"/>
        <item m="1" x="711"/>
        <item m="1" x="774"/>
        <item m="1" x="273"/>
        <item m="1" x="346"/>
        <item m="1" x="425"/>
        <item m="1" x="502"/>
        <item m="1" x="575"/>
        <item m="1" x="646"/>
        <item m="1" x="713"/>
        <item m="1" x="776"/>
        <item m="1" x="838"/>
        <item m="1" x="897"/>
        <item m="1" x="431"/>
        <item m="1" x="507"/>
        <item m="1" x="580"/>
        <item m="1" x="650"/>
        <item m="1" x="716"/>
        <item m="1" x="778"/>
        <item m="1" x="839"/>
        <item m="1" x="898"/>
        <item m="1" x="945"/>
        <item m="1" x="990"/>
        <item m="1" x="253"/>
        <item m="1" x="329"/>
        <item m="1" x="408"/>
        <item m="1" x="487"/>
        <item m="1" x="563"/>
        <item m="1" x="634"/>
        <item m="1" x="1516"/>
        <item m="1" x="1122"/>
        <item m="1" x="1164"/>
        <item m="1" x="1212"/>
        <item m="1" x="1269"/>
        <item m="1" x="1329"/>
        <item m="1" x="1390"/>
        <item m="1" x="1453"/>
        <item m="1" x="1522"/>
        <item m="1" x="1594"/>
        <item m="1" x="1669"/>
        <item m="1" x="1219"/>
        <item m="1" x="1276"/>
        <item m="1" x="1334"/>
        <item m="1" x="1395"/>
        <item m="1" x="1458"/>
        <item m="1" x="1528"/>
        <item m="1" x="1600"/>
        <item m="1" x="1675"/>
        <item m="1" x="1741"/>
        <item m="1" x="1808"/>
        <item m="1" x="227"/>
        <item m="1" x="303"/>
        <item m="1" x="376"/>
        <item m="1" x="454"/>
        <item m="1" x="532"/>
        <item m="1" x="602"/>
        <item m="1" x="671"/>
        <item m="1" x="736"/>
        <item m="1" x="796"/>
        <item m="1" x="855"/>
        <item m="1" x="382"/>
        <item m="1" x="461"/>
        <item m="1" x="539"/>
        <item m="1" x="609"/>
        <item m="1" x="678"/>
        <item m="1" x="742"/>
        <item m="1" x="802"/>
        <item m="1" x="861"/>
        <item m="1" x="913"/>
        <item m="1" x="957"/>
        <item m="1" x="615"/>
        <item m="1" x="684"/>
        <item m="1" x="747"/>
        <item m="1" x="808"/>
        <item m="1" x="867"/>
        <item m="1" x="917"/>
        <item m="1" x="961"/>
        <item m="1" x="997"/>
        <item m="1" x="1024"/>
        <item m="1" x="690"/>
        <item m="1" x="814"/>
        <item m="1" x="873"/>
        <item m="1" x="922"/>
        <item m="1" x="966"/>
        <item m="1" x="1000"/>
        <item m="1" x="1027"/>
        <item m="1" x="1052"/>
        <item m="1" x="1077"/>
        <item m="1" x="819"/>
        <item m="1" x="878"/>
        <item m="1" x="926"/>
        <item m="1" x="971"/>
        <item m="1" x="1003"/>
        <item m="1" x="1031"/>
        <item m="1" x="1055"/>
        <item m="1" x="1080"/>
        <item m="1" x="1110"/>
        <item m="1" x="1153"/>
        <item m="1" x="930"/>
        <item m="1" x="975"/>
        <item m="1" x="1007"/>
        <item m="1" x="1035"/>
        <item m="1" x="1059"/>
        <item m="1" x="1084"/>
        <item m="1" x="1202"/>
        <item m="1" x="1259"/>
        <item m="1" x="1010"/>
        <item m="1" x="1088"/>
        <item m="1" x="1118"/>
        <item m="1" x="1161"/>
        <item m="1" x="1207"/>
        <item m="1" x="1264"/>
        <item m="1" x="1324"/>
        <item m="1" x="1385"/>
        <item m="1" x="1065"/>
        <item m="1" x="1090"/>
        <item m="1" x="1123"/>
        <item m="1" x="1165"/>
        <item m="1" x="1213"/>
        <item m="1" x="1270"/>
        <item m="1" x="1330"/>
        <item m="1" x="1391"/>
        <item m="1" x="1454"/>
        <item m="1" x="1523"/>
        <item m="1" x="1170"/>
        <item m="1" x="1220"/>
        <item m="1" x="1277"/>
        <item m="1" x="1335"/>
        <item m="1" x="1504"/>
        <item m="1" x="1576"/>
        <item m="1" x="1651"/>
        <item m="1" x="1785"/>
        <item m="1" x="1315"/>
        <item m="1" x="1375"/>
        <item m="1" x="1439"/>
        <item m="1" x="1507"/>
        <item m="1" x="1579"/>
        <item m="1" x="1654"/>
        <item m="1" x="1723"/>
        <item m="1" x="1790"/>
        <item m="1" x="1851"/>
        <item m="1" x="1917"/>
        <item m="1" x="1442"/>
        <item m="1" x="1511"/>
        <item m="1" x="1583"/>
        <item m="1" x="1658"/>
        <item m="1" x="1727"/>
        <item m="1" x="1794"/>
        <item m="1" x="1855"/>
        <item m="1" x="1922"/>
        <item m="1" x="1979"/>
        <item m="1" x="2041"/>
        <item m="1" x="1588"/>
        <item m="1" x="1663"/>
        <item m="1" x="1731"/>
        <item m="1" x="1798"/>
        <item m="1" x="1859"/>
        <item m="1" x="1926"/>
        <item m="1" x="1983"/>
        <item m="1" x="2046"/>
        <item m="1" x="213"/>
        <item m="1" x="287"/>
        <item m="1" x="1736"/>
        <item m="1" x="1803"/>
        <item m="1" x="1862"/>
        <item m="1" x="1929"/>
        <item m="1" x="1986"/>
        <item m="1" x="2051"/>
        <item m="1" x="219"/>
        <item m="1" x="294"/>
        <item m="1" x="366"/>
        <item m="1" x="443"/>
        <item m="1" x="1866"/>
        <item m="1" x="1933"/>
        <item m="1" x="1990"/>
        <item m="1" x="2055"/>
        <item m="1" x="224"/>
        <item m="1" x="300"/>
        <item m="1" x="373"/>
        <item m="1" x="451"/>
        <item m="1" x="529"/>
        <item m="1" x="599"/>
        <item m="1" x="1993"/>
        <item m="1" x="2058"/>
        <item m="1" x="229"/>
        <item m="1" x="305"/>
        <item m="1" x="379"/>
        <item m="1" x="458"/>
        <item m="1" x="536"/>
        <item m="1" x="606"/>
        <item m="1" x="675"/>
        <item m="1" x="740"/>
        <item m="1" x="234"/>
        <item m="1" x="310"/>
        <item m="1" x="385"/>
        <item m="1" x="463"/>
        <item m="1" x="542"/>
        <item m="1" x="612"/>
        <item m="1" x="681"/>
        <item m="1" x="744"/>
        <item m="1" x="805"/>
        <item m="1" x="864"/>
        <item m="1" x="391"/>
        <item m="1" x="469"/>
        <item m="1" x="547"/>
        <item m="1" x="618"/>
        <item m="1" x="687"/>
        <item m="1" x="750"/>
        <item m="1" x="811"/>
        <item m="1" x="870"/>
        <item m="1" x="919"/>
        <item m="1" x="963"/>
        <item m="1" x="1107"/>
        <item m="1" x="1150"/>
        <item m="1" x="1252"/>
        <item m="1" x="1313"/>
        <item m="1" x="1373"/>
        <item m="1" x="1437"/>
        <item m="1" x="1505"/>
        <item m="1" x="1577"/>
        <item m="1" x="1652"/>
        <item m="1" x="1198"/>
        <item m="1" x="1255"/>
        <item m="1" x="1316"/>
        <item m="1" x="1376"/>
        <item m="1" x="1440"/>
        <item m="1" x="1508"/>
        <item m="1" x="1580"/>
        <item m="1" x="1655"/>
        <item m="1" x="1724"/>
        <item m="1" x="1791"/>
        <item m="1" x="1320"/>
        <item m="1" x="1380"/>
        <item m="1" x="1443"/>
        <item m="1" x="1512"/>
        <item m="1" x="1584"/>
        <item m="1" x="1659"/>
        <item m="1" x="1728"/>
        <item m="1" x="1795"/>
        <item m="1" x="1856"/>
        <item m="1" x="1923"/>
        <item m="1" x="1448"/>
        <item m="1" x="1517"/>
        <item m="1" x="1589"/>
        <item m="1" x="1664"/>
        <item m="1" x="1732"/>
        <item m="1" x="1799"/>
        <item m="1" x="1860"/>
        <item m="1" x="1927"/>
        <item m="1" x="1984"/>
        <item m="1" x="2047"/>
        <item m="1" x="1595"/>
        <item m="1" x="1670"/>
        <item m="1" x="1737"/>
        <item m="1" x="1804"/>
        <item m="1" x="1863"/>
        <item m="1" x="1930"/>
        <item m="1" x="1987"/>
        <item m="1" x="2052"/>
        <item m="1" x="220"/>
        <item m="1" x="295"/>
        <item m="1" x="1867"/>
        <item m="1" x="1934"/>
        <item m="1" x="1991"/>
        <item m="1" x="2056"/>
        <item m="1" x="225"/>
        <item m="1" x="301"/>
        <item m="1" x="374"/>
        <item m="1" x="452"/>
        <item m="1" x="1871"/>
        <item m="1" x="1937"/>
        <item m="1" x="1994"/>
        <item m="1" x="2059"/>
        <item m="1" x="230"/>
        <item m="1" x="306"/>
        <item m="1" x="380"/>
        <item m="1" x="459"/>
        <item m="1" x="537"/>
        <item m="1" x="607"/>
        <item m="1" x="1998"/>
        <item m="1" x="2063"/>
        <item m="1" x="235"/>
        <item m="1" x="311"/>
        <item m="1" x="386"/>
        <item m="1" x="464"/>
        <item m="1" x="543"/>
        <item m="1" x="613"/>
        <item m="1" x="682"/>
        <item m="1" x="745"/>
        <item m="1" x="239"/>
        <item m="1" x="316"/>
        <item m="1" x="392"/>
        <item m="1" x="470"/>
        <item m="1" x="548"/>
        <item m="1" x="619"/>
        <item m="1" x="688"/>
        <item m="1" x="751"/>
        <item m="1" x="812"/>
        <item m="1" x="871"/>
        <item m="1" x="398"/>
        <item m="1" x="476"/>
        <item m="1" x="553"/>
        <item m="1" x="625"/>
        <item m="1" x="694"/>
        <item m="1" x="756"/>
        <item m="1" x="817"/>
        <item m="1" x="876"/>
        <item m="1" x="925"/>
        <item m="1" x="969"/>
        <item m="1" x="1111"/>
        <item m="1" x="1154"/>
        <item m="1" x="1199"/>
        <item m="1" x="1256"/>
        <item m="1" x="1317"/>
        <item m="1" x="1377"/>
        <item m="1" x="1137"/>
        <item m="1" x="1180"/>
        <item m="1" x="1234"/>
        <item m="1" x="1291"/>
        <item m="1" x="1350"/>
        <item m="1" x="1409"/>
        <item m="1" x="1475"/>
        <item m="1" x="1544"/>
        <item m="1" x="1618"/>
        <item m="1" x="1694"/>
        <item m="1" x="1237"/>
        <item m="1" x="1294"/>
        <item m="1" x="1353"/>
        <item m="1" x="1412"/>
        <item m="1" x="1479"/>
        <item m="1" x="1548"/>
        <item m="1" x="1621"/>
        <item m="1" x="1695"/>
        <item m="1" x="1760"/>
        <item m="1" x="1826"/>
        <item m="1" x="1358"/>
        <item m="1" x="1418"/>
        <item m="1" x="1485"/>
        <item m="1" x="1555"/>
        <item m="1" x="1628"/>
        <item m="1" x="1701"/>
        <item m="1" x="1764"/>
        <item m="1" x="1828"/>
        <item m="1" x="1889"/>
        <item m="1" x="1953"/>
        <item m="1" x="1491"/>
        <item m="1" x="1561"/>
        <item m="1" x="1635"/>
        <item m="1" x="1707"/>
        <item m="1" x="1770"/>
        <item m="1" x="1833"/>
        <item m="1" x="1893"/>
        <item m="1" x="1956"/>
        <item m="1" x="2015"/>
        <item m="1" x="185"/>
        <item m="1" x="1641"/>
        <item m="1" x="1712"/>
        <item m="1" x="1775"/>
        <item m="1" x="1837"/>
        <item m="1" x="1899"/>
        <item m="1" x="1961"/>
        <item m="1" x="2018"/>
        <item m="1" x="188"/>
        <item m="1" x="259"/>
        <item m="1" x="335"/>
        <item m="1" x="1780"/>
        <item m="1" x="828"/>
        <item m="1" x="410"/>
        <item m="1" x="489"/>
        <item m="1" x="1459"/>
        <item m="1" x="1601"/>
        <item m="1" x="1676"/>
        <item m="1" x="1225"/>
        <item m="1" x="1281"/>
        <item m="1" x="1341"/>
        <item m="1" x="1401"/>
        <item m="1" x="1465"/>
        <item m="1" x="1533"/>
        <item m="1" x="1606"/>
        <item m="1" x="1681"/>
        <item m="1" x="1746"/>
        <item m="1" x="1812"/>
        <item m="1" x="233"/>
        <item m="1" x="309"/>
        <item m="1" x="383"/>
        <item m="1" x="540"/>
        <item m="1" x="610"/>
        <item m="1" x="679"/>
        <item m="1" x="803"/>
        <item m="1" x="862"/>
        <item m="1" x="389"/>
        <item m="1" x="467"/>
        <item m="1" x="545"/>
        <item m="1" x="616"/>
        <item m="1" x="685"/>
        <item m="1" x="748"/>
        <item m="1" x="809"/>
        <item m="1" x="868"/>
        <item m="1" x="918"/>
        <item m="1" x="962"/>
        <item m="1" x="550"/>
        <item m="1" x="622"/>
        <item m="1" x="691"/>
        <item m="1" x="753"/>
        <item m="1" x="815"/>
        <item m="1" x="874"/>
        <item m="1" x="923"/>
        <item m="1" x="967"/>
        <item m="1" x="1001"/>
        <item m="1" x="1028"/>
        <item m="1" x="696"/>
        <item m="1" x="758"/>
        <item m="1" x="820"/>
        <item m="1" x="879"/>
        <item m="1" x="927"/>
        <item m="1" x="972"/>
        <item m="1" x="1004"/>
        <item m="1" x="1032"/>
        <item m="1" x="1056"/>
        <item m="1" x="1081"/>
        <item m="1" x="824"/>
        <item m="1" x="883"/>
        <item m="1" x="931"/>
        <item m="1" x="976"/>
        <item m="1" x="1008"/>
        <item m="1" x="1036"/>
        <item m="1" x="1060"/>
        <item m="1" x="1085"/>
        <item m="1" x="1114"/>
        <item m="1" x="1157"/>
        <item m="1" x="934"/>
        <item m="1" x="979"/>
        <item m="1" x="1011"/>
        <item m="1" x="1038"/>
        <item m="1" x="1063"/>
        <item m="1" x="1089"/>
        <item m="1" x="1119"/>
        <item m="1" x="1208"/>
        <item m="1" x="1265"/>
        <item m="1" x="1013"/>
        <item m="1" x="1040"/>
        <item m="1" x="1124"/>
        <item m="1" x="1166"/>
        <item m="1" x="1214"/>
        <item m="1" x="1271"/>
        <item m="1" x="1331"/>
        <item m="1" x="1392"/>
        <item m="1" x="1067"/>
        <item m="1" x="1092"/>
        <item m="1" x="1128"/>
        <item m="1" x="1171"/>
        <item m="1" x="1221"/>
        <item m="1" x="1278"/>
        <item m="1" x="1336"/>
        <item m="1" x="1396"/>
        <item m="1" x="1460"/>
        <item m="1" x="1529"/>
        <item m="1" x="1130"/>
        <item m="1" x="1173"/>
        <item m="1" x="1226"/>
        <item m="1" x="1282"/>
        <item m="1" x="1342"/>
        <item m="1" x="1402"/>
        <item m="1" x="1466"/>
        <item m="1" x="1534"/>
        <item m="1" x="1607"/>
        <item m="1" x="1682"/>
        <item m="1" x="1228"/>
        <item m="1" x="1284"/>
        <item m="1" x="1345"/>
        <item m="1" x="1404"/>
        <item m="1" x="1469"/>
        <item m="1" x="1538"/>
        <item m="1" x="1611"/>
        <item m="1" x="1686"/>
        <item m="1" x="1509"/>
        <item m="1" x="1581"/>
        <item m="1" x="1656"/>
        <item m="1" x="1203"/>
        <item m="1" x="1260"/>
        <item m="1" x="1321"/>
        <item m="1" x="1381"/>
        <item m="1" x="1444"/>
        <item m="1" x="1513"/>
        <item m="1" x="1585"/>
        <item m="1" x="1660"/>
        <item m="1" x="1729"/>
        <item m="1" x="1796"/>
        <item m="1" x="1325"/>
        <item m="1" x="1386"/>
        <item m="1" x="1449"/>
        <item m="1" x="1518"/>
        <item m="1" x="1590"/>
        <item m="1" x="1665"/>
        <item m="1" x="1733"/>
        <item m="1" x="1800"/>
        <item m="1" x="1861"/>
        <item m="1" x="1928"/>
        <item m="1" x="1455"/>
        <item m="1" x="1524"/>
        <item m="1" x="1596"/>
        <item m="1" x="1671"/>
        <item m="1" x="1738"/>
        <item m="1" x="1805"/>
        <item m="1" x="1864"/>
        <item m="1" x="1931"/>
        <item m="1" x="1988"/>
        <item m="1" x="2053"/>
        <item m="1" x="1602"/>
        <item m="1" x="1677"/>
        <item m="1" x="1742"/>
        <item m="1" x="1809"/>
        <item m="1" x="1868"/>
        <item m="1" x="1935"/>
        <item m="1" x="1992"/>
        <item m="1" x="2057"/>
        <item m="1" x="226"/>
        <item m="1" x="302"/>
        <item m="1" x="1747"/>
        <item m="1" x="1813"/>
        <item m="1" x="1872"/>
        <item m="1" x="1938"/>
        <item m="1" x="1995"/>
        <item m="1" x="2060"/>
        <item m="1" x="231"/>
        <item m="1" x="307"/>
        <item m="1" x="381"/>
        <item m="1" x="460"/>
        <item m="1" x="1876"/>
        <item m="1" x="1942"/>
        <item m="1" x="1999"/>
        <item m="1" x="2064"/>
        <item m="1" x="236"/>
        <item m="1" x="312"/>
        <item m="1" x="387"/>
        <item m="1" x="465"/>
        <item m="1" x="544"/>
        <item m="1" x="614"/>
        <item m="1" x="2003"/>
        <item m="1" x="2068"/>
        <item m="1" x="620"/>
        <item m="1" x="689"/>
        <item m="1" x="752"/>
        <item m="1" x="244"/>
        <item m="1" x="321"/>
        <item m="1" x="399"/>
        <item m="1" x="477"/>
        <item m="1" x="554"/>
        <item m="1" x="626"/>
        <item m="1" x="818"/>
        <item m="1" x="877"/>
        <item m="1" x="402"/>
        <item m="1" x="482"/>
        <item m="1" x="558"/>
        <item m="1" x="629"/>
        <item m="1" x="698"/>
        <item m="1" x="760"/>
        <item m="1" x="822"/>
        <item m="1" x="881"/>
        <item m="1" x="929"/>
        <item m="1" x="974"/>
        <item m="1" x="1115"/>
        <item m="1" x="1158"/>
        <item m="1" x="1204"/>
        <item m="1" x="1261"/>
        <item m="1" x="1322"/>
        <item m="1" x="1382"/>
        <item m="1" x="1445"/>
        <item m="1" x="1514"/>
        <item m="1" x="1586"/>
        <item m="1" x="1661"/>
        <item m="1" x="1209"/>
        <item m="1" x="1266"/>
        <item m="1" x="1326"/>
        <item m="1" x="1387"/>
        <item m="1" x="1450"/>
        <item m="1" x="1519"/>
        <item m="1" x="1591"/>
        <item m="1" x="1666"/>
        <item m="1" x="1734"/>
        <item m="1" x="1801"/>
        <item m="1" x="1332"/>
        <item m="1" x="1393"/>
        <item m="1" x="1456"/>
        <item m="1" x="1525"/>
        <item m="1" x="1597"/>
        <item m="1" x="1672"/>
        <item m="1" x="1739"/>
        <item m="1" x="1806"/>
        <item m="1" x="1865"/>
        <item m="1" x="1932"/>
        <item m="1" x="1461"/>
        <item m="1" x="1530"/>
        <item m="1" x="1603"/>
        <item m="1" x="1678"/>
        <item m="1" x="1743"/>
        <item m="1" x="1869"/>
        <item m="1" x="1608"/>
        <item m="1" x="1683"/>
        <item m="1" x="1748"/>
        <item m="1" x="1814"/>
        <item m="1" x="1873"/>
        <item m="1" x="1939"/>
        <item m="1" x="1996"/>
        <item m="1" x="2061"/>
        <item m="1" x="232"/>
        <item m="1" x="308"/>
        <item m="1" x="1751"/>
        <item m="1" x="1818"/>
        <item m="1" x="1877"/>
        <item m="1" x="1943"/>
        <item m="1" x="2000"/>
        <item m="1" x="2065"/>
        <item m="1" x="237"/>
        <item m="1" x="313"/>
        <item m="1" x="388"/>
        <item m="1" x="466"/>
        <item m="1" x="1880"/>
        <item m="1" x="1946"/>
        <item m="1" x="2004"/>
        <item m="1" x="2069"/>
        <item m="1" x="240"/>
        <item m="1" x="317"/>
        <item m="1" x="393"/>
        <item m="1" x="471"/>
        <item m="1" x="549"/>
        <item m="1" x="621"/>
        <item m="1" x="2007"/>
        <item m="1" x="2073"/>
        <item m="1" x="245"/>
        <item m="1" x="322"/>
        <item m="1" x="400"/>
        <item m="1" x="478"/>
        <item m="1" x="555"/>
        <item m="1" x="695"/>
        <item m="1" x="1842"/>
        <item m="1" x="1905"/>
        <item m="1" x="1966"/>
        <item m="1" x="2024"/>
        <item m="1" x="193"/>
        <item m="1" x="338"/>
        <item m="1" x="417"/>
        <item m="1" x="1911"/>
        <item m="1" x="1970"/>
        <item m="1" x="2029"/>
        <item m="1" x="197"/>
        <item m="1" x="268"/>
        <item m="1" x="343"/>
        <item m="1" x="421"/>
        <item m="1" x="499"/>
        <item m="1" x="573"/>
        <item m="1" x="2035"/>
        <item m="1" x="202"/>
        <item m="1" x="274"/>
        <item m="1" x="347"/>
        <item m="1" x="426"/>
        <item m="1" x="503"/>
        <item m="1" x="576"/>
        <item m="1" x="647"/>
        <item m="1" x="714"/>
        <item m="1" x="777"/>
        <item m="1" x="280"/>
        <item m="1" x="352"/>
        <item m="1" x="432"/>
        <item m="1" x="508"/>
        <item m="1" x="581"/>
        <item m="1" x="651"/>
        <item m="1" x="717"/>
        <item m="1" x="779"/>
        <item m="1" x="840"/>
        <item m="1" x="899"/>
        <item m="1" x="515"/>
        <item m="1" x="657"/>
        <item m="1" x="722"/>
        <item m="1" x="783"/>
        <item m="1" x="843"/>
        <item m="1" x="900"/>
        <item m="1" x="946"/>
        <item m="1" x="991"/>
        <item m="1" x="1140"/>
        <item m="1" x="1183"/>
        <item m="1" x="1238"/>
        <item m="1" x="1295"/>
        <item m="1" x="1354"/>
        <item m="1" x="1413"/>
        <item m="1" x="1480"/>
        <item m="1" x="1549"/>
        <item m="1" x="1622"/>
        <item m="1" x="1696"/>
        <item m="1" x="1242"/>
        <item m="1" x="1299"/>
        <item m="1" x="1359"/>
        <item m="1" x="1419"/>
        <item m="1" x="1486"/>
        <item m="1" x="1556"/>
        <item m="1" x="1629"/>
        <item m="1" x="1702"/>
        <item m="1" x="1765"/>
        <item m="1" x="1829"/>
        <item m="1" x="1365"/>
        <item m="1" x="1425"/>
        <item m="1" x="636"/>
        <item m="1" x="767"/>
        <item m="1" x="889"/>
        <item m="1" x="937"/>
        <item m="1" x="982"/>
        <item m="1" x="1127"/>
        <item m="1" x="1169"/>
        <item m="1" x="1218"/>
        <item m="1" x="1275"/>
        <item m="1" x="1224"/>
        <item m="1" x="1340"/>
        <item m="1" x="1400"/>
        <item m="1" x="1464"/>
        <item m="1" x="1817"/>
        <item m="1" x="315"/>
        <item m="1" x="390"/>
        <item m="1" x="468"/>
        <item m="1" x="546"/>
        <item m="1" x="617"/>
        <item m="1" x="686"/>
        <item m="1" x="749"/>
        <item m="1" x="810"/>
        <item m="1" x="869"/>
        <item m="1" x="396"/>
        <item m="1" x="474"/>
        <item m="1" x="551"/>
        <item m="1" x="623"/>
        <item m="1" x="692"/>
        <item m="1" x="754"/>
        <item m="1" x="816"/>
        <item m="1" x="875"/>
        <item m="1" x="924"/>
        <item m="1" x="968"/>
        <item m="1" x="557"/>
        <item m="1" x="628"/>
        <item m="1" x="697"/>
        <item m="1" x="759"/>
        <item m="1" x="821"/>
        <item m="1" x="880"/>
        <item m="1" x="928"/>
        <item m="1" x="973"/>
        <item m="1" x="1005"/>
        <item m="1" x="1033"/>
        <item m="1" x="701"/>
        <item m="1" x="763"/>
        <item m="1" x="825"/>
        <item m="1" x="884"/>
        <item m="1" x="932"/>
        <item m="1" x="977"/>
        <item m="1" x="1009"/>
        <item m="1" x="1037"/>
        <item m="1" x="1061"/>
        <item m="1" x="1086"/>
        <item m="1" x="829"/>
        <item m="1" x="887"/>
        <item m="1" x="935"/>
        <item m="1" x="980"/>
        <item m="1" x="1012"/>
        <item m="1" x="1039"/>
        <item m="1" x="1064"/>
        <item m="1" x="1120"/>
        <item m="1" x="1162"/>
        <item m="1" x="938"/>
        <item m="1" x="983"/>
        <item m="1" x="1014"/>
        <item m="1" x="1041"/>
        <item m="1" x="1066"/>
        <item m="1" x="1091"/>
        <item m="1" x="1125"/>
        <item m="1" x="1167"/>
        <item m="1" x="1215"/>
        <item m="1" x="1272"/>
        <item m="1" x="1042"/>
        <item m="1" x="1129"/>
        <item m="1" x="1172"/>
        <item m="1" x="1222"/>
        <item m="1" x="1279"/>
        <item m="1" x="1337"/>
        <item m="1" x="1397"/>
        <item m="1" x="1068"/>
        <item m="1" x="1093"/>
        <item m="1" x="1131"/>
        <item m="1" x="1174"/>
        <item m="1" x="1227"/>
        <item m="1" x="1283"/>
        <item m="1" x="1343"/>
        <item m="1" x="1535"/>
        <item m="1" x="1132"/>
        <item m="1" x="1175"/>
        <item m="1" x="1285"/>
        <item m="1" x="1405"/>
        <item m="1" x="1470"/>
        <item m="1" x="1539"/>
        <item m="1" x="1612"/>
        <item m="1" x="1687"/>
        <item m="1" x="1229"/>
        <item m="1" x="1286"/>
        <item m="1" x="1346"/>
        <item m="1" x="1472"/>
        <item m="1" x="1541"/>
        <item m="1" x="1615"/>
        <item m="1" x="1690"/>
        <item m="1" x="1754"/>
        <item m="1" x="1821"/>
        <item m="1" x="243"/>
        <item m="1" x="320"/>
        <item m="1" x="397"/>
        <item m="1" x="475"/>
        <item m="1" x="552"/>
        <item m="1" x="624"/>
        <item m="1" x="693"/>
        <item m="1" x="755"/>
        <item m="1" x="757"/>
        <item m="1" x="249"/>
        <item m="1" x="325"/>
        <item m="1" x="403"/>
        <item m="1" x="483"/>
        <item m="1" x="559"/>
        <item m="1" x="630"/>
        <item m="1" x="699"/>
        <item m="1" x="761"/>
        <item m="1" x="823"/>
        <item m="1" x="882"/>
        <item m="1" x="406"/>
        <item m="1" x="485"/>
        <item m="1" x="561"/>
        <item m="1" x="632"/>
        <item m="1" x="702"/>
        <item m="1" x="764"/>
        <item m="1" x="826"/>
        <item m="1" x="885"/>
        <item m="1" x="933"/>
        <item m="1" x="978"/>
        <item m="1" x="1121"/>
        <item m="1" x="1163"/>
        <item m="1" x="1210"/>
        <item m="1" x="1267"/>
        <item m="1" x="1327"/>
        <item m="1" x="1388"/>
        <item m="1" x="1451"/>
        <item m="1" x="1520"/>
        <item m="1" x="1592"/>
        <item m="1" x="1667"/>
        <item m="1" x="1216"/>
        <item m="1" x="1273"/>
        <item m="1" x="1333"/>
        <item m="1" x="1394"/>
        <item m="1" x="1526"/>
        <item m="1" x="1598"/>
        <item m="1" x="1673"/>
        <item m="1" x="1740"/>
        <item m="1" x="1807"/>
        <item m="1" x="1338"/>
        <item m="1" x="1398"/>
        <item m="1" x="1462"/>
        <item m="1" x="1531"/>
        <item m="1" x="1604"/>
        <item m="1" x="1679"/>
        <item m="1" x="1744"/>
        <item m="1" x="1810"/>
        <item m="1" x="1870"/>
        <item m="1" x="1936"/>
        <item m="1" x="1467"/>
        <item m="1" x="1536"/>
        <item m="1" x="1609"/>
        <item m="1" x="1684"/>
        <item m="1" x="1749"/>
        <item m="1" x="1815"/>
        <item m="1" x="1874"/>
        <item m="1" x="1940"/>
        <item m="1" x="1997"/>
        <item m="1" x="2062"/>
        <item m="1" x="1613"/>
        <item m="1" x="1688"/>
        <item m="1" x="1752"/>
        <item m="1" x="1819"/>
        <item m="1" x="1878"/>
        <item m="1" x="1944"/>
        <item m="1" x="2001"/>
        <item m="1" x="2066"/>
        <item m="1" x="238"/>
        <item m="1" x="314"/>
        <item m="1" x="1755"/>
        <item m="1" x="1822"/>
        <item m="1" x="1881"/>
        <item m="1" x="1947"/>
        <item m="1" x="2005"/>
        <item m="1" x="2070"/>
        <item m="1" x="241"/>
        <item m="1" x="318"/>
        <item m="1" x="394"/>
        <item m="1" x="472"/>
        <item m="1" x="1883"/>
        <item m="1" x="1948"/>
        <item m="1" x="2008"/>
        <item m="1" x="2074"/>
        <item m="1" x="246"/>
        <item m="1" x="323"/>
        <item m="1" x="479"/>
        <item m="1" x="556"/>
        <item m="1" x="627"/>
        <item m="1" x="2010"/>
        <item m="1" x="2076"/>
        <item m="1" x="250"/>
        <item m="1" x="326"/>
        <item m="1" x="404"/>
        <item m="1" x="484"/>
        <item m="1" x="560"/>
        <item m="1" x="631"/>
        <item m="1" x="700"/>
        <item m="1" x="762"/>
        <item m="1" x="252"/>
        <item m="1" x="328"/>
        <item m="1" x="407"/>
        <item m="1" x="486"/>
        <item m="1" x="562"/>
        <item m="1" x="633"/>
        <item m="1" x="703"/>
        <item m="1" x="765"/>
        <item m="1" x="827"/>
        <item m="1" x="886"/>
        <item m="1" x="409"/>
        <item m="1" x="488"/>
        <item m="1" x="564"/>
        <item m="1" x="635"/>
        <item m="1" x="704"/>
        <item m="1" x="766"/>
        <item m="1" x="830"/>
        <item m="1" x="888"/>
        <item m="1" x="936"/>
        <item m="1" x="981"/>
        <item m="1" x="1126"/>
        <item m="1" x="1168"/>
        <item m="1" x="1217"/>
        <item m="1" x="1274"/>
        <item m="1" x="1457"/>
        <item m="1" x="1527"/>
        <item m="1" x="1599"/>
        <item m="1" x="1674"/>
        <item m="1" x="1223"/>
        <item m="1" x="1280"/>
        <item m="1" x="1339"/>
        <item m="1" x="1399"/>
        <item m="1" x="1463"/>
        <item m="1" x="1532"/>
        <item m="1" x="1605"/>
        <item m="1" x="1680"/>
        <item m="1" x="1745"/>
        <item m="1" x="1811"/>
        <item m="1" x="1344"/>
        <item m="1" x="1403"/>
        <item m="1" x="1468"/>
        <item m="1" x="1537"/>
        <item m="1" x="1610"/>
        <item m="1" x="1685"/>
        <item m="1" x="1750"/>
        <item m="1" x="1816"/>
        <item m="1" x="1875"/>
        <item m="1" x="1941"/>
        <item m="1" x="1471"/>
        <item m="1" x="1540"/>
        <item m="1" x="1614"/>
        <item m="1" x="1689"/>
        <item m="1" x="1753"/>
        <item m="1" x="1820"/>
        <item m="1" x="1879"/>
        <item m="1" x="1945"/>
        <item m="1" x="2002"/>
        <item m="1" x="2067"/>
        <item m="1" x="1616"/>
        <item m="1" x="1691"/>
        <item m="1" x="1756"/>
        <item m="1" x="1882"/>
        <item m="1" x="2006"/>
        <item m="1" x="2071"/>
        <item m="1" x="242"/>
        <item m="1" x="1757"/>
        <item m="1" x="1823"/>
        <item m="1" x="1884"/>
        <item m="1" x="1949"/>
        <item m="1" x="2009"/>
        <item m="1" x="2075"/>
        <item m="1" x="247"/>
        <item m="1" x="324"/>
        <item m="1" x="480"/>
        <item m="1" x="1886"/>
        <item m="1" x="1950"/>
        <item m="1" x="1492"/>
        <item m="1" x="1562"/>
        <item m="1" x="1636"/>
        <item m="1" x="1708"/>
        <item m="1" x="1771"/>
        <item m="1" x="1834"/>
        <item m="1" x="1894"/>
        <item m="1" x="1957"/>
        <item m="1" x="1497"/>
        <item m="1" x="1567"/>
        <item m="1" x="1642"/>
        <item m="1" x="1713"/>
        <item m="1" x="1776"/>
        <item m="1" x="1838"/>
        <item m="1" x="1900"/>
        <item m="1" x="1962"/>
        <item m="1" x="2019"/>
        <item m="1" x="189"/>
        <item m="1" x="1648"/>
        <item m="1" x="1718"/>
        <item m="1" x="1781"/>
        <item m="1" x="1843"/>
        <item m="1" x="1906"/>
        <item m="1" x="1967"/>
        <item m="1" x="2025"/>
        <item m="1" x="194"/>
        <item m="1" x="263"/>
        <item m="1" x="339"/>
        <item m="1" x="1786"/>
        <item m="1" x="1846"/>
        <item m="1" x="1912"/>
        <item m="1" x="1971"/>
        <item m="1" x="2030"/>
        <item m="1" x="198"/>
        <item m="1" x="269"/>
        <item m="1" x="422"/>
        <item m="1" x="500"/>
        <item m="1" x="1918"/>
        <item m="1" x="1975"/>
        <item m="1" x="2036"/>
        <item m="1" x="203"/>
        <item m="1" x="275"/>
        <item m="1" x="348"/>
        <item m="1" x="427"/>
        <item m="1" x="504"/>
        <item m="1" x="577"/>
        <item m="1" x="648"/>
        <item m="1" x="2042"/>
        <item m="1" x="208"/>
        <item m="1" x="281"/>
        <item m="1" x="353"/>
        <item m="1" x="509"/>
        <item m="1" x="582"/>
        <item m="1" x="652"/>
        <item m="1" x="718"/>
        <item m="1" x="780"/>
        <item m="1" x="289"/>
        <item m="1" x="360"/>
        <item m="1" x="439"/>
        <item m="1" x="516"/>
        <item m="1" x="587"/>
        <item m="1" x="658"/>
        <item m="1" x="723"/>
        <item m="1" x="784"/>
        <item m="1" x="844"/>
        <item m="1" x="901"/>
        <item m="1" x="446"/>
        <item m="1" x="524"/>
        <item m="1" x="594"/>
        <item m="1" x="664"/>
        <item m="1" x="729"/>
        <item m="1" x="790"/>
        <item m="1" x="849"/>
        <item m="1" x="904"/>
        <item m="1" x="949"/>
        <item m="1" x="992"/>
        <item m="1" x="1143"/>
        <item m="1" x="1187"/>
        <item m="1" x="1243"/>
        <item m="1" x="1300"/>
        <item m="1" x="1360"/>
        <item m="1" x="142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1">
        <item m="1" x="183"/>
        <item m="1" x="158"/>
        <item m="1" x="149"/>
        <item m="1" x="71"/>
        <item m="1" x="73"/>
        <item m="1" x="155"/>
        <item m="1" x="23"/>
        <item m="1" x="80"/>
        <item m="1" x="31"/>
        <item m="1" x="109"/>
        <item m="1" x="127"/>
        <item m="1" x="197"/>
        <item m="1" x="107"/>
        <item m="1" x="88"/>
        <item m="1" x="68"/>
        <item m="1" x="86"/>
        <item m="1" x="15"/>
        <item m="1" x="27"/>
        <item m="1" x="10"/>
        <item m="1" x="21"/>
        <item m="1" x="33"/>
        <item m="1" x="200"/>
        <item m="1" x="184"/>
        <item m="1" x="212"/>
        <item m="1" x="48"/>
        <item m="1" x="67"/>
        <item m="1" x="64"/>
        <item m="1" x="208"/>
        <item m="1" x="22"/>
        <item m="1" x="190"/>
        <item m="1" x="58"/>
        <item m="1" x="83"/>
        <item m="1" x="95"/>
        <item m="1" x="108"/>
        <item m="1" x="39"/>
        <item m="1" x="59"/>
        <item m="1" x="84"/>
        <item m="1" x="187"/>
        <item m="1" x="205"/>
        <item m="1" x="6"/>
        <item m="1" x="17"/>
        <item m="1" x="87"/>
        <item m="1" x="60"/>
        <item m="1" x="173"/>
        <item m="1" x="180"/>
        <item m="1" x="157"/>
        <item m="1" x="117"/>
        <item m="1" x="209"/>
        <item m="1" x="24"/>
        <item m="1" x="4"/>
        <item m="1" x="153"/>
        <item m="1" x="38"/>
        <item m="1" x="159"/>
        <item m="1" x="82"/>
        <item m="1" x="5"/>
        <item m="1" x="165"/>
        <item m="1" x="3"/>
        <item m="1" x="77"/>
        <item m="1" x="176"/>
        <item m="1" x="139"/>
        <item m="1" x="191"/>
        <item m="1" x="122"/>
        <item m="1" x="89"/>
        <item m="1" x="101"/>
        <item m="1" x="12"/>
        <item m="1" x="160"/>
        <item m="1" x="49"/>
        <item m="1" x="178"/>
        <item m="1" x="128"/>
        <item m="1" x="202"/>
        <item m="1" x="201"/>
        <item m="1" x="18"/>
        <item m="1" x="172"/>
        <item m="1" x="66"/>
        <item m="1" x="43"/>
        <item m="1" x="195"/>
        <item m="1" x="62"/>
        <item m="1" x="47"/>
        <item m="1" x="100"/>
        <item m="1" x="111"/>
        <item m="1" x="174"/>
        <item m="1" x="113"/>
        <item m="1" x="57"/>
        <item m="1" x="34"/>
        <item m="1" x="169"/>
        <item m="1" x="171"/>
        <item m="1" x="120"/>
        <item m="1" x="78"/>
        <item m="1" x="85"/>
        <item m="1" x="2"/>
        <item m="1" x="7"/>
        <item m="1" x="32"/>
        <item m="1" x="46"/>
        <item m="1" x="116"/>
        <item m="1" x="194"/>
        <item m="1" x="145"/>
        <item m="1" x="94"/>
        <item m="1" x="196"/>
        <item m="1" x="81"/>
        <item m="1" x="213"/>
        <item m="1" x="156"/>
        <item m="1" x="142"/>
        <item m="1" x="69"/>
        <item m="1" x="11"/>
        <item m="1" x="161"/>
        <item m="1" x="99"/>
        <item m="1" x="135"/>
        <item m="1" x="30"/>
        <item m="1" x="44"/>
        <item m="1" x="216"/>
        <item m="1" x="162"/>
        <item m="1" x="96"/>
        <item m="1" x="8"/>
        <item m="1" x="103"/>
        <item m="1" x="207"/>
        <item m="1" x="102"/>
        <item m="1" x="177"/>
        <item m="1" x="53"/>
        <item m="1" x="40"/>
        <item m="1" x="141"/>
        <item m="1" x="193"/>
        <item m="1" x="217"/>
        <item m="1" x="134"/>
        <item m="1" x="211"/>
        <item m="1" x="198"/>
        <item m="1" x="45"/>
        <item m="1" x="129"/>
        <item m="1" x="131"/>
        <item m="1" x="125"/>
        <item m="1" x="163"/>
        <item m="1" x="204"/>
        <item m="1" x="152"/>
        <item m="1" x="9"/>
        <item m="1" x="37"/>
        <item m="1" x="210"/>
        <item m="1" x="54"/>
        <item m="1" x="114"/>
        <item m="1" x="140"/>
        <item m="1" x="93"/>
        <item m="1" x="1"/>
        <item m="1" x="70"/>
        <item m="1" x="79"/>
        <item m="1" x="50"/>
        <item m="1" x="65"/>
        <item m="1" x="121"/>
        <item m="1" x="16"/>
        <item m="1" x="76"/>
        <item m="1" x="29"/>
        <item m="1" x="192"/>
        <item m="1" x="188"/>
        <item m="1" x="186"/>
        <item m="1" x="164"/>
        <item m="1" x="92"/>
        <item m="1" x="182"/>
        <item m="1" x="147"/>
        <item m="1" x="130"/>
        <item m="1" x="146"/>
        <item m="1" x="136"/>
        <item m="1" x="179"/>
        <item m="1" x="36"/>
        <item m="1" x="20"/>
        <item m="1" x="154"/>
        <item m="1" x="175"/>
        <item m="1" x="137"/>
        <item m="1" x="51"/>
        <item m="1" x="112"/>
        <item m="1" x="150"/>
        <item m="1" x="98"/>
        <item m="1" x="119"/>
        <item m="1" x="105"/>
        <item m="1" x="167"/>
        <item m="1" x="123"/>
        <item m="1" x="118"/>
        <item m="1" x="218"/>
        <item m="1" x="13"/>
        <item m="1" x="56"/>
        <item m="1" x="219"/>
        <item m="1" x="35"/>
        <item m="1" x="203"/>
        <item m="1" x="25"/>
        <item m="1" x="185"/>
        <item m="1" x="215"/>
        <item m="1" x="110"/>
        <item m="1" x="151"/>
        <item m="1" x="126"/>
        <item m="1" x="138"/>
        <item m="1" x="199"/>
        <item m="1" x="75"/>
        <item m="1" x="189"/>
        <item m="1" x="148"/>
        <item m="1" x="106"/>
        <item m="1" x="97"/>
        <item m="1" x="181"/>
        <item m="1" x="168"/>
        <item m="1" x="133"/>
        <item m="1" x="144"/>
        <item m="1" x="41"/>
        <item m="1" x="26"/>
        <item m="1" x="166"/>
        <item m="1" x="55"/>
        <item m="1" x="170"/>
        <item m="1" x="124"/>
        <item m="1" x="104"/>
        <item m="1" x="132"/>
        <item m="1" x="72"/>
        <item m="1" x="220"/>
        <item m="1" x="91"/>
        <item m="1" x="52"/>
        <item m="1" x="74"/>
        <item m="1" x="115"/>
        <item m="1" x="143"/>
        <item m="1" x="61"/>
        <item m="1" x="206"/>
        <item m="1" x="90"/>
        <item m="1" x="63"/>
        <item m="1" x="42"/>
        <item m="1" x="214"/>
        <item m="1" x="28"/>
        <item m="1" x="19"/>
        <item m="1" x="1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2">
        <item m="1" x="190"/>
        <item m="1" x="107"/>
        <item m="1" x="73"/>
        <item m="1" x="93"/>
        <item m="1" x="22"/>
        <item m="1" x="69"/>
        <item m="1" x="63"/>
        <item m="1" x="50"/>
        <item m="1" x="119"/>
        <item m="1" x="52"/>
        <item m="1" x="187"/>
        <item m="1" x="17"/>
        <item m="1" x="161"/>
        <item m="1" x="51"/>
        <item m="1" x="200"/>
        <item m="1" x="178"/>
        <item m="1" x="96"/>
        <item m="1" x="156"/>
        <item m="1" x="145"/>
        <item m="1" x="141"/>
        <item m="1" x="134"/>
        <item m="1" x="35"/>
        <item m="1" x="192"/>
        <item m="1" x="56"/>
        <item m="1" x="123"/>
        <item m="1" x="7"/>
        <item m="1" x="128"/>
        <item m="1" x="140"/>
        <item m="1" x="184"/>
        <item sd="0" m="1" x="204"/>
        <item m="1" x="114"/>
        <item m="1" x="38"/>
        <item m="1" x="122"/>
        <item m="1" x="124"/>
        <item m="1" x="80"/>
        <item m="1" x="76"/>
        <item m="1" x="84"/>
        <item m="1" x="136"/>
        <item m="1" x="216"/>
        <item m="1" x="208"/>
        <item m="1" x="215"/>
        <item m="1" x="147"/>
        <item m="1" x="74"/>
        <item m="1" x="110"/>
        <item m="1" x="199"/>
        <item m="1" x="13"/>
        <item m="1" x="189"/>
        <item m="1" x="191"/>
        <item m="1" x="10"/>
        <item m="1" x="133"/>
        <item m="1" x="78"/>
        <item m="1" x="95"/>
        <item m="1" x="165"/>
        <item m="1" x="19"/>
        <item m="1" x="99"/>
        <item m="1" x="209"/>
        <item m="1" x="207"/>
        <item m="1" x="40"/>
        <item m="1" x="12"/>
        <item m="1" x="91"/>
        <item m="1" x="198"/>
        <item m="1" x="188"/>
        <item m="1" x="193"/>
        <item m="1" x="173"/>
        <item m="1" x="212"/>
        <item m="1" x="45"/>
        <item m="1" x="82"/>
        <item m="1" x="20"/>
        <item m="1" x="171"/>
        <item m="1" x="16"/>
        <item m="1" x="177"/>
        <item m="1" x="174"/>
        <item m="1" x="197"/>
        <item m="1" x="180"/>
        <item m="1" x="42"/>
        <item m="1" x="100"/>
        <item m="1" x="166"/>
        <item m="1" x="170"/>
        <item m="1" x="149"/>
        <item m="1" x="158"/>
        <item m="1" x="116"/>
        <item m="1" x="57"/>
        <item m="1" x="195"/>
        <item m="1" x="181"/>
        <item m="1" x="105"/>
        <item m="1" x="151"/>
        <item m="1" x="118"/>
        <item m="1" x="120"/>
        <item m="1" x="15"/>
        <item m="1" x="94"/>
        <item m="1" x="62"/>
        <item m="1" x="32"/>
        <item m="1" x="150"/>
        <item m="1" x="55"/>
        <item m="1" x="90"/>
        <item m="1" x="85"/>
        <item m="1" x="125"/>
        <item m="1" x="2"/>
        <item m="1" x="163"/>
        <item m="1" x="160"/>
        <item m="1" x="68"/>
        <item m="1" x="64"/>
        <item m="1" x="60"/>
        <item m="1" x="33"/>
        <item m="1" x="213"/>
        <item m="1" x="21"/>
        <item m="1" x="214"/>
        <item m="1" x="37"/>
        <item m="1" x="219"/>
        <item m="1" x="43"/>
        <item m="1" x="3"/>
        <item m="1" x="28"/>
        <item m="1" x="26"/>
        <item m="1" x="154"/>
        <item m="1" x="153"/>
        <item m="1" x="59"/>
        <item m="1" x="65"/>
        <item m="1" x="168"/>
        <item m="1" x="92"/>
        <item m="1" x="159"/>
        <item m="1" x="81"/>
        <item m="1" x="186"/>
        <item m="1" x="34"/>
        <item m="1" x="8"/>
        <item m="1" x="182"/>
        <item m="1" x="185"/>
        <item m="1" x="164"/>
        <item m="1" x="157"/>
        <item m="1" x="54"/>
        <item m="1" x="14"/>
        <item m="1" x="143"/>
        <item m="1" x="70"/>
        <item m="1" x="104"/>
        <item m="1" x="5"/>
        <item m="1" x="144"/>
        <item m="1" x="44"/>
        <item m="1" x="24"/>
        <item m="1" x="67"/>
        <item m="1" x="49"/>
        <item m="1" x="183"/>
        <item m="1" x="75"/>
        <item m="1" x="71"/>
        <item m="1" x="146"/>
        <item m="1" x="58"/>
        <item m="1" x="4"/>
        <item m="1" x="41"/>
        <item m="1" x="175"/>
        <item m="1" x="111"/>
        <item m="1" x="83"/>
        <item m="1" x="53"/>
        <item m="1" x="130"/>
        <item m="1" x="162"/>
        <item m="1" x="127"/>
        <item m="1" x="201"/>
        <item m="1" x="30"/>
        <item m="1" x="132"/>
        <item m="1" x="139"/>
        <item m="1" x="196"/>
        <item m="1" x="152"/>
        <item m="1" x="103"/>
        <item m="1" x="210"/>
        <item m="1" x="25"/>
        <item m="1" x="108"/>
        <item m="1" x="89"/>
        <item m="1" x="218"/>
        <item m="1" x="23"/>
        <item m="1" x="18"/>
        <item m="1" x="194"/>
        <item m="1" x="36"/>
        <item m="1" x="176"/>
        <item m="1" x="115"/>
        <item m="1" x="6"/>
        <item m="1" x="46"/>
        <item m="1" x="77"/>
        <item m="1" x="203"/>
        <item m="1" x="47"/>
        <item m="1" x="112"/>
        <item m="1" x="138"/>
        <item m="1" x="66"/>
        <item m="1" x="142"/>
        <item m="1" x="117"/>
        <item m="1" x="131"/>
        <item m="1" x="221"/>
        <item m="1" x="61"/>
        <item m="1" x="121"/>
        <item m="1" x="113"/>
        <item m="1" x="206"/>
        <item m="1" x="101"/>
        <item m="1" x="135"/>
        <item m="1" x="205"/>
        <item m="1" x="9"/>
        <item m="1" x="72"/>
        <item m="1" x="148"/>
        <item m="1" x="27"/>
        <item m="1" x="11"/>
        <item m="1" x="86"/>
        <item m="1" x="29"/>
        <item m="1" x="109"/>
        <item m="1" x="155"/>
        <item m="1" x="179"/>
        <item m="1" x="211"/>
        <item m="1" x="217"/>
        <item m="1" x="31"/>
        <item m="1" x="106"/>
        <item m="1" x="202"/>
        <item m="1" x="88"/>
        <item m="1" x="48"/>
        <item m="1" x="97"/>
        <item m="1" x="220"/>
        <item m="1" x="98"/>
        <item m="1" x="79"/>
        <item m="1" x="129"/>
        <item m="1" x="137"/>
        <item m="1" x="87"/>
        <item m="1" x="39"/>
        <item m="1" x="167"/>
        <item m="1" x="169"/>
        <item m="1" x="126"/>
        <item m="1" x="102"/>
        <item m="1" x="172"/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1">
        <item x="99"/>
        <item m="1" x="1711"/>
        <item m="1" x="444"/>
        <item x="237"/>
        <item m="1" x="1402"/>
        <item m="1" x="1781"/>
        <item m="1" x="1713"/>
        <item m="1" x="915"/>
        <item m="1" x="595"/>
        <item m="1" x="1709"/>
        <item m="1" x="1403"/>
        <item m="1" x="1914"/>
        <item m="1" x="878"/>
        <item m="1" x="1004"/>
        <item m="1" x="416"/>
        <item x="299"/>
        <item m="1" x="1742"/>
        <item m="1" x="936"/>
        <item m="1" x="885"/>
        <item m="1" x="529"/>
        <item m="1" x="1793"/>
        <item m="1" x="390"/>
        <item m="1" x="1302"/>
        <item m="1" x="515"/>
        <item m="1" x="704"/>
        <item m="1" x="1196"/>
        <item m="1" x="1924"/>
        <item m="1" x="572"/>
        <item m="1" x="805"/>
        <item m="1" x="1555"/>
        <item m="1" x="1788"/>
        <item m="1" x="1670"/>
        <item m="1" x="1647"/>
        <item m="1" x="1039"/>
        <item m="1" x="1558"/>
        <item m="1" x="1043"/>
        <item m="1" x="1612"/>
        <item m="1" x="1786"/>
        <item m="1" x="1079"/>
        <item m="1" x="1003"/>
        <item m="1" x="1227"/>
        <item m="1" x="1902"/>
        <item m="1" x="311"/>
        <item m="1" x="374"/>
        <item m="1" x="521"/>
        <item m="1" x="1614"/>
        <item m="1" x="386"/>
        <item m="1" x="1857"/>
        <item m="1" x="947"/>
        <item m="1" x="951"/>
        <item m="1" x="1590"/>
        <item m="1" x="1029"/>
        <item m="1" x="460"/>
        <item m="1" x="1160"/>
        <item m="1" x="1854"/>
        <item m="1" x="1673"/>
        <item m="1" x="1119"/>
        <item m="1" x="551"/>
        <item m="1" x="971"/>
        <item m="1" x="1840"/>
        <item m="1" x="1562"/>
        <item m="1" x="1872"/>
        <item m="1" x="1697"/>
        <item m="1" x="1702"/>
        <item m="1" x="1597"/>
        <item m="1" x="1525"/>
        <item m="1" x="1918"/>
        <item m="1" x="1048"/>
        <item m="1" x="456"/>
        <item m="1" x="733"/>
        <item m="1" x="1712"/>
        <item m="1" x="338"/>
        <item m="1" x="380"/>
        <item m="1" x="1333"/>
        <item m="1" x="428"/>
        <item m="1" x="1797"/>
        <item m="1" x="1280"/>
        <item m="1" x="1770"/>
        <item m="1" x="978"/>
        <item m="1" x="879"/>
        <item m="1" x="1210"/>
        <item m="1" x="1970"/>
        <item m="1" x="1094"/>
        <item m="1" x="1032"/>
        <item m="1" x="541"/>
        <item m="1" x="2070"/>
        <item m="1" x="1443"/>
        <item m="1" x="1646"/>
        <item m="1" x="1717"/>
        <item x="92"/>
        <item m="1" x="1708"/>
        <item m="1" x="1350"/>
        <item m="1" x="773"/>
        <item m="1" x="918"/>
        <item m="1" x="868"/>
        <item m="1" x="1759"/>
        <item m="1" x="1645"/>
        <item m="1" x="871"/>
        <item m="1" x="1241"/>
        <item m="1" x="1046"/>
        <item m="1" x="2032"/>
        <item m="1" x="1877"/>
        <item m="1" x="1661"/>
        <item m="1" x="1585"/>
        <item m="1" x="1957"/>
        <item m="1" x="1170"/>
        <item m="1" x="1433"/>
        <item m="1" x="548"/>
        <item m="1" x="1789"/>
        <item m="1" x="1437"/>
        <item m="1" x="1841"/>
        <item m="1" x="1445"/>
        <item m="1" x="1758"/>
        <item m="1" x="1683"/>
        <item m="1" x="1700"/>
        <item m="1" x="1805"/>
        <item m="1" x="1603"/>
        <item m="1" x="1078"/>
        <item m="1" x="1595"/>
        <item m="1" x="1006"/>
        <item m="1" x="507"/>
        <item m="1" x="1082"/>
        <item m="1" x="2073"/>
        <item m="1" x="1226"/>
        <item m="1" x="1640"/>
        <item m="1" x="1834"/>
        <item m="1" x="1945"/>
        <item m="1" x="1217"/>
        <item m="1" x="1298"/>
        <item m="1" x="821"/>
        <item m="1" x="1498"/>
        <item m="1" x="1990"/>
        <item m="1" x="1796"/>
        <item m="1" x="702"/>
        <item m="1" x="709"/>
        <item m="1" x="1175"/>
        <item m="1" x="355"/>
        <item m="1" x="1300"/>
        <item m="1" x="422"/>
        <item m="1" x="755"/>
        <item m="1" x="1993"/>
        <item m="1" x="315"/>
        <item m="1" x="1399"/>
        <item m="1" x="1089"/>
        <item m="1" x="1055"/>
        <item m="1" x="1236"/>
        <item m="1" x="1721"/>
        <item m="1" x="833"/>
        <item m="1" x="698"/>
        <item m="1" x="1888"/>
        <item m="1" x="1258"/>
        <item m="1" x="656"/>
        <item m="1" x="573"/>
        <item m="1" x="533"/>
        <item m="1" x="1219"/>
        <item m="1" x="692"/>
        <item m="1" x="506"/>
        <item m="1" x="710"/>
        <item m="1" x="1262"/>
        <item m="1" x="1027"/>
        <item m="1" x="1255"/>
        <item m="1" x="610"/>
        <item m="1" x="588"/>
        <item m="1" x="1762"/>
        <item m="1" x="429"/>
        <item m="1" x="1053"/>
        <item m="1" x="1084"/>
        <item m="1" x="458"/>
        <item m="1" x="1381"/>
        <item m="1" x="607"/>
        <item m="1" x="1194"/>
        <item m="1" x="1559"/>
        <item m="1" x="1223"/>
        <item m="1" x="1023"/>
        <item m="1" x="1221"/>
        <item m="1" x="1185"/>
        <item m="1" x="668"/>
        <item m="1" x="1143"/>
        <item m="1" x="937"/>
        <item m="1" x="1411"/>
        <item m="1" x="401"/>
        <item m="1" x="734"/>
        <item m="1" x="2027"/>
        <item m="1" x="310"/>
        <item m="1" x="670"/>
        <item m="1" x="1662"/>
        <item m="1" x="1772"/>
        <item m="1" x="1479"/>
        <item m="1" x="2025"/>
        <item m="1" x="1473"/>
        <item m="1" x="1581"/>
        <item m="1" x="343"/>
        <item m="1" x="629"/>
        <item m="1" x="910"/>
        <item m="1" x="795"/>
        <item m="1" x="1537"/>
        <item m="1" x="1705"/>
        <item m="1" x="672"/>
        <item m="1" x="1242"/>
        <item m="1" x="364"/>
        <item m="1" x="1191"/>
        <item m="1" x="869"/>
        <item m="1" x="1260"/>
        <item m="1" x="1611"/>
        <item m="1" x="638"/>
        <item m="1" x="1425"/>
        <item m="1" x="1894"/>
        <item m="1" x="561"/>
        <item m="1" x="2108"/>
        <item m="1" x="1667"/>
        <item m="1" x="1101"/>
        <item m="1" x="846"/>
        <item m="1" x="1514"/>
        <item m="1" x="743"/>
        <item m="1" x="1296"/>
        <item m="1" x="1523"/>
        <item m="1" x="1139"/>
        <item m="1" x="1412"/>
        <item m="1" x="725"/>
        <item m="1" x="1634"/>
        <item m="1" x="1294"/>
        <item m="1" x="870"/>
        <item m="1" x="1345"/>
        <item m="1" x="956"/>
        <item m="1" x="843"/>
        <item m="1" x="1434"/>
        <item m="1" x="576"/>
        <item m="1" x="486"/>
        <item m="1" x="1718"/>
        <item m="1" x="1674"/>
        <item m="1" x="1953"/>
        <item m="1" x="889"/>
        <item m="1" x="1723"/>
        <item m="1" x="643"/>
        <item m="1" x="1870"/>
        <item m="1" x="1021"/>
        <item m="1" x="1130"/>
        <item m="1" x="2058"/>
        <item m="1" x="1190"/>
        <item m="1" x="466"/>
        <item m="1" x="479"/>
        <item m="1" x="1131"/>
        <item m="1" x="1928"/>
        <item m="1" x="1964"/>
        <item m="1" x="1490"/>
        <item m="1" x="1584"/>
        <item m="1" x="1330"/>
        <item m="1" x="1233"/>
        <item m="1" x="845"/>
        <item m="1" x="853"/>
        <item m="1" x="856"/>
        <item m="1" x="313"/>
        <item m="1" x="1394"/>
        <item m="1" x="1222"/>
        <item m="1" x="977"/>
        <item m="1" x="407"/>
        <item m="1" x="1889"/>
        <item m="1" x="567"/>
        <item m="1" x="316"/>
        <item m="1" x="1767"/>
        <item m="1" x="1586"/>
        <item m="1" x="1319"/>
        <item m="1" x="1349"/>
        <item m="1" x="1391"/>
        <item m="1" x="1846"/>
        <item m="1" x="535"/>
        <item m="1" x="2019"/>
        <item m="1" x="1040"/>
        <item m="1" x="553"/>
        <item m="1" x="1451"/>
        <item m="1" x="1062"/>
        <item m="1" x="1627"/>
        <item m="1" x="2031"/>
        <item m="1" x="616"/>
        <item m="1" x="780"/>
        <item m="1" x="635"/>
        <item m="1" x="739"/>
        <item m="1" x="1182"/>
        <item m="1" x="1141"/>
        <item m="1" x="1897"/>
        <item m="1" x="1649"/>
        <item m="1" x="1549"/>
        <item m="1" x="705"/>
        <item m="1" x="908"/>
        <item m="1" x="1466"/>
        <item m="1" x="1238"/>
        <item m="1" x="1311"/>
        <item m="1" x="979"/>
        <item m="1" x="1127"/>
        <item m="1" x="735"/>
        <item m="1" x="1911"/>
        <item m="1" x="1013"/>
        <item m="1" x="2012"/>
        <item m="1" x="965"/>
        <item m="1" x="557"/>
        <item m="1" x="837"/>
        <item m="1" x="571"/>
        <item m="1" x="599"/>
        <item m="1" x="1511"/>
        <item m="1" x="1428"/>
        <item m="1" x="1122"/>
        <item m="1" x="884"/>
        <item m="1" x="2015"/>
        <item m="1" x="345"/>
        <item m="1" x="1543"/>
        <item m="1" x="1026"/>
        <item m="1" x="1441"/>
        <item m="1" x="1485"/>
        <item m="1" x="347"/>
        <item m="1" x="462"/>
        <item m="1" x="1156"/>
        <item m="1" x="1265"/>
        <item m="1" x="996"/>
        <item m="1" x="1231"/>
        <item m="1" x="543"/>
        <item m="1" x="1324"/>
        <item m="1" x="1613"/>
        <item x="126"/>
        <item m="1" x="1866"/>
        <item m="1" x="1609"/>
        <item m="1" x="1668"/>
        <item m="1" x="2029"/>
        <item m="1" x="366"/>
        <item m="1" x="928"/>
        <item m="1" x="790"/>
        <item m="1" x="760"/>
        <item m="1" x="770"/>
        <item m="1" x="967"/>
        <item m="1" x="1895"/>
        <item m="1" x="2036"/>
        <item m="1" x="1917"/>
        <item m="1" x="1234"/>
        <item m="1" x="691"/>
        <item m="1" x="1695"/>
        <item x="249"/>
        <item m="1" x="525"/>
        <item m="1" x="534"/>
        <item m="1" x="465"/>
        <item m="1" x="454"/>
        <item m="1" x="2052"/>
        <item m="1" x="1336"/>
        <item m="1" x="1686"/>
        <item m="1" x="418"/>
        <item m="1" x="419"/>
        <item m="1" x="591"/>
        <item m="1" x="1769"/>
        <item m="1" x="1622"/>
        <item m="1" x="1929"/>
        <item m="1" x="1598"/>
        <item m="1" x="1623"/>
        <item m="1" x="1188"/>
        <item m="1" x="823"/>
        <item m="1" x="1022"/>
        <item m="1" x="342"/>
        <item m="1" x="676"/>
        <item m="1" x="767"/>
        <item m="1" x="796"/>
        <item m="1" x="2096"/>
        <item m="1" x="1913"/>
        <item m="1" x="2062"/>
        <item m="1" x="1212"/>
        <item m="1" x="1429"/>
        <item m="1" x="1663"/>
        <item m="1" x="1541"/>
        <item m="1" x="1734"/>
        <item m="1" x="1932"/>
        <item m="1" x="1896"/>
        <item m="1" x="1810"/>
        <item m="1" x="1701"/>
        <item m="1" x="501"/>
        <item m="1" x="839"/>
        <item m="1" x="1515"/>
        <item m="1" x="431"/>
        <item m="1" x="1963"/>
        <item m="1" x="590"/>
        <item m="1" x="2041"/>
        <item m="1" x="620"/>
        <item m="1" x="842"/>
        <item m="1" x="835"/>
        <item m="1" x="2022"/>
        <item m="1" x="1884"/>
        <item m="1" x="984"/>
        <item m="1" x="636"/>
        <item m="1" x="1899"/>
        <item m="1" x="688"/>
        <item m="1" x="748"/>
        <item m="1" x="2086"/>
        <item m="1" x="579"/>
        <item m="1" x="1876"/>
        <item m="1" x="1850"/>
        <item m="1" x="502"/>
        <item m="1" x="2074"/>
        <item m="1" x="1066"/>
        <item m="1" x="941"/>
        <item m="1" x="1777"/>
        <item m="1" x="2066"/>
        <item m="1" x="1416"/>
        <item m="1" x="1409"/>
        <item m="1" x="1422"/>
        <item m="1" x="2005"/>
        <item m="1" x="1208"/>
        <item m="1" x="623"/>
        <item m="1" x="1419"/>
        <item m="1" x="945"/>
        <item m="1" x="1228"/>
        <item x="34"/>
        <item m="1" x="1837"/>
        <item m="1" x="682"/>
        <item m="1" x="761"/>
        <item m="1" x="1151"/>
        <item m="1" x="1148"/>
        <item m="1" x="1261"/>
        <item m="1" x="2007"/>
        <item m="1" x="396"/>
        <item m="1" x="892"/>
        <item m="1" x="1604"/>
        <item m="1" x="1520"/>
        <item m="1" x="2020"/>
        <item m="1" x="430"/>
        <item m="1" x="988"/>
        <item m="1" x="1799"/>
        <item m="1" x="864"/>
        <item m="1" x="1020"/>
        <item m="1" x="1698"/>
        <item m="1" x="527"/>
        <item m="1" x="442"/>
        <item m="1" x="1320"/>
        <item m="1" x="1256"/>
        <item m="1" x="1380"/>
        <item m="1" x="1432"/>
        <item m="1" x="1858"/>
        <item m="1" x="1814"/>
        <item m="1" x="1981"/>
        <item m="1" x="1860"/>
        <item m="1" x="955"/>
        <item m="1" x="1782"/>
        <item m="1" x="425"/>
        <item m="1" x="414"/>
        <item m="1" x="1096"/>
        <item m="1" x="1890"/>
        <item m="1" x="800"/>
        <item m="1" x="1273"/>
        <item m="1" x="983"/>
        <item m="1" x="1113"/>
        <item m="1" x="358"/>
        <item m="1" x="1878"/>
        <item m="1" x="2039"/>
        <item m="1" x="530"/>
        <item m="1" x="1449"/>
        <item m="1" x="1832"/>
        <item m="1" x="1730"/>
        <item m="1" x="1450"/>
        <item m="1" x="1377"/>
        <item m="1" x="1633"/>
        <item m="1" x="1980"/>
        <item m="1" x="622"/>
        <item m="1" x="1869"/>
        <item m="1" x="948"/>
        <item m="1" x="912"/>
        <item m="1" x="1778"/>
        <item m="1" x="2037"/>
        <item m="1" x="1093"/>
        <item m="1" x="1033"/>
        <item m="1" x="495"/>
        <item m="1" x="1112"/>
        <item m="1" x="1475"/>
        <item m="1" x="485"/>
        <item m="1" x="890"/>
        <item m="1" x="1348"/>
        <item m="1" x="307"/>
        <item m="1" x="2018"/>
        <item m="1" x="1576"/>
        <item m="1" x="1601"/>
        <item m="1" x="1199"/>
        <item m="1" x="740"/>
        <item m="1" x="1301"/>
        <item m="1" x="362"/>
        <item m="1" x="1619"/>
        <item m="1" x="771"/>
        <item m="1" x="1051"/>
        <item m="1" x="1999"/>
        <item m="1" x="781"/>
        <item m="1" x="932"/>
        <item m="1" x="1500"/>
        <item m="1" x="1545"/>
        <item m="1" x="359"/>
        <item m="1" x="645"/>
        <item m="1" x="1773"/>
        <item m="1" x="1365"/>
        <item m="1" x="367"/>
        <item m="1" x="651"/>
        <item m="1" x="1620"/>
        <item m="1" x="1856"/>
        <item m="1" x="1842"/>
        <item m="1" x="1299"/>
        <item m="1" x="1569"/>
        <item m="1" x="893"/>
        <item m="1" x="1133"/>
        <item m="1" x="402"/>
        <item m="1" x="737"/>
        <item m="1" x="874"/>
        <item m="1" x="642"/>
        <item m="1" x="1214"/>
        <item m="1" x="1097"/>
        <item m="1" x="611"/>
        <item m="1" x="646"/>
        <item m="1" x="1536"/>
        <item m="1" x="1267"/>
        <item m="1" x="666"/>
        <item m="1" x="1972"/>
        <item m="1" x="1849"/>
        <item m="1" x="726"/>
        <item m="1" x="411"/>
        <item m="1" x="706"/>
        <item m="1" x="2071"/>
        <item m="1" x="2106"/>
        <item m="1" x="1235"/>
        <item m="1" x="759"/>
        <item m="1" x="1478"/>
        <item m="1" x="513"/>
        <item m="1" x="560"/>
        <item m="1" x="1263"/>
        <item m="1" x="1587"/>
        <item m="1" x="484"/>
        <item m="1" x="2082"/>
        <item m="1" x="1871"/>
        <item m="1" x="341"/>
        <item m="1" x="1211"/>
        <item m="1" x="2038"/>
        <item m="1" x="1459"/>
        <item m="1" x="1988"/>
        <item m="1" x="1681"/>
        <item m="1" x="1654"/>
        <item m="1" x="1117"/>
        <item m="1" x="1275"/>
        <item m="1" x="886"/>
        <item m="1" x="1863"/>
        <item m="1" x="2090"/>
        <item m="1" x="1129"/>
        <item m="1" x="810"/>
        <item m="1" x="1292"/>
        <item m="1" x="1644"/>
        <item m="1" x="714"/>
        <item m="1" x="1105"/>
        <item m="1" x="1531"/>
        <item m="1" x="1513"/>
        <item m="1" x="1157"/>
        <item m="1" x="1002"/>
        <item m="1" x="404"/>
        <item m="1" x="677"/>
        <item m="1" x="580"/>
        <item m="1" x="1150"/>
        <item m="1" x="1276"/>
        <item m="1" x="2047"/>
        <item m="1" x="836"/>
        <item m="1" x="1305"/>
        <item m="1" x="2033"/>
        <item m="1" x="1675"/>
        <item m="1" x="1332"/>
        <item m="1" x="783"/>
        <item m="1" x="556"/>
        <item m="1" x="1552"/>
        <item m="1" x="617"/>
        <item m="1" x="1725"/>
        <item m="1" x="811"/>
        <item m="1" x="331"/>
        <item m="1" x="1464"/>
        <item m="1" x="1829"/>
        <item m="1" x="1014"/>
        <item m="1" x="891"/>
        <item m="1" x="678"/>
        <item m="1" x="467"/>
        <item m="1" x="1679"/>
        <item m="1" x="1625"/>
        <item m="1" x="1626"/>
        <item m="1" x="615"/>
        <item m="1" x="2049"/>
        <item m="1" x="1791"/>
        <item m="1" x="1446"/>
        <item m="1" x="1526"/>
        <item m="1" x="2075"/>
        <item m="1" x="308"/>
        <item m="1" x="481"/>
        <item m="1" x="1132"/>
        <item m="1" x="365"/>
        <item m="1" x="1905"/>
        <item m="1" x="1315"/>
        <item m="1" x="1266"/>
        <item m="1" x="1259"/>
        <item m="1" x="1676"/>
        <item m="1" x="1458"/>
        <item m="1" x="2008"/>
        <item m="1" x="1268"/>
        <item m="1" x="701"/>
        <item m="1" x="1898"/>
        <item m="1" x="905"/>
        <item m="1" x="577"/>
        <item m="1" x="1719"/>
        <item m="1" x="2004"/>
        <item m="1" x="412"/>
        <item m="1" x="1047"/>
        <item m="1" x="453"/>
        <item m="1" x="1658"/>
        <item m="1" x="657"/>
        <item m="1" x="1822"/>
        <item m="1" x="1538"/>
        <item m="1" x="332"/>
        <item m="1" x="1684"/>
        <item m="1" x="1655"/>
        <item m="1" x="1439"/>
        <item m="1" x="383"/>
        <item m="1" x="1371"/>
        <item m="1" x="1580"/>
        <item m="1" x="716"/>
        <item m="1" x="437"/>
        <item m="1" x="493"/>
        <item m="1" x="924"/>
        <item m="1" x="1178"/>
        <item m="1" x="1056"/>
        <item m="1" x="1136"/>
        <item m="1" x="1483"/>
        <item m="1" x="2046"/>
        <item m="1" x="1213"/>
        <item m="1" x="528"/>
        <item m="1" x="1940"/>
        <item m="1" x="463"/>
        <item m="1" x="1460"/>
        <item m="1" x="1919"/>
        <item m="1" x="1456"/>
        <item m="1" x="1630"/>
        <item m="1" x="1983"/>
        <item m="1" x="377"/>
        <item m="1" x="652"/>
        <item m="1" x="862"/>
        <item m="1" x="1499"/>
        <item m="1" x="1738"/>
        <item m="1" x="1637"/>
        <item m="1" x="509"/>
        <item m="1" x="1632"/>
        <item m="1" x="633"/>
        <item m="1" x="1998"/>
        <item m="1" x="1058"/>
        <item m="1" x="2107"/>
        <item m="1" x="825"/>
        <item m="1" x="631"/>
        <item m="1" x="950"/>
        <item m="1" x="1085"/>
        <item m="1" x="1689"/>
        <item m="1" x="1454"/>
        <item m="1" x="1384"/>
        <item m="1" x="684"/>
        <item m="1" x="1746"/>
        <item m="1" x="1507"/>
        <item m="1" x="653"/>
        <item m="1" x="2013"/>
        <item m="1" x="1830"/>
        <item m="1" x="1364"/>
        <item m="1" x="1179"/>
        <item m="1" x="2030"/>
        <item m="1" x="680"/>
        <item m="1" x="789"/>
        <item m="1" x="1070"/>
        <item m="1" x="1653"/>
        <item m="1" x="751"/>
        <item m="1" x="1761"/>
        <item m="1" x="1054"/>
        <item m="1" x="1593"/>
        <item m="1" x="1808"/>
        <item m="1" x="1353"/>
        <item m="1" x="2043"/>
        <item m="1" x="1901"/>
        <item m="1" x="1565"/>
        <item m="1" x="690"/>
        <item m="1" x="963"/>
        <item m="1" x="1692"/>
        <item m="1" x="2050"/>
        <item m="1" x="1833"/>
        <item m="1" x="1181"/>
        <item m="1" x="1218"/>
        <item m="1" x="1368"/>
        <item m="1" x="1352"/>
        <item m="1" x="934"/>
        <item m="1" x="1362"/>
        <item m="1" x="974"/>
        <item m="1" x="1879"/>
        <item m="1" x="872"/>
        <item m="1" x="830"/>
        <item m="1" x="1030"/>
        <item m="1" x="322"/>
        <item m="1" x="1220"/>
        <item m="1" x="1379"/>
        <item m="1" x="1374"/>
        <item m="1" x="1996"/>
        <item m="1" x="552"/>
        <item m="1" x="309"/>
        <item m="1" x="1783"/>
        <item m="1" x="2109"/>
        <item m="1" x="1780"/>
        <item m="1" x="1142"/>
        <item m="1" x="1790"/>
        <item m="1" x="369"/>
        <item m="1" x="1200"/>
        <item m="1" x="1225"/>
        <item m="1" x="829"/>
        <item m="1" x="976"/>
        <item m="1" x="1639"/>
        <item m="1" x="1253"/>
        <item m="1" x="423"/>
        <item m="1" x="1344"/>
        <item m="1" x="1354"/>
        <item m="1" x="673"/>
        <item m="1" x="1415"/>
        <item m="1" x="329"/>
        <item m="1" x="2098"/>
        <item m="1" x="2056"/>
        <item m="1" x="333"/>
        <item m="1" x="2100"/>
        <item m="1" x="1801"/>
        <item m="1" x="587"/>
        <item m="1" x="1472"/>
        <item m="1" x="708"/>
        <item m="1" x="2101"/>
        <item m="1" x="406"/>
        <item m="1" x="1931"/>
        <item m="1" x="565"/>
        <item m="1" x="339"/>
        <item m="1" x="1495"/>
        <item m="1" x="2009"/>
        <item m="1" x="1557"/>
        <item m="1" x="2034"/>
        <item m="1" x="707"/>
        <item m="1" x="1421"/>
        <item m="1" x="2078"/>
        <item m="1" x="1237"/>
        <item m="1" x="568"/>
        <item m="1" x="1282"/>
        <item m="1" x="1696"/>
        <item m="1" x="1474"/>
        <item m="1" x="949"/>
        <item m="1" x="373"/>
        <item m="1" x="1732"/>
        <item m="1" x="1617"/>
        <item m="1" x="1664"/>
        <item m="1" x="318"/>
        <item m="1" x="1903"/>
        <item m="1" x="609"/>
        <item m="1" x="1618"/>
        <item m="1" x="1714"/>
        <item m="1" x="304"/>
        <item m="1" x="1240"/>
        <item m="1" x="1748"/>
        <item m="1" x="1291"/>
        <item m="1" x="1532"/>
        <item m="1" x="1563"/>
        <item m="1" x="1438"/>
        <item m="1" x="1519"/>
        <item m="1" x="1735"/>
        <item m="1" x="336"/>
        <item m="1" x="785"/>
        <item m="1" x="1351"/>
        <item m="1" x="600"/>
        <item m="1" x="1108"/>
        <item m="1" x="1134"/>
        <item m="1" x="1509"/>
        <item m="1" x="1321"/>
        <item m="1" x="1045"/>
        <item m="1" x="895"/>
        <item m="1" x="1126"/>
        <item m="1" x="1252"/>
        <item m="1" x="1075"/>
        <item m="1" x="1608"/>
        <item m="1" x="1867"/>
        <item m="1" x="1192"/>
        <item m="1" x="415"/>
        <item m="1" x="687"/>
        <item m="1" x="662"/>
        <item m="1" x="312"/>
        <item m="1" x="494"/>
        <item m="1" x="717"/>
        <item m="1" x="1547"/>
        <item m="1" x="848"/>
        <item m="1" x="409"/>
        <item m="1" x="471"/>
        <item m="1" x="1224"/>
        <item m="1" x="1074"/>
        <item m="1" x="806"/>
        <item m="1" x="1491"/>
        <item m="1" x="1892"/>
        <item m="1" x="1447"/>
        <item m="1" x="1203"/>
        <item m="1" x="1733"/>
        <item m="1" x="1694"/>
        <item m="1" x="1107"/>
        <item x="24"/>
        <item m="1" x="876"/>
        <item x="55"/>
        <item m="1" x="1743"/>
        <item m="1" x="405"/>
        <item x="57"/>
        <item x="254"/>
        <item m="1" x="994"/>
        <item m="1" x="546"/>
        <item m="1" x="550"/>
        <item x="170"/>
        <item m="1" x="1370"/>
        <item m="1" x="1436"/>
        <item m="1" x="1340"/>
        <item m="1" x="867"/>
        <item m="1" x="1303"/>
        <item m="1" x="1306"/>
        <item m="1" x="2063"/>
        <item m="1" x="2011"/>
        <item m="1" x="1471"/>
        <item m="1" x="1579"/>
        <item m="1" x="1660"/>
        <item m="1" x="1776"/>
        <item m="1" x="1577"/>
        <item m="1" x="1484"/>
        <item x="3"/>
        <item x="4"/>
        <item x="110"/>
        <item m="1" x="1602"/>
        <item m="1" x="1440"/>
        <item m="1" x="1254"/>
        <item m="1" x="764"/>
        <item m="1" x="488"/>
        <item m="1" x="1868"/>
        <item m="1" x="899"/>
        <item m="1" x="628"/>
        <item m="1" x="793"/>
        <item m="1" x="644"/>
        <item m="1" x="1529"/>
        <item m="1" x="1462"/>
        <item m="1" x="1031"/>
        <item m="1" x="1314"/>
        <item m="1" x="694"/>
        <item m="1" x="1092"/>
        <item m="1" x="866"/>
        <item m="1" x="1468"/>
        <item m="1" x="421"/>
        <item m="1" x="349"/>
        <item m="1" x="1784"/>
        <item m="1" x="1174"/>
        <item m="1" x="992"/>
        <item m="1" x="381"/>
        <item m="1" x="1052"/>
        <item m="1" x="1835"/>
        <item m="1" x="379"/>
        <item m="1" x="922"/>
        <item m="1" x="2085"/>
        <item m="1" x="1561"/>
        <item m="1" x="989"/>
        <item m="1" x="1954"/>
        <item m="1" x="1844"/>
        <item m="1" x="1104"/>
        <item m="1" x="1398"/>
        <item m="1" x="1326"/>
        <item m="1" x="1754"/>
        <item m="1" x="888"/>
        <item m="1" x="2040"/>
        <item m="1" x="2010"/>
        <item m="1" x="1906"/>
        <item m="1" x="1802"/>
        <item m="1" x="2097"/>
        <item m="1" x="2000"/>
        <item m="1" x="440"/>
        <item x="174"/>
        <item m="1" x="426"/>
        <item m="1" x="554"/>
        <item m="1" x="1172"/>
        <item m="1" x="545"/>
        <item m="1" x="1615"/>
        <item m="1" x="906"/>
        <item m="1" x="1009"/>
        <item m="1" x="826"/>
        <item x="1"/>
        <item m="1" x="775"/>
        <item m="1" x="1570"/>
        <item m="1" x="382"/>
        <item m="1" x="457"/>
        <item m="1" x="455"/>
        <item m="1" x="919"/>
        <item m="1" x="1346"/>
        <item m="1" x="1864"/>
        <item m="1" x="1124"/>
        <item m="1" x="1512"/>
        <item m="1" x="1605"/>
        <item m="1" x="1044"/>
        <item m="1" x="1933"/>
        <item m="1" x="1952"/>
        <item m="1" x="1427"/>
        <item m="1" x="337"/>
        <item m="1" x="1803"/>
        <item m="1" x="614"/>
        <item m="1" x="896"/>
        <item m="1" x="1927"/>
        <item m="1" x="2014"/>
        <item m="1" x="1942"/>
        <item m="1" x="1785"/>
        <item m="1" x="593"/>
        <item m="1" x="1162"/>
        <item m="1" x="1207"/>
        <item m="1" x="1019"/>
        <item m="1" x="1731"/>
        <item m="1" x="1430"/>
        <item m="1" x="1331"/>
        <item m="1" x="1250"/>
        <item m="1" x="1821"/>
        <item m="1" x="625"/>
        <item m="1" x="1343"/>
        <item m="1" x="935"/>
        <item m="1" x="1812"/>
        <item m="1" x="903"/>
        <item m="1" x="1109"/>
        <item m="1" x="387"/>
        <item m="1" x="863"/>
        <item m="1" x="1067"/>
        <item m="1" x="464"/>
        <item m="1" x="1489"/>
        <item m="1" x="1487"/>
        <item m="1" x="741"/>
        <item m="1" x="1567"/>
        <item m="1" x="1968"/>
        <item m="1" x="2105"/>
        <item m="1" x="1099"/>
        <item m="1" x="1187"/>
        <item m="1" x="1820"/>
        <item m="1" x="2016"/>
        <item m="1" x="1965"/>
        <item m="1" x="1018"/>
        <item m="1" x="727"/>
        <item m="1" x="1455"/>
        <item m="1" x="1961"/>
        <item m="1" x="817"/>
        <item m="1" x="999"/>
        <item m="1" x="1891"/>
        <item m="1" x="319"/>
        <item m="1" x="446"/>
        <item m="1" x="753"/>
        <item m="1" x="1724"/>
        <item m="1" x="1328"/>
        <item m="1" x="1083"/>
        <item m="1" x="1205"/>
        <item m="1" x="1435"/>
        <item m="1" x="1293"/>
        <item m="1" x="930"/>
        <item m="1" x="531"/>
        <item m="1" x="598"/>
        <item m="1" x="769"/>
        <item m="1" x="1036"/>
        <item m="1" x="1553"/>
        <item m="1" x="674"/>
        <item m="1" x="1934"/>
        <item m="1" x="786"/>
        <item m="1" x="728"/>
        <item m="1" x="838"/>
        <item m="1" x="1041"/>
        <item m="1" x="721"/>
        <item m="1" x="640"/>
        <item m="1" x="1678"/>
        <item m="1" x="1672"/>
        <item m="1" x="1163"/>
        <item m="1" x="1752"/>
        <item m="1" x="1522"/>
        <item m="1" x="2084"/>
        <item m="1" x="1448"/>
        <item m="1" x="1215"/>
        <item m="1" x="443"/>
        <item m="1" x="1771"/>
        <item m="1" x="1390"/>
        <item m="1" x="849"/>
        <item m="1" x="1146"/>
        <item m="1" x="1077"/>
        <item m="1" x="597"/>
        <item m="1" x="1393"/>
        <item m="1" x="1819"/>
        <item m="1" x="980"/>
        <item m="1" x="1534"/>
        <item m="1" x="1087"/>
        <item m="1" x="1059"/>
        <item m="1" x="1401"/>
        <item m="1" x="1488"/>
        <item m="1" x="328"/>
        <item m="1" x="925"/>
        <item m="1" x="526"/>
        <item m="1" x="827"/>
        <item m="1" x="1560"/>
        <item m="1" x="1204"/>
        <item m="1" x="1229"/>
        <item m="1" x="1728"/>
        <item m="1" x="586"/>
        <item m="1" x="1405"/>
        <item m="1" x="389"/>
        <item m="1" x="459"/>
        <item m="1" x="669"/>
        <item m="1" x="778"/>
        <item m="1" x="877"/>
        <item m="1" x="395"/>
        <item m="1" x="1883"/>
        <item m="1" x="1546"/>
        <item m="1" x="909"/>
        <item m="1" x="449"/>
        <item m="1" x="1669"/>
        <item m="1" x="1337"/>
        <item m="1" x="518"/>
        <item m="1" x="519"/>
        <item m="1" x="317"/>
        <item m="1" x="523"/>
        <item m="1" x="372"/>
        <item m="1" x="627"/>
        <item m="1" x="1935"/>
        <item m="1" x="1341"/>
        <item m="1" x="1382"/>
        <item m="1" x="537"/>
        <item m="1" x="1376"/>
        <item m="1" x="1938"/>
        <item m="1" x="2087"/>
        <item m="1" x="1989"/>
        <item m="1" x="703"/>
        <item m="1" x="1755"/>
        <item m="1" x="1395"/>
        <item m="1" x="452"/>
        <item m="1" x="417"/>
        <item m="1" x="491"/>
        <item m="1" x="1404"/>
        <item m="1" x="1195"/>
        <item m="1" x="1720"/>
        <item m="1" x="1578"/>
        <item m="1" x="450"/>
        <item m="1" x="1600"/>
        <item m="1" x="2089"/>
        <item m="1" x="441"/>
        <item m="1" x="1180"/>
        <item m="1" x="1665"/>
        <item m="1" x="2060"/>
        <item m="1" x="2083"/>
        <item m="1" x="1951"/>
        <item m="1" x="350"/>
        <item m="1" x="321"/>
        <item m="1" x="1120"/>
        <item m="1" x="520"/>
        <item m="1" x="1886"/>
        <item m="1" x="1288"/>
        <item m="1" x="472"/>
        <item m="1" x="1140"/>
        <item m="1" x="1135"/>
        <item m="1" x="1414"/>
        <item m="1" x="1189"/>
        <item m="1" x="747"/>
        <item m="1" x="632"/>
        <item m="1" x="1418"/>
        <item m="1" x="1257"/>
        <item m="1" x="524"/>
        <item m="1" x="799"/>
        <item m="1" x="749"/>
        <item m="1" x="1317"/>
        <item m="1" x="621"/>
        <item m="1" x="1699"/>
        <item m="1" x="2099"/>
        <item m="1" x="991"/>
        <item m="1" x="1960"/>
        <item m="1" x="1114"/>
        <item m="1" x="816"/>
        <item m="1" x="828"/>
        <item m="1" x="1100"/>
        <item m="1" x="585"/>
        <item m="1" x="384"/>
        <item m="1" x="1624"/>
        <item m="1" x="1247"/>
        <item m="1" x="2042"/>
        <item m="1" x="882"/>
        <item m="1" x="503"/>
        <item m="1" x="498"/>
        <item m="1" x="353"/>
        <item m="1" x="803"/>
        <item m="1" x="483"/>
        <item m="1" x="779"/>
        <item m="1" x="1072"/>
        <item m="1" x="1706"/>
        <item m="1" x="1969"/>
        <item m="1" x="954"/>
        <item m="1" x="695"/>
        <item m="1" x="334"/>
        <item m="1" x="808"/>
        <item m="1" x="1244"/>
        <item m="1" x="1795"/>
        <item m="1" x="1396"/>
        <item m="1" x="1284"/>
        <item m="1" x="1106"/>
        <item m="1" x="1102"/>
        <item m="1" x="1335"/>
        <item m="1" x="736"/>
        <item m="1" x="972"/>
        <item m="1" x="368"/>
        <item m="1" x="1666"/>
        <item m="1" x="602"/>
        <item m="1" x="563"/>
        <item m="1" x="847"/>
        <item m="1" x="724"/>
        <item m="1" x="859"/>
        <item m="1" x="1369"/>
        <item m="1" x="1153"/>
        <item m="1" x="1171"/>
        <item m="1" x="757"/>
        <item m="1" x="809"/>
        <item m="1" x="1967"/>
        <item m="1" x="813"/>
        <item m="1" x="650"/>
        <item m="1" x="1166"/>
        <item m="1" x="2091"/>
        <item m="1" x="1862"/>
        <item m="1" x="2088"/>
        <item m="1" x="1168"/>
        <item m="1" x="1621"/>
        <item m="1" x="1154"/>
        <item m="1" x="438"/>
        <item m="1" x="549"/>
        <item m="1" x="516"/>
        <item m="1" x="1564"/>
        <item m="1" x="564"/>
        <item m="1" x="1378"/>
        <item m="1" x="746"/>
        <item m="1" x="1481"/>
        <item m="1" x="850"/>
        <item m="1" x="981"/>
        <item m="1" x="975"/>
        <item m="1" x="1715"/>
        <item m="1" x="1944"/>
        <item m="1" x="1900"/>
        <item m="1" x="1111"/>
        <item m="1" x="2048"/>
        <item m="1" x="1090"/>
        <item m="1" x="1064"/>
        <item m="1" x="875"/>
        <item m="1" x="1423"/>
        <item m="1" x="1517"/>
        <item m="1" x="675"/>
        <item m="1" x="1533"/>
        <item m="1" x="1704"/>
        <item m="1" x="1606"/>
        <item m="1" x="1246"/>
        <item m="1" x="1158"/>
        <item m="1" x="1038"/>
        <item m="1" x="1312"/>
        <item m="1" x="376"/>
        <item m="1" x="1469"/>
        <item x="300"/>
        <item m="1" x="1707"/>
        <item m="1" x="715"/>
        <item m="1" x="904"/>
        <item m="1" x="1347"/>
        <item m="1" x="1290"/>
        <item x="37"/>
        <item m="1" x="487"/>
        <item m="1" x="489"/>
        <item m="1" x="940"/>
        <item m="1" x="1355"/>
        <item m="1" x="952"/>
        <item m="1" x="957"/>
        <item m="1" x="1010"/>
        <item m="1" x="1015"/>
        <item m="1" x="1397"/>
        <item m="1" x="920"/>
        <item m="1" x="1825"/>
        <item m="1" x="921"/>
        <item x="287"/>
        <item x="133"/>
        <item m="1" x="1098"/>
        <item m="1" x="1493"/>
        <item m="1" x="1882"/>
        <item m="1" x="1152"/>
        <item m="1" x="1582"/>
        <item m="1" x="394"/>
        <item m="1" x="661"/>
        <item m="1" x="2064"/>
        <item m="1" x="2003"/>
        <item m="1" x="566"/>
        <item m="1" x="763"/>
        <item m="1" x="1893"/>
        <item m="1" x="1916"/>
        <item m="1" x="1956"/>
        <item m="1" x="378"/>
        <item m="1" x="1011"/>
        <item m="1" x="933"/>
        <item m="1" x="2057"/>
        <item m="1" x="594"/>
        <item m="1" x="397"/>
        <item m="1" x="2102"/>
        <item m="1" x="2092"/>
        <item m="1" x="1342"/>
        <item m="1" x="1024"/>
        <item m="1" x="1949"/>
        <item m="1" x="639"/>
        <item m="1" x="448"/>
        <item m="1" x="578"/>
        <item m="1" x="801"/>
        <item m="1" x="1811"/>
        <item m="1" x="693"/>
        <item m="1" x="1076"/>
        <item x="65"/>
        <item m="1" x="894"/>
        <item m="1" x="1741"/>
        <item m="1" x="1510"/>
        <item m="1" x="1295"/>
        <item m="1" x="1198"/>
        <item m="1" x="1431"/>
        <item m="1" x="774"/>
        <item m="1" x="1973"/>
        <item m="1" x="1286"/>
        <item m="1" x="818"/>
        <item m="1" x="1297"/>
        <item m="1" x="1025"/>
        <item m="1" x="1971"/>
        <item m="1" x="2045"/>
        <item m="1" x="2026"/>
        <item m="1" x="1334"/>
        <item m="1" x="1407"/>
        <item m="1" x="1063"/>
        <item m="1" x="1987"/>
        <item m="1" x="1356"/>
        <item m="1" x="1216"/>
        <item m="1" x="403"/>
        <item m="1" x="1599"/>
        <item m="1" x="1239"/>
        <item m="1" x="1691"/>
        <item m="1" x="807"/>
        <item m="1" x="1641"/>
        <item m="1" x="1251"/>
        <item m="1" x="504"/>
        <item m="1" x="942"/>
        <item m="1" x="1682"/>
        <item m="1" x="1574"/>
        <item m="1" x="1467"/>
        <item m="1" x="1839"/>
        <item m="1" x="2093"/>
        <item m="1" x="2021"/>
        <item m="1" x="2051"/>
        <item m="1" x="1659"/>
        <item m="1" x="410"/>
        <item m="1" x="1836"/>
        <item m="1" x="1103"/>
        <item m="1" x="1922"/>
        <item m="1" x="1442"/>
        <item m="1" x="496"/>
        <item m="1" x="791"/>
        <item m="1" x="480"/>
        <item m="1" x="1283"/>
        <item m="1" x="536"/>
        <item m="1" x="1001"/>
        <item m="1" x="1408"/>
        <item m="1" x="985"/>
        <item m="1" x="2095"/>
        <item m="1" x="492"/>
        <item m="1" x="445"/>
        <item m="1" x="476"/>
        <item m="1" x="500"/>
        <item m="1" x="1912"/>
        <item m="1" x="558"/>
        <item m="1" x="1739"/>
        <item m="1" x="542"/>
        <item m="1" x="420"/>
        <item m="1" x="1277"/>
        <item m="1" x="1915"/>
        <item m="1" x="512"/>
        <item m="1" x="1091"/>
        <item m="1" x="986"/>
        <item m="1" x="1979"/>
        <item m="1" x="1470"/>
        <item m="1" x="1271"/>
        <item m="1" x="1650"/>
        <item m="1" x="1775"/>
        <item m="1" x="1316"/>
        <item m="1" x="1887"/>
        <item m="1" x="798"/>
        <item m="1" x="1338"/>
        <item m="1" x="547"/>
        <item m="1" x="1750"/>
        <item m="1" x="1756"/>
        <item m="1" x="1502"/>
        <item m="1" x="1137"/>
        <item m="1" x="1521"/>
        <item m="1" x="788"/>
        <item m="1" x="1925"/>
        <item m="1" x="1974"/>
        <item m="1" x="314"/>
        <item m="1" x="603"/>
        <item m="1" x="1123"/>
        <item m="1" x="2002"/>
        <item m="1" x="1937"/>
        <item m="1" x="570"/>
        <item m="1" x="858"/>
        <item m="1" x="916"/>
        <item m="1" x="969"/>
        <item m="1" x="1642"/>
        <item m="1" x="1544"/>
        <item m="1" x="1994"/>
        <item m="1" x="363"/>
        <item m="1" x="1745"/>
        <item m="1" x="1506"/>
        <item m="1" x="624"/>
        <item m="1" x="683"/>
        <item m="1" x="1035"/>
        <item m="1" x="370"/>
        <item m="1" x="1787"/>
        <item m="1" x="917"/>
        <item m="1" x="1270"/>
        <item m="1" x="1392"/>
        <item m="1" x="1463"/>
        <item m="1" x="348"/>
        <item m="1" x="1923"/>
        <item m="1" x="637"/>
        <item m="1" x="960"/>
        <item m="1" x="1978"/>
        <item m="1" x="719"/>
        <item m="1" x="1591"/>
        <item m="1" x="913"/>
        <item m="1" x="1164"/>
        <item m="1" x="792"/>
        <item m="1" x="1997"/>
        <item m="1" x="2079"/>
        <item m="1" x="2035"/>
        <item m="1" x="966"/>
        <item m="1" x="897"/>
        <item m="1" x="478"/>
        <item m="1" x="302"/>
        <item m="1" x="1444"/>
        <item m="1" x="2110"/>
        <item m="1" x="1874"/>
        <item m="1" x="1947"/>
        <item m="1" x="388"/>
        <item m="1" x="375"/>
        <item m="1" x="1016"/>
        <item m="1" x="840"/>
        <item m="1" x="569"/>
        <item m="1" x="814"/>
        <item m="1" x="658"/>
        <item m="1" x="712"/>
        <item m="1" x="794"/>
        <item m="1" x="1155"/>
        <item m="1" x="766"/>
        <item m="1" x="1197"/>
        <item m="1" x="1232"/>
        <item m="1" x="1357"/>
        <item m="1" x="1588"/>
        <item m="1" x="1815"/>
        <item m="1" x="1318"/>
        <item m="1" x="1629"/>
        <item m="1" x="1554"/>
        <item m="1" x="1982"/>
        <item m="1" x="1568"/>
        <item m="1" x="1248"/>
        <item m="1" x="1648"/>
        <item m="1" x="1828"/>
        <item m="1" x="663"/>
        <item x="162"/>
        <item m="1" x="608"/>
        <item m="1" x="898"/>
        <item m="1" x="1278"/>
        <item m="1" x="1524"/>
        <item m="1" x="1245"/>
        <item m="1" x="1339"/>
        <item m="1" x="2061"/>
        <item m="1" x="469"/>
        <item m="1" x="326"/>
        <item m="1" x="1287"/>
        <item m="1" x="2001"/>
        <item m="1" x="1057"/>
        <item m="1" x="857"/>
        <item m="1" x="1465"/>
        <item m="1" x="1542"/>
        <item m="1" x="1503"/>
        <item m="1" x="1687"/>
        <item m="1" x="998"/>
        <item m="1" x="1088"/>
        <item m="1" x="1986"/>
        <item m="1" x="1359"/>
        <item m="1" x="2069"/>
        <item m="1" x="413"/>
        <item m="1" x="1206"/>
        <item m="1" x="1147"/>
        <item m="1" x="581"/>
        <item m="1" x="1202"/>
        <item m="1" x="1285"/>
        <item m="1" x="630"/>
        <item m="1" x="1476"/>
        <item m="1" x="1310"/>
        <item m="1" x="1264"/>
        <item m="1" x="659"/>
        <item m="1" x="1710"/>
        <item m="1" x="1592"/>
        <item m="1" x="1518"/>
        <item m="1" x="1138"/>
        <item m="1" x="993"/>
        <item m="1" x="745"/>
        <item m="1" x="1461"/>
        <item m="1" x="1480"/>
        <item m="1" x="744"/>
        <item m="1" x="1736"/>
        <item m="1" x="1616"/>
        <item m="1" x="787"/>
        <item m="1" x="729"/>
        <item m="1" x="1589"/>
        <item m="1" x="1766"/>
        <item m="1" x="959"/>
        <item m="1" x="1693"/>
        <item m="1" x="768"/>
        <item m="1" x="514"/>
        <item m="1" x="1818"/>
        <item m="1" x="1121"/>
        <item m="1" x="1757"/>
        <item m="1" x="1638"/>
        <item m="1" x="1571"/>
        <item m="1" x="927"/>
        <item m="1" x="970"/>
        <item m="1" x="2055"/>
        <item m="1" x="1992"/>
        <item m="1" x="1249"/>
        <item m="1" x="1926"/>
        <item m="1" x="1843"/>
        <item m="1" x="1763"/>
        <item m="1" x="1060"/>
        <item m="1" x="1508"/>
        <item m="1" x="1017"/>
        <item m="1" x="1921"/>
        <item m="1" x="1388"/>
        <item m="1" x="1936"/>
        <item m="1" x="660"/>
        <item m="1" x="499"/>
        <item m="1" x="1920"/>
        <item m="1" x="439"/>
        <item m="1" x="1950"/>
        <item m="1" x="1628"/>
        <item m="1" x="1486"/>
        <item m="1" x="1744"/>
        <item m="1" x="510"/>
        <item m="1" x="1325"/>
        <item m="1" x="815"/>
        <item m="1" x="1452"/>
        <item m="1" x="1583"/>
        <item m="1" x="1804"/>
        <item m="1" x="1737"/>
        <item m="1" x="1383"/>
        <item m="1" x="1144"/>
        <item m="1" x="1539"/>
        <item m="1" x="1050"/>
        <item m="1" x="619"/>
        <item m="1" x="990"/>
        <item m="1" x="356"/>
        <item m="1" x="1145"/>
        <item m="1" x="873"/>
        <item m="1" x="1034"/>
        <item m="1" x="1115"/>
        <item m="1" x="1071"/>
        <item m="1" x="1671"/>
        <item m="1" x="2077"/>
        <item m="1" x="2081"/>
        <item m="1" x="1274"/>
        <item m="1" x="647"/>
        <item m="1" x="1167"/>
        <item m="1" x="655"/>
        <item m="1" x="1636"/>
        <item m="1" x="1861"/>
        <item x="169"/>
        <item x="298"/>
        <item m="1" x="1149"/>
        <item m="1" x="742"/>
        <item m="1" x="944"/>
        <item m="1" x="1652"/>
        <item m="1" x="700"/>
        <item m="1" x="324"/>
        <item m="1" x="497"/>
        <item m="1" x="1904"/>
        <item m="1" x="1494"/>
        <item m="1" x="1753"/>
        <item m="1" x="540"/>
        <item x="131"/>
        <item m="1" x="604"/>
        <item x="77"/>
        <item m="1" x="1360"/>
        <item m="1" x="1800"/>
        <item m="1" x="1375"/>
        <item m="1" x="1413"/>
        <item m="1" x="1827"/>
        <item m="1" x="1420"/>
        <item m="1" x="436"/>
        <item m="1" x="424"/>
        <item m="1" x="776"/>
        <item m="1" x="931"/>
        <item m="1" x="1095"/>
        <item m="1" x="929"/>
        <item m="1" x="802"/>
        <item m="1" x="1505"/>
        <item m="1" x="1081"/>
        <item m="1" x="1176"/>
        <item m="1" x="762"/>
        <item m="1" x="1118"/>
        <item m="1" x="589"/>
        <item x="6"/>
        <item m="1" x="1716"/>
        <item m="1" x="1535"/>
        <item m="1" x="1809"/>
        <item m="1" x="1323"/>
        <item m="1" x="1386"/>
        <item m="1" x="1193"/>
        <item m="1" x="1939"/>
        <item m="1" x="1845"/>
        <item m="1" x="1848"/>
        <item m="1" x="1400"/>
        <item m="1" x="605"/>
        <item m="1" x="696"/>
        <item m="1" x="995"/>
        <item m="1" x="482"/>
        <item m="1" x="1875"/>
        <item m="1" x="305"/>
        <item m="1" x="711"/>
        <item m="1" x="962"/>
        <item m="1" x="1807"/>
        <item m="1" x="1985"/>
        <item m="1" x="953"/>
        <item m="1" x="1159"/>
        <item m="1" x="1307"/>
        <item m="1" x="718"/>
        <item m="1" x="750"/>
        <item m="1" x="1607"/>
        <item m="1" x="1080"/>
        <item m="1" x="303"/>
        <item m="1" x="1880"/>
        <item m="1" x="901"/>
        <item m="1" x="2103"/>
        <item m="1" x="997"/>
        <item m="1" x="973"/>
        <item m="1" x="1387"/>
        <item m="1" x="1049"/>
        <item m="1" x="772"/>
        <item m="1" x="582"/>
        <item m="1" x="346"/>
        <item m="1" x="1575"/>
        <item m="1" x="1817"/>
        <item m="1" x="1527"/>
        <item m="1" x="1183"/>
        <item m="1" x="1727"/>
        <item m="1" x="1304"/>
        <item m="1" x="958"/>
        <item m="1" x="1313"/>
        <item m="1" x="1528"/>
        <item m="1" x="1426"/>
        <item m="1" x="819"/>
        <item m="1" x="592"/>
        <item m="1" x="1201"/>
        <item m="1" x="1823"/>
        <item m="1" x="2065"/>
        <item m="1" x="447"/>
        <item m="1" x="1086"/>
        <item m="1" x="1372"/>
        <item m="1" x="1851"/>
        <item m="1" x="538"/>
        <item m="1" x="1831"/>
        <item m="1" x="1573"/>
        <item m="1" x="1722"/>
        <item m="1" x="1116"/>
        <item m="1" x="1272"/>
        <item m="1" x="1329"/>
        <item m="1" x="1677"/>
        <item m="1" x="532"/>
        <item m="1" x="1358"/>
        <item m="1" x="1680"/>
        <item m="1" x="754"/>
        <item m="1" x="752"/>
        <item m="1" x="385"/>
        <item m="1" x="854"/>
        <item m="1" x="613"/>
        <item m="1" x="1740"/>
        <item m="1" x="1859"/>
        <item m="1" x="1424"/>
        <item m="1" x="1975"/>
        <item m="1" x="851"/>
        <item m="1" x="1977"/>
        <item m="1" x="820"/>
        <item m="1" x="1760"/>
        <item m="1" x="562"/>
        <item m="1" x="961"/>
        <item m="1" x="1457"/>
        <item m="1" x="371"/>
        <item m="1" x="1367"/>
        <item m="1" x="352"/>
        <item m="1" x="451"/>
        <item m="1" x="765"/>
        <item m="1" x="1373"/>
        <item m="1" x="1363"/>
        <item m="1" x="398"/>
        <item m="1" x="477"/>
        <item m="1" x="1852"/>
        <item m="1" x="723"/>
        <item m="1" x="584"/>
        <item m="1" x="1005"/>
        <item m="1" x="1007"/>
        <item m="1" x="1110"/>
        <item m="1" x="474"/>
        <item m="1" x="306"/>
        <item m="1" x="1177"/>
        <item m="1" x="427"/>
        <item m="1" x="1289"/>
        <item m="1" x="1496"/>
        <item m="1" x="1703"/>
        <item m="1" x="470"/>
        <item m="1" x="1774"/>
        <item m="1" x="860"/>
        <item m="1" x="824"/>
        <item m="1" x="344"/>
        <item m="1" x="490"/>
        <item m="1" x="2068"/>
        <item m="1" x="679"/>
        <item m="1" x="1657"/>
        <item m="1" x="982"/>
        <item m="1" x="1548"/>
        <item m="1" x="1865"/>
        <item m="1" x="2059"/>
        <item m="1" x="408"/>
        <item m="1" x="1955"/>
        <item m="1" x="1309"/>
        <item m="1" x="1806"/>
        <item m="1" x="1726"/>
        <item m="1" x="1161"/>
        <item m="1" x="2104"/>
        <item m="1" x="697"/>
        <item m="1" x="1065"/>
        <item m="1" x="1243"/>
        <item m="1" x="1991"/>
        <item m="1" x="1838"/>
        <item m="1" x="325"/>
        <item m="1" x="880"/>
        <item m="1" x="671"/>
        <item m="1" x="1941"/>
        <item m="1" x="1530"/>
        <item m="1" x="861"/>
        <item m="1" x="517"/>
        <item m="1" x="1012"/>
        <item m="1" x="596"/>
        <item m="1" x="713"/>
        <item m="1" x="756"/>
        <item m="1" x="1685"/>
        <item m="1" x="1209"/>
        <item m="1" x="2023"/>
        <item m="1" x="834"/>
        <item m="1" x="1008"/>
        <item m="1" x="1881"/>
        <item m="1" x="738"/>
        <item m="1" x="1656"/>
        <item m="1" x="1269"/>
        <item m="1" x="938"/>
        <item m="1" x="1635"/>
        <item m="1" x="841"/>
        <item m="1" x="1037"/>
        <item m="1" x="2094"/>
        <item m="1" x="475"/>
        <item m="1" x="511"/>
        <item m="1" x="357"/>
        <item m="1" x="574"/>
        <item m="1" x="939"/>
        <item m="1" x="1173"/>
        <item m="1" x="1281"/>
        <item m="1" x="1909"/>
        <item m="1" x="1279"/>
        <item m="1" x="1943"/>
        <item m="1" x="681"/>
        <item m="1" x="1729"/>
        <item m="1" x="1566"/>
        <item m="1" x="1550"/>
        <item m="1" x="1984"/>
        <item m="1" x="1962"/>
        <item m="1" x="2067"/>
        <item m="1" x="1125"/>
        <item m="1" x="1516"/>
        <item m="1" x="1540"/>
        <item m="1" x="943"/>
        <item m="1" x="914"/>
        <item m="1" x="1073"/>
        <item m="1" x="1824"/>
        <item m="1" x="433"/>
        <item m="1" x="1847"/>
        <item m="1" x="1551"/>
        <item m="1" x="987"/>
        <item m="1" x="720"/>
        <item m="1" x="1643"/>
        <item m="1" x="1000"/>
        <item m="1" x="539"/>
        <item m="1" x="1594"/>
        <item m="1" x="1816"/>
        <item m="1" x="855"/>
        <item m="1" x="844"/>
        <item m="1" x="1610"/>
        <item m="1" x="1184"/>
        <item m="1" x="1477"/>
        <item m="1" x="758"/>
        <item m="1" x="1322"/>
        <item m="1" x="1959"/>
        <item m="1" x="1768"/>
        <item m="1" x="606"/>
        <item m="1" x="544"/>
        <item m="1" x="1504"/>
        <item m="1" x="2028"/>
        <item m="1" x="812"/>
        <item m="1" x="612"/>
        <item m="1" x="2044"/>
        <item m="1" x="649"/>
        <item m="1" x="2006"/>
        <item m="1" x="435"/>
        <item m="1" x="1169"/>
        <item m="1" x="1651"/>
        <item m="1" x="360"/>
        <item m="1" x="911"/>
        <item m="1" x="1453"/>
        <item m="1" x="1492"/>
        <item m="1" x="392"/>
        <item m="1" x="686"/>
        <item m="1" x="797"/>
        <item m="1" x="461"/>
        <item m="1" x="1230"/>
        <item m="1" x="1028"/>
        <item m="1" x="777"/>
        <item m="1" x="1966"/>
        <item m="1" x="327"/>
        <item m="1" x="1751"/>
        <item m="1" x="900"/>
        <item m="1" x="667"/>
        <item m="1" x="1128"/>
        <item m="1" x="2080"/>
        <item m="1" x="782"/>
        <item m="1" x="400"/>
        <item m="1" x="1885"/>
        <item m="1" x="330"/>
        <item m="1" x="784"/>
        <item m="1" x="730"/>
        <item m="1" x="626"/>
        <item m="1" x="685"/>
        <item m="1" x="1930"/>
        <item m="1" x="351"/>
        <item m="1" x="1186"/>
        <item m="1" x="865"/>
        <item m="1" x="340"/>
        <item m="1" x="648"/>
        <item m="1" x="907"/>
        <item m="1" x="822"/>
        <item m="1" x="432"/>
        <item m="1" x="832"/>
        <item m="1" x="618"/>
        <item m="1" x="1366"/>
        <item m="1" x="1572"/>
        <item m="1" x="732"/>
        <item m="1" x="1690"/>
        <item m="1" x="559"/>
        <item m="1" x="1765"/>
        <item m="1" x="1747"/>
        <item m="1" x="731"/>
        <item m="1" x="699"/>
        <item m="1" x="1042"/>
        <item m="1" x="831"/>
        <item m="1" x="1958"/>
        <item m="1" x="354"/>
        <item m="1" x="1907"/>
        <item m="1" x="804"/>
        <item m="1" x="1779"/>
        <item m="1" x="1482"/>
        <item m="1" x="1068"/>
        <item m="1" x="1389"/>
        <item m="1" x="1327"/>
        <item m="1" x="1908"/>
        <item m="1" x="1631"/>
        <item m="1" x="1873"/>
        <item m="1" x="320"/>
        <item m="1" x="665"/>
        <item m="1" x="2017"/>
        <item m="1" x="2053"/>
        <item m="1" x="575"/>
        <item m="1" x="1948"/>
        <item m="1" x="323"/>
        <item m="1" x="2024"/>
        <item m="1" x="968"/>
        <item m="1" x="887"/>
        <item m="1" x="883"/>
        <item m="1" x="1406"/>
        <item m="1" x="1556"/>
        <item m="1" x="522"/>
        <item m="1" x="468"/>
        <item m="1" x="641"/>
        <item m="1" x="1976"/>
        <item m="1" x="881"/>
        <item m="1" x="1596"/>
        <item m="1" x="1910"/>
        <item m="1" x="1385"/>
        <item m="1" x="1069"/>
        <item m="1" x="664"/>
        <item m="1" x="923"/>
        <item m="1" x="1497"/>
        <item m="1" x="1946"/>
        <item m="1" x="335"/>
        <item m="1" x="1826"/>
        <item m="1" x="393"/>
        <item m="1" x="1688"/>
        <item m="1" x="1501"/>
        <item m="1" x="2054"/>
        <item m="1" x="634"/>
        <item m="1" x="1061"/>
        <item m="1" x="1995"/>
        <item m="1" x="1165"/>
        <item m="1" x="1308"/>
        <item m="1" x="1813"/>
        <item m="1" x="1361"/>
        <item x="172"/>
        <item m="1" x="902"/>
        <item m="1" x="926"/>
        <item m="1" x="1798"/>
        <item m="1" x="1749"/>
        <item m="1" x="1792"/>
        <item m="1" x="1794"/>
        <item m="1" x="1853"/>
        <item m="1" x="1855"/>
        <item m="1" x="473"/>
        <item m="1" x="1764"/>
        <item m="1" x="1417"/>
        <item m="1" x="1410"/>
        <item m="1" x="654"/>
        <item m="1" x="722"/>
        <item m="1" x="508"/>
        <item m="1" x="2072"/>
        <item m="1" x="399"/>
        <item m="1" x="555"/>
        <item m="1" x="391"/>
        <item m="1" x="361"/>
        <item m="1" x="601"/>
        <item m="1" x="946"/>
        <item m="1" x="964"/>
        <item x="0"/>
        <item x="2"/>
        <item x="5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6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108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2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3"/>
        <item x="164"/>
        <item x="165"/>
        <item x="166"/>
        <item x="167"/>
        <item x="168"/>
        <item x="171"/>
        <item x="173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8"/>
        <item x="289"/>
        <item x="290"/>
        <item x="291"/>
        <item x="292"/>
        <item x="293"/>
        <item x="294"/>
        <item x="295"/>
        <item x="296"/>
        <item x="297"/>
        <item x="301"/>
        <item m="1" x="583"/>
        <item m="1" x="852"/>
        <item m="1" x="505"/>
        <item m="1" x="434"/>
        <item m="1" x="689"/>
        <item m="1" x="207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x="2"/>
        <item x="0"/>
        <item h="1" m="1" x="5"/>
        <item h="1" m="1" x="3"/>
        <item h="1" x="1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5">
        <item x="3"/>
        <item h="1" x="1"/>
        <item h="1" x="0"/>
        <item h="1"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4"/>
    <field x="5"/>
    <field x="6"/>
    <field x="7"/>
  </rowFields>
  <rowItems count="12">
    <i>
      <x v="2"/>
      <x v="1941"/>
      <x v="13"/>
      <x v="220"/>
      <x v="220"/>
      <x v="1975"/>
      <x v="8"/>
    </i>
    <i r="1">
      <x v="1947"/>
      <x v="1"/>
      <x v="220"/>
      <x v="220"/>
      <x v="1979"/>
      <x/>
    </i>
    <i r="1">
      <x v="1948"/>
      <x v="1"/>
      <x v="220"/>
      <x v="220"/>
      <x v="1980"/>
      <x/>
    </i>
    <i r="1">
      <x v="1955"/>
      <x v="1"/>
      <x v="220"/>
      <x v="220"/>
      <x v="1984"/>
      <x v="16"/>
    </i>
    <i r="1">
      <x v="1966"/>
      <x v="2"/>
      <x v="220"/>
      <x v="220"/>
      <x v="1992"/>
      <x v="17"/>
    </i>
    <i r="1">
      <x v="1971"/>
      <x v="2"/>
      <x v="220"/>
      <x v="220"/>
      <x v="1996"/>
      <x v="14"/>
    </i>
    <i r="1">
      <x v="1973"/>
      <x v="2"/>
      <x v="220"/>
      <x v="220"/>
      <x v="1998"/>
      <x v="15"/>
    </i>
    <i r="1">
      <x v="1979"/>
      <x v="2"/>
      <x v="220"/>
      <x v="220"/>
      <x v="2004"/>
      <x v="19"/>
    </i>
    <i r="1">
      <x v="2016"/>
      <x v="14"/>
      <x v="220"/>
      <x v="220"/>
      <x v="2039"/>
      <x v="21"/>
    </i>
    <i r="1">
      <x v="2028"/>
      <x/>
      <x v="220"/>
      <x v="220"/>
      <x v="2048"/>
      <x v="26"/>
    </i>
    <i r="1">
      <x v="2035"/>
      <x/>
      <x v="220"/>
      <x v="220"/>
      <x v="2054"/>
      <x v="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2">
    <pageField fld="8" hier="-1"/>
    <pageField fld="41" hier="-1"/>
  </pageFields>
  <dataFields count="7">
    <dataField name="Sum of Assbl. Val." fld="11" baseField="0" baseItem="0"/>
    <dataField name=" SGST Total" fld="19" baseField="0" baseItem="0"/>
    <dataField name=" CGST Total" fld="25" baseField="0" baseItem="0"/>
    <dataField name=" IGST Total" fld="30" baseField="0" baseItem="0"/>
    <dataField name=" SGST RCM Total" fld="34" baseField="0" baseItem="0"/>
    <dataField name=" CGST RCM Total" fld="37" baseField="0" baseItem="0"/>
    <dataField name=" IGST RCM Total" fld="39" baseField="0" baseItem="0"/>
  </dataFields>
  <formats count="8">
    <format dxfId="51">
      <pivotArea outline="0" collapsedLevelsAreSubtotals="1" fieldPosition="0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1" count="2">
            <x v="1"/>
            <x v="3"/>
          </reference>
        </references>
      </pivotArea>
    </format>
    <format dxfId="45">
      <pivotArea dataOnly="0" labelOnly="1" grandRow="1" outline="0" fieldPosition="0"/>
    </format>
    <format dxfId="44">
      <pivotArea dataOnly="0" labelOnly="1" outline="0" fieldPosition="0">
        <references count="1">
          <reference field="4294967294" count="5">
            <x v="1"/>
            <x v="2"/>
            <x v="3"/>
            <x v="4"/>
            <x v="6"/>
          </reference>
        </references>
      </pivotArea>
    </format>
  </formats>
  <pivotTableStyleInfo name="PivotStyleLight16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Purchase" displayName="Purchase" ref="A1:AP329" totalsRowShown="0" headerRowDxfId="43" dataDxfId="42">
  <autoFilter ref="A1:AP329">
    <filterColumn colId="41">
      <filters>
        <filter val="Please Select"/>
      </filters>
    </filterColumn>
  </autoFilter>
  <tableColumns count="42">
    <tableColumn id="14" name="Vou. Type" dataDxfId="41"/>
    <tableColumn id="1" name="Vou. Pfx." dataDxfId="40"/>
    <tableColumn id="2" name="Vou. No." dataDxfId="39"/>
    <tableColumn id="3" name="Date" dataDxfId="38"/>
    <tableColumn id="4" name="Party" dataDxfId="37"/>
    <tableColumn id="5" name="Party Name" dataDxfId="36"/>
    <tableColumn id="6" name="Bill No." dataDxfId="35"/>
    <tableColumn id="7" name="Bill Date" dataDxfId="34"/>
    <tableColumn id="8" name="TAX type" dataDxfId="0"/>
    <tableColumn id="9" name="Bill Amt.(TC)" dataDxfId="33"/>
    <tableColumn id="10" name="Tax Value" dataDxfId="32"/>
    <tableColumn id="11" name="Assbl. Val." dataDxfId="31"/>
    <tableColumn id="12" name="Ineligible" dataDxfId="30"/>
    <tableColumn id="13" name="GSTIN No." dataDxfId="29"/>
    <tableColumn id="15" name="SGST0" dataDxfId="28"/>
    <tableColumn id="16" name="SGST14" dataDxfId="27"/>
    <tableColumn id="17" name="SGST2.5" dataDxfId="26"/>
    <tableColumn id="18" name="SGST6" dataDxfId="25"/>
    <tableColumn id="19" name="SGST9" dataDxfId="24"/>
    <tableColumn id="20" name="SGST Total" dataDxfId="23"/>
    <tableColumn id="21" name="CGST0" dataDxfId="22"/>
    <tableColumn id="22" name="CGST14" dataDxfId="21"/>
    <tableColumn id="23" name="CGST2.5" dataDxfId="20"/>
    <tableColumn id="24" name="CGST6" dataDxfId="19"/>
    <tableColumn id="25" name="CGST9" dataDxfId="18"/>
    <tableColumn id="26" name="CGST Total" dataDxfId="17"/>
    <tableColumn id="27" name="IGST0" dataDxfId="16"/>
    <tableColumn id="28" name="IGST12" dataDxfId="15"/>
    <tableColumn id="29" name="IGST18" dataDxfId="14"/>
    <tableColumn id="30" name="IGST5" dataDxfId="13"/>
    <tableColumn id="31" name="IGST Total" dataDxfId="12"/>
    <tableColumn id="32" name="Input" dataDxfId="11">
      <calculatedColumnFormula>+Purchase[[#This Row],[IGST Total]]+Purchase[[#This Row],[CGST Total]]+Purchase[[#This Row],[SGST Total]]</calculatedColumnFormula>
    </tableColumn>
    <tableColumn id="33" name="SGSTR2.5" dataDxfId="10"/>
    <tableColumn id="34" name="SGSTR9" dataDxfId="9"/>
    <tableColumn id="35" name="SGST RCM Total" dataDxfId="8"/>
    <tableColumn id="36" name="CGSTR2.5" dataDxfId="7"/>
    <tableColumn id="37" name="CGSTR9" dataDxfId="6"/>
    <tableColumn id="38" name="CGST RCM Total" dataDxfId="5"/>
    <tableColumn id="39" name="IGSTR5" dataDxfId="4"/>
    <tableColumn id="40" name="IGST RCM Total" dataDxfId="3"/>
    <tableColumn id="41" name="RCM Input" dataDxfId="2">
      <calculatedColumnFormula>+Purchase[[#This Row],[IGST RCM Total]]+Purchase[[#This Row],[CGST RCM Total]]+Purchase[[#This Row],[SGST RCM Total]]</calculatedColumnFormula>
    </tableColumn>
    <tableColumn id="42" name="GST Type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sn"/>
  <dimension ref="A1:K24"/>
  <sheetViews>
    <sheetView workbookViewId="0">
      <selection sqref="A1:XFD1048576"/>
    </sheetView>
  </sheetViews>
  <sheetFormatPr defaultRowHeight="15" x14ac:dyDescent="0.25"/>
  <sheetData>
    <row r="1" spans="1:11" x14ac:dyDescent="0.25">
      <c r="A1" t="s">
        <v>179</v>
      </c>
      <c r="B1" t="s">
        <v>60</v>
      </c>
      <c r="C1" t="s">
        <v>180</v>
      </c>
      <c r="D1" t="s">
        <v>181</v>
      </c>
      <c r="E1" t="s">
        <v>182</v>
      </c>
      <c r="F1" t="s">
        <v>183</v>
      </c>
      <c r="G1" t="s">
        <v>184</v>
      </c>
      <c r="H1" t="s">
        <v>185</v>
      </c>
      <c r="I1" t="s">
        <v>186</v>
      </c>
      <c r="J1" t="s">
        <v>187</v>
      </c>
      <c r="K1" t="s">
        <v>188</v>
      </c>
    </row>
    <row r="2" spans="1:11" x14ac:dyDescent="0.25">
      <c r="A2">
        <v>33051090</v>
      </c>
      <c r="B2">
        <v>33051090</v>
      </c>
      <c r="C2" t="s">
        <v>189</v>
      </c>
      <c r="D2">
        <v>76210</v>
      </c>
      <c r="E2">
        <v>72372667.659999996</v>
      </c>
      <c r="F2">
        <v>61332769.18</v>
      </c>
      <c r="G2">
        <v>10968734.58</v>
      </c>
      <c r="H2">
        <v>35581.949999999997</v>
      </c>
      <c r="I2">
        <v>35581.949999999997</v>
      </c>
      <c r="K2">
        <v>18</v>
      </c>
    </row>
    <row r="3" spans="1:11" x14ac:dyDescent="0.25">
      <c r="A3">
        <v>33051090</v>
      </c>
      <c r="B3">
        <v>33051090</v>
      </c>
      <c r="C3" t="s">
        <v>190</v>
      </c>
      <c r="D3">
        <v>4</v>
      </c>
      <c r="E3">
        <v>4468602.18</v>
      </c>
      <c r="F3">
        <v>3786951</v>
      </c>
      <c r="G3">
        <v>681651.18</v>
      </c>
      <c r="H3">
        <v>0</v>
      </c>
      <c r="I3">
        <v>0</v>
      </c>
      <c r="K3">
        <v>18</v>
      </c>
    </row>
    <row r="4" spans="1:11" x14ac:dyDescent="0.25">
      <c r="A4">
        <v>33051090</v>
      </c>
      <c r="B4">
        <v>33051090</v>
      </c>
      <c r="C4" t="s">
        <v>191</v>
      </c>
      <c r="D4">
        <v>1773</v>
      </c>
      <c r="E4">
        <v>11891.33</v>
      </c>
      <c r="F4">
        <v>9990</v>
      </c>
      <c r="G4">
        <v>0</v>
      </c>
      <c r="H4">
        <v>899.1</v>
      </c>
      <c r="I4">
        <v>899.1</v>
      </c>
      <c r="K4">
        <v>18</v>
      </c>
    </row>
    <row r="5" spans="1:11" x14ac:dyDescent="0.25">
      <c r="A5">
        <v>39159090</v>
      </c>
      <c r="B5">
        <v>39159090</v>
      </c>
      <c r="C5" t="s">
        <v>190</v>
      </c>
      <c r="D5">
        <v>980</v>
      </c>
      <c r="E5">
        <v>127631.39</v>
      </c>
      <c r="F5">
        <v>107393.5</v>
      </c>
      <c r="G5">
        <v>0</v>
      </c>
      <c r="H5">
        <v>9665.42</v>
      </c>
      <c r="I5">
        <v>9665.42</v>
      </c>
      <c r="K5">
        <v>18</v>
      </c>
    </row>
    <row r="6" spans="1:11" x14ac:dyDescent="0.25">
      <c r="A6">
        <v>39159090</v>
      </c>
      <c r="B6">
        <v>39159090</v>
      </c>
      <c r="C6" t="s">
        <v>191</v>
      </c>
      <c r="D6">
        <v>5228</v>
      </c>
      <c r="E6">
        <v>20499.89</v>
      </c>
      <c r="F6">
        <v>17200.75</v>
      </c>
      <c r="G6">
        <v>0</v>
      </c>
      <c r="H6">
        <v>1548.08</v>
      </c>
      <c r="I6">
        <v>1548.08</v>
      </c>
      <c r="K6">
        <v>18</v>
      </c>
    </row>
    <row r="7" spans="1:11" x14ac:dyDescent="0.25">
      <c r="A7">
        <v>72043000</v>
      </c>
      <c r="B7">
        <v>72043000</v>
      </c>
      <c r="C7" t="s">
        <v>190</v>
      </c>
      <c r="D7">
        <v>7</v>
      </c>
      <c r="E7">
        <v>13584.16</v>
      </c>
      <c r="F7">
        <v>11500</v>
      </c>
      <c r="G7">
        <v>0</v>
      </c>
      <c r="H7">
        <v>1035</v>
      </c>
      <c r="I7">
        <v>1035</v>
      </c>
      <c r="K7">
        <v>18</v>
      </c>
    </row>
    <row r="8" spans="1:11" x14ac:dyDescent="0.25">
      <c r="A8">
        <v>47071000</v>
      </c>
      <c r="B8">
        <v>47071000</v>
      </c>
      <c r="C8" t="s">
        <v>190</v>
      </c>
      <c r="D8">
        <v>24</v>
      </c>
      <c r="E8">
        <v>763.56</v>
      </c>
      <c r="F8">
        <v>720</v>
      </c>
      <c r="G8">
        <v>0</v>
      </c>
      <c r="H8">
        <v>18</v>
      </c>
      <c r="I8">
        <v>18</v>
      </c>
      <c r="K8">
        <v>5</v>
      </c>
    </row>
    <row r="9" spans="1:11" x14ac:dyDescent="0.25">
      <c r="A9">
        <v>47071000</v>
      </c>
      <c r="B9">
        <v>47071000</v>
      </c>
      <c r="C9" t="s">
        <v>191</v>
      </c>
      <c r="D9">
        <v>3686</v>
      </c>
      <c r="E9">
        <v>28366.799999999999</v>
      </c>
      <c r="F9">
        <v>26748.5</v>
      </c>
      <c r="G9">
        <v>0</v>
      </c>
      <c r="H9">
        <v>668.72</v>
      </c>
      <c r="I9">
        <v>668.72</v>
      </c>
      <c r="K9">
        <v>5</v>
      </c>
    </row>
    <row r="10" spans="1:11" x14ac:dyDescent="0.25">
      <c r="A10">
        <v>34029011</v>
      </c>
      <c r="B10">
        <v>34029011</v>
      </c>
      <c r="C10" t="s">
        <v>189</v>
      </c>
      <c r="D10">
        <v>1200</v>
      </c>
      <c r="E10">
        <v>98835.86</v>
      </c>
      <c r="F10">
        <v>83759.199999999997</v>
      </c>
      <c r="G10">
        <v>1910.38</v>
      </c>
      <c r="H10">
        <v>6583.14</v>
      </c>
      <c r="I10">
        <v>6583.14</v>
      </c>
      <c r="K10">
        <v>18</v>
      </c>
    </row>
    <row r="11" spans="1:11" x14ac:dyDescent="0.25">
      <c r="A11">
        <v>34013090</v>
      </c>
      <c r="B11">
        <v>34013090</v>
      </c>
      <c r="C11" t="s">
        <v>190</v>
      </c>
      <c r="D11">
        <v>80</v>
      </c>
      <c r="E11">
        <v>6608</v>
      </c>
      <c r="F11">
        <v>5600</v>
      </c>
      <c r="G11">
        <v>0</v>
      </c>
      <c r="H11">
        <v>504</v>
      </c>
      <c r="I11">
        <v>504</v>
      </c>
      <c r="K11">
        <v>18</v>
      </c>
    </row>
    <row r="12" spans="1:11" x14ac:dyDescent="0.25">
      <c r="A12">
        <v>34013090</v>
      </c>
      <c r="B12">
        <v>34013090</v>
      </c>
      <c r="C12" t="s">
        <v>191</v>
      </c>
      <c r="D12">
        <v>430</v>
      </c>
      <c r="E12">
        <v>32499.56</v>
      </c>
      <c r="F12">
        <v>27542</v>
      </c>
      <c r="G12">
        <v>1910.38</v>
      </c>
      <c r="H12">
        <v>1523.59</v>
      </c>
      <c r="I12">
        <v>1523.59</v>
      </c>
      <c r="K12">
        <v>18</v>
      </c>
    </row>
    <row r="13" spans="1:11" x14ac:dyDescent="0.25">
      <c r="A13">
        <v>996511</v>
      </c>
      <c r="B13">
        <v>996511</v>
      </c>
      <c r="C13" t="s">
        <v>190</v>
      </c>
      <c r="D13">
        <v>8</v>
      </c>
      <c r="E13">
        <v>7788</v>
      </c>
      <c r="F13">
        <v>6600</v>
      </c>
      <c r="G13">
        <v>576</v>
      </c>
      <c r="H13">
        <v>306</v>
      </c>
      <c r="I13">
        <v>306</v>
      </c>
      <c r="K13">
        <v>18</v>
      </c>
    </row>
    <row r="14" spans="1:11" x14ac:dyDescent="0.25">
      <c r="A14">
        <v>33049990</v>
      </c>
      <c r="B14">
        <v>33049990</v>
      </c>
      <c r="C14" t="s">
        <v>189</v>
      </c>
      <c r="D14">
        <v>947</v>
      </c>
      <c r="E14">
        <v>2186100.19</v>
      </c>
      <c r="F14">
        <v>1852627.27</v>
      </c>
      <c r="G14">
        <v>333472.92</v>
      </c>
      <c r="H14">
        <v>0</v>
      </c>
      <c r="I14">
        <v>0</v>
      </c>
      <c r="K14">
        <v>18</v>
      </c>
    </row>
    <row r="15" spans="1:11" x14ac:dyDescent="0.25">
      <c r="A15">
        <v>33049990</v>
      </c>
      <c r="B15">
        <v>33049990</v>
      </c>
      <c r="C15" t="s">
        <v>191</v>
      </c>
      <c r="D15">
        <v>500</v>
      </c>
      <c r="E15">
        <v>41300</v>
      </c>
      <c r="F15">
        <v>35000</v>
      </c>
      <c r="G15">
        <v>0</v>
      </c>
      <c r="H15">
        <v>3150</v>
      </c>
      <c r="I15">
        <v>3150</v>
      </c>
      <c r="K15">
        <v>18</v>
      </c>
    </row>
    <row r="16" spans="1:11" x14ac:dyDescent="0.25">
      <c r="A16">
        <v>33029011</v>
      </c>
      <c r="B16">
        <v>33029011</v>
      </c>
      <c r="C16" t="s">
        <v>190</v>
      </c>
      <c r="D16">
        <v>1</v>
      </c>
      <c r="E16">
        <v>37642</v>
      </c>
      <c r="F16">
        <v>31900</v>
      </c>
      <c r="G16">
        <v>5742</v>
      </c>
      <c r="H16">
        <v>0</v>
      </c>
      <c r="I16">
        <v>0</v>
      </c>
      <c r="K16">
        <v>18</v>
      </c>
    </row>
    <row r="17" spans="1:11" x14ac:dyDescent="0.25">
      <c r="A17">
        <v>34012000</v>
      </c>
      <c r="B17">
        <v>34012000</v>
      </c>
      <c r="C17" t="s">
        <v>189</v>
      </c>
      <c r="D17">
        <v>648</v>
      </c>
      <c r="E17">
        <v>1330936.94</v>
      </c>
      <c r="F17">
        <v>1127912.6399999999</v>
      </c>
      <c r="G17">
        <v>203024.3</v>
      </c>
      <c r="H17">
        <v>0</v>
      </c>
      <c r="I17">
        <v>0</v>
      </c>
      <c r="K17">
        <v>18</v>
      </c>
    </row>
    <row r="18" spans="1:11" x14ac:dyDescent="0.25">
      <c r="A18">
        <v>39199010</v>
      </c>
      <c r="B18">
        <v>39199010</v>
      </c>
      <c r="C18" t="s">
        <v>190</v>
      </c>
      <c r="D18">
        <v>157919</v>
      </c>
      <c r="E18">
        <v>208872.36</v>
      </c>
      <c r="F18">
        <v>177010.48</v>
      </c>
      <c r="G18">
        <v>21674.78</v>
      </c>
      <c r="H18">
        <v>5093.55</v>
      </c>
      <c r="I18">
        <v>5093.55</v>
      </c>
      <c r="K18">
        <v>18</v>
      </c>
    </row>
    <row r="19" spans="1:11" x14ac:dyDescent="0.25">
      <c r="A19">
        <v>39233090</v>
      </c>
      <c r="B19">
        <v>39233090</v>
      </c>
      <c r="C19" t="s">
        <v>190</v>
      </c>
      <c r="D19">
        <v>41004</v>
      </c>
      <c r="E19">
        <v>59997.06</v>
      </c>
      <c r="F19">
        <v>50844.959999999999</v>
      </c>
      <c r="G19">
        <v>0</v>
      </c>
      <c r="H19">
        <v>4576.05</v>
      </c>
      <c r="I19">
        <v>4576.05</v>
      </c>
      <c r="K19">
        <v>18</v>
      </c>
    </row>
    <row r="20" spans="1:11" x14ac:dyDescent="0.25">
      <c r="A20">
        <v>84248990</v>
      </c>
      <c r="B20">
        <v>84248990</v>
      </c>
      <c r="C20" t="s">
        <v>190</v>
      </c>
      <c r="D20">
        <v>501</v>
      </c>
      <c r="E20">
        <v>5192</v>
      </c>
      <c r="F20">
        <v>4400</v>
      </c>
      <c r="G20">
        <v>792</v>
      </c>
      <c r="H20">
        <v>0</v>
      </c>
      <c r="I20">
        <v>0</v>
      </c>
      <c r="K20">
        <v>18</v>
      </c>
    </row>
    <row r="21" spans="1:11" x14ac:dyDescent="0.25">
      <c r="A21">
        <v>13021919</v>
      </c>
      <c r="B21">
        <v>13021919</v>
      </c>
      <c r="C21" t="s">
        <v>191</v>
      </c>
      <c r="D21">
        <v>227</v>
      </c>
      <c r="E21">
        <v>76948.98</v>
      </c>
      <c r="F21">
        <v>65211</v>
      </c>
      <c r="G21">
        <v>11737.98</v>
      </c>
      <c r="H21">
        <v>0</v>
      </c>
      <c r="I21">
        <v>0</v>
      </c>
      <c r="K21">
        <v>18</v>
      </c>
    </row>
    <row r="22" spans="1:11" x14ac:dyDescent="0.25">
      <c r="A22">
        <v>35021100</v>
      </c>
      <c r="B22">
        <v>35021100</v>
      </c>
      <c r="C22" t="s">
        <v>191</v>
      </c>
      <c r="D22">
        <v>9.9</v>
      </c>
      <c r="E22">
        <v>8727.2800000000007</v>
      </c>
      <c r="F22">
        <v>7396</v>
      </c>
      <c r="G22">
        <v>1331.28</v>
      </c>
      <c r="H22">
        <v>0</v>
      </c>
      <c r="I22">
        <v>0</v>
      </c>
      <c r="K22">
        <v>18</v>
      </c>
    </row>
    <row r="23" spans="1:11" x14ac:dyDescent="0.25">
      <c r="A23">
        <v>38249090</v>
      </c>
      <c r="B23">
        <v>38249090</v>
      </c>
      <c r="C23" t="s">
        <v>191</v>
      </c>
      <c r="D23">
        <v>8.6999999999999993</v>
      </c>
      <c r="E23">
        <v>22021.16</v>
      </c>
      <c r="F23">
        <v>18662</v>
      </c>
      <c r="G23">
        <v>3359.16</v>
      </c>
      <c r="H23">
        <v>0</v>
      </c>
      <c r="I23">
        <v>0</v>
      </c>
      <c r="K23">
        <v>18</v>
      </c>
    </row>
    <row r="24" spans="1:11" x14ac:dyDescent="0.25">
      <c r="A24">
        <v>39206190</v>
      </c>
      <c r="B24">
        <v>39206190</v>
      </c>
      <c r="C24" t="s">
        <v>191</v>
      </c>
      <c r="D24">
        <v>1379</v>
      </c>
      <c r="E24">
        <v>307476.14</v>
      </c>
      <c r="F24">
        <v>260573</v>
      </c>
      <c r="G24">
        <v>46903.14</v>
      </c>
      <c r="H24">
        <v>0</v>
      </c>
      <c r="I24">
        <v>0</v>
      </c>
      <c r="K24">
        <v>18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CM">
    <tabColor rgb="FF92D050"/>
  </sheetPr>
  <dimension ref="A2:N12"/>
  <sheetViews>
    <sheetView topLeftCell="A2" workbookViewId="0">
      <selection activeCell="E13" sqref="E6:E28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9.28515625" customWidth="1"/>
    <col min="5" max="5" width="36.7109375" customWidth="1"/>
    <col min="6" max="6" width="13.5703125" customWidth="1"/>
    <col min="7" max="7" width="10.7109375" bestFit="1" customWidth="1"/>
    <col min="8" max="8" width="16.85546875" bestFit="1" customWidth="1"/>
    <col min="9" max="9" width="10.7109375" bestFit="1" customWidth="1"/>
    <col min="10" max="10" width="10.85546875" bestFit="1" customWidth="1"/>
    <col min="11" max="11" width="10.28515625" bestFit="1" customWidth="1"/>
    <col min="12" max="12" width="15.42578125" bestFit="1" customWidth="1"/>
    <col min="13" max="13" width="15.5703125" bestFit="1" customWidth="1"/>
    <col min="14" max="14" width="15" customWidth="1"/>
  </cols>
  <sheetData>
    <row r="2" spans="1:14" x14ac:dyDescent="0.25">
      <c r="A2" s="3" t="s">
        <v>51</v>
      </c>
      <c r="B2" t="s">
        <v>48</v>
      </c>
    </row>
    <row r="4" spans="1:14" hidden="1" x14ac:dyDescent="0.25">
      <c r="H4" s="3" t="s">
        <v>52</v>
      </c>
    </row>
    <row r="5" spans="1:14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57</v>
      </c>
      <c r="M5" t="s">
        <v>56</v>
      </c>
      <c r="N5" s="1" t="s">
        <v>58</v>
      </c>
    </row>
    <row r="6" spans="1:14" x14ac:dyDescent="0.25">
      <c r="A6" s="1" t="s">
        <v>41</v>
      </c>
      <c r="B6" t="s">
        <v>223</v>
      </c>
      <c r="C6" s="150">
        <v>121</v>
      </c>
      <c r="D6" t="s">
        <v>201</v>
      </c>
      <c r="E6" t="s">
        <v>202</v>
      </c>
      <c r="F6" t="s">
        <v>255</v>
      </c>
      <c r="G6" s="150">
        <v>32953</v>
      </c>
      <c r="H6" s="2">
        <v>-2147.2800000000002</v>
      </c>
      <c r="I6" s="2">
        <v>0</v>
      </c>
      <c r="J6" s="2">
        <v>0</v>
      </c>
      <c r="K6" s="2">
        <v>0</v>
      </c>
      <c r="L6" s="2">
        <v>-53.68</v>
      </c>
      <c r="M6" s="2">
        <v>-53.68</v>
      </c>
      <c r="N6" s="2">
        <v>0</v>
      </c>
    </row>
    <row r="7" spans="1:14" x14ac:dyDescent="0.25">
      <c r="A7" s="1" t="s">
        <v>45</v>
      </c>
      <c r="B7" t="s">
        <v>200</v>
      </c>
      <c r="C7" s="150">
        <v>101</v>
      </c>
      <c r="D7" t="s">
        <v>201</v>
      </c>
      <c r="E7" t="s">
        <v>202</v>
      </c>
      <c r="F7" t="s">
        <v>429</v>
      </c>
      <c r="G7" s="150">
        <v>32881</v>
      </c>
      <c r="H7" s="2">
        <v>168499</v>
      </c>
      <c r="I7" s="2">
        <v>0</v>
      </c>
      <c r="J7" s="2">
        <v>0</v>
      </c>
      <c r="K7" s="2">
        <v>0</v>
      </c>
      <c r="L7" s="2">
        <v>4212.4799999999996</v>
      </c>
      <c r="M7" s="2">
        <v>4212.4799999999996</v>
      </c>
      <c r="N7" s="2">
        <v>0</v>
      </c>
    </row>
    <row r="8" spans="1:14" x14ac:dyDescent="0.25">
      <c r="A8" s="1" t="s">
        <v>45</v>
      </c>
      <c r="B8" t="s">
        <v>203</v>
      </c>
      <c r="C8" s="150">
        <v>101</v>
      </c>
      <c r="D8" t="s">
        <v>201</v>
      </c>
      <c r="E8" t="s">
        <v>202</v>
      </c>
      <c r="F8" t="s">
        <v>741</v>
      </c>
      <c r="G8" s="150">
        <v>32881</v>
      </c>
      <c r="H8" s="2">
        <v>156045</v>
      </c>
      <c r="I8" s="2">
        <v>0</v>
      </c>
      <c r="J8" s="2">
        <v>0</v>
      </c>
      <c r="K8" s="2">
        <v>0</v>
      </c>
      <c r="L8" s="2">
        <v>3901.13</v>
      </c>
      <c r="M8" s="2">
        <v>3901.13</v>
      </c>
      <c r="N8" s="2">
        <v>0</v>
      </c>
    </row>
    <row r="9" spans="1:14" x14ac:dyDescent="0.25">
      <c r="A9" s="1" t="s">
        <v>45</v>
      </c>
      <c r="B9" t="s">
        <v>225</v>
      </c>
      <c r="C9" s="150">
        <v>116</v>
      </c>
      <c r="D9" t="s">
        <v>201</v>
      </c>
      <c r="E9" t="s">
        <v>202</v>
      </c>
      <c r="F9" t="s">
        <v>749</v>
      </c>
      <c r="G9" s="150">
        <v>32895</v>
      </c>
      <c r="H9" s="2">
        <v>7500</v>
      </c>
      <c r="I9" s="2">
        <v>0</v>
      </c>
      <c r="J9" s="2">
        <v>0</v>
      </c>
      <c r="K9" s="2">
        <v>0</v>
      </c>
      <c r="L9" s="2">
        <v>188</v>
      </c>
      <c r="M9" s="2">
        <v>188</v>
      </c>
      <c r="N9" s="2">
        <v>0</v>
      </c>
    </row>
    <row r="10" spans="1:14" x14ac:dyDescent="0.25">
      <c r="A10" s="1" t="s">
        <v>45</v>
      </c>
      <c r="B10" t="s">
        <v>226</v>
      </c>
      <c r="C10" s="150">
        <v>116</v>
      </c>
      <c r="D10" t="s">
        <v>201</v>
      </c>
      <c r="E10" t="s">
        <v>202</v>
      </c>
      <c r="F10" t="s">
        <v>750</v>
      </c>
      <c r="G10" s="150">
        <v>32878</v>
      </c>
      <c r="H10" s="2">
        <v>7500</v>
      </c>
      <c r="I10" s="2">
        <v>0</v>
      </c>
      <c r="J10" s="2">
        <v>0</v>
      </c>
      <c r="K10" s="2">
        <v>0</v>
      </c>
      <c r="L10" s="2">
        <v>188</v>
      </c>
      <c r="M10" s="2">
        <v>188</v>
      </c>
      <c r="N10" s="2">
        <v>0</v>
      </c>
    </row>
    <row r="11" spans="1:14" x14ac:dyDescent="0.25">
      <c r="A11" s="1" t="s">
        <v>45</v>
      </c>
      <c r="B11" t="s">
        <v>239</v>
      </c>
      <c r="C11" s="150">
        <v>118</v>
      </c>
      <c r="D11" t="s">
        <v>201</v>
      </c>
      <c r="E11" t="s">
        <v>202</v>
      </c>
      <c r="F11" t="s">
        <v>751</v>
      </c>
      <c r="G11" s="150">
        <v>32888</v>
      </c>
      <c r="H11" s="2">
        <v>5360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268</v>
      </c>
    </row>
    <row r="12" spans="1:14" x14ac:dyDescent="0.25">
      <c r="A12" s="1" t="s">
        <v>59</v>
      </c>
      <c r="B12" s="1"/>
      <c r="C12" s="1"/>
      <c r="D12" s="1"/>
      <c r="E12" s="1"/>
      <c r="F12" s="1"/>
      <c r="G12" s="1"/>
      <c r="H12" s="2">
        <v>342756.72</v>
      </c>
      <c r="I12" s="2">
        <v>0</v>
      </c>
      <c r="J12" s="2">
        <v>0</v>
      </c>
      <c r="K12" s="2">
        <v>0</v>
      </c>
      <c r="L12" s="2">
        <v>8435.93</v>
      </c>
      <c r="M12" s="2">
        <v>8435.93</v>
      </c>
      <c r="N12" s="2">
        <v>268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t_in_GST">
    <tabColor rgb="FF92D050"/>
  </sheetPr>
  <dimension ref="A2:M6"/>
  <sheetViews>
    <sheetView workbookViewId="0">
      <selection activeCell="F13" sqref="F13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9.28515625" customWidth="1"/>
    <col min="5" max="5" width="27" customWidth="1"/>
    <col min="6" max="6" width="9.7109375" customWidth="1"/>
    <col min="7" max="8" width="10.7109375" bestFit="1" customWidth="1"/>
    <col min="9" max="9" width="10.85546875" bestFit="1" customWidth="1"/>
    <col min="10" max="10" width="10.28515625" bestFit="1" customWidth="1"/>
    <col min="11" max="11" width="15.42578125" bestFit="1" customWidth="1"/>
    <col min="12" max="12" width="15.5703125" bestFit="1" customWidth="1"/>
    <col min="13" max="13" width="15" bestFit="1" customWidth="1"/>
    <col min="14" max="14" width="15" customWidth="1"/>
  </cols>
  <sheetData>
    <row r="2" spans="1:13" x14ac:dyDescent="0.25">
      <c r="A2" s="3" t="s">
        <v>51</v>
      </c>
      <c r="B2" t="s">
        <v>178</v>
      </c>
    </row>
    <row r="4" spans="1:13" hidden="1" x14ac:dyDescent="0.25">
      <c r="H4" s="3" t="s">
        <v>52</v>
      </c>
    </row>
    <row r="5" spans="1:13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s="1" t="s">
        <v>53</v>
      </c>
      <c r="I5" s="1" t="s">
        <v>54</v>
      </c>
      <c r="J5" s="1" t="s">
        <v>55</v>
      </c>
      <c r="K5" s="1" t="s">
        <v>57</v>
      </c>
      <c r="L5" t="s">
        <v>56</v>
      </c>
      <c r="M5" s="1" t="s">
        <v>58</v>
      </c>
    </row>
    <row r="6" spans="1:13" x14ac:dyDescent="0.25">
      <c r="A6" s="1" t="s">
        <v>59</v>
      </c>
      <c r="B6" s="1"/>
      <c r="C6" s="1"/>
      <c r="D6" s="1"/>
      <c r="E6" s="1"/>
      <c r="F6" s="1"/>
      <c r="G6" s="1"/>
      <c r="H6" s="2"/>
      <c r="I6" s="2"/>
      <c r="J6" s="2"/>
      <c r="K6" s="2"/>
      <c r="L6" s="2"/>
      <c r="M6" s="2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empt"/>
  <dimension ref="A1:AC6"/>
  <sheetViews>
    <sheetView topLeftCell="Q1" workbookViewId="0">
      <selection activeCell="AB6" sqref="AB6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7.85546875" customWidth="1"/>
    <col min="5" max="5" width="31.7109375" customWidth="1"/>
    <col min="6" max="6" width="16.140625" bestFit="1" customWidth="1"/>
    <col min="7" max="7" width="10.7109375" bestFit="1" customWidth="1"/>
    <col min="8" max="8" width="16.85546875" bestFit="1" customWidth="1"/>
    <col min="9" max="9" width="10.7109375" bestFit="1" customWidth="1"/>
    <col min="10" max="10" width="10.85546875" bestFit="1" customWidth="1"/>
    <col min="11" max="11" width="10.28515625" bestFit="1" customWidth="1"/>
    <col min="12" max="12" width="15.5703125" bestFit="1" customWidth="1"/>
    <col min="13" max="13" width="15.42578125" bestFit="1" customWidth="1"/>
    <col min="14" max="14" width="15" customWidth="1"/>
    <col min="22" max="22" width="10.7109375" bestFit="1" customWidth="1"/>
    <col min="23" max="23" width="16.85546875" bestFit="1" customWidth="1"/>
    <col min="24" max="24" width="10.7109375" bestFit="1" customWidth="1"/>
    <col min="25" max="25" width="10.85546875" bestFit="1" customWidth="1"/>
    <col min="26" max="26" width="10.28515625" bestFit="1" customWidth="1"/>
    <col min="27" max="27" width="15.5703125" bestFit="1" customWidth="1"/>
    <col min="28" max="28" width="15.42578125" bestFit="1" customWidth="1"/>
    <col min="29" max="29" width="15" bestFit="1" customWidth="1"/>
  </cols>
  <sheetData>
    <row r="1" spans="1:29" x14ac:dyDescent="0.25">
      <c r="A1" s="3" t="s">
        <v>51</v>
      </c>
      <c r="B1" t="s">
        <v>178</v>
      </c>
      <c r="P1" s="3" t="s">
        <v>51</v>
      </c>
      <c r="Q1" t="s">
        <v>178</v>
      </c>
    </row>
    <row r="2" spans="1:29" x14ac:dyDescent="0.25">
      <c r="A2" s="3" t="s">
        <v>174</v>
      </c>
      <c r="B2" t="s">
        <v>178</v>
      </c>
      <c r="P2" s="3" t="s">
        <v>174</v>
      </c>
      <c r="Q2" t="s">
        <v>175</v>
      </c>
    </row>
    <row r="4" spans="1:29" hidden="1" x14ac:dyDescent="0.25">
      <c r="H4" s="3" t="s">
        <v>52</v>
      </c>
      <c r="W4" s="3" t="s">
        <v>52</v>
      </c>
    </row>
    <row r="5" spans="1:29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56</v>
      </c>
      <c r="M5" s="1" t="s">
        <v>57</v>
      </c>
      <c r="N5" s="1" t="s">
        <v>58</v>
      </c>
      <c r="P5" s="3" t="s">
        <v>0</v>
      </c>
      <c r="Q5" s="3" t="s">
        <v>1</v>
      </c>
      <c r="R5" s="3" t="s">
        <v>2</v>
      </c>
      <c r="S5" s="3" t="s">
        <v>3</v>
      </c>
      <c r="T5" s="3" t="s">
        <v>4</v>
      </c>
      <c r="U5" s="3" t="s">
        <v>5</v>
      </c>
      <c r="V5" s="3" t="s">
        <v>6</v>
      </c>
      <c r="W5" t="s">
        <v>162</v>
      </c>
      <c r="X5" s="1" t="s">
        <v>53</v>
      </c>
      <c r="Y5" s="1" t="s">
        <v>54</v>
      </c>
      <c r="Z5" s="1" t="s">
        <v>55</v>
      </c>
      <c r="AA5" s="1" t="s">
        <v>56</v>
      </c>
      <c r="AB5" s="1" t="s">
        <v>57</v>
      </c>
      <c r="AC5" s="1" t="s">
        <v>58</v>
      </c>
    </row>
    <row r="6" spans="1:29" x14ac:dyDescent="0.25">
      <c r="A6" s="1" t="s">
        <v>59</v>
      </c>
      <c r="B6" s="1"/>
      <c r="C6" s="1"/>
      <c r="D6" s="1"/>
      <c r="E6" s="1"/>
      <c r="F6" s="1"/>
      <c r="G6" s="1"/>
      <c r="H6" s="2"/>
      <c r="I6" s="2"/>
      <c r="J6" s="2"/>
      <c r="K6" s="2"/>
      <c r="L6" s="2"/>
      <c r="M6" s="2"/>
      <c r="N6" s="2"/>
      <c r="P6" s="1" t="s">
        <v>59</v>
      </c>
      <c r="Q6" s="1"/>
      <c r="R6" s="1"/>
      <c r="S6" s="1"/>
      <c r="T6" s="1"/>
      <c r="U6" s="1"/>
      <c r="V6" s="1"/>
      <c r="W6" s="2"/>
      <c r="X6" s="2"/>
      <c r="Y6" s="2"/>
      <c r="Z6" s="2"/>
      <c r="AA6" s="2"/>
      <c r="AB6" s="2"/>
      <c r="AC6" s="2"/>
    </row>
  </sheetData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_GST">
    <tabColor rgb="FF92D050"/>
  </sheetPr>
  <dimension ref="A1:AC6"/>
  <sheetViews>
    <sheetView topLeftCell="O1" workbookViewId="0">
      <selection activeCell="U21" sqref="U21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8.5703125" customWidth="1"/>
    <col min="5" max="5" width="32.140625" customWidth="1"/>
    <col min="6" max="6" width="9.7109375" customWidth="1"/>
    <col min="7" max="7" width="10.7109375" bestFit="1" customWidth="1"/>
    <col min="8" max="8" width="16.85546875" customWidth="1"/>
    <col min="9" max="9" width="10.7109375" customWidth="1"/>
    <col min="10" max="10" width="10.85546875" customWidth="1"/>
    <col min="11" max="11" width="10.28515625" customWidth="1"/>
    <col min="12" max="12" width="15.42578125" bestFit="1" customWidth="1"/>
    <col min="13" max="13" width="15.5703125" bestFit="1" customWidth="1"/>
    <col min="14" max="14" width="15" customWidth="1"/>
    <col min="16" max="16" width="11.28515625" bestFit="1" customWidth="1"/>
    <col min="17" max="17" width="9.7109375" bestFit="1" customWidth="1"/>
    <col min="18" max="18" width="10.42578125" bestFit="1" customWidth="1"/>
    <col min="19" max="19" width="8.5703125" bestFit="1" customWidth="1"/>
    <col min="20" max="20" width="32.140625" bestFit="1" customWidth="1"/>
    <col min="21" max="21" width="9.7109375" bestFit="1" customWidth="1"/>
    <col min="22" max="22" width="10.7109375" bestFit="1" customWidth="1"/>
    <col min="23" max="23" width="16.85546875" bestFit="1" customWidth="1"/>
    <col min="24" max="24" width="10.7109375" bestFit="1" customWidth="1"/>
    <col min="25" max="25" width="10.85546875" bestFit="1" customWidth="1"/>
    <col min="26" max="26" width="10.28515625" bestFit="1" customWidth="1"/>
    <col min="27" max="27" width="15.42578125" bestFit="1" customWidth="1"/>
    <col min="28" max="28" width="15.5703125" bestFit="1" customWidth="1"/>
    <col min="29" max="29" width="15" bestFit="1" customWidth="1"/>
  </cols>
  <sheetData>
    <row r="1" spans="1:29" x14ac:dyDescent="0.25">
      <c r="A1" s="3" t="s">
        <v>51</v>
      </c>
      <c r="B1" t="s">
        <v>178</v>
      </c>
      <c r="P1" s="3" t="s">
        <v>51</v>
      </c>
      <c r="Q1" t="s">
        <v>178</v>
      </c>
    </row>
    <row r="2" spans="1:29" x14ac:dyDescent="0.25">
      <c r="A2" s="3" t="s">
        <v>174</v>
      </c>
      <c r="B2" t="s">
        <v>178</v>
      </c>
      <c r="P2" s="3" t="s">
        <v>174</v>
      </c>
      <c r="Q2" t="s">
        <v>175</v>
      </c>
    </row>
    <row r="4" spans="1:29" hidden="1" x14ac:dyDescent="0.25">
      <c r="H4" s="3" t="s">
        <v>52</v>
      </c>
      <c r="W4" s="3" t="s">
        <v>52</v>
      </c>
    </row>
    <row r="5" spans="1:29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57</v>
      </c>
      <c r="M5" t="s">
        <v>56</v>
      </c>
      <c r="N5" s="1" t="s">
        <v>58</v>
      </c>
      <c r="P5" s="3" t="s">
        <v>0</v>
      </c>
      <c r="Q5" s="3" t="s">
        <v>1</v>
      </c>
      <c r="R5" s="3" t="s">
        <v>2</v>
      </c>
      <c r="S5" s="3" t="s">
        <v>3</v>
      </c>
      <c r="T5" s="3" t="s">
        <v>4</v>
      </c>
      <c r="U5" s="3" t="s">
        <v>5</v>
      </c>
      <c r="V5" s="3" t="s">
        <v>6</v>
      </c>
      <c r="W5" t="s">
        <v>162</v>
      </c>
      <c r="X5" s="1" t="s">
        <v>53</v>
      </c>
      <c r="Y5" s="1" t="s">
        <v>54</v>
      </c>
      <c r="Z5" s="1" t="s">
        <v>55</v>
      </c>
      <c r="AA5" s="1" t="s">
        <v>57</v>
      </c>
      <c r="AB5" t="s">
        <v>56</v>
      </c>
      <c r="AC5" s="1" t="s">
        <v>58</v>
      </c>
    </row>
    <row r="6" spans="1:29" x14ac:dyDescent="0.25">
      <c r="A6" s="1" t="s">
        <v>59</v>
      </c>
      <c r="B6" s="1"/>
      <c r="C6" s="1"/>
      <c r="D6" s="1"/>
      <c r="E6" s="1"/>
      <c r="F6" s="1"/>
      <c r="G6" s="1"/>
      <c r="H6" s="2"/>
      <c r="I6" s="2"/>
      <c r="J6" s="2"/>
      <c r="K6" s="2"/>
      <c r="L6" s="2"/>
      <c r="M6" s="2"/>
      <c r="N6" s="2"/>
      <c r="P6" s="1" t="s">
        <v>59</v>
      </c>
      <c r="Q6" s="1"/>
      <c r="R6" s="1"/>
      <c r="S6" s="1"/>
      <c r="T6" s="1"/>
      <c r="U6" s="1"/>
      <c r="V6" s="1"/>
      <c r="W6" s="2"/>
      <c r="X6" s="2"/>
      <c r="Y6" s="2"/>
      <c r="Z6" s="2"/>
      <c r="AA6" s="2"/>
      <c r="AB6" s="2"/>
      <c r="AC6" s="2"/>
    </row>
  </sheetData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Data">
    <tabColor rgb="FF92D050"/>
  </sheetPr>
  <dimension ref="A1:N308"/>
  <sheetViews>
    <sheetView topLeftCell="A2" workbookViewId="0">
      <selection activeCell="A2" sqref="A2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9.28515625" customWidth="1"/>
    <col min="5" max="5" width="54.140625" customWidth="1"/>
    <col min="6" max="6" width="18.5703125" bestFit="1" customWidth="1"/>
    <col min="7" max="7" width="10.7109375" bestFit="1" customWidth="1"/>
    <col min="8" max="8" width="16.85546875" customWidth="1"/>
    <col min="9" max="10" width="11" bestFit="1" customWidth="1"/>
    <col min="11" max="11" width="12" bestFit="1" customWidth="1"/>
    <col min="12" max="12" width="15.42578125" customWidth="1"/>
    <col min="13" max="13" width="15.5703125" customWidth="1"/>
    <col min="14" max="14" width="15" customWidth="1"/>
  </cols>
  <sheetData>
    <row r="1" spans="1:14" x14ac:dyDescent="0.25">
      <c r="A1" s="3" t="s">
        <v>51</v>
      </c>
      <c r="B1" t="s">
        <v>46</v>
      </c>
    </row>
    <row r="2" spans="1:14" x14ac:dyDescent="0.25">
      <c r="A2" s="3" t="s">
        <v>174</v>
      </c>
      <c r="B2" t="s">
        <v>178</v>
      </c>
    </row>
    <row r="4" spans="1:14" hidden="1" x14ac:dyDescent="0.25">
      <c r="H4" s="3" t="s">
        <v>52</v>
      </c>
    </row>
    <row r="5" spans="1:14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57</v>
      </c>
      <c r="M5" t="s">
        <v>56</v>
      </c>
      <c r="N5" s="1" t="s">
        <v>58</v>
      </c>
    </row>
    <row r="6" spans="1:14" x14ac:dyDescent="0.25">
      <c r="A6" s="1" t="s">
        <v>41</v>
      </c>
      <c r="B6" t="s">
        <v>203</v>
      </c>
      <c r="C6" s="150">
        <v>111</v>
      </c>
      <c r="D6" t="s">
        <v>201</v>
      </c>
      <c r="E6" t="s">
        <v>202</v>
      </c>
      <c r="F6" t="s">
        <v>248</v>
      </c>
      <c r="G6" s="150">
        <v>32882</v>
      </c>
      <c r="H6" s="2">
        <v>-4154.21</v>
      </c>
      <c r="I6" s="2">
        <v>0</v>
      </c>
      <c r="J6" s="2">
        <v>0</v>
      </c>
      <c r="K6" s="2">
        <v>-747.76</v>
      </c>
      <c r="L6" s="2">
        <v>0</v>
      </c>
      <c r="M6" s="2">
        <v>0</v>
      </c>
      <c r="N6" s="2">
        <v>0</v>
      </c>
    </row>
    <row r="7" spans="1:14" x14ac:dyDescent="0.25">
      <c r="A7" s="1" t="s">
        <v>41</v>
      </c>
      <c r="B7" t="s">
        <v>204</v>
      </c>
      <c r="C7" s="150">
        <v>112</v>
      </c>
      <c r="D7" t="s">
        <v>201</v>
      </c>
      <c r="E7" t="s">
        <v>202</v>
      </c>
      <c r="F7" t="s">
        <v>194</v>
      </c>
      <c r="G7" s="150">
        <v>32958</v>
      </c>
      <c r="H7" s="2">
        <v>-14391.98</v>
      </c>
      <c r="I7" s="2">
        <v>0</v>
      </c>
      <c r="J7" s="2">
        <v>0</v>
      </c>
      <c r="K7" s="2">
        <v>-2590.56</v>
      </c>
      <c r="L7" s="2">
        <v>0</v>
      </c>
      <c r="M7" s="2">
        <v>0</v>
      </c>
      <c r="N7" s="2">
        <v>0</v>
      </c>
    </row>
    <row r="8" spans="1:14" x14ac:dyDescent="0.25">
      <c r="A8" s="1" t="s">
        <v>41</v>
      </c>
      <c r="B8" t="s">
        <v>219</v>
      </c>
      <c r="C8" s="150">
        <v>112</v>
      </c>
      <c r="D8" t="s">
        <v>201</v>
      </c>
      <c r="E8" t="s">
        <v>202</v>
      </c>
      <c r="F8" t="s">
        <v>250</v>
      </c>
      <c r="G8" s="150">
        <v>32894</v>
      </c>
      <c r="H8" s="2">
        <v>-19200</v>
      </c>
      <c r="I8" s="2">
        <v>0</v>
      </c>
      <c r="J8" s="2">
        <v>0</v>
      </c>
      <c r="K8" s="2">
        <v>-3456</v>
      </c>
      <c r="L8" s="2">
        <v>0</v>
      </c>
      <c r="M8" s="2">
        <v>0</v>
      </c>
      <c r="N8" s="2">
        <v>0</v>
      </c>
    </row>
    <row r="9" spans="1:14" x14ac:dyDescent="0.25">
      <c r="A9" s="1" t="s">
        <v>41</v>
      </c>
      <c r="B9" t="s">
        <v>221</v>
      </c>
      <c r="C9" s="150">
        <v>121</v>
      </c>
      <c r="D9" t="s">
        <v>201</v>
      </c>
      <c r="E9" t="s">
        <v>202</v>
      </c>
      <c r="F9" t="s">
        <v>251</v>
      </c>
      <c r="G9" s="150">
        <v>32892</v>
      </c>
      <c r="H9" s="2">
        <v>-54065.62</v>
      </c>
      <c r="I9" s="2">
        <v>-4865.91</v>
      </c>
      <c r="J9" s="2">
        <v>-4865.91</v>
      </c>
      <c r="K9" s="2">
        <v>0</v>
      </c>
      <c r="L9" s="2">
        <v>0</v>
      </c>
      <c r="M9" s="2">
        <v>0</v>
      </c>
      <c r="N9" s="2">
        <v>0</v>
      </c>
    </row>
    <row r="10" spans="1:14" x14ac:dyDescent="0.25">
      <c r="A10" s="1" t="s">
        <v>41</v>
      </c>
      <c r="B10" t="s">
        <v>222</v>
      </c>
      <c r="C10" s="150">
        <v>121</v>
      </c>
      <c r="D10" t="s">
        <v>201</v>
      </c>
      <c r="E10" t="s">
        <v>202</v>
      </c>
      <c r="F10" t="s">
        <v>253</v>
      </c>
      <c r="G10" s="150">
        <v>32898</v>
      </c>
      <c r="H10" s="2">
        <v>-823.5</v>
      </c>
      <c r="I10" s="2">
        <v>-74.12</v>
      </c>
      <c r="J10" s="2">
        <v>-74.12</v>
      </c>
      <c r="K10" s="2">
        <v>0</v>
      </c>
      <c r="L10" s="2">
        <v>0</v>
      </c>
      <c r="M10" s="2">
        <v>0</v>
      </c>
      <c r="N10" s="2">
        <v>0</v>
      </c>
    </row>
    <row r="11" spans="1:14" x14ac:dyDescent="0.25">
      <c r="A11" s="1" t="s">
        <v>42</v>
      </c>
      <c r="B11" t="s">
        <v>200</v>
      </c>
      <c r="C11" s="150">
        <v>98</v>
      </c>
      <c r="D11" t="s">
        <v>201</v>
      </c>
      <c r="E11" t="s">
        <v>202</v>
      </c>
      <c r="F11" t="s">
        <v>256</v>
      </c>
      <c r="G11" s="150">
        <v>32880</v>
      </c>
      <c r="H11" s="2">
        <v>23925</v>
      </c>
      <c r="I11" s="2">
        <v>2153.25</v>
      </c>
      <c r="J11" s="2">
        <v>2153.25</v>
      </c>
      <c r="K11" s="2">
        <v>0</v>
      </c>
      <c r="L11" s="2">
        <v>0</v>
      </c>
      <c r="M11" s="2">
        <v>0</v>
      </c>
      <c r="N11" s="2">
        <v>0</v>
      </c>
    </row>
    <row r="12" spans="1:14" x14ac:dyDescent="0.25">
      <c r="A12" s="1" t="s">
        <v>42</v>
      </c>
      <c r="B12" t="s">
        <v>203</v>
      </c>
      <c r="C12" s="150">
        <v>98</v>
      </c>
      <c r="D12" t="s">
        <v>201</v>
      </c>
      <c r="E12" t="s">
        <v>202</v>
      </c>
      <c r="F12" t="s">
        <v>258</v>
      </c>
      <c r="G12" s="150">
        <v>32874</v>
      </c>
      <c r="H12" s="2">
        <v>11962.5</v>
      </c>
      <c r="I12" s="2">
        <v>1076.6300000000001</v>
      </c>
      <c r="J12" s="2">
        <v>1076.6300000000001</v>
      </c>
      <c r="K12" s="2">
        <v>0</v>
      </c>
      <c r="L12" s="2">
        <v>0</v>
      </c>
      <c r="M12" s="2">
        <v>0</v>
      </c>
      <c r="N12" s="2">
        <v>0</v>
      </c>
    </row>
    <row r="13" spans="1:14" x14ac:dyDescent="0.25">
      <c r="A13" s="1" t="s">
        <v>42</v>
      </c>
      <c r="B13" t="s">
        <v>204</v>
      </c>
      <c r="C13" s="150">
        <v>98</v>
      </c>
      <c r="D13" t="s">
        <v>201</v>
      </c>
      <c r="E13" t="s">
        <v>202</v>
      </c>
      <c r="F13" t="s">
        <v>259</v>
      </c>
      <c r="G13" s="150">
        <v>32875</v>
      </c>
      <c r="H13" s="2">
        <v>1050</v>
      </c>
      <c r="I13" s="2">
        <v>94.5</v>
      </c>
      <c r="J13" s="2">
        <v>94.5</v>
      </c>
      <c r="K13" s="2">
        <v>0</v>
      </c>
      <c r="L13" s="2">
        <v>0</v>
      </c>
      <c r="M13" s="2">
        <v>0</v>
      </c>
      <c r="N13" s="2">
        <v>0</v>
      </c>
    </row>
    <row r="14" spans="1:14" x14ac:dyDescent="0.25">
      <c r="A14" s="1" t="s">
        <v>42</v>
      </c>
      <c r="B14" t="s">
        <v>219</v>
      </c>
      <c r="C14" s="150">
        <v>98</v>
      </c>
      <c r="D14" t="s">
        <v>201</v>
      </c>
      <c r="E14" t="s">
        <v>202</v>
      </c>
      <c r="F14" t="s">
        <v>260</v>
      </c>
      <c r="G14" s="150">
        <v>32874</v>
      </c>
      <c r="H14" s="2">
        <v>1130</v>
      </c>
      <c r="I14" s="2">
        <v>101.7</v>
      </c>
      <c r="J14" s="2">
        <v>101.7</v>
      </c>
      <c r="K14" s="2">
        <v>0</v>
      </c>
      <c r="L14" s="2">
        <v>0</v>
      </c>
      <c r="M14" s="2">
        <v>0</v>
      </c>
      <c r="N14" s="2">
        <v>0</v>
      </c>
    </row>
    <row r="15" spans="1:14" x14ac:dyDescent="0.25">
      <c r="A15" s="1" t="s">
        <v>42</v>
      </c>
      <c r="B15" t="s">
        <v>220</v>
      </c>
      <c r="C15" s="150">
        <v>98</v>
      </c>
      <c r="D15" t="s">
        <v>201</v>
      </c>
      <c r="E15" t="s">
        <v>202</v>
      </c>
      <c r="F15" t="s">
        <v>261</v>
      </c>
      <c r="G15" s="150">
        <v>32954</v>
      </c>
      <c r="H15" s="2">
        <v>88651</v>
      </c>
      <c r="I15" s="2">
        <v>7978.59</v>
      </c>
      <c r="J15" s="2">
        <v>7978.59</v>
      </c>
      <c r="K15" s="2">
        <v>0</v>
      </c>
      <c r="L15" s="2">
        <v>0</v>
      </c>
      <c r="M15" s="2">
        <v>0</v>
      </c>
      <c r="N15" s="2">
        <v>0</v>
      </c>
    </row>
    <row r="16" spans="1:14" x14ac:dyDescent="0.25">
      <c r="A16" s="1" t="s">
        <v>42</v>
      </c>
      <c r="B16" t="s">
        <v>221</v>
      </c>
      <c r="C16" s="150">
        <v>101</v>
      </c>
      <c r="D16" t="s">
        <v>201</v>
      </c>
      <c r="E16" t="s">
        <v>202</v>
      </c>
      <c r="F16" t="s">
        <v>265</v>
      </c>
      <c r="G16" s="150">
        <v>32875</v>
      </c>
      <c r="H16" s="2">
        <v>150096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</row>
    <row r="17" spans="1:14" x14ac:dyDescent="0.25">
      <c r="A17" s="1" t="s">
        <v>42</v>
      </c>
      <c r="B17" t="s">
        <v>222</v>
      </c>
      <c r="C17" s="150">
        <v>101</v>
      </c>
      <c r="D17" t="s">
        <v>201</v>
      </c>
      <c r="E17" t="s">
        <v>202</v>
      </c>
      <c r="F17" t="s">
        <v>266</v>
      </c>
      <c r="G17" s="150">
        <v>32879</v>
      </c>
      <c r="H17" s="2">
        <v>154592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</row>
    <row r="18" spans="1:14" x14ac:dyDescent="0.25">
      <c r="A18" s="1" t="s">
        <v>42</v>
      </c>
      <c r="B18" t="s">
        <v>223</v>
      </c>
      <c r="C18" s="150">
        <v>101</v>
      </c>
      <c r="D18" t="s">
        <v>201</v>
      </c>
      <c r="E18" t="s">
        <v>202</v>
      </c>
      <c r="F18" t="s">
        <v>267</v>
      </c>
      <c r="G18" s="150">
        <v>32874</v>
      </c>
      <c r="H18" s="2">
        <v>350</v>
      </c>
      <c r="I18" s="2">
        <v>31.5</v>
      </c>
      <c r="J18" s="2">
        <v>31.5</v>
      </c>
      <c r="K18" s="2">
        <v>0</v>
      </c>
      <c r="L18" s="2">
        <v>0</v>
      </c>
      <c r="M18" s="2">
        <v>0</v>
      </c>
      <c r="N18" s="2">
        <v>0</v>
      </c>
    </row>
    <row r="19" spans="1:14" x14ac:dyDescent="0.25">
      <c r="A19" s="1" t="s">
        <v>42</v>
      </c>
      <c r="B19" t="s">
        <v>238</v>
      </c>
      <c r="C19" s="150">
        <v>101</v>
      </c>
      <c r="D19" t="s">
        <v>201</v>
      </c>
      <c r="E19" t="s">
        <v>202</v>
      </c>
      <c r="F19" t="s">
        <v>263</v>
      </c>
      <c r="G19" s="150">
        <v>32882</v>
      </c>
      <c r="H19" s="2">
        <v>154592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</row>
    <row r="20" spans="1:14" x14ac:dyDescent="0.25">
      <c r="A20" s="1" t="s">
        <v>42</v>
      </c>
      <c r="B20" t="s">
        <v>224</v>
      </c>
      <c r="C20" s="150">
        <v>101</v>
      </c>
      <c r="D20" t="s">
        <v>201</v>
      </c>
      <c r="E20" t="s">
        <v>202</v>
      </c>
      <c r="F20" t="s">
        <v>269</v>
      </c>
      <c r="G20" s="150">
        <v>32874</v>
      </c>
      <c r="H20" s="2">
        <v>650</v>
      </c>
      <c r="I20" s="2">
        <v>58.5</v>
      </c>
      <c r="J20" s="2">
        <v>58.5</v>
      </c>
      <c r="K20" s="2">
        <v>0</v>
      </c>
      <c r="L20" s="2">
        <v>0</v>
      </c>
      <c r="M20" s="2">
        <v>0</v>
      </c>
      <c r="N20" s="2">
        <v>0</v>
      </c>
    </row>
    <row r="21" spans="1:14" x14ac:dyDescent="0.25">
      <c r="A21" s="1" t="s">
        <v>42</v>
      </c>
      <c r="B21" t="s">
        <v>225</v>
      </c>
      <c r="C21" s="150">
        <v>101</v>
      </c>
      <c r="D21" t="s">
        <v>201</v>
      </c>
      <c r="E21" t="s">
        <v>202</v>
      </c>
      <c r="F21" t="s">
        <v>271</v>
      </c>
      <c r="G21" s="150">
        <v>32874</v>
      </c>
      <c r="H21" s="2">
        <v>1000</v>
      </c>
      <c r="I21" s="2">
        <v>90</v>
      </c>
      <c r="J21" s="2">
        <v>90</v>
      </c>
      <c r="K21" s="2">
        <v>0</v>
      </c>
      <c r="L21" s="2">
        <v>0</v>
      </c>
      <c r="M21" s="2">
        <v>0</v>
      </c>
      <c r="N21" s="2">
        <v>0</v>
      </c>
    </row>
    <row r="22" spans="1:14" x14ac:dyDescent="0.25">
      <c r="A22" s="1" t="s">
        <v>42</v>
      </c>
      <c r="B22" t="s">
        <v>226</v>
      </c>
      <c r="C22" s="150">
        <v>101</v>
      </c>
      <c r="D22" t="s">
        <v>201</v>
      </c>
      <c r="E22" t="s">
        <v>202</v>
      </c>
      <c r="F22" t="s">
        <v>272</v>
      </c>
      <c r="G22" s="150">
        <v>32882</v>
      </c>
      <c r="H22" s="2">
        <v>9000</v>
      </c>
      <c r="I22" s="2">
        <v>810</v>
      </c>
      <c r="J22" s="2">
        <v>810</v>
      </c>
      <c r="K22" s="2">
        <v>0</v>
      </c>
      <c r="L22" s="2">
        <v>0</v>
      </c>
      <c r="M22" s="2">
        <v>0</v>
      </c>
      <c r="N22" s="2">
        <v>0</v>
      </c>
    </row>
    <row r="23" spans="1:14" x14ac:dyDescent="0.25">
      <c r="A23" s="1" t="s">
        <v>42</v>
      </c>
      <c r="B23" t="s">
        <v>239</v>
      </c>
      <c r="C23" s="150">
        <v>101</v>
      </c>
      <c r="D23" t="s">
        <v>201</v>
      </c>
      <c r="E23" t="s">
        <v>202</v>
      </c>
      <c r="F23" t="s">
        <v>274</v>
      </c>
      <c r="G23" s="150">
        <v>32874</v>
      </c>
      <c r="H23" s="2">
        <v>850</v>
      </c>
      <c r="I23" s="2">
        <v>77</v>
      </c>
      <c r="J23" s="2">
        <v>77</v>
      </c>
      <c r="K23" s="2">
        <v>0</v>
      </c>
      <c r="L23" s="2">
        <v>0</v>
      </c>
      <c r="M23" s="2">
        <v>0</v>
      </c>
      <c r="N23" s="2">
        <v>0</v>
      </c>
    </row>
    <row r="24" spans="1:14" x14ac:dyDescent="0.25">
      <c r="A24" s="1" t="s">
        <v>42</v>
      </c>
      <c r="B24" t="s">
        <v>227</v>
      </c>
      <c r="C24" s="150">
        <v>101</v>
      </c>
      <c r="D24" t="s">
        <v>201</v>
      </c>
      <c r="E24" t="s">
        <v>202</v>
      </c>
      <c r="F24" t="s">
        <v>276</v>
      </c>
      <c r="G24" s="150">
        <v>32874</v>
      </c>
      <c r="H24" s="2">
        <v>1564</v>
      </c>
      <c r="I24" s="2">
        <v>141</v>
      </c>
      <c r="J24" s="2">
        <v>141</v>
      </c>
      <c r="K24" s="2">
        <v>0</v>
      </c>
      <c r="L24" s="2">
        <v>0</v>
      </c>
      <c r="M24" s="2">
        <v>0</v>
      </c>
      <c r="N24" s="2">
        <v>0</v>
      </c>
    </row>
    <row r="25" spans="1:14" x14ac:dyDescent="0.25">
      <c r="A25" s="1" t="s">
        <v>42</v>
      </c>
      <c r="B25" t="s">
        <v>228</v>
      </c>
      <c r="C25" s="150">
        <v>101</v>
      </c>
      <c r="D25" t="s">
        <v>201</v>
      </c>
      <c r="E25" t="s">
        <v>202</v>
      </c>
      <c r="F25" t="s">
        <v>277</v>
      </c>
      <c r="G25" s="150">
        <v>32878</v>
      </c>
      <c r="H25" s="2">
        <v>3780</v>
      </c>
      <c r="I25" s="2">
        <v>263</v>
      </c>
      <c r="J25" s="2">
        <v>263</v>
      </c>
      <c r="K25" s="2">
        <v>0</v>
      </c>
      <c r="L25" s="2">
        <v>0</v>
      </c>
      <c r="M25" s="2">
        <v>0</v>
      </c>
      <c r="N25" s="2">
        <v>0</v>
      </c>
    </row>
    <row r="26" spans="1:14" x14ac:dyDescent="0.25">
      <c r="A26" s="1" t="s">
        <v>42</v>
      </c>
      <c r="B26" t="s">
        <v>229</v>
      </c>
      <c r="C26" s="150">
        <v>101</v>
      </c>
      <c r="D26" t="s">
        <v>201</v>
      </c>
      <c r="E26" t="s">
        <v>202</v>
      </c>
      <c r="F26" t="s">
        <v>278</v>
      </c>
      <c r="G26" s="150">
        <v>32878</v>
      </c>
      <c r="H26" s="2">
        <v>45600</v>
      </c>
      <c r="I26" s="2">
        <v>2246</v>
      </c>
      <c r="J26" s="2">
        <v>2246</v>
      </c>
      <c r="K26" s="2">
        <v>0</v>
      </c>
      <c r="L26" s="2">
        <v>0</v>
      </c>
      <c r="M26" s="2">
        <v>0</v>
      </c>
      <c r="N26" s="2">
        <v>0</v>
      </c>
    </row>
    <row r="27" spans="1:14" x14ac:dyDescent="0.25">
      <c r="A27" s="1" t="s">
        <v>42</v>
      </c>
      <c r="B27" t="s">
        <v>230</v>
      </c>
      <c r="C27" s="150">
        <v>101</v>
      </c>
      <c r="D27" t="s">
        <v>201</v>
      </c>
      <c r="E27" t="s">
        <v>202</v>
      </c>
      <c r="F27" t="s">
        <v>279</v>
      </c>
      <c r="G27" s="150">
        <v>32878</v>
      </c>
      <c r="H27" s="2">
        <v>1400</v>
      </c>
      <c r="I27" s="2">
        <v>35</v>
      </c>
      <c r="J27" s="2">
        <v>35</v>
      </c>
      <c r="K27" s="2">
        <v>0</v>
      </c>
      <c r="L27" s="2">
        <v>0</v>
      </c>
      <c r="M27" s="2">
        <v>0</v>
      </c>
      <c r="N27" s="2">
        <v>0</v>
      </c>
    </row>
    <row r="28" spans="1:14" x14ac:dyDescent="0.25">
      <c r="A28" s="1" t="s">
        <v>42</v>
      </c>
      <c r="B28" t="s">
        <v>231</v>
      </c>
      <c r="C28" s="150">
        <v>101</v>
      </c>
      <c r="D28" t="s">
        <v>201</v>
      </c>
      <c r="E28" t="s">
        <v>202</v>
      </c>
      <c r="F28" t="s">
        <v>280</v>
      </c>
      <c r="G28" s="150">
        <v>32882</v>
      </c>
      <c r="H28" s="2">
        <v>3516.8</v>
      </c>
      <c r="I28" s="2">
        <v>316.51</v>
      </c>
      <c r="J28" s="2">
        <v>316.51</v>
      </c>
      <c r="K28" s="2">
        <v>0</v>
      </c>
      <c r="L28" s="2">
        <v>0</v>
      </c>
      <c r="M28" s="2">
        <v>0</v>
      </c>
      <c r="N28" s="2">
        <v>0</v>
      </c>
    </row>
    <row r="29" spans="1:14" x14ac:dyDescent="0.25">
      <c r="A29" s="1" t="s">
        <v>42</v>
      </c>
      <c r="B29" t="s">
        <v>232</v>
      </c>
      <c r="C29" s="150">
        <v>106</v>
      </c>
      <c r="D29" t="s">
        <v>201</v>
      </c>
      <c r="E29" t="s">
        <v>202</v>
      </c>
      <c r="F29" t="s">
        <v>282</v>
      </c>
      <c r="G29" s="150">
        <v>32887</v>
      </c>
      <c r="H29" s="2">
        <v>2450</v>
      </c>
      <c r="I29" s="2">
        <v>221</v>
      </c>
      <c r="J29" s="2">
        <v>221</v>
      </c>
      <c r="K29" s="2">
        <v>0</v>
      </c>
      <c r="L29" s="2">
        <v>0</v>
      </c>
      <c r="M29" s="2">
        <v>0</v>
      </c>
      <c r="N29" s="2">
        <v>0</v>
      </c>
    </row>
    <row r="30" spans="1:14" x14ac:dyDescent="0.25">
      <c r="A30" s="1" t="s">
        <v>42</v>
      </c>
      <c r="B30" t="s">
        <v>233</v>
      </c>
      <c r="C30" s="150">
        <v>106</v>
      </c>
      <c r="D30" t="s">
        <v>201</v>
      </c>
      <c r="E30" t="s">
        <v>202</v>
      </c>
      <c r="F30" t="s">
        <v>283</v>
      </c>
      <c r="G30" s="150">
        <v>32888</v>
      </c>
      <c r="H30" s="2">
        <v>2116</v>
      </c>
      <c r="I30" s="2">
        <v>190.44</v>
      </c>
      <c r="J30" s="2">
        <v>190.44</v>
      </c>
      <c r="K30" s="2">
        <v>0</v>
      </c>
      <c r="L30" s="2">
        <v>0</v>
      </c>
      <c r="M30" s="2">
        <v>0</v>
      </c>
      <c r="N30" s="2">
        <v>0</v>
      </c>
    </row>
    <row r="31" spans="1:14" x14ac:dyDescent="0.25">
      <c r="A31" s="1" t="s">
        <v>42</v>
      </c>
      <c r="B31" t="s">
        <v>234</v>
      </c>
      <c r="C31" s="150">
        <v>106</v>
      </c>
      <c r="D31" t="s">
        <v>201</v>
      </c>
      <c r="E31" t="s">
        <v>202</v>
      </c>
      <c r="F31" t="s">
        <v>284</v>
      </c>
      <c r="G31" s="150">
        <v>32887</v>
      </c>
      <c r="H31" s="2">
        <v>11170.8</v>
      </c>
      <c r="I31" s="2">
        <v>1005</v>
      </c>
      <c r="J31" s="2">
        <v>1005</v>
      </c>
      <c r="K31" s="2">
        <v>0</v>
      </c>
      <c r="L31" s="2">
        <v>0</v>
      </c>
      <c r="M31" s="2">
        <v>0</v>
      </c>
      <c r="N31" s="2">
        <v>0</v>
      </c>
    </row>
    <row r="32" spans="1:14" x14ac:dyDescent="0.25">
      <c r="A32" s="1" t="s">
        <v>42</v>
      </c>
      <c r="B32" t="s">
        <v>240</v>
      </c>
      <c r="C32" s="150">
        <v>106</v>
      </c>
      <c r="D32" t="s">
        <v>201</v>
      </c>
      <c r="E32" t="s">
        <v>202</v>
      </c>
      <c r="F32" t="s">
        <v>285</v>
      </c>
      <c r="G32" s="150">
        <v>32887</v>
      </c>
      <c r="H32" s="2">
        <v>6719.3</v>
      </c>
      <c r="I32" s="2">
        <v>605</v>
      </c>
      <c r="J32" s="2">
        <v>605</v>
      </c>
      <c r="K32" s="2">
        <v>0</v>
      </c>
      <c r="L32" s="2">
        <v>0</v>
      </c>
      <c r="M32" s="2">
        <v>0</v>
      </c>
      <c r="N32" s="2">
        <v>0</v>
      </c>
    </row>
    <row r="33" spans="1:14" x14ac:dyDescent="0.25">
      <c r="A33" s="1" t="s">
        <v>42</v>
      </c>
      <c r="B33" t="s">
        <v>235</v>
      </c>
      <c r="C33" s="150">
        <v>117</v>
      </c>
      <c r="D33" t="s">
        <v>201</v>
      </c>
      <c r="E33" t="s">
        <v>202</v>
      </c>
      <c r="F33" t="s">
        <v>286</v>
      </c>
      <c r="G33" s="150">
        <v>32888</v>
      </c>
      <c r="H33" s="2">
        <v>5062.8</v>
      </c>
      <c r="I33" s="2">
        <v>455.65</v>
      </c>
      <c r="J33" s="2">
        <v>455.65</v>
      </c>
      <c r="K33" s="2">
        <v>0</v>
      </c>
      <c r="L33" s="2">
        <v>0</v>
      </c>
      <c r="M33" s="2">
        <v>0</v>
      </c>
      <c r="N33" s="2">
        <v>0</v>
      </c>
    </row>
    <row r="34" spans="1:14" x14ac:dyDescent="0.25">
      <c r="A34" s="1" t="s">
        <v>42</v>
      </c>
      <c r="B34" t="s">
        <v>287</v>
      </c>
      <c r="C34" s="150">
        <v>106</v>
      </c>
      <c r="D34" t="s">
        <v>201</v>
      </c>
      <c r="E34" t="s">
        <v>202</v>
      </c>
      <c r="F34" t="s">
        <v>288</v>
      </c>
      <c r="G34" s="150">
        <v>32882</v>
      </c>
      <c r="H34" s="2">
        <v>3300</v>
      </c>
      <c r="I34" s="2">
        <v>297</v>
      </c>
      <c r="J34" s="2">
        <v>297</v>
      </c>
      <c r="K34" s="2">
        <v>0</v>
      </c>
      <c r="L34" s="2">
        <v>0</v>
      </c>
      <c r="M34" s="2">
        <v>0</v>
      </c>
      <c r="N34" s="2">
        <v>0</v>
      </c>
    </row>
    <row r="35" spans="1:14" x14ac:dyDescent="0.25">
      <c r="A35" s="1" t="s">
        <v>42</v>
      </c>
      <c r="B35" t="s">
        <v>237</v>
      </c>
      <c r="C35" s="150">
        <v>106</v>
      </c>
      <c r="D35" t="s">
        <v>201</v>
      </c>
      <c r="E35" t="s">
        <v>202</v>
      </c>
      <c r="F35" t="s">
        <v>289</v>
      </c>
      <c r="G35" s="150">
        <v>32884</v>
      </c>
      <c r="H35" s="2">
        <v>3100</v>
      </c>
      <c r="I35" s="2">
        <v>0</v>
      </c>
      <c r="J35" s="2">
        <v>0</v>
      </c>
      <c r="K35" s="2">
        <v>558</v>
      </c>
      <c r="L35" s="2">
        <v>0</v>
      </c>
      <c r="M35" s="2">
        <v>0</v>
      </c>
      <c r="N35" s="2">
        <v>0</v>
      </c>
    </row>
    <row r="36" spans="1:14" x14ac:dyDescent="0.25">
      <c r="A36" s="1" t="s">
        <v>42</v>
      </c>
      <c r="B36" t="s">
        <v>291</v>
      </c>
      <c r="C36" s="150">
        <v>106</v>
      </c>
      <c r="D36" t="s">
        <v>201</v>
      </c>
      <c r="E36" t="s">
        <v>202</v>
      </c>
      <c r="F36" t="s">
        <v>292</v>
      </c>
      <c r="G36" s="150">
        <v>32888</v>
      </c>
      <c r="H36" s="2">
        <v>3034.88</v>
      </c>
      <c r="I36" s="2">
        <v>273.14</v>
      </c>
      <c r="J36" s="2">
        <v>273.14</v>
      </c>
      <c r="K36" s="2">
        <v>0</v>
      </c>
      <c r="L36" s="2">
        <v>0</v>
      </c>
      <c r="M36" s="2">
        <v>0</v>
      </c>
      <c r="N36" s="2">
        <v>0</v>
      </c>
    </row>
    <row r="37" spans="1:14" x14ac:dyDescent="0.25">
      <c r="A37" s="1" t="s">
        <v>42</v>
      </c>
      <c r="B37" t="s">
        <v>241</v>
      </c>
      <c r="C37" s="150">
        <v>106</v>
      </c>
      <c r="D37" t="s">
        <v>201</v>
      </c>
      <c r="E37" t="s">
        <v>202</v>
      </c>
      <c r="F37" t="s">
        <v>293</v>
      </c>
      <c r="G37" s="150">
        <v>32887</v>
      </c>
      <c r="H37" s="2">
        <v>580</v>
      </c>
      <c r="I37" s="2">
        <v>52.2</v>
      </c>
      <c r="J37" s="2">
        <v>52.2</v>
      </c>
      <c r="K37" s="2">
        <v>0</v>
      </c>
      <c r="L37" s="2">
        <v>0</v>
      </c>
      <c r="M37" s="2">
        <v>0</v>
      </c>
      <c r="N37" s="2">
        <v>0</v>
      </c>
    </row>
    <row r="38" spans="1:14" x14ac:dyDescent="0.25">
      <c r="A38" s="1" t="s">
        <v>42</v>
      </c>
      <c r="B38" t="s">
        <v>294</v>
      </c>
      <c r="C38" s="150">
        <v>106</v>
      </c>
      <c r="D38" t="s">
        <v>201</v>
      </c>
      <c r="E38" t="s">
        <v>202</v>
      </c>
      <c r="F38" t="s">
        <v>295</v>
      </c>
      <c r="G38" s="150">
        <v>32884</v>
      </c>
      <c r="H38" s="2">
        <v>7610</v>
      </c>
      <c r="I38" s="2">
        <v>684.9</v>
      </c>
      <c r="J38" s="2">
        <v>684.9</v>
      </c>
      <c r="K38" s="2">
        <v>0</v>
      </c>
      <c r="L38" s="2">
        <v>0</v>
      </c>
      <c r="M38" s="2">
        <v>0</v>
      </c>
      <c r="N38" s="2">
        <v>0</v>
      </c>
    </row>
    <row r="39" spans="1:14" x14ac:dyDescent="0.25">
      <c r="A39" s="1" t="s">
        <v>42</v>
      </c>
      <c r="B39" t="s">
        <v>297</v>
      </c>
      <c r="C39" s="150">
        <v>106</v>
      </c>
      <c r="D39" t="s">
        <v>201</v>
      </c>
      <c r="E39" t="s">
        <v>202</v>
      </c>
      <c r="F39" t="s">
        <v>298</v>
      </c>
      <c r="G39" s="150">
        <v>32885</v>
      </c>
      <c r="H39" s="2">
        <v>23925</v>
      </c>
      <c r="I39" s="2">
        <v>2153.25</v>
      </c>
      <c r="J39" s="2">
        <v>2153.25</v>
      </c>
      <c r="K39" s="2">
        <v>0</v>
      </c>
      <c r="L39" s="2">
        <v>0</v>
      </c>
      <c r="M39" s="2">
        <v>0</v>
      </c>
      <c r="N39" s="2">
        <v>0</v>
      </c>
    </row>
    <row r="40" spans="1:14" x14ac:dyDescent="0.25">
      <c r="A40" s="1" t="s">
        <v>42</v>
      </c>
      <c r="B40" t="s">
        <v>299</v>
      </c>
      <c r="C40" s="150">
        <v>106</v>
      </c>
      <c r="D40" t="s">
        <v>201</v>
      </c>
      <c r="E40" t="s">
        <v>202</v>
      </c>
      <c r="F40" t="s">
        <v>300</v>
      </c>
      <c r="G40" s="150">
        <v>32884</v>
      </c>
      <c r="H40" s="2">
        <v>693</v>
      </c>
      <c r="I40" s="2">
        <v>62.37</v>
      </c>
      <c r="J40" s="2">
        <v>62.37</v>
      </c>
      <c r="K40" s="2">
        <v>0</v>
      </c>
      <c r="L40" s="2">
        <v>0</v>
      </c>
      <c r="M40" s="2">
        <v>0</v>
      </c>
      <c r="N40" s="2">
        <v>0</v>
      </c>
    </row>
    <row r="41" spans="1:14" x14ac:dyDescent="0.25">
      <c r="A41" s="1" t="s">
        <v>42</v>
      </c>
      <c r="B41" t="s">
        <v>301</v>
      </c>
      <c r="C41" s="150">
        <v>106</v>
      </c>
      <c r="D41" t="s">
        <v>201</v>
      </c>
      <c r="E41" t="s">
        <v>202</v>
      </c>
      <c r="F41" t="s">
        <v>302</v>
      </c>
      <c r="G41" s="150">
        <v>32884</v>
      </c>
      <c r="H41" s="2">
        <v>1080</v>
      </c>
      <c r="I41" s="2">
        <v>97.2</v>
      </c>
      <c r="J41" s="2">
        <v>97.2</v>
      </c>
      <c r="K41" s="2">
        <v>0</v>
      </c>
      <c r="L41" s="2">
        <v>0</v>
      </c>
      <c r="M41" s="2">
        <v>0</v>
      </c>
      <c r="N41" s="2">
        <v>0</v>
      </c>
    </row>
    <row r="42" spans="1:14" x14ac:dyDescent="0.25">
      <c r="A42" s="1" t="s">
        <v>42</v>
      </c>
      <c r="B42" t="s">
        <v>205</v>
      </c>
      <c r="C42" s="150">
        <v>117</v>
      </c>
      <c r="D42" t="s">
        <v>201</v>
      </c>
      <c r="E42" t="s">
        <v>202</v>
      </c>
      <c r="F42" t="s">
        <v>303</v>
      </c>
      <c r="G42" s="150">
        <v>32884</v>
      </c>
      <c r="H42" s="2">
        <v>6730</v>
      </c>
      <c r="I42" s="2">
        <v>605.70000000000005</v>
      </c>
      <c r="J42" s="2">
        <v>605.70000000000005</v>
      </c>
      <c r="K42" s="2">
        <v>0</v>
      </c>
      <c r="L42" s="2">
        <v>0</v>
      </c>
      <c r="M42" s="2">
        <v>0</v>
      </c>
      <c r="N42" s="2">
        <v>0</v>
      </c>
    </row>
    <row r="43" spans="1:14" x14ac:dyDescent="0.25">
      <c r="A43" s="1" t="s">
        <v>42</v>
      </c>
      <c r="B43" t="s">
        <v>305</v>
      </c>
      <c r="C43" s="150">
        <v>106</v>
      </c>
      <c r="D43" t="s">
        <v>201</v>
      </c>
      <c r="E43" t="s">
        <v>202</v>
      </c>
      <c r="F43" t="s">
        <v>306</v>
      </c>
      <c r="G43" s="150">
        <v>32884</v>
      </c>
      <c r="H43" s="2">
        <v>1780</v>
      </c>
      <c r="I43" s="2">
        <v>160.19999999999999</v>
      </c>
      <c r="J43" s="2">
        <v>160.19999999999999</v>
      </c>
      <c r="K43" s="2">
        <v>0</v>
      </c>
      <c r="L43" s="2">
        <v>0</v>
      </c>
      <c r="M43" s="2">
        <v>0</v>
      </c>
      <c r="N43" s="2">
        <v>0</v>
      </c>
    </row>
    <row r="44" spans="1:14" x14ac:dyDescent="0.25">
      <c r="A44" s="1" t="s">
        <v>42</v>
      </c>
      <c r="B44" t="s">
        <v>307</v>
      </c>
      <c r="C44" s="150">
        <v>106</v>
      </c>
      <c r="D44" t="s">
        <v>201</v>
      </c>
      <c r="E44" t="s">
        <v>202</v>
      </c>
      <c r="F44" t="s">
        <v>308</v>
      </c>
      <c r="G44" s="150">
        <v>32884</v>
      </c>
      <c r="H44" s="2">
        <v>2834</v>
      </c>
      <c r="I44" s="2">
        <v>243</v>
      </c>
      <c r="J44" s="2">
        <v>243</v>
      </c>
      <c r="K44" s="2">
        <v>0</v>
      </c>
      <c r="L44" s="2">
        <v>0</v>
      </c>
      <c r="M44" s="2">
        <v>0</v>
      </c>
      <c r="N44" s="2">
        <v>0</v>
      </c>
    </row>
    <row r="45" spans="1:14" x14ac:dyDescent="0.25">
      <c r="A45" s="1" t="s">
        <v>42</v>
      </c>
      <c r="B45" t="s">
        <v>309</v>
      </c>
      <c r="C45" s="150">
        <v>106</v>
      </c>
      <c r="D45" t="s">
        <v>201</v>
      </c>
      <c r="E45" t="s">
        <v>202</v>
      </c>
      <c r="F45" t="s">
        <v>310</v>
      </c>
      <c r="G45" s="150">
        <v>32882</v>
      </c>
      <c r="H45" s="2">
        <v>1090</v>
      </c>
      <c r="I45" s="2">
        <v>99</v>
      </c>
      <c r="J45" s="2">
        <v>99</v>
      </c>
      <c r="K45" s="2">
        <v>0</v>
      </c>
      <c r="L45" s="2">
        <v>0</v>
      </c>
      <c r="M45" s="2">
        <v>0</v>
      </c>
      <c r="N45" s="2">
        <v>0</v>
      </c>
    </row>
    <row r="46" spans="1:14" x14ac:dyDescent="0.25">
      <c r="A46" s="1" t="s">
        <v>42</v>
      </c>
      <c r="B46" t="s">
        <v>311</v>
      </c>
      <c r="C46" s="150">
        <v>106</v>
      </c>
      <c r="D46" t="s">
        <v>201</v>
      </c>
      <c r="E46" t="s">
        <v>202</v>
      </c>
      <c r="F46" t="s">
        <v>312</v>
      </c>
      <c r="G46" s="150">
        <v>32882</v>
      </c>
      <c r="H46" s="2">
        <v>8662</v>
      </c>
      <c r="I46" s="2">
        <v>761</v>
      </c>
      <c r="J46" s="2">
        <v>761</v>
      </c>
      <c r="K46" s="2">
        <v>0</v>
      </c>
      <c r="L46" s="2">
        <v>0</v>
      </c>
      <c r="M46" s="2">
        <v>0</v>
      </c>
      <c r="N46" s="2">
        <v>0</v>
      </c>
    </row>
    <row r="47" spans="1:14" x14ac:dyDescent="0.25">
      <c r="A47" s="1" t="s">
        <v>42</v>
      </c>
      <c r="B47" t="s">
        <v>313</v>
      </c>
      <c r="C47" s="150">
        <v>106</v>
      </c>
      <c r="D47" t="s">
        <v>201</v>
      </c>
      <c r="E47" t="s">
        <v>202</v>
      </c>
      <c r="F47" t="s">
        <v>314</v>
      </c>
      <c r="G47" s="150">
        <v>32874</v>
      </c>
      <c r="H47" s="2">
        <v>1200</v>
      </c>
      <c r="I47" s="2">
        <v>108</v>
      </c>
      <c r="J47" s="2">
        <v>108</v>
      </c>
      <c r="K47" s="2">
        <v>0</v>
      </c>
      <c r="L47" s="2">
        <v>0</v>
      </c>
      <c r="M47" s="2">
        <v>0</v>
      </c>
      <c r="N47" s="2">
        <v>0</v>
      </c>
    </row>
    <row r="48" spans="1:14" x14ac:dyDescent="0.25">
      <c r="A48" s="1" t="s">
        <v>42</v>
      </c>
      <c r="B48" t="s">
        <v>315</v>
      </c>
      <c r="C48" s="150">
        <v>106</v>
      </c>
      <c r="D48" t="s">
        <v>201</v>
      </c>
      <c r="E48" t="s">
        <v>202</v>
      </c>
      <c r="F48" t="s">
        <v>316</v>
      </c>
      <c r="G48" s="150">
        <v>32885</v>
      </c>
      <c r="H48" s="2">
        <v>4560</v>
      </c>
      <c r="I48" s="2">
        <v>410.4</v>
      </c>
      <c r="J48" s="2">
        <v>410.4</v>
      </c>
      <c r="K48" s="2">
        <v>0</v>
      </c>
      <c r="L48" s="2">
        <v>0</v>
      </c>
      <c r="M48" s="2">
        <v>0</v>
      </c>
      <c r="N48" s="2">
        <v>0</v>
      </c>
    </row>
    <row r="49" spans="1:14" x14ac:dyDescent="0.25">
      <c r="A49" s="1" t="s">
        <v>42</v>
      </c>
      <c r="B49" t="s">
        <v>318</v>
      </c>
      <c r="C49" s="150">
        <v>106</v>
      </c>
      <c r="D49" t="s">
        <v>201</v>
      </c>
      <c r="E49" t="s">
        <v>202</v>
      </c>
      <c r="F49" t="s">
        <v>319</v>
      </c>
      <c r="G49" s="150">
        <v>32886</v>
      </c>
      <c r="H49" s="2">
        <v>154592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</row>
    <row r="50" spans="1:14" x14ac:dyDescent="0.25">
      <c r="A50" s="1" t="s">
        <v>42</v>
      </c>
      <c r="B50" t="s">
        <v>320</v>
      </c>
      <c r="C50" s="150">
        <v>106</v>
      </c>
      <c r="D50" t="s">
        <v>201</v>
      </c>
      <c r="E50" t="s">
        <v>202</v>
      </c>
      <c r="F50" t="s">
        <v>321</v>
      </c>
      <c r="G50" s="150">
        <v>32874</v>
      </c>
      <c r="H50" s="2">
        <v>760</v>
      </c>
      <c r="I50" s="2">
        <v>68.400000000000006</v>
      </c>
      <c r="J50" s="2">
        <v>68.400000000000006</v>
      </c>
      <c r="K50" s="2">
        <v>0</v>
      </c>
      <c r="L50" s="2">
        <v>0</v>
      </c>
      <c r="M50" s="2">
        <v>0</v>
      </c>
      <c r="N50" s="2">
        <v>0</v>
      </c>
    </row>
    <row r="51" spans="1:14" x14ac:dyDescent="0.25">
      <c r="A51" s="1" t="s">
        <v>42</v>
      </c>
      <c r="B51" t="s">
        <v>322</v>
      </c>
      <c r="C51" s="150">
        <v>106</v>
      </c>
      <c r="D51" t="s">
        <v>201</v>
      </c>
      <c r="E51" t="s">
        <v>202</v>
      </c>
      <c r="F51" t="s">
        <v>323</v>
      </c>
      <c r="G51" s="150">
        <v>32878</v>
      </c>
      <c r="H51" s="2">
        <v>1669.5</v>
      </c>
      <c r="I51" s="2">
        <v>150.26</v>
      </c>
      <c r="J51" s="2">
        <v>150.26</v>
      </c>
      <c r="K51" s="2">
        <v>0</v>
      </c>
      <c r="L51" s="2">
        <v>0</v>
      </c>
      <c r="M51" s="2">
        <v>0</v>
      </c>
      <c r="N51" s="2">
        <v>0</v>
      </c>
    </row>
    <row r="52" spans="1:14" x14ac:dyDescent="0.25">
      <c r="A52" s="1" t="s">
        <v>42</v>
      </c>
      <c r="B52" t="s">
        <v>324</v>
      </c>
      <c r="C52" s="150">
        <v>106</v>
      </c>
      <c r="D52" t="s">
        <v>201</v>
      </c>
      <c r="E52" t="s">
        <v>202</v>
      </c>
      <c r="F52" t="s">
        <v>310</v>
      </c>
      <c r="G52" s="150">
        <v>32878</v>
      </c>
      <c r="H52" s="2">
        <v>1960</v>
      </c>
      <c r="I52" s="2">
        <v>176.4</v>
      </c>
      <c r="J52" s="2">
        <v>176.4</v>
      </c>
      <c r="K52" s="2">
        <v>0</v>
      </c>
      <c r="L52" s="2">
        <v>0</v>
      </c>
      <c r="M52" s="2">
        <v>0</v>
      </c>
      <c r="N52" s="2">
        <v>0</v>
      </c>
    </row>
    <row r="53" spans="1:14" x14ac:dyDescent="0.25">
      <c r="A53" s="1" t="s">
        <v>42</v>
      </c>
      <c r="B53" t="s">
        <v>325</v>
      </c>
      <c r="C53" s="150">
        <v>106</v>
      </c>
      <c r="D53" t="s">
        <v>201</v>
      </c>
      <c r="E53" t="s">
        <v>202</v>
      </c>
      <c r="F53" t="s">
        <v>326</v>
      </c>
      <c r="G53" s="150">
        <v>32879</v>
      </c>
      <c r="H53" s="2">
        <v>3100</v>
      </c>
      <c r="I53" s="2">
        <v>279</v>
      </c>
      <c r="J53" s="2">
        <v>279</v>
      </c>
      <c r="K53" s="2">
        <v>0</v>
      </c>
      <c r="L53" s="2">
        <v>0</v>
      </c>
      <c r="M53" s="2">
        <v>0</v>
      </c>
      <c r="N53" s="2">
        <v>0</v>
      </c>
    </row>
    <row r="54" spans="1:14" x14ac:dyDescent="0.25">
      <c r="A54" s="1" t="s">
        <v>42</v>
      </c>
      <c r="B54" t="s">
        <v>327</v>
      </c>
      <c r="C54" s="150">
        <v>106</v>
      </c>
      <c r="D54" t="s">
        <v>201</v>
      </c>
      <c r="E54" t="s">
        <v>202</v>
      </c>
      <c r="F54" t="s">
        <v>328</v>
      </c>
      <c r="G54" s="150">
        <v>32875</v>
      </c>
      <c r="H54" s="2">
        <v>4250.29</v>
      </c>
      <c r="I54" s="2">
        <v>441</v>
      </c>
      <c r="J54" s="2">
        <v>441</v>
      </c>
      <c r="K54" s="2">
        <v>0</v>
      </c>
      <c r="L54" s="2">
        <v>0</v>
      </c>
      <c r="M54" s="2">
        <v>0</v>
      </c>
      <c r="N54" s="2">
        <v>0</v>
      </c>
    </row>
    <row r="55" spans="1:14" x14ac:dyDescent="0.25">
      <c r="A55" s="1" t="s">
        <v>42</v>
      </c>
      <c r="B55" t="s">
        <v>330</v>
      </c>
      <c r="C55" s="150">
        <v>106</v>
      </c>
      <c r="D55" t="s">
        <v>201</v>
      </c>
      <c r="E55" t="s">
        <v>202</v>
      </c>
      <c r="F55" t="s">
        <v>331</v>
      </c>
      <c r="G55" s="150">
        <v>32880</v>
      </c>
      <c r="H55" s="2">
        <v>1350</v>
      </c>
      <c r="I55" s="2">
        <v>121.5</v>
      </c>
      <c r="J55" s="2">
        <v>121.5</v>
      </c>
      <c r="K55" s="2">
        <v>0</v>
      </c>
      <c r="L55" s="2">
        <v>0</v>
      </c>
      <c r="M55" s="2">
        <v>0</v>
      </c>
      <c r="N55" s="2">
        <v>0</v>
      </c>
    </row>
    <row r="56" spans="1:14" x14ac:dyDescent="0.25">
      <c r="A56" s="1" t="s">
        <v>42</v>
      </c>
      <c r="B56" t="s">
        <v>332</v>
      </c>
      <c r="C56" s="150">
        <v>106</v>
      </c>
      <c r="D56" t="s">
        <v>201</v>
      </c>
      <c r="E56" t="s">
        <v>202</v>
      </c>
      <c r="F56" t="s">
        <v>333</v>
      </c>
      <c r="G56" s="150">
        <v>32874</v>
      </c>
      <c r="H56" s="2">
        <v>3000</v>
      </c>
      <c r="I56" s="2">
        <v>180</v>
      </c>
      <c r="J56" s="2">
        <v>180</v>
      </c>
      <c r="K56" s="2">
        <v>0</v>
      </c>
      <c r="L56" s="2">
        <v>0</v>
      </c>
      <c r="M56" s="2">
        <v>0</v>
      </c>
      <c r="N56" s="2">
        <v>0</v>
      </c>
    </row>
    <row r="57" spans="1:14" x14ac:dyDescent="0.25">
      <c r="A57" s="1" t="s">
        <v>42</v>
      </c>
      <c r="B57" t="s">
        <v>335</v>
      </c>
      <c r="C57" s="150">
        <v>106</v>
      </c>
      <c r="D57" t="s">
        <v>201</v>
      </c>
      <c r="E57" t="s">
        <v>202</v>
      </c>
      <c r="F57" t="s">
        <v>336</v>
      </c>
      <c r="G57" s="150">
        <v>32881</v>
      </c>
      <c r="H57" s="2">
        <v>1450</v>
      </c>
      <c r="I57" s="2">
        <v>130.5</v>
      </c>
      <c r="J57" s="2">
        <v>130.5</v>
      </c>
      <c r="K57" s="2">
        <v>0</v>
      </c>
      <c r="L57" s="2">
        <v>0</v>
      </c>
      <c r="M57" s="2">
        <v>0</v>
      </c>
      <c r="N57" s="2">
        <v>0</v>
      </c>
    </row>
    <row r="58" spans="1:14" x14ac:dyDescent="0.25">
      <c r="A58" s="1" t="s">
        <v>42</v>
      </c>
      <c r="B58" t="s">
        <v>338</v>
      </c>
      <c r="C58" s="150">
        <v>116</v>
      </c>
      <c r="D58" t="s">
        <v>201</v>
      </c>
      <c r="E58" t="s">
        <v>202</v>
      </c>
      <c r="F58" t="s">
        <v>339</v>
      </c>
      <c r="G58" s="150">
        <v>32887</v>
      </c>
      <c r="H58" s="2">
        <v>1050</v>
      </c>
      <c r="I58" s="2">
        <v>94.5</v>
      </c>
      <c r="J58" s="2">
        <v>94.5</v>
      </c>
      <c r="K58" s="2">
        <v>0</v>
      </c>
      <c r="L58" s="2">
        <v>0</v>
      </c>
      <c r="M58" s="2">
        <v>0</v>
      </c>
      <c r="N58" s="2">
        <v>0</v>
      </c>
    </row>
    <row r="59" spans="1:14" x14ac:dyDescent="0.25">
      <c r="A59" s="1" t="s">
        <v>42</v>
      </c>
      <c r="B59" t="s">
        <v>340</v>
      </c>
      <c r="C59" s="150">
        <v>116</v>
      </c>
      <c r="D59" t="s">
        <v>201</v>
      </c>
      <c r="E59" t="s">
        <v>202</v>
      </c>
      <c r="F59" t="s">
        <v>341</v>
      </c>
      <c r="G59" s="150">
        <v>32889</v>
      </c>
      <c r="H59" s="2">
        <v>154592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</row>
    <row r="60" spans="1:14" x14ac:dyDescent="0.25">
      <c r="A60" s="1" t="s">
        <v>42</v>
      </c>
      <c r="B60" t="s">
        <v>342</v>
      </c>
      <c r="C60" s="150">
        <v>116</v>
      </c>
      <c r="D60" t="s">
        <v>201</v>
      </c>
      <c r="E60" t="s">
        <v>202</v>
      </c>
      <c r="F60" t="s">
        <v>343</v>
      </c>
      <c r="G60" s="150">
        <v>32889</v>
      </c>
      <c r="H60" s="2">
        <v>1150</v>
      </c>
      <c r="I60" s="2">
        <v>103.5</v>
      </c>
      <c r="J60" s="2">
        <v>103.5</v>
      </c>
      <c r="K60" s="2">
        <v>0</v>
      </c>
      <c r="L60" s="2">
        <v>0</v>
      </c>
      <c r="M60" s="2">
        <v>0</v>
      </c>
      <c r="N60" s="2">
        <v>0</v>
      </c>
    </row>
    <row r="61" spans="1:14" x14ac:dyDescent="0.25">
      <c r="A61" s="1" t="s">
        <v>42</v>
      </c>
      <c r="B61" t="s">
        <v>344</v>
      </c>
      <c r="C61" s="150">
        <v>116</v>
      </c>
      <c r="D61" t="s">
        <v>201</v>
      </c>
      <c r="E61" t="s">
        <v>202</v>
      </c>
      <c r="F61" t="s">
        <v>345</v>
      </c>
      <c r="G61" s="150">
        <v>32889</v>
      </c>
      <c r="H61" s="2">
        <v>1200</v>
      </c>
      <c r="I61" s="2">
        <v>30</v>
      </c>
      <c r="J61" s="2">
        <v>30</v>
      </c>
      <c r="K61" s="2">
        <v>0</v>
      </c>
      <c r="L61" s="2">
        <v>0</v>
      </c>
      <c r="M61" s="2">
        <v>0</v>
      </c>
      <c r="N61" s="2">
        <v>0</v>
      </c>
    </row>
    <row r="62" spans="1:14" x14ac:dyDescent="0.25">
      <c r="A62" s="1" t="s">
        <v>42</v>
      </c>
      <c r="B62" t="s">
        <v>346</v>
      </c>
      <c r="C62" s="150">
        <v>116</v>
      </c>
      <c r="D62" t="s">
        <v>201</v>
      </c>
      <c r="E62" t="s">
        <v>202</v>
      </c>
      <c r="F62" t="s">
        <v>347</v>
      </c>
      <c r="G62" s="150">
        <v>32887</v>
      </c>
      <c r="H62" s="2">
        <v>1137.5</v>
      </c>
      <c r="I62" s="2">
        <v>102.38</v>
      </c>
      <c r="J62" s="2">
        <v>102.38</v>
      </c>
      <c r="K62" s="2">
        <v>0</v>
      </c>
      <c r="L62" s="2">
        <v>0</v>
      </c>
      <c r="M62" s="2">
        <v>0</v>
      </c>
      <c r="N62" s="2">
        <v>0</v>
      </c>
    </row>
    <row r="63" spans="1:14" x14ac:dyDescent="0.25">
      <c r="A63" s="1" t="s">
        <v>42</v>
      </c>
      <c r="B63" t="s">
        <v>349</v>
      </c>
      <c r="C63" s="150">
        <v>116</v>
      </c>
      <c r="D63" t="s">
        <v>201</v>
      </c>
      <c r="E63" t="s">
        <v>202</v>
      </c>
      <c r="F63" t="s">
        <v>350</v>
      </c>
      <c r="G63" s="150">
        <v>32889</v>
      </c>
      <c r="H63" s="2">
        <v>2120</v>
      </c>
      <c r="I63" s="2">
        <v>190.8</v>
      </c>
      <c r="J63" s="2">
        <v>190.8</v>
      </c>
      <c r="K63" s="2">
        <v>0</v>
      </c>
      <c r="L63" s="2">
        <v>0</v>
      </c>
      <c r="M63" s="2">
        <v>0</v>
      </c>
      <c r="N63" s="2">
        <v>0</v>
      </c>
    </row>
    <row r="64" spans="1:14" x14ac:dyDescent="0.25">
      <c r="A64" s="1" t="s">
        <v>42</v>
      </c>
      <c r="B64" t="s">
        <v>206</v>
      </c>
      <c r="C64" s="150">
        <v>116</v>
      </c>
      <c r="D64" t="s">
        <v>201</v>
      </c>
      <c r="E64" t="s">
        <v>202</v>
      </c>
      <c r="F64" t="s">
        <v>351</v>
      </c>
      <c r="G64" s="150">
        <v>32890</v>
      </c>
      <c r="H64" s="2">
        <v>300</v>
      </c>
      <c r="I64" s="2">
        <v>27</v>
      </c>
      <c r="J64" s="2">
        <v>27</v>
      </c>
      <c r="K64" s="2">
        <v>0</v>
      </c>
      <c r="L64" s="2">
        <v>0</v>
      </c>
      <c r="M64" s="2">
        <v>0</v>
      </c>
      <c r="N64" s="2">
        <v>0</v>
      </c>
    </row>
    <row r="65" spans="1:14" x14ac:dyDescent="0.25">
      <c r="A65" s="1" t="s">
        <v>42</v>
      </c>
      <c r="B65" t="s">
        <v>352</v>
      </c>
      <c r="C65" s="150">
        <v>116</v>
      </c>
      <c r="D65" t="s">
        <v>201</v>
      </c>
      <c r="E65" t="s">
        <v>202</v>
      </c>
      <c r="F65" t="s">
        <v>353</v>
      </c>
      <c r="G65" s="150">
        <v>32891</v>
      </c>
      <c r="H65" s="2">
        <v>1139.68</v>
      </c>
      <c r="I65" s="2">
        <v>102.57</v>
      </c>
      <c r="J65" s="2">
        <v>102.57</v>
      </c>
      <c r="K65" s="2">
        <v>0</v>
      </c>
      <c r="L65" s="2">
        <v>0</v>
      </c>
      <c r="M65" s="2">
        <v>0</v>
      </c>
      <c r="N65" s="2">
        <v>0</v>
      </c>
    </row>
    <row r="66" spans="1:14" x14ac:dyDescent="0.25">
      <c r="A66" s="1" t="s">
        <v>42</v>
      </c>
      <c r="B66" t="s">
        <v>354</v>
      </c>
      <c r="C66" s="150">
        <v>116</v>
      </c>
      <c r="D66" t="s">
        <v>201</v>
      </c>
      <c r="E66" t="s">
        <v>202</v>
      </c>
      <c r="F66" t="s">
        <v>193</v>
      </c>
      <c r="G66" s="150">
        <v>32891</v>
      </c>
      <c r="H66" s="2">
        <v>810</v>
      </c>
      <c r="I66" s="2">
        <v>72.900000000000006</v>
      </c>
      <c r="J66" s="2">
        <v>72.900000000000006</v>
      </c>
      <c r="K66" s="2">
        <v>0</v>
      </c>
      <c r="L66" s="2">
        <v>0</v>
      </c>
      <c r="M66" s="2">
        <v>0</v>
      </c>
      <c r="N66" s="2">
        <v>0</v>
      </c>
    </row>
    <row r="67" spans="1:14" x14ac:dyDescent="0.25">
      <c r="A67" s="1" t="s">
        <v>42</v>
      </c>
      <c r="B67" t="s">
        <v>355</v>
      </c>
      <c r="C67" s="150">
        <v>116</v>
      </c>
      <c r="D67" t="s">
        <v>201</v>
      </c>
      <c r="E67" t="s">
        <v>202</v>
      </c>
      <c r="F67" t="s">
        <v>356</v>
      </c>
      <c r="G67" s="150">
        <v>32891</v>
      </c>
      <c r="H67" s="2">
        <v>753.7</v>
      </c>
      <c r="I67" s="2">
        <v>68</v>
      </c>
      <c r="J67" s="2">
        <v>68</v>
      </c>
      <c r="K67" s="2">
        <v>0</v>
      </c>
      <c r="L67" s="2">
        <v>0</v>
      </c>
      <c r="M67" s="2">
        <v>0</v>
      </c>
      <c r="N67" s="2">
        <v>0</v>
      </c>
    </row>
    <row r="68" spans="1:14" x14ac:dyDescent="0.25">
      <c r="A68" s="1" t="s">
        <v>42</v>
      </c>
      <c r="B68" t="s">
        <v>357</v>
      </c>
      <c r="C68" s="150">
        <v>116</v>
      </c>
      <c r="D68" t="s">
        <v>201</v>
      </c>
      <c r="E68" t="s">
        <v>202</v>
      </c>
      <c r="F68" t="s">
        <v>358</v>
      </c>
      <c r="G68" s="150">
        <v>32891</v>
      </c>
      <c r="H68" s="2">
        <v>23925</v>
      </c>
      <c r="I68" s="2">
        <v>2153.25</v>
      </c>
      <c r="J68" s="2">
        <v>2153.25</v>
      </c>
      <c r="K68" s="2">
        <v>0</v>
      </c>
      <c r="L68" s="2">
        <v>0</v>
      </c>
      <c r="M68" s="2">
        <v>0</v>
      </c>
      <c r="N68" s="2">
        <v>0</v>
      </c>
    </row>
    <row r="69" spans="1:14" x14ac:dyDescent="0.25">
      <c r="A69" s="1" t="s">
        <v>42</v>
      </c>
      <c r="B69" t="s">
        <v>207</v>
      </c>
      <c r="C69" s="150">
        <v>116</v>
      </c>
      <c r="D69" t="s">
        <v>201</v>
      </c>
      <c r="E69" t="s">
        <v>202</v>
      </c>
      <c r="F69" t="s">
        <v>359</v>
      </c>
      <c r="G69" s="150">
        <v>32879</v>
      </c>
      <c r="H69" s="2">
        <v>45000</v>
      </c>
      <c r="I69" s="2">
        <v>0</v>
      </c>
      <c r="J69" s="2">
        <v>0</v>
      </c>
      <c r="K69" s="2">
        <v>8100</v>
      </c>
      <c r="L69" s="2">
        <v>0</v>
      </c>
      <c r="M69" s="2">
        <v>0</v>
      </c>
      <c r="N69" s="2">
        <v>0</v>
      </c>
    </row>
    <row r="70" spans="1:14" x14ac:dyDescent="0.25">
      <c r="A70" s="1" t="s">
        <v>42</v>
      </c>
      <c r="B70" t="s">
        <v>361</v>
      </c>
      <c r="C70" s="150">
        <v>121</v>
      </c>
      <c r="D70" t="s">
        <v>201</v>
      </c>
      <c r="E70" t="s">
        <v>202</v>
      </c>
      <c r="F70" t="s">
        <v>362</v>
      </c>
      <c r="G70" s="150">
        <v>32891</v>
      </c>
      <c r="H70" s="2">
        <v>45000</v>
      </c>
      <c r="I70" s="2">
        <v>0</v>
      </c>
      <c r="J70" s="2">
        <v>0</v>
      </c>
      <c r="K70" s="2">
        <v>8100</v>
      </c>
      <c r="L70" s="2">
        <v>0</v>
      </c>
      <c r="M70" s="2">
        <v>0</v>
      </c>
      <c r="N70" s="2">
        <v>0</v>
      </c>
    </row>
    <row r="71" spans="1:14" x14ac:dyDescent="0.25">
      <c r="A71" s="1" t="s">
        <v>42</v>
      </c>
      <c r="B71" t="s">
        <v>363</v>
      </c>
      <c r="C71" s="150">
        <v>121</v>
      </c>
      <c r="D71" t="s">
        <v>201</v>
      </c>
      <c r="E71" t="s">
        <v>202</v>
      </c>
      <c r="F71" t="s">
        <v>364</v>
      </c>
      <c r="G71" s="150">
        <v>32894</v>
      </c>
      <c r="H71" s="2">
        <v>1000</v>
      </c>
      <c r="I71" s="2">
        <v>90</v>
      </c>
      <c r="J71" s="2">
        <v>90</v>
      </c>
      <c r="K71" s="2">
        <v>0</v>
      </c>
      <c r="L71" s="2">
        <v>0</v>
      </c>
      <c r="M71" s="2">
        <v>0</v>
      </c>
      <c r="N71" s="2">
        <v>0</v>
      </c>
    </row>
    <row r="72" spans="1:14" x14ac:dyDescent="0.25">
      <c r="A72" s="1" t="s">
        <v>42</v>
      </c>
      <c r="B72" t="s">
        <v>365</v>
      </c>
      <c r="C72" s="150">
        <v>121</v>
      </c>
      <c r="D72" t="s">
        <v>201</v>
      </c>
      <c r="E72" t="s">
        <v>202</v>
      </c>
      <c r="F72" t="s">
        <v>366</v>
      </c>
      <c r="G72" s="150">
        <v>32894</v>
      </c>
      <c r="H72" s="2">
        <v>4432.08</v>
      </c>
      <c r="I72" s="2">
        <v>398.89</v>
      </c>
      <c r="J72" s="2">
        <v>398.89</v>
      </c>
      <c r="K72" s="2">
        <v>0</v>
      </c>
      <c r="L72" s="2">
        <v>0</v>
      </c>
      <c r="M72" s="2">
        <v>0</v>
      </c>
      <c r="N72" s="2">
        <v>0</v>
      </c>
    </row>
    <row r="73" spans="1:14" x14ac:dyDescent="0.25">
      <c r="A73" s="1" t="s">
        <v>42</v>
      </c>
      <c r="B73" t="s">
        <v>367</v>
      </c>
      <c r="C73" s="150">
        <v>121</v>
      </c>
      <c r="D73" t="s">
        <v>201</v>
      </c>
      <c r="E73" t="s">
        <v>202</v>
      </c>
      <c r="F73" t="s">
        <v>368</v>
      </c>
      <c r="G73" s="150">
        <v>32894</v>
      </c>
      <c r="H73" s="2">
        <v>260</v>
      </c>
      <c r="I73" s="2">
        <v>16</v>
      </c>
      <c r="J73" s="2">
        <v>16</v>
      </c>
      <c r="K73" s="2">
        <v>0</v>
      </c>
      <c r="L73" s="2">
        <v>0</v>
      </c>
      <c r="M73" s="2">
        <v>0</v>
      </c>
      <c r="N73" s="2">
        <v>0</v>
      </c>
    </row>
    <row r="74" spans="1:14" x14ac:dyDescent="0.25">
      <c r="A74" s="1" t="s">
        <v>42</v>
      </c>
      <c r="B74" t="s">
        <v>369</v>
      </c>
      <c r="C74" s="150">
        <v>121</v>
      </c>
      <c r="D74" t="s">
        <v>201</v>
      </c>
      <c r="E74" t="s">
        <v>202</v>
      </c>
      <c r="F74" t="s">
        <v>370</v>
      </c>
      <c r="G74" s="150">
        <v>32894</v>
      </c>
      <c r="H74" s="2">
        <v>500</v>
      </c>
      <c r="I74" s="2">
        <v>45</v>
      </c>
      <c r="J74" s="2">
        <v>45</v>
      </c>
      <c r="K74" s="2">
        <v>0</v>
      </c>
      <c r="L74" s="2">
        <v>0</v>
      </c>
      <c r="M74" s="2">
        <v>0</v>
      </c>
      <c r="N74" s="2">
        <v>0</v>
      </c>
    </row>
    <row r="75" spans="1:14" x14ac:dyDescent="0.25">
      <c r="A75" s="1" t="s">
        <v>42</v>
      </c>
      <c r="B75" t="s">
        <v>371</v>
      </c>
      <c r="C75" s="150">
        <v>121</v>
      </c>
      <c r="D75" t="s">
        <v>201</v>
      </c>
      <c r="E75" t="s">
        <v>202</v>
      </c>
      <c r="F75" t="s">
        <v>372</v>
      </c>
      <c r="G75" s="150">
        <v>32895</v>
      </c>
      <c r="H75" s="2">
        <v>13425</v>
      </c>
      <c r="I75" s="2">
        <v>1208.25</v>
      </c>
      <c r="J75" s="2">
        <v>1208.25</v>
      </c>
      <c r="K75" s="2">
        <v>0</v>
      </c>
      <c r="L75" s="2">
        <v>0</v>
      </c>
      <c r="M75" s="2">
        <v>0</v>
      </c>
      <c r="N75" s="2">
        <v>0</v>
      </c>
    </row>
    <row r="76" spans="1:14" x14ac:dyDescent="0.25">
      <c r="A76" s="1" t="s">
        <v>42</v>
      </c>
      <c r="B76" t="s">
        <v>373</v>
      </c>
      <c r="C76" s="150">
        <v>121</v>
      </c>
      <c r="D76" t="s">
        <v>201</v>
      </c>
      <c r="E76" t="s">
        <v>202</v>
      </c>
      <c r="F76" t="s">
        <v>374</v>
      </c>
      <c r="G76" s="150">
        <v>32894</v>
      </c>
      <c r="H76" s="2">
        <v>750</v>
      </c>
      <c r="I76" s="2">
        <v>41</v>
      </c>
      <c r="J76" s="2">
        <v>41</v>
      </c>
      <c r="K76" s="2">
        <v>0</v>
      </c>
      <c r="L76" s="2">
        <v>0</v>
      </c>
      <c r="M76" s="2">
        <v>0</v>
      </c>
      <c r="N76" s="2">
        <v>0</v>
      </c>
    </row>
    <row r="77" spans="1:14" x14ac:dyDescent="0.25">
      <c r="A77" s="1" t="s">
        <v>42</v>
      </c>
      <c r="B77" t="s">
        <v>375</v>
      </c>
      <c r="C77" s="150">
        <v>121</v>
      </c>
      <c r="D77" t="s">
        <v>201</v>
      </c>
      <c r="E77" t="s">
        <v>202</v>
      </c>
      <c r="F77" t="s">
        <v>376</v>
      </c>
      <c r="G77" s="150">
        <v>32896</v>
      </c>
      <c r="H77" s="2">
        <v>952</v>
      </c>
      <c r="I77" s="2">
        <v>85.68</v>
      </c>
      <c r="J77" s="2">
        <v>85.68</v>
      </c>
      <c r="K77" s="2">
        <v>0</v>
      </c>
      <c r="L77" s="2">
        <v>0</v>
      </c>
      <c r="M77" s="2">
        <v>0</v>
      </c>
      <c r="N77" s="2">
        <v>0</v>
      </c>
    </row>
    <row r="78" spans="1:14" x14ac:dyDescent="0.25">
      <c r="A78" s="1" t="s">
        <v>42</v>
      </c>
      <c r="B78" t="s">
        <v>377</v>
      </c>
      <c r="C78" s="150">
        <v>121</v>
      </c>
      <c r="D78" t="s">
        <v>201</v>
      </c>
      <c r="E78" t="s">
        <v>202</v>
      </c>
      <c r="F78" t="s">
        <v>378</v>
      </c>
      <c r="G78" s="150">
        <v>32899</v>
      </c>
      <c r="H78" s="2">
        <v>1650</v>
      </c>
      <c r="I78" s="2">
        <v>99</v>
      </c>
      <c r="J78" s="2">
        <v>99</v>
      </c>
      <c r="K78" s="2">
        <v>0</v>
      </c>
      <c r="L78" s="2">
        <v>0</v>
      </c>
      <c r="M78" s="2">
        <v>0</v>
      </c>
      <c r="N78" s="2">
        <v>0</v>
      </c>
    </row>
    <row r="79" spans="1:14" x14ac:dyDescent="0.25">
      <c r="A79" s="1" t="s">
        <v>42</v>
      </c>
      <c r="B79" t="s">
        <v>379</v>
      </c>
      <c r="C79" s="150">
        <v>121</v>
      </c>
      <c r="D79" t="s">
        <v>201</v>
      </c>
      <c r="E79" t="s">
        <v>202</v>
      </c>
      <c r="F79" t="s">
        <v>380</v>
      </c>
      <c r="G79" s="150">
        <v>32889</v>
      </c>
      <c r="H79" s="2">
        <v>6050</v>
      </c>
      <c r="I79" s="2">
        <v>544.5</v>
      </c>
      <c r="J79" s="2">
        <v>544.5</v>
      </c>
      <c r="K79" s="2">
        <v>0</v>
      </c>
      <c r="L79" s="2">
        <v>0</v>
      </c>
      <c r="M79" s="2">
        <v>0</v>
      </c>
      <c r="N79" s="2">
        <v>0</v>
      </c>
    </row>
    <row r="80" spans="1:14" x14ac:dyDescent="0.25">
      <c r="A80" s="1" t="s">
        <v>42</v>
      </c>
      <c r="B80" t="s">
        <v>381</v>
      </c>
      <c r="C80" s="150">
        <v>121</v>
      </c>
      <c r="D80" t="s">
        <v>201</v>
      </c>
      <c r="E80" t="s">
        <v>202</v>
      </c>
      <c r="F80" t="s">
        <v>382</v>
      </c>
      <c r="G80" s="150">
        <v>32892</v>
      </c>
      <c r="H80" s="2">
        <v>240</v>
      </c>
      <c r="I80" s="2">
        <v>21.6</v>
      </c>
      <c r="J80" s="2">
        <v>21.6</v>
      </c>
      <c r="K80" s="2">
        <v>0</v>
      </c>
      <c r="L80" s="2">
        <v>0</v>
      </c>
      <c r="M80" s="2">
        <v>0</v>
      </c>
      <c r="N80" s="2">
        <v>0</v>
      </c>
    </row>
    <row r="81" spans="1:14" x14ac:dyDescent="0.25">
      <c r="A81" s="1" t="s">
        <v>42</v>
      </c>
      <c r="B81" t="s">
        <v>383</v>
      </c>
      <c r="C81" s="150">
        <v>121</v>
      </c>
      <c r="D81" t="s">
        <v>201</v>
      </c>
      <c r="E81" t="s">
        <v>202</v>
      </c>
      <c r="F81" t="s">
        <v>384</v>
      </c>
      <c r="G81" s="150">
        <v>32900</v>
      </c>
      <c r="H81" s="2">
        <v>1900</v>
      </c>
      <c r="I81" s="2">
        <v>171</v>
      </c>
      <c r="J81" s="2">
        <v>171</v>
      </c>
      <c r="K81" s="2">
        <v>0</v>
      </c>
      <c r="L81" s="2">
        <v>0</v>
      </c>
      <c r="M81" s="2">
        <v>0</v>
      </c>
      <c r="N81" s="2">
        <v>0</v>
      </c>
    </row>
    <row r="82" spans="1:14" x14ac:dyDescent="0.25">
      <c r="A82" s="1" t="s">
        <v>42</v>
      </c>
      <c r="B82" t="s">
        <v>386</v>
      </c>
      <c r="C82" s="150">
        <v>121</v>
      </c>
      <c r="D82" t="s">
        <v>201</v>
      </c>
      <c r="E82" t="s">
        <v>202</v>
      </c>
      <c r="F82" t="s">
        <v>277</v>
      </c>
      <c r="G82" s="150">
        <v>32893</v>
      </c>
      <c r="H82" s="2">
        <v>1180</v>
      </c>
      <c r="I82" s="2">
        <v>106.2</v>
      </c>
      <c r="J82" s="2">
        <v>106.2</v>
      </c>
      <c r="K82" s="2">
        <v>0</v>
      </c>
      <c r="L82" s="2">
        <v>0</v>
      </c>
      <c r="M82" s="2">
        <v>0</v>
      </c>
      <c r="N82" s="2">
        <v>0</v>
      </c>
    </row>
    <row r="83" spans="1:14" x14ac:dyDescent="0.25">
      <c r="A83" s="1" t="s">
        <v>42</v>
      </c>
      <c r="B83" t="s">
        <v>387</v>
      </c>
      <c r="C83" s="150">
        <v>121</v>
      </c>
      <c r="D83" t="s">
        <v>201</v>
      </c>
      <c r="E83" t="s">
        <v>202</v>
      </c>
      <c r="F83" t="s">
        <v>388</v>
      </c>
      <c r="G83" s="150">
        <v>32896</v>
      </c>
      <c r="H83" s="2">
        <v>2800</v>
      </c>
      <c r="I83" s="2">
        <v>252</v>
      </c>
      <c r="J83" s="2">
        <v>252</v>
      </c>
      <c r="K83" s="2">
        <v>0</v>
      </c>
      <c r="L83" s="2">
        <v>0</v>
      </c>
      <c r="M83" s="2">
        <v>0</v>
      </c>
      <c r="N83" s="2">
        <v>0</v>
      </c>
    </row>
    <row r="84" spans="1:14" x14ac:dyDescent="0.25">
      <c r="A84" s="1" t="s">
        <v>42</v>
      </c>
      <c r="B84" t="s">
        <v>389</v>
      </c>
      <c r="C84" s="150">
        <v>121</v>
      </c>
      <c r="D84" t="s">
        <v>201</v>
      </c>
      <c r="E84" t="s">
        <v>202</v>
      </c>
      <c r="F84" t="s">
        <v>390</v>
      </c>
      <c r="G84" s="150">
        <v>32963</v>
      </c>
      <c r="H84" s="2">
        <v>27000</v>
      </c>
      <c r="I84" s="2">
        <v>2430</v>
      </c>
      <c r="J84" s="2">
        <v>2430</v>
      </c>
      <c r="K84" s="2">
        <v>0</v>
      </c>
      <c r="L84" s="2">
        <v>0</v>
      </c>
      <c r="M84" s="2">
        <v>0</v>
      </c>
      <c r="N84" s="2">
        <v>0</v>
      </c>
    </row>
    <row r="85" spans="1:14" x14ac:dyDescent="0.25">
      <c r="A85" s="1" t="s">
        <v>42</v>
      </c>
      <c r="B85" t="s">
        <v>391</v>
      </c>
      <c r="C85" s="150">
        <v>121</v>
      </c>
      <c r="D85" t="s">
        <v>201</v>
      </c>
      <c r="E85" t="s">
        <v>202</v>
      </c>
      <c r="F85" t="s">
        <v>392</v>
      </c>
      <c r="G85" s="150">
        <v>32885</v>
      </c>
      <c r="H85" s="2">
        <v>57162.95</v>
      </c>
      <c r="I85" s="2">
        <v>5144.66</v>
      </c>
      <c r="J85" s="2">
        <v>5144.66</v>
      </c>
      <c r="K85" s="2">
        <v>0</v>
      </c>
      <c r="L85" s="2">
        <v>0</v>
      </c>
      <c r="M85" s="2">
        <v>0</v>
      </c>
      <c r="N85" s="2">
        <v>0</v>
      </c>
    </row>
    <row r="86" spans="1:14" x14ac:dyDescent="0.25">
      <c r="A86" s="1" t="s">
        <v>42</v>
      </c>
      <c r="B86" t="s">
        <v>393</v>
      </c>
      <c r="C86" s="150">
        <v>121</v>
      </c>
      <c r="D86" t="s">
        <v>201</v>
      </c>
      <c r="E86" t="s">
        <v>202</v>
      </c>
      <c r="F86" t="s">
        <v>394</v>
      </c>
      <c r="G86" s="150">
        <v>32899</v>
      </c>
      <c r="H86" s="2">
        <v>52186</v>
      </c>
      <c r="I86" s="2">
        <v>4696.74</v>
      </c>
      <c r="J86" s="2">
        <v>4696.74</v>
      </c>
      <c r="K86" s="2">
        <v>0</v>
      </c>
      <c r="L86" s="2">
        <v>0</v>
      </c>
      <c r="M86" s="2">
        <v>0</v>
      </c>
      <c r="N86" s="2">
        <v>0</v>
      </c>
    </row>
    <row r="87" spans="1:14" x14ac:dyDescent="0.25">
      <c r="A87" s="1" t="s">
        <v>42</v>
      </c>
      <c r="B87" t="s">
        <v>395</v>
      </c>
      <c r="C87" s="150">
        <v>121</v>
      </c>
      <c r="D87" t="s">
        <v>201</v>
      </c>
      <c r="E87" t="s">
        <v>202</v>
      </c>
      <c r="F87" t="s">
        <v>396</v>
      </c>
      <c r="G87" s="150">
        <v>32899</v>
      </c>
      <c r="H87" s="2">
        <v>250</v>
      </c>
      <c r="I87" s="2">
        <v>22.5</v>
      </c>
      <c r="J87" s="2">
        <v>22.5</v>
      </c>
      <c r="K87" s="2">
        <v>0</v>
      </c>
      <c r="L87" s="2">
        <v>0</v>
      </c>
      <c r="M87" s="2">
        <v>0</v>
      </c>
      <c r="N87" s="2">
        <v>0</v>
      </c>
    </row>
    <row r="88" spans="1:14" x14ac:dyDescent="0.25">
      <c r="A88" s="1" t="s">
        <v>42</v>
      </c>
      <c r="B88" t="s">
        <v>397</v>
      </c>
      <c r="C88" s="150">
        <v>121</v>
      </c>
      <c r="D88" t="s">
        <v>201</v>
      </c>
      <c r="E88" t="s">
        <v>202</v>
      </c>
      <c r="F88" t="s">
        <v>398</v>
      </c>
      <c r="G88" s="150">
        <v>32899</v>
      </c>
      <c r="H88" s="2">
        <v>29250</v>
      </c>
      <c r="I88" s="2">
        <v>1387.5</v>
      </c>
      <c r="J88" s="2">
        <v>1387.5</v>
      </c>
      <c r="K88" s="2">
        <v>0</v>
      </c>
      <c r="L88" s="2">
        <v>0</v>
      </c>
      <c r="M88" s="2">
        <v>0</v>
      </c>
      <c r="N88" s="2">
        <v>0</v>
      </c>
    </row>
    <row r="89" spans="1:14" x14ac:dyDescent="0.25">
      <c r="A89" s="1" t="s">
        <v>42</v>
      </c>
      <c r="B89" t="s">
        <v>399</v>
      </c>
      <c r="C89" s="150">
        <v>121</v>
      </c>
      <c r="D89" t="s">
        <v>201</v>
      </c>
      <c r="E89" t="s">
        <v>202</v>
      </c>
      <c r="F89" t="s">
        <v>400</v>
      </c>
      <c r="G89" s="150">
        <v>32881</v>
      </c>
      <c r="H89" s="2">
        <v>30000</v>
      </c>
      <c r="I89" s="2">
        <v>0</v>
      </c>
      <c r="J89" s="2">
        <v>0</v>
      </c>
      <c r="K89" s="2">
        <v>5400</v>
      </c>
      <c r="L89" s="2">
        <v>0</v>
      </c>
      <c r="M89" s="2">
        <v>0</v>
      </c>
      <c r="N89" s="2">
        <v>0</v>
      </c>
    </row>
    <row r="90" spans="1:14" x14ac:dyDescent="0.25">
      <c r="A90" s="1" t="s">
        <v>42</v>
      </c>
      <c r="B90" t="s">
        <v>208</v>
      </c>
      <c r="C90" s="150">
        <v>121</v>
      </c>
      <c r="D90" t="s">
        <v>201</v>
      </c>
      <c r="E90" t="s">
        <v>202</v>
      </c>
      <c r="F90" t="s">
        <v>402</v>
      </c>
      <c r="G90" s="150">
        <v>32878</v>
      </c>
      <c r="H90" s="2">
        <v>8004.5</v>
      </c>
      <c r="I90" s="2">
        <v>720.41</v>
      </c>
      <c r="J90" s="2">
        <v>720.41</v>
      </c>
      <c r="K90" s="2">
        <v>0</v>
      </c>
      <c r="L90" s="2">
        <v>0</v>
      </c>
      <c r="M90" s="2">
        <v>0</v>
      </c>
      <c r="N90" s="2">
        <v>0</v>
      </c>
    </row>
    <row r="91" spans="1:14" x14ac:dyDescent="0.25">
      <c r="A91" s="1" t="s">
        <v>42</v>
      </c>
      <c r="B91" t="s">
        <v>209</v>
      </c>
      <c r="C91" s="150">
        <v>121</v>
      </c>
      <c r="D91" t="s">
        <v>201</v>
      </c>
      <c r="E91" t="s">
        <v>202</v>
      </c>
      <c r="F91" t="s">
        <v>404</v>
      </c>
      <c r="G91" s="150">
        <v>32901</v>
      </c>
      <c r="H91" s="2">
        <v>32000</v>
      </c>
      <c r="I91" s="2">
        <v>2880</v>
      </c>
      <c r="J91" s="2">
        <v>2880</v>
      </c>
      <c r="K91" s="2">
        <v>0</v>
      </c>
      <c r="L91" s="2">
        <v>0</v>
      </c>
      <c r="M91" s="2">
        <v>0</v>
      </c>
      <c r="N91" s="2">
        <v>0</v>
      </c>
    </row>
    <row r="92" spans="1:14" x14ac:dyDescent="0.25">
      <c r="A92" s="1" t="s">
        <v>42</v>
      </c>
      <c r="B92" t="s">
        <v>210</v>
      </c>
      <c r="C92" s="150">
        <v>121</v>
      </c>
      <c r="D92" t="s">
        <v>201</v>
      </c>
      <c r="E92" t="s">
        <v>202</v>
      </c>
      <c r="F92" t="s">
        <v>405</v>
      </c>
      <c r="G92" s="150">
        <v>32901</v>
      </c>
      <c r="H92" s="2">
        <v>32000</v>
      </c>
      <c r="I92" s="2">
        <v>2880</v>
      </c>
      <c r="J92" s="2">
        <v>2880</v>
      </c>
      <c r="K92" s="2">
        <v>0</v>
      </c>
      <c r="L92" s="2">
        <v>0</v>
      </c>
      <c r="M92" s="2">
        <v>0</v>
      </c>
      <c r="N92" s="2">
        <v>0</v>
      </c>
    </row>
    <row r="93" spans="1:14" x14ac:dyDescent="0.25">
      <c r="A93" s="1" t="s">
        <v>42</v>
      </c>
      <c r="B93" t="s">
        <v>211</v>
      </c>
      <c r="C93" s="150">
        <v>121</v>
      </c>
      <c r="D93" t="s">
        <v>201</v>
      </c>
      <c r="E93" t="s">
        <v>202</v>
      </c>
      <c r="F93" t="s">
        <v>260</v>
      </c>
      <c r="G93" s="150">
        <v>32901</v>
      </c>
      <c r="H93" s="2">
        <v>500</v>
      </c>
      <c r="I93" s="2">
        <v>45</v>
      </c>
      <c r="J93" s="2">
        <v>45</v>
      </c>
      <c r="K93" s="2">
        <v>0</v>
      </c>
      <c r="L93" s="2">
        <v>0</v>
      </c>
      <c r="M93" s="2">
        <v>0</v>
      </c>
      <c r="N93" s="2">
        <v>0</v>
      </c>
    </row>
    <row r="94" spans="1:14" x14ac:dyDescent="0.25">
      <c r="A94" s="1" t="s">
        <v>42</v>
      </c>
      <c r="B94" t="s">
        <v>406</v>
      </c>
      <c r="C94" s="150">
        <v>121</v>
      </c>
      <c r="D94" t="s">
        <v>201</v>
      </c>
      <c r="E94" t="s">
        <v>202</v>
      </c>
      <c r="F94" t="s">
        <v>407</v>
      </c>
      <c r="G94" s="150">
        <v>32894</v>
      </c>
      <c r="H94" s="2">
        <v>1540</v>
      </c>
      <c r="I94" s="2">
        <v>138.6</v>
      </c>
      <c r="J94" s="2">
        <v>138.6</v>
      </c>
      <c r="K94" s="2">
        <v>0</v>
      </c>
      <c r="L94" s="2">
        <v>0</v>
      </c>
      <c r="M94" s="2">
        <v>0</v>
      </c>
      <c r="N94" s="2">
        <v>0</v>
      </c>
    </row>
    <row r="95" spans="1:14" x14ac:dyDescent="0.25">
      <c r="A95" s="1" t="s">
        <v>42</v>
      </c>
      <c r="B95" t="s">
        <v>409</v>
      </c>
      <c r="C95" s="150">
        <v>121</v>
      </c>
      <c r="D95" t="s">
        <v>201</v>
      </c>
      <c r="E95" t="s">
        <v>202</v>
      </c>
      <c r="F95" t="s">
        <v>314</v>
      </c>
      <c r="G95" s="150">
        <v>32893</v>
      </c>
      <c r="H95" s="2">
        <v>5000</v>
      </c>
      <c r="I95" s="2">
        <v>450</v>
      </c>
      <c r="J95" s="2">
        <v>450</v>
      </c>
      <c r="K95" s="2">
        <v>0</v>
      </c>
      <c r="L95" s="2">
        <v>0</v>
      </c>
      <c r="M95" s="2">
        <v>0</v>
      </c>
      <c r="N95" s="2">
        <v>0</v>
      </c>
    </row>
    <row r="96" spans="1:14" x14ac:dyDescent="0.25">
      <c r="A96" s="1" t="s">
        <v>42</v>
      </c>
      <c r="B96" t="s">
        <v>213</v>
      </c>
      <c r="C96" s="150">
        <v>121</v>
      </c>
      <c r="D96" t="s">
        <v>201</v>
      </c>
      <c r="E96" t="s">
        <v>202</v>
      </c>
      <c r="F96" t="s">
        <v>410</v>
      </c>
      <c r="G96" s="150">
        <v>32885</v>
      </c>
      <c r="H96" s="2">
        <v>6800</v>
      </c>
      <c r="I96" s="2">
        <v>612</v>
      </c>
      <c r="J96" s="2">
        <v>612</v>
      </c>
      <c r="K96" s="2">
        <v>0</v>
      </c>
      <c r="L96" s="2">
        <v>0</v>
      </c>
      <c r="M96" s="2">
        <v>0</v>
      </c>
      <c r="N96" s="2">
        <v>0</v>
      </c>
    </row>
    <row r="97" spans="1:14" x14ac:dyDescent="0.25">
      <c r="A97" s="1" t="s">
        <v>42</v>
      </c>
      <c r="B97" t="s">
        <v>214</v>
      </c>
      <c r="C97" s="150">
        <v>121</v>
      </c>
      <c r="D97" t="s">
        <v>201</v>
      </c>
      <c r="E97" t="s">
        <v>202</v>
      </c>
      <c r="F97" t="s">
        <v>411</v>
      </c>
      <c r="G97" s="150">
        <v>32893</v>
      </c>
      <c r="H97" s="2">
        <v>8008</v>
      </c>
      <c r="I97" s="2">
        <v>721</v>
      </c>
      <c r="J97" s="2">
        <v>721</v>
      </c>
      <c r="K97" s="2">
        <v>0</v>
      </c>
      <c r="L97" s="2">
        <v>0</v>
      </c>
      <c r="M97" s="2">
        <v>0</v>
      </c>
      <c r="N97" s="2">
        <v>0</v>
      </c>
    </row>
    <row r="98" spans="1:14" x14ac:dyDescent="0.25">
      <c r="A98" s="1" t="s">
        <v>42</v>
      </c>
      <c r="B98" t="s">
        <v>216</v>
      </c>
      <c r="C98" s="150">
        <v>121</v>
      </c>
      <c r="D98" t="s">
        <v>201</v>
      </c>
      <c r="E98" t="s">
        <v>202</v>
      </c>
      <c r="F98" t="s">
        <v>414</v>
      </c>
      <c r="G98" s="150">
        <v>32886</v>
      </c>
      <c r="H98" s="2">
        <v>39100</v>
      </c>
      <c r="I98" s="2">
        <v>1807</v>
      </c>
      <c r="J98" s="2">
        <v>1807</v>
      </c>
      <c r="K98" s="2">
        <v>0</v>
      </c>
      <c r="L98" s="2">
        <v>0</v>
      </c>
      <c r="M98" s="2">
        <v>0</v>
      </c>
      <c r="N98" s="2">
        <v>0</v>
      </c>
    </row>
    <row r="99" spans="1:14" x14ac:dyDescent="0.25">
      <c r="A99" s="1" t="s">
        <v>42</v>
      </c>
      <c r="B99" t="s">
        <v>217</v>
      </c>
      <c r="C99" s="150">
        <v>121</v>
      </c>
      <c r="D99" t="s">
        <v>201</v>
      </c>
      <c r="E99" t="s">
        <v>202</v>
      </c>
      <c r="F99" t="s">
        <v>415</v>
      </c>
      <c r="G99" s="150">
        <v>32901</v>
      </c>
      <c r="H99" s="2">
        <v>1400</v>
      </c>
      <c r="I99" s="2">
        <v>35</v>
      </c>
      <c r="J99" s="2">
        <v>35</v>
      </c>
      <c r="K99" s="2">
        <v>0</v>
      </c>
      <c r="L99" s="2">
        <v>0</v>
      </c>
      <c r="M99" s="2">
        <v>0</v>
      </c>
      <c r="N99" s="2">
        <v>0</v>
      </c>
    </row>
    <row r="100" spans="1:14" x14ac:dyDescent="0.25">
      <c r="A100" s="1" t="s">
        <v>42</v>
      </c>
      <c r="B100" t="s">
        <v>218</v>
      </c>
      <c r="C100" s="150">
        <v>121</v>
      </c>
      <c r="D100" t="s">
        <v>201</v>
      </c>
      <c r="E100" t="s">
        <v>202</v>
      </c>
      <c r="F100" t="s">
        <v>416</v>
      </c>
      <c r="G100" s="150">
        <v>32884</v>
      </c>
      <c r="H100" s="2">
        <v>19780</v>
      </c>
      <c r="I100" s="2">
        <v>1780.2</v>
      </c>
      <c r="J100" s="2">
        <v>1780.2</v>
      </c>
      <c r="K100" s="2">
        <v>0</v>
      </c>
      <c r="L100" s="2">
        <v>0</v>
      </c>
      <c r="M100" s="2">
        <v>0</v>
      </c>
      <c r="N100" s="2">
        <v>0</v>
      </c>
    </row>
    <row r="101" spans="1:14" x14ac:dyDescent="0.25">
      <c r="A101" s="1" t="s">
        <v>42</v>
      </c>
      <c r="B101" t="s">
        <v>417</v>
      </c>
      <c r="C101" s="150">
        <v>121</v>
      </c>
      <c r="D101" t="s">
        <v>201</v>
      </c>
      <c r="E101" t="s">
        <v>202</v>
      </c>
      <c r="F101" t="s">
        <v>418</v>
      </c>
      <c r="G101" s="150">
        <v>32882</v>
      </c>
      <c r="H101" s="2">
        <v>6520</v>
      </c>
      <c r="I101" s="2">
        <v>587</v>
      </c>
      <c r="J101" s="2">
        <v>587</v>
      </c>
      <c r="K101" s="2">
        <v>0</v>
      </c>
      <c r="L101" s="2">
        <v>0</v>
      </c>
      <c r="M101" s="2">
        <v>0</v>
      </c>
      <c r="N101" s="2">
        <v>0</v>
      </c>
    </row>
    <row r="102" spans="1:14" x14ac:dyDescent="0.25">
      <c r="A102" s="1" t="s">
        <v>42</v>
      </c>
      <c r="B102" t="s">
        <v>419</v>
      </c>
      <c r="C102" s="150">
        <v>121</v>
      </c>
      <c r="D102" t="s">
        <v>201</v>
      </c>
      <c r="E102" t="s">
        <v>202</v>
      </c>
      <c r="F102" t="s">
        <v>420</v>
      </c>
      <c r="G102" s="150">
        <v>32886</v>
      </c>
      <c r="H102" s="2">
        <v>5458</v>
      </c>
      <c r="I102" s="2">
        <v>491.22</v>
      </c>
      <c r="J102" s="2">
        <v>491.22</v>
      </c>
      <c r="K102" s="2">
        <v>0</v>
      </c>
      <c r="L102" s="2">
        <v>0</v>
      </c>
      <c r="M102" s="2">
        <v>0</v>
      </c>
      <c r="N102" s="2">
        <v>0</v>
      </c>
    </row>
    <row r="103" spans="1:14" x14ac:dyDescent="0.25">
      <c r="A103" s="1" t="s">
        <v>42</v>
      </c>
      <c r="B103" t="s">
        <v>421</v>
      </c>
      <c r="C103" s="150">
        <v>121</v>
      </c>
      <c r="D103" t="s">
        <v>201</v>
      </c>
      <c r="E103" t="s">
        <v>202</v>
      </c>
      <c r="F103" t="s">
        <v>422</v>
      </c>
      <c r="G103" s="150">
        <v>32895</v>
      </c>
      <c r="H103" s="2">
        <v>12000</v>
      </c>
      <c r="I103" s="2">
        <v>562.5</v>
      </c>
      <c r="J103" s="2">
        <v>562.5</v>
      </c>
      <c r="K103" s="2">
        <v>0</v>
      </c>
      <c r="L103" s="2">
        <v>0</v>
      </c>
      <c r="M103" s="2">
        <v>0</v>
      </c>
      <c r="N103" s="2">
        <v>0</v>
      </c>
    </row>
    <row r="104" spans="1:14" x14ac:dyDescent="0.25">
      <c r="A104" s="1" t="s">
        <v>42</v>
      </c>
      <c r="B104" t="s">
        <v>423</v>
      </c>
      <c r="C104" s="150">
        <v>121</v>
      </c>
      <c r="D104" t="s">
        <v>201</v>
      </c>
      <c r="E104" t="s">
        <v>202</v>
      </c>
      <c r="F104" t="s">
        <v>424</v>
      </c>
      <c r="G104" s="150">
        <v>32881</v>
      </c>
      <c r="H104" s="2">
        <v>4695.04</v>
      </c>
      <c r="I104" s="2">
        <v>422.55</v>
      </c>
      <c r="J104" s="2">
        <v>422.55</v>
      </c>
      <c r="K104" s="2">
        <v>0</v>
      </c>
      <c r="L104" s="2">
        <v>0</v>
      </c>
      <c r="M104" s="2">
        <v>0</v>
      </c>
      <c r="N104" s="2">
        <v>0</v>
      </c>
    </row>
    <row r="105" spans="1:14" x14ac:dyDescent="0.25">
      <c r="A105" s="1" t="s">
        <v>42</v>
      </c>
      <c r="B105" t="s">
        <v>425</v>
      </c>
      <c r="C105" s="150">
        <v>121</v>
      </c>
      <c r="D105" t="s">
        <v>201</v>
      </c>
      <c r="E105" t="s">
        <v>202</v>
      </c>
      <c r="F105" t="s">
        <v>426</v>
      </c>
      <c r="G105" s="150">
        <v>32884</v>
      </c>
      <c r="H105" s="2">
        <v>6200</v>
      </c>
      <c r="I105" s="2">
        <v>558</v>
      </c>
      <c r="J105" s="2">
        <v>558</v>
      </c>
      <c r="K105" s="2">
        <v>0</v>
      </c>
      <c r="L105" s="2">
        <v>0</v>
      </c>
      <c r="M105" s="2">
        <v>0</v>
      </c>
      <c r="N105" s="2">
        <v>0</v>
      </c>
    </row>
    <row r="106" spans="1:14" x14ac:dyDescent="0.25">
      <c r="A106" s="1" t="s">
        <v>42</v>
      </c>
      <c r="B106" t="s">
        <v>428</v>
      </c>
      <c r="C106" s="150">
        <v>121</v>
      </c>
      <c r="D106" t="s">
        <v>201</v>
      </c>
      <c r="E106" t="s">
        <v>202</v>
      </c>
      <c r="F106" t="s">
        <v>429</v>
      </c>
      <c r="G106" s="150">
        <v>32891</v>
      </c>
      <c r="H106" s="2">
        <v>4700</v>
      </c>
      <c r="I106" s="2">
        <v>423</v>
      </c>
      <c r="J106" s="2">
        <v>423</v>
      </c>
      <c r="K106" s="2">
        <v>0</v>
      </c>
      <c r="L106" s="2">
        <v>0</v>
      </c>
      <c r="M106" s="2">
        <v>0</v>
      </c>
      <c r="N106" s="2">
        <v>0</v>
      </c>
    </row>
    <row r="107" spans="1:14" x14ac:dyDescent="0.25">
      <c r="A107" s="1" t="s">
        <v>42</v>
      </c>
      <c r="B107" t="s">
        <v>430</v>
      </c>
      <c r="C107" s="150">
        <v>121</v>
      </c>
      <c r="D107" t="s">
        <v>201</v>
      </c>
      <c r="E107" t="s">
        <v>202</v>
      </c>
      <c r="F107" t="s">
        <v>431</v>
      </c>
      <c r="G107" s="150">
        <v>32899</v>
      </c>
      <c r="H107" s="2">
        <v>22462.5</v>
      </c>
      <c r="I107" s="2">
        <v>2021.63</v>
      </c>
      <c r="J107" s="2">
        <v>2021.63</v>
      </c>
      <c r="K107" s="2">
        <v>0</v>
      </c>
      <c r="L107" s="2">
        <v>0</v>
      </c>
      <c r="M107" s="2">
        <v>0</v>
      </c>
      <c r="N107" s="2">
        <v>0</v>
      </c>
    </row>
    <row r="108" spans="1:14" x14ac:dyDescent="0.25">
      <c r="A108" s="1" t="s">
        <v>42</v>
      </c>
      <c r="B108" t="s">
        <v>432</v>
      </c>
      <c r="C108" s="150">
        <v>121</v>
      </c>
      <c r="D108" t="s">
        <v>201</v>
      </c>
      <c r="E108" t="s">
        <v>202</v>
      </c>
      <c r="F108" t="s">
        <v>433</v>
      </c>
      <c r="G108" s="150">
        <v>32887</v>
      </c>
      <c r="H108" s="2">
        <v>7867.5</v>
      </c>
      <c r="I108" s="2">
        <v>708.08</v>
      </c>
      <c r="J108" s="2">
        <v>708.08</v>
      </c>
      <c r="K108" s="2">
        <v>0</v>
      </c>
      <c r="L108" s="2">
        <v>0</v>
      </c>
      <c r="M108" s="2">
        <v>0</v>
      </c>
      <c r="N108" s="2">
        <v>0</v>
      </c>
    </row>
    <row r="109" spans="1:14" x14ac:dyDescent="0.25">
      <c r="A109" s="1" t="s">
        <v>42</v>
      </c>
      <c r="B109" t="s">
        <v>434</v>
      </c>
      <c r="C109" s="150">
        <v>121</v>
      </c>
      <c r="D109" t="s">
        <v>201</v>
      </c>
      <c r="E109" t="s">
        <v>202</v>
      </c>
      <c r="F109" t="s">
        <v>435</v>
      </c>
      <c r="G109" s="150">
        <v>32901</v>
      </c>
      <c r="H109" s="2">
        <v>154592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</row>
    <row r="110" spans="1:14" x14ac:dyDescent="0.25">
      <c r="A110" s="1" t="s">
        <v>42</v>
      </c>
      <c r="B110" t="s">
        <v>436</v>
      </c>
      <c r="C110" s="150">
        <v>121</v>
      </c>
      <c r="D110" t="s">
        <v>201</v>
      </c>
      <c r="E110" t="s">
        <v>202</v>
      </c>
      <c r="F110" t="s">
        <v>437</v>
      </c>
      <c r="G110" s="150">
        <v>32895</v>
      </c>
      <c r="H110" s="2">
        <v>154592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</row>
    <row r="111" spans="1:14" x14ac:dyDescent="0.25">
      <c r="A111" s="1" t="s">
        <v>42</v>
      </c>
      <c r="B111" t="s">
        <v>438</v>
      </c>
      <c r="C111" s="150">
        <v>121</v>
      </c>
      <c r="D111" t="s">
        <v>201</v>
      </c>
      <c r="E111" t="s">
        <v>202</v>
      </c>
      <c r="F111" t="s">
        <v>439</v>
      </c>
      <c r="G111" s="150">
        <v>32900</v>
      </c>
      <c r="H111" s="2">
        <v>8500</v>
      </c>
      <c r="I111" s="2">
        <v>765</v>
      </c>
      <c r="J111" s="2">
        <v>765</v>
      </c>
      <c r="K111" s="2">
        <v>0</v>
      </c>
      <c r="L111" s="2">
        <v>0</v>
      </c>
      <c r="M111" s="2">
        <v>0</v>
      </c>
      <c r="N111" s="2">
        <v>0</v>
      </c>
    </row>
    <row r="112" spans="1:14" x14ac:dyDescent="0.25">
      <c r="A112" s="1" t="s">
        <v>42</v>
      </c>
      <c r="B112" t="s">
        <v>441</v>
      </c>
      <c r="C112" s="150">
        <v>121</v>
      </c>
      <c r="D112" t="s">
        <v>201</v>
      </c>
      <c r="E112" t="s">
        <v>202</v>
      </c>
      <c r="F112" t="s">
        <v>442</v>
      </c>
      <c r="G112" s="150">
        <v>32901</v>
      </c>
      <c r="H112" s="2">
        <v>1545.76</v>
      </c>
      <c r="I112" s="2">
        <v>139.12</v>
      </c>
      <c r="J112" s="2">
        <v>139.12</v>
      </c>
      <c r="K112" s="2">
        <v>0</v>
      </c>
      <c r="L112" s="2">
        <v>0</v>
      </c>
      <c r="M112" s="2">
        <v>0</v>
      </c>
      <c r="N112" s="2">
        <v>0</v>
      </c>
    </row>
    <row r="113" spans="1:14" x14ac:dyDescent="0.25">
      <c r="A113" s="1" t="s">
        <v>42</v>
      </c>
      <c r="B113" t="s">
        <v>443</v>
      </c>
      <c r="C113" s="150">
        <v>121</v>
      </c>
      <c r="D113" t="s">
        <v>201</v>
      </c>
      <c r="E113" t="s">
        <v>202</v>
      </c>
      <c r="F113" t="s">
        <v>444</v>
      </c>
      <c r="G113" s="150">
        <v>32885</v>
      </c>
      <c r="H113" s="2">
        <v>32564.799999999999</v>
      </c>
      <c r="I113" s="2">
        <v>0</v>
      </c>
      <c r="J113" s="2">
        <v>0</v>
      </c>
      <c r="K113" s="2">
        <v>5861.66</v>
      </c>
      <c r="L113" s="2">
        <v>0</v>
      </c>
      <c r="M113" s="2">
        <v>0</v>
      </c>
      <c r="N113" s="2">
        <v>0</v>
      </c>
    </row>
    <row r="114" spans="1:14" x14ac:dyDescent="0.25">
      <c r="A114" s="1" t="s">
        <v>42</v>
      </c>
      <c r="B114" t="s">
        <v>446</v>
      </c>
      <c r="C114" s="150">
        <v>121</v>
      </c>
      <c r="D114" t="s">
        <v>201</v>
      </c>
      <c r="E114" t="s">
        <v>202</v>
      </c>
      <c r="F114" t="s">
        <v>447</v>
      </c>
      <c r="G114" s="150">
        <v>32885</v>
      </c>
      <c r="H114" s="2">
        <v>12242.2</v>
      </c>
      <c r="I114" s="2">
        <v>0</v>
      </c>
      <c r="J114" s="2">
        <v>0</v>
      </c>
      <c r="K114" s="2">
        <v>2203.6</v>
      </c>
      <c r="L114" s="2">
        <v>0</v>
      </c>
      <c r="M114" s="2">
        <v>0</v>
      </c>
      <c r="N114" s="2">
        <v>0</v>
      </c>
    </row>
    <row r="115" spans="1:14" x14ac:dyDescent="0.25">
      <c r="A115" s="1" t="s">
        <v>42</v>
      </c>
      <c r="B115" t="s">
        <v>448</v>
      </c>
      <c r="C115" s="150">
        <v>121</v>
      </c>
      <c r="D115" t="s">
        <v>201</v>
      </c>
      <c r="E115" t="s">
        <v>202</v>
      </c>
      <c r="F115" t="s">
        <v>350</v>
      </c>
      <c r="G115" s="150">
        <v>32895</v>
      </c>
      <c r="H115" s="2">
        <v>3153.5</v>
      </c>
      <c r="I115" s="2">
        <v>283.86</v>
      </c>
      <c r="J115" s="2">
        <v>283.86</v>
      </c>
      <c r="K115" s="2">
        <v>0</v>
      </c>
      <c r="L115" s="2">
        <v>0</v>
      </c>
      <c r="M115" s="2">
        <v>0</v>
      </c>
      <c r="N115" s="2">
        <v>0</v>
      </c>
    </row>
    <row r="116" spans="1:14" x14ac:dyDescent="0.25">
      <c r="A116" s="1" t="s">
        <v>42</v>
      </c>
      <c r="B116" t="s">
        <v>449</v>
      </c>
      <c r="C116" s="150">
        <v>121</v>
      </c>
      <c r="D116" t="s">
        <v>201</v>
      </c>
      <c r="E116" t="s">
        <v>202</v>
      </c>
      <c r="F116" t="s">
        <v>450</v>
      </c>
      <c r="G116" s="150">
        <v>32900</v>
      </c>
      <c r="H116" s="2">
        <v>1658</v>
      </c>
      <c r="I116" s="2">
        <v>149.22</v>
      </c>
      <c r="J116" s="2">
        <v>149.22</v>
      </c>
      <c r="K116" s="2">
        <v>0</v>
      </c>
      <c r="L116" s="2">
        <v>0</v>
      </c>
      <c r="M116" s="2">
        <v>0</v>
      </c>
      <c r="N116" s="2">
        <v>0</v>
      </c>
    </row>
    <row r="117" spans="1:14" x14ac:dyDescent="0.25">
      <c r="A117" s="1" t="s">
        <v>42</v>
      </c>
      <c r="B117" t="s">
        <v>451</v>
      </c>
      <c r="C117" s="150">
        <v>121</v>
      </c>
      <c r="D117" t="s">
        <v>201</v>
      </c>
      <c r="E117" t="s">
        <v>202</v>
      </c>
      <c r="F117" t="s">
        <v>452</v>
      </c>
      <c r="G117" s="150">
        <v>32901</v>
      </c>
      <c r="H117" s="2">
        <v>432</v>
      </c>
      <c r="I117" s="2">
        <v>38.880000000000003</v>
      </c>
      <c r="J117" s="2">
        <v>38.880000000000003</v>
      </c>
      <c r="K117" s="2">
        <v>0</v>
      </c>
      <c r="L117" s="2">
        <v>0</v>
      </c>
      <c r="M117" s="2">
        <v>0</v>
      </c>
      <c r="N117" s="2">
        <v>0</v>
      </c>
    </row>
    <row r="118" spans="1:14" x14ac:dyDescent="0.25">
      <c r="A118" s="1" t="s">
        <v>42</v>
      </c>
      <c r="B118" t="s">
        <v>453</v>
      </c>
      <c r="C118" s="150">
        <v>121</v>
      </c>
      <c r="D118" t="s">
        <v>201</v>
      </c>
      <c r="E118" t="s">
        <v>202</v>
      </c>
      <c r="F118" t="s">
        <v>454</v>
      </c>
      <c r="G118" s="150">
        <v>32902</v>
      </c>
      <c r="H118" s="2">
        <v>620</v>
      </c>
      <c r="I118" s="2">
        <v>55.8</v>
      </c>
      <c r="J118" s="2">
        <v>55.8</v>
      </c>
      <c r="K118" s="2">
        <v>0</v>
      </c>
      <c r="L118" s="2">
        <v>0</v>
      </c>
      <c r="M118" s="2">
        <v>0</v>
      </c>
      <c r="N118" s="2">
        <v>0</v>
      </c>
    </row>
    <row r="119" spans="1:14" x14ac:dyDescent="0.25">
      <c r="A119" s="1" t="s">
        <v>42</v>
      </c>
      <c r="B119" t="s">
        <v>455</v>
      </c>
      <c r="C119" s="150">
        <v>121</v>
      </c>
      <c r="D119" t="s">
        <v>201</v>
      </c>
      <c r="E119" t="s">
        <v>202</v>
      </c>
      <c r="F119" t="s">
        <v>456</v>
      </c>
      <c r="G119" s="150">
        <v>32956</v>
      </c>
      <c r="H119" s="2">
        <v>20000</v>
      </c>
      <c r="I119" s="2">
        <v>0</v>
      </c>
      <c r="J119" s="2">
        <v>0</v>
      </c>
      <c r="K119" s="2">
        <v>3600</v>
      </c>
      <c r="L119" s="2">
        <v>0</v>
      </c>
      <c r="M119" s="2">
        <v>0</v>
      </c>
      <c r="N119" s="2">
        <v>0</v>
      </c>
    </row>
    <row r="120" spans="1:14" x14ac:dyDescent="0.25">
      <c r="A120" s="1" t="s">
        <v>42</v>
      </c>
      <c r="B120" t="s">
        <v>458</v>
      </c>
      <c r="C120" s="150">
        <v>121</v>
      </c>
      <c r="D120" t="s">
        <v>201</v>
      </c>
      <c r="E120" t="s">
        <v>202</v>
      </c>
      <c r="F120" t="s">
        <v>756</v>
      </c>
      <c r="G120" s="150">
        <v>32888</v>
      </c>
      <c r="H120" s="2">
        <v>3849</v>
      </c>
      <c r="I120" s="2">
        <v>346.41</v>
      </c>
      <c r="J120" s="2">
        <v>346.41</v>
      </c>
      <c r="K120" s="2">
        <v>0</v>
      </c>
      <c r="L120" s="2">
        <v>0</v>
      </c>
      <c r="M120" s="2">
        <v>0</v>
      </c>
      <c r="N120" s="2">
        <v>0</v>
      </c>
    </row>
    <row r="121" spans="1:14" x14ac:dyDescent="0.25">
      <c r="A121" s="1" t="s">
        <v>42</v>
      </c>
      <c r="B121" t="s">
        <v>459</v>
      </c>
      <c r="C121" s="150">
        <v>121</v>
      </c>
      <c r="D121" t="s">
        <v>201</v>
      </c>
      <c r="E121" t="s">
        <v>202</v>
      </c>
      <c r="F121" t="s">
        <v>757</v>
      </c>
      <c r="G121" s="150">
        <v>32894</v>
      </c>
      <c r="H121" s="2">
        <v>154592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</row>
    <row r="122" spans="1:14" x14ac:dyDescent="0.25">
      <c r="A122" s="1" t="s">
        <v>44</v>
      </c>
      <c r="B122" t="s">
        <v>200</v>
      </c>
      <c r="C122" s="150">
        <v>92</v>
      </c>
      <c r="D122" t="s">
        <v>201</v>
      </c>
      <c r="E122" t="s">
        <v>202</v>
      </c>
      <c r="F122" t="s">
        <v>255</v>
      </c>
      <c r="G122" s="150">
        <v>32953</v>
      </c>
      <c r="H122" s="2">
        <v>2645305.6</v>
      </c>
      <c r="I122" s="2">
        <v>0</v>
      </c>
      <c r="J122" s="2">
        <v>0</v>
      </c>
      <c r="K122" s="2">
        <v>476155.01</v>
      </c>
      <c r="L122" s="2">
        <v>0</v>
      </c>
      <c r="M122" s="2">
        <v>0</v>
      </c>
      <c r="N122" s="2">
        <v>0</v>
      </c>
    </row>
    <row r="123" spans="1:14" x14ac:dyDescent="0.25">
      <c r="A123" s="1" t="s">
        <v>44</v>
      </c>
      <c r="B123" t="s">
        <v>203</v>
      </c>
      <c r="C123" s="150">
        <v>92</v>
      </c>
      <c r="D123" t="s">
        <v>201</v>
      </c>
      <c r="E123" t="s">
        <v>202</v>
      </c>
      <c r="F123" t="s">
        <v>462</v>
      </c>
      <c r="G123" s="150">
        <v>32957</v>
      </c>
      <c r="H123" s="2">
        <v>743000</v>
      </c>
      <c r="I123" s="2">
        <v>0</v>
      </c>
      <c r="J123" s="2">
        <v>0</v>
      </c>
      <c r="K123" s="2">
        <v>133740</v>
      </c>
      <c r="L123" s="2">
        <v>0</v>
      </c>
      <c r="M123" s="2">
        <v>0</v>
      </c>
      <c r="N123" s="2">
        <v>0</v>
      </c>
    </row>
    <row r="124" spans="1:14" x14ac:dyDescent="0.25">
      <c r="A124" s="1" t="s">
        <v>44</v>
      </c>
      <c r="B124" t="s">
        <v>204</v>
      </c>
      <c r="C124" s="150">
        <v>92</v>
      </c>
      <c r="D124" t="s">
        <v>201</v>
      </c>
      <c r="E124" t="s">
        <v>202</v>
      </c>
      <c r="F124" t="s">
        <v>464</v>
      </c>
      <c r="G124" s="150">
        <v>32956</v>
      </c>
      <c r="H124" s="2">
        <v>147250</v>
      </c>
      <c r="I124" s="2">
        <v>0</v>
      </c>
      <c r="J124" s="2">
        <v>0</v>
      </c>
      <c r="K124" s="2">
        <v>26505</v>
      </c>
      <c r="L124" s="2">
        <v>0</v>
      </c>
      <c r="M124" s="2">
        <v>0</v>
      </c>
      <c r="N124" s="2">
        <v>0</v>
      </c>
    </row>
    <row r="125" spans="1:14" x14ac:dyDescent="0.25">
      <c r="A125" s="1" t="s">
        <v>44</v>
      </c>
      <c r="B125" t="s">
        <v>219</v>
      </c>
      <c r="C125" s="150">
        <v>92</v>
      </c>
      <c r="D125" t="s">
        <v>201</v>
      </c>
      <c r="E125" t="s">
        <v>202</v>
      </c>
      <c r="F125" t="s">
        <v>466</v>
      </c>
      <c r="G125" s="150">
        <v>32953</v>
      </c>
      <c r="H125" s="2">
        <v>998000</v>
      </c>
      <c r="I125" s="2">
        <v>0</v>
      </c>
      <c r="J125" s="2">
        <v>0</v>
      </c>
      <c r="K125" s="2">
        <v>179640</v>
      </c>
      <c r="L125" s="2">
        <v>0</v>
      </c>
      <c r="M125" s="2">
        <v>0</v>
      </c>
      <c r="N125" s="2">
        <v>0</v>
      </c>
    </row>
    <row r="126" spans="1:14" x14ac:dyDescent="0.25">
      <c r="A126" s="1" t="s">
        <v>44</v>
      </c>
      <c r="B126" t="s">
        <v>220</v>
      </c>
      <c r="C126" s="150">
        <v>92</v>
      </c>
      <c r="D126" t="s">
        <v>201</v>
      </c>
      <c r="E126" t="s">
        <v>202</v>
      </c>
      <c r="F126" t="s">
        <v>467</v>
      </c>
      <c r="G126" s="150">
        <v>32963</v>
      </c>
      <c r="H126" s="2">
        <v>195880</v>
      </c>
      <c r="I126" s="2">
        <v>0</v>
      </c>
      <c r="J126" s="2">
        <v>0</v>
      </c>
      <c r="K126" s="2">
        <v>35258.400000000001</v>
      </c>
      <c r="L126" s="2">
        <v>0</v>
      </c>
      <c r="M126" s="2">
        <v>0</v>
      </c>
      <c r="N126" s="2">
        <v>0</v>
      </c>
    </row>
    <row r="127" spans="1:14" x14ac:dyDescent="0.25">
      <c r="A127" s="1" t="s">
        <v>44</v>
      </c>
      <c r="B127" t="s">
        <v>221</v>
      </c>
      <c r="C127" s="150">
        <v>92</v>
      </c>
      <c r="D127" t="s">
        <v>201</v>
      </c>
      <c r="E127" t="s">
        <v>202</v>
      </c>
      <c r="F127" t="s">
        <v>470</v>
      </c>
      <c r="G127" s="150">
        <v>32961</v>
      </c>
      <c r="H127" s="2">
        <v>1037432.036</v>
      </c>
      <c r="I127" s="2">
        <v>0</v>
      </c>
      <c r="J127" s="2">
        <v>0</v>
      </c>
      <c r="K127" s="2">
        <v>186738</v>
      </c>
      <c r="L127" s="2">
        <v>0</v>
      </c>
      <c r="M127" s="2">
        <v>0</v>
      </c>
      <c r="N127" s="2">
        <v>0</v>
      </c>
    </row>
    <row r="128" spans="1:14" x14ac:dyDescent="0.25">
      <c r="A128" s="1" t="s">
        <v>44</v>
      </c>
      <c r="B128" t="s">
        <v>222</v>
      </c>
      <c r="C128" s="150">
        <v>92</v>
      </c>
      <c r="D128" t="s">
        <v>201</v>
      </c>
      <c r="E128" t="s">
        <v>202</v>
      </c>
      <c r="F128" t="s">
        <v>471</v>
      </c>
      <c r="G128" s="150">
        <v>32962</v>
      </c>
      <c r="H128" s="2">
        <v>347173.80900000001</v>
      </c>
      <c r="I128" s="2">
        <v>31245.64</v>
      </c>
      <c r="J128" s="2">
        <v>31245.64</v>
      </c>
      <c r="K128" s="2">
        <v>0</v>
      </c>
      <c r="L128" s="2">
        <v>0</v>
      </c>
      <c r="M128" s="2">
        <v>0</v>
      </c>
      <c r="N128" s="2">
        <v>0</v>
      </c>
    </row>
    <row r="129" spans="1:14" x14ac:dyDescent="0.25">
      <c r="A129" s="1" t="s">
        <v>44</v>
      </c>
      <c r="B129" t="s">
        <v>223</v>
      </c>
      <c r="C129" s="150">
        <v>93</v>
      </c>
      <c r="D129" t="s">
        <v>201</v>
      </c>
      <c r="E129" t="s">
        <v>202</v>
      </c>
      <c r="F129" t="s">
        <v>472</v>
      </c>
      <c r="G129" s="150">
        <v>32874</v>
      </c>
      <c r="H129" s="2">
        <v>15238.08</v>
      </c>
      <c r="I129" s="2">
        <v>1371.43</v>
      </c>
      <c r="J129" s="2">
        <v>1371.43</v>
      </c>
      <c r="K129" s="2">
        <v>0</v>
      </c>
      <c r="L129" s="2">
        <v>0</v>
      </c>
      <c r="M129" s="2">
        <v>0</v>
      </c>
      <c r="N129" s="2">
        <v>0</v>
      </c>
    </row>
    <row r="130" spans="1:14" x14ac:dyDescent="0.25">
      <c r="A130" s="1" t="s">
        <v>44</v>
      </c>
      <c r="B130" t="s">
        <v>238</v>
      </c>
      <c r="C130" s="150">
        <v>92</v>
      </c>
      <c r="D130" t="s">
        <v>201</v>
      </c>
      <c r="E130" t="s">
        <v>202</v>
      </c>
      <c r="F130" t="s">
        <v>469</v>
      </c>
      <c r="G130" s="150">
        <v>32963</v>
      </c>
      <c r="H130" s="2">
        <v>136780</v>
      </c>
      <c r="I130" s="2">
        <v>12310</v>
      </c>
      <c r="J130" s="2">
        <v>12310</v>
      </c>
      <c r="K130" s="2">
        <v>0</v>
      </c>
      <c r="L130" s="2">
        <v>0</v>
      </c>
      <c r="M130" s="2">
        <v>0</v>
      </c>
      <c r="N130" s="2">
        <v>0</v>
      </c>
    </row>
    <row r="131" spans="1:14" x14ac:dyDescent="0.25">
      <c r="A131" s="1" t="s">
        <v>44</v>
      </c>
      <c r="B131" t="s">
        <v>224</v>
      </c>
      <c r="C131" s="150">
        <v>93</v>
      </c>
      <c r="D131" t="s">
        <v>201</v>
      </c>
      <c r="E131" t="s">
        <v>202</v>
      </c>
      <c r="F131" t="s">
        <v>474</v>
      </c>
      <c r="G131" s="150">
        <v>32962</v>
      </c>
      <c r="H131" s="2">
        <v>1023793.673</v>
      </c>
      <c r="I131" s="2">
        <v>0</v>
      </c>
      <c r="J131" s="2">
        <v>0</v>
      </c>
      <c r="K131" s="2">
        <v>184283</v>
      </c>
      <c r="L131" s="2">
        <v>0</v>
      </c>
      <c r="M131" s="2">
        <v>0</v>
      </c>
      <c r="N131" s="2">
        <v>0</v>
      </c>
    </row>
    <row r="132" spans="1:14" x14ac:dyDescent="0.25">
      <c r="A132" s="1" t="s">
        <v>44</v>
      </c>
      <c r="B132" t="s">
        <v>225</v>
      </c>
      <c r="C132" s="150">
        <v>93</v>
      </c>
      <c r="D132" t="s">
        <v>201</v>
      </c>
      <c r="E132" t="s">
        <v>202</v>
      </c>
      <c r="F132" t="s">
        <v>475</v>
      </c>
      <c r="G132" s="150">
        <v>32963</v>
      </c>
      <c r="H132" s="2">
        <v>1224040.281</v>
      </c>
      <c r="I132" s="2">
        <v>0</v>
      </c>
      <c r="J132" s="2">
        <v>0</v>
      </c>
      <c r="K132" s="2">
        <v>220327</v>
      </c>
      <c r="L132" s="2">
        <v>0</v>
      </c>
      <c r="M132" s="2">
        <v>0</v>
      </c>
      <c r="N132" s="2">
        <v>0</v>
      </c>
    </row>
    <row r="133" spans="1:14" x14ac:dyDescent="0.25">
      <c r="A133" s="1" t="s">
        <v>44</v>
      </c>
      <c r="B133" t="s">
        <v>226</v>
      </c>
      <c r="C133" s="150">
        <v>93</v>
      </c>
      <c r="D133" t="s">
        <v>201</v>
      </c>
      <c r="E133" t="s">
        <v>202</v>
      </c>
      <c r="F133" t="s">
        <v>476</v>
      </c>
      <c r="G133" s="150">
        <v>32961</v>
      </c>
      <c r="H133" s="2">
        <v>287602.7</v>
      </c>
      <c r="I133" s="2">
        <v>25884.240000000002</v>
      </c>
      <c r="J133" s="2">
        <v>25884.240000000002</v>
      </c>
      <c r="K133" s="2">
        <v>0</v>
      </c>
      <c r="L133" s="2">
        <v>0</v>
      </c>
      <c r="M133" s="2">
        <v>0</v>
      </c>
      <c r="N133" s="2">
        <v>0</v>
      </c>
    </row>
    <row r="134" spans="1:14" x14ac:dyDescent="0.25">
      <c r="A134" s="1" t="s">
        <v>44</v>
      </c>
      <c r="B134" t="s">
        <v>239</v>
      </c>
      <c r="C134" s="150">
        <v>93</v>
      </c>
      <c r="D134" t="s">
        <v>201</v>
      </c>
      <c r="E134" t="s">
        <v>202</v>
      </c>
      <c r="F134" t="s">
        <v>477</v>
      </c>
      <c r="G134" s="150">
        <v>32963</v>
      </c>
      <c r="H134" s="2">
        <v>1763438.08</v>
      </c>
      <c r="I134" s="2">
        <v>158709</v>
      </c>
      <c r="J134" s="2">
        <v>158709</v>
      </c>
      <c r="K134" s="2">
        <v>0</v>
      </c>
      <c r="L134" s="2">
        <v>0</v>
      </c>
      <c r="M134" s="2">
        <v>0</v>
      </c>
      <c r="N134" s="2">
        <v>0</v>
      </c>
    </row>
    <row r="135" spans="1:14" x14ac:dyDescent="0.25">
      <c r="A135" s="1" t="s">
        <v>44</v>
      </c>
      <c r="B135" t="s">
        <v>227</v>
      </c>
      <c r="C135" s="150">
        <v>93</v>
      </c>
      <c r="D135" t="s">
        <v>201</v>
      </c>
      <c r="E135" t="s">
        <v>202</v>
      </c>
      <c r="F135" t="s">
        <v>478</v>
      </c>
      <c r="G135" s="150">
        <v>32875</v>
      </c>
      <c r="H135" s="2">
        <v>52920</v>
      </c>
      <c r="I135" s="2">
        <v>4763</v>
      </c>
      <c r="J135" s="2">
        <v>4763</v>
      </c>
      <c r="K135" s="2">
        <v>0</v>
      </c>
      <c r="L135" s="2">
        <v>0</v>
      </c>
      <c r="M135" s="2">
        <v>0</v>
      </c>
      <c r="N135" s="2">
        <v>0</v>
      </c>
    </row>
    <row r="136" spans="1:14" x14ac:dyDescent="0.25">
      <c r="A136" s="1" t="s">
        <v>44</v>
      </c>
      <c r="B136" t="s">
        <v>228</v>
      </c>
      <c r="C136" s="150">
        <v>93</v>
      </c>
      <c r="D136" t="s">
        <v>201</v>
      </c>
      <c r="E136" t="s">
        <v>202</v>
      </c>
      <c r="F136" t="s">
        <v>479</v>
      </c>
      <c r="G136" s="150">
        <v>32875</v>
      </c>
      <c r="H136" s="2">
        <v>189630</v>
      </c>
      <c r="I136" s="2">
        <v>17066.7</v>
      </c>
      <c r="J136" s="2">
        <v>17066.7</v>
      </c>
      <c r="K136" s="2">
        <v>0</v>
      </c>
      <c r="L136" s="2">
        <v>0</v>
      </c>
      <c r="M136" s="2">
        <v>0</v>
      </c>
      <c r="N136" s="2">
        <v>0</v>
      </c>
    </row>
    <row r="137" spans="1:14" x14ac:dyDescent="0.25">
      <c r="A137" s="1" t="s">
        <v>44</v>
      </c>
      <c r="B137" t="s">
        <v>229</v>
      </c>
      <c r="C137" s="150">
        <v>93</v>
      </c>
      <c r="D137" t="s">
        <v>201</v>
      </c>
      <c r="E137" t="s">
        <v>202</v>
      </c>
      <c r="F137" t="s">
        <v>480</v>
      </c>
      <c r="G137" s="150">
        <v>32875</v>
      </c>
      <c r="H137" s="2">
        <v>1250</v>
      </c>
      <c r="I137" s="2">
        <v>113</v>
      </c>
      <c r="J137" s="2">
        <v>113</v>
      </c>
      <c r="K137" s="2">
        <v>0</v>
      </c>
      <c r="L137" s="2">
        <v>0</v>
      </c>
      <c r="M137" s="2">
        <v>0</v>
      </c>
      <c r="N137" s="2">
        <v>0</v>
      </c>
    </row>
    <row r="138" spans="1:14" x14ac:dyDescent="0.25">
      <c r="A138" s="1" t="s">
        <v>44</v>
      </c>
      <c r="B138" t="s">
        <v>230</v>
      </c>
      <c r="C138" s="150">
        <v>94</v>
      </c>
      <c r="D138" t="s">
        <v>201</v>
      </c>
      <c r="E138" t="s">
        <v>202</v>
      </c>
      <c r="F138" t="s">
        <v>482</v>
      </c>
      <c r="G138" s="150">
        <v>32963</v>
      </c>
      <c r="H138" s="2">
        <v>895361.12</v>
      </c>
      <c r="I138" s="2">
        <v>80582</v>
      </c>
      <c r="J138" s="2">
        <v>80582</v>
      </c>
      <c r="K138" s="2">
        <v>0</v>
      </c>
      <c r="L138" s="2">
        <v>0</v>
      </c>
      <c r="M138" s="2">
        <v>0</v>
      </c>
      <c r="N138" s="2">
        <v>0</v>
      </c>
    </row>
    <row r="139" spans="1:14" x14ac:dyDescent="0.25">
      <c r="A139" s="1" t="s">
        <v>44</v>
      </c>
      <c r="B139" t="s">
        <v>231</v>
      </c>
      <c r="C139" s="150">
        <v>107</v>
      </c>
      <c r="D139" t="s">
        <v>201</v>
      </c>
      <c r="E139" t="s">
        <v>202</v>
      </c>
      <c r="F139" t="s">
        <v>483</v>
      </c>
      <c r="G139" s="150">
        <v>32963</v>
      </c>
      <c r="H139" s="2">
        <v>216720</v>
      </c>
      <c r="I139" s="2">
        <v>19504.8</v>
      </c>
      <c r="J139" s="2">
        <v>19504.8</v>
      </c>
      <c r="K139" s="2">
        <v>0</v>
      </c>
      <c r="L139" s="2">
        <v>0</v>
      </c>
      <c r="M139" s="2">
        <v>0</v>
      </c>
      <c r="N139" s="2">
        <v>0</v>
      </c>
    </row>
    <row r="140" spans="1:14" x14ac:dyDescent="0.25">
      <c r="A140" s="1" t="s">
        <v>44</v>
      </c>
      <c r="B140" t="s">
        <v>232</v>
      </c>
      <c r="C140" s="150">
        <v>107</v>
      </c>
      <c r="D140" t="s">
        <v>201</v>
      </c>
      <c r="E140" t="s">
        <v>202</v>
      </c>
      <c r="F140" t="s">
        <v>267</v>
      </c>
      <c r="G140" s="150">
        <v>32874</v>
      </c>
      <c r="H140" s="2">
        <v>368000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</row>
    <row r="141" spans="1:14" x14ac:dyDescent="0.25">
      <c r="A141" s="1" t="s">
        <v>44</v>
      </c>
      <c r="B141" t="s">
        <v>233</v>
      </c>
      <c r="C141" s="150">
        <v>107</v>
      </c>
      <c r="D141" t="s">
        <v>201</v>
      </c>
      <c r="E141" t="s">
        <v>202</v>
      </c>
      <c r="F141" t="s">
        <v>484</v>
      </c>
      <c r="G141" s="150">
        <v>32956</v>
      </c>
      <c r="H141" s="2">
        <v>600000</v>
      </c>
      <c r="I141" s="2">
        <v>0</v>
      </c>
      <c r="J141" s="2">
        <v>0</v>
      </c>
      <c r="K141" s="2">
        <v>108000</v>
      </c>
      <c r="L141" s="2">
        <v>0</v>
      </c>
      <c r="M141" s="2">
        <v>0</v>
      </c>
      <c r="N141" s="2">
        <v>0</v>
      </c>
    </row>
    <row r="142" spans="1:14" x14ac:dyDescent="0.25">
      <c r="A142" s="1" t="s">
        <v>44</v>
      </c>
      <c r="B142" t="s">
        <v>234</v>
      </c>
      <c r="C142" s="150">
        <v>107</v>
      </c>
      <c r="D142" t="s">
        <v>201</v>
      </c>
      <c r="E142" t="s">
        <v>202</v>
      </c>
      <c r="F142" t="s">
        <v>486</v>
      </c>
      <c r="G142" s="150">
        <v>32956</v>
      </c>
      <c r="H142" s="2">
        <v>487800</v>
      </c>
      <c r="I142" s="2">
        <v>0</v>
      </c>
      <c r="J142" s="2">
        <v>0</v>
      </c>
      <c r="K142" s="2">
        <v>87804</v>
      </c>
      <c r="L142" s="2">
        <v>0</v>
      </c>
      <c r="M142" s="2">
        <v>0</v>
      </c>
      <c r="N142" s="2">
        <v>0</v>
      </c>
    </row>
    <row r="143" spans="1:14" x14ac:dyDescent="0.25">
      <c r="A143" s="1" t="s">
        <v>44</v>
      </c>
      <c r="B143" t="s">
        <v>240</v>
      </c>
      <c r="C143" s="150">
        <v>107</v>
      </c>
      <c r="D143" t="s">
        <v>201</v>
      </c>
      <c r="E143" t="s">
        <v>202</v>
      </c>
      <c r="F143" t="s">
        <v>488</v>
      </c>
      <c r="G143" s="150">
        <v>32958</v>
      </c>
      <c r="H143" s="2">
        <v>3693668</v>
      </c>
      <c r="I143" s="2">
        <v>0</v>
      </c>
      <c r="J143" s="2">
        <v>0</v>
      </c>
      <c r="K143" s="2">
        <v>664860.24</v>
      </c>
      <c r="L143" s="2">
        <v>0</v>
      </c>
      <c r="M143" s="2">
        <v>0</v>
      </c>
      <c r="N143" s="2">
        <v>0</v>
      </c>
    </row>
    <row r="144" spans="1:14" x14ac:dyDescent="0.25">
      <c r="A144" s="1" t="s">
        <v>44</v>
      </c>
      <c r="B144" t="s">
        <v>235</v>
      </c>
      <c r="C144" s="150">
        <v>107</v>
      </c>
      <c r="D144" t="s">
        <v>201</v>
      </c>
      <c r="E144" t="s">
        <v>202</v>
      </c>
      <c r="F144" t="s">
        <v>490</v>
      </c>
      <c r="G144" s="150">
        <v>32956</v>
      </c>
      <c r="H144" s="2">
        <v>37500</v>
      </c>
      <c r="I144" s="2">
        <v>0</v>
      </c>
      <c r="J144" s="2">
        <v>0</v>
      </c>
      <c r="K144" s="2">
        <v>6750</v>
      </c>
      <c r="L144" s="2">
        <v>0</v>
      </c>
      <c r="M144" s="2">
        <v>0</v>
      </c>
      <c r="N144" s="2">
        <v>0</v>
      </c>
    </row>
    <row r="145" spans="1:14" x14ac:dyDescent="0.25">
      <c r="A145" s="1" t="s">
        <v>44</v>
      </c>
      <c r="B145" t="s">
        <v>287</v>
      </c>
      <c r="C145" s="150">
        <v>107</v>
      </c>
      <c r="D145" t="s">
        <v>201</v>
      </c>
      <c r="E145" t="s">
        <v>202</v>
      </c>
      <c r="F145" t="s">
        <v>494</v>
      </c>
      <c r="G145" s="150">
        <v>32962</v>
      </c>
      <c r="H145" s="2">
        <v>1080720</v>
      </c>
      <c r="I145" s="2">
        <v>0</v>
      </c>
      <c r="J145" s="2">
        <v>0</v>
      </c>
      <c r="K145" s="2">
        <v>194529.6</v>
      </c>
      <c r="L145" s="2">
        <v>0</v>
      </c>
      <c r="M145" s="2">
        <v>0</v>
      </c>
      <c r="N145" s="2">
        <v>0</v>
      </c>
    </row>
    <row r="146" spans="1:14" x14ac:dyDescent="0.25">
      <c r="A146" s="1" t="s">
        <v>44</v>
      </c>
      <c r="B146" t="s">
        <v>237</v>
      </c>
      <c r="C146" s="150">
        <v>107</v>
      </c>
      <c r="D146" t="s">
        <v>201</v>
      </c>
      <c r="E146" t="s">
        <v>202</v>
      </c>
      <c r="F146" t="s">
        <v>495</v>
      </c>
      <c r="G146" s="150">
        <v>32956</v>
      </c>
      <c r="H146" s="2">
        <v>822492</v>
      </c>
      <c r="I146" s="2">
        <v>0</v>
      </c>
      <c r="J146" s="2">
        <v>0</v>
      </c>
      <c r="K146" s="2">
        <v>148048.56</v>
      </c>
      <c r="L146" s="2">
        <v>0</v>
      </c>
      <c r="M146" s="2">
        <v>0</v>
      </c>
      <c r="N146" s="2">
        <v>0</v>
      </c>
    </row>
    <row r="147" spans="1:14" x14ac:dyDescent="0.25">
      <c r="A147" s="1" t="s">
        <v>44</v>
      </c>
      <c r="B147" t="s">
        <v>291</v>
      </c>
      <c r="C147" s="150">
        <v>107</v>
      </c>
      <c r="D147" t="s">
        <v>201</v>
      </c>
      <c r="E147" t="s">
        <v>202</v>
      </c>
      <c r="F147" t="s">
        <v>497</v>
      </c>
      <c r="G147" s="150">
        <v>32963</v>
      </c>
      <c r="H147" s="2">
        <v>1137600</v>
      </c>
      <c r="I147" s="2">
        <v>0</v>
      </c>
      <c r="J147" s="2">
        <v>0</v>
      </c>
      <c r="K147" s="2">
        <v>204768</v>
      </c>
      <c r="L147" s="2">
        <v>0</v>
      </c>
      <c r="M147" s="2">
        <v>0</v>
      </c>
      <c r="N147" s="2">
        <v>0</v>
      </c>
    </row>
    <row r="148" spans="1:14" x14ac:dyDescent="0.25">
      <c r="A148" s="1" t="s">
        <v>44</v>
      </c>
      <c r="B148" t="s">
        <v>241</v>
      </c>
      <c r="C148" s="150">
        <v>107</v>
      </c>
      <c r="D148" t="s">
        <v>201</v>
      </c>
      <c r="E148" t="s">
        <v>202</v>
      </c>
      <c r="F148" t="s">
        <v>410</v>
      </c>
      <c r="G148" s="150">
        <v>32874</v>
      </c>
      <c r="H148" s="2">
        <v>29659.51</v>
      </c>
      <c r="I148" s="2">
        <v>2669.36</v>
      </c>
      <c r="J148" s="2">
        <v>2669.36</v>
      </c>
      <c r="K148" s="2">
        <v>0</v>
      </c>
      <c r="L148" s="2">
        <v>0</v>
      </c>
      <c r="M148" s="2">
        <v>0</v>
      </c>
      <c r="N148" s="2">
        <v>0</v>
      </c>
    </row>
    <row r="149" spans="1:14" x14ac:dyDescent="0.25">
      <c r="A149" s="1" t="s">
        <v>44</v>
      </c>
      <c r="B149" t="s">
        <v>294</v>
      </c>
      <c r="C149" s="150">
        <v>109</v>
      </c>
      <c r="D149" t="s">
        <v>201</v>
      </c>
      <c r="E149" t="s">
        <v>202</v>
      </c>
      <c r="F149" t="s">
        <v>442</v>
      </c>
      <c r="G149" s="150">
        <v>32874</v>
      </c>
      <c r="H149" s="2">
        <v>30370.61</v>
      </c>
      <c r="I149" s="2">
        <v>2733.36</v>
      </c>
      <c r="J149" s="2">
        <v>2733.36</v>
      </c>
      <c r="K149" s="2">
        <v>0</v>
      </c>
      <c r="L149" s="2">
        <v>0</v>
      </c>
      <c r="M149" s="2">
        <v>0</v>
      </c>
      <c r="N149" s="2">
        <v>0</v>
      </c>
    </row>
    <row r="150" spans="1:14" x14ac:dyDescent="0.25">
      <c r="A150" s="1" t="s">
        <v>44</v>
      </c>
      <c r="B150" t="s">
        <v>297</v>
      </c>
      <c r="C150" s="150">
        <v>109</v>
      </c>
      <c r="D150" t="s">
        <v>201</v>
      </c>
      <c r="E150" t="s">
        <v>202</v>
      </c>
      <c r="F150" t="s">
        <v>498</v>
      </c>
      <c r="G150" s="150">
        <v>32878</v>
      </c>
      <c r="H150" s="2">
        <v>21977.759999999998</v>
      </c>
      <c r="I150" s="2">
        <v>1978</v>
      </c>
      <c r="J150" s="2">
        <v>1978</v>
      </c>
      <c r="K150" s="2">
        <v>0</v>
      </c>
      <c r="L150" s="2">
        <v>0</v>
      </c>
      <c r="M150" s="2">
        <v>0</v>
      </c>
      <c r="N150" s="2">
        <v>0</v>
      </c>
    </row>
    <row r="151" spans="1:14" x14ac:dyDescent="0.25">
      <c r="A151" s="1" t="s">
        <v>44</v>
      </c>
      <c r="B151" t="s">
        <v>299</v>
      </c>
      <c r="C151" s="150">
        <v>109</v>
      </c>
      <c r="D151" t="s">
        <v>201</v>
      </c>
      <c r="E151" t="s">
        <v>202</v>
      </c>
      <c r="F151" t="s">
        <v>499</v>
      </c>
      <c r="G151" s="150">
        <v>32878</v>
      </c>
      <c r="H151" s="2">
        <v>286965</v>
      </c>
      <c r="I151" s="2">
        <v>25826.85</v>
      </c>
      <c r="J151" s="2">
        <v>25826.85</v>
      </c>
      <c r="K151" s="2">
        <v>0</v>
      </c>
      <c r="L151" s="2">
        <v>0</v>
      </c>
      <c r="M151" s="2">
        <v>0</v>
      </c>
      <c r="N151" s="2">
        <v>0</v>
      </c>
    </row>
    <row r="152" spans="1:14" x14ac:dyDescent="0.25">
      <c r="A152" s="1" t="s">
        <v>44</v>
      </c>
      <c r="B152" t="s">
        <v>301</v>
      </c>
      <c r="C152" s="150">
        <v>109</v>
      </c>
      <c r="D152" t="s">
        <v>201</v>
      </c>
      <c r="E152" t="s">
        <v>202</v>
      </c>
      <c r="F152" t="s">
        <v>500</v>
      </c>
      <c r="G152" s="150">
        <v>32878</v>
      </c>
      <c r="H152" s="2">
        <v>1125</v>
      </c>
      <c r="I152" s="2">
        <v>101</v>
      </c>
      <c r="J152" s="2">
        <v>101</v>
      </c>
      <c r="K152" s="2">
        <v>0</v>
      </c>
      <c r="L152" s="2">
        <v>0</v>
      </c>
      <c r="M152" s="2">
        <v>0</v>
      </c>
      <c r="N152" s="2">
        <v>0</v>
      </c>
    </row>
    <row r="153" spans="1:14" x14ac:dyDescent="0.25">
      <c r="A153" s="1" t="s">
        <v>44</v>
      </c>
      <c r="B153" t="s">
        <v>305</v>
      </c>
      <c r="C153" s="150">
        <v>109</v>
      </c>
      <c r="D153" t="s">
        <v>201</v>
      </c>
      <c r="E153" t="s">
        <v>202</v>
      </c>
      <c r="F153" t="s">
        <v>501</v>
      </c>
      <c r="G153" s="150">
        <v>32961</v>
      </c>
      <c r="H153" s="2">
        <v>173500</v>
      </c>
      <c r="I153" s="2">
        <v>0</v>
      </c>
      <c r="J153" s="2">
        <v>0</v>
      </c>
      <c r="K153" s="2">
        <v>31230</v>
      </c>
      <c r="L153" s="2">
        <v>0</v>
      </c>
      <c r="M153" s="2">
        <v>0</v>
      </c>
      <c r="N153" s="2">
        <v>0</v>
      </c>
    </row>
    <row r="154" spans="1:14" x14ac:dyDescent="0.25">
      <c r="A154" s="1" t="s">
        <v>44</v>
      </c>
      <c r="B154" t="s">
        <v>307</v>
      </c>
      <c r="C154" s="150">
        <v>109</v>
      </c>
      <c r="D154" t="s">
        <v>201</v>
      </c>
      <c r="E154" t="s">
        <v>202</v>
      </c>
      <c r="F154" t="s">
        <v>503</v>
      </c>
      <c r="G154" s="150">
        <v>32962</v>
      </c>
      <c r="H154" s="2">
        <v>84600</v>
      </c>
      <c r="I154" s="2">
        <v>0</v>
      </c>
      <c r="J154" s="2">
        <v>0</v>
      </c>
      <c r="K154" s="2">
        <v>15228</v>
      </c>
      <c r="L154" s="2">
        <v>0</v>
      </c>
      <c r="M154" s="2">
        <v>0</v>
      </c>
      <c r="N154" s="2">
        <v>0</v>
      </c>
    </row>
    <row r="155" spans="1:14" x14ac:dyDescent="0.25">
      <c r="A155" s="1" t="s">
        <v>44</v>
      </c>
      <c r="B155" t="s">
        <v>309</v>
      </c>
      <c r="C155" s="150">
        <v>109</v>
      </c>
      <c r="D155" t="s">
        <v>201</v>
      </c>
      <c r="E155" t="s">
        <v>202</v>
      </c>
      <c r="F155" t="s">
        <v>505</v>
      </c>
      <c r="G155" s="150">
        <v>32960</v>
      </c>
      <c r="H155" s="2">
        <v>130800</v>
      </c>
      <c r="I155" s="2">
        <v>0</v>
      </c>
      <c r="J155" s="2">
        <v>0</v>
      </c>
      <c r="K155" s="2">
        <v>23544</v>
      </c>
      <c r="L155" s="2">
        <v>0</v>
      </c>
      <c r="M155" s="2">
        <v>0</v>
      </c>
      <c r="N155" s="2">
        <v>0</v>
      </c>
    </row>
    <row r="156" spans="1:14" x14ac:dyDescent="0.25">
      <c r="A156" s="1" t="s">
        <v>44</v>
      </c>
      <c r="B156" t="s">
        <v>311</v>
      </c>
      <c r="C156" s="150">
        <v>110</v>
      </c>
      <c r="D156" t="s">
        <v>201</v>
      </c>
      <c r="E156" t="s">
        <v>202</v>
      </c>
      <c r="F156" t="s">
        <v>507</v>
      </c>
      <c r="G156" s="150">
        <v>32875</v>
      </c>
      <c r="H156" s="2">
        <v>128670</v>
      </c>
      <c r="I156" s="2">
        <v>0</v>
      </c>
      <c r="J156" s="2">
        <v>0</v>
      </c>
      <c r="K156" s="2">
        <v>23160.6</v>
      </c>
      <c r="L156" s="2">
        <v>0</v>
      </c>
      <c r="M156" s="2">
        <v>0</v>
      </c>
      <c r="N156" s="2">
        <v>0</v>
      </c>
    </row>
    <row r="157" spans="1:14" x14ac:dyDescent="0.25">
      <c r="A157" s="1" t="s">
        <v>44</v>
      </c>
      <c r="B157" t="s">
        <v>313</v>
      </c>
      <c r="C157" s="150">
        <v>110</v>
      </c>
      <c r="D157" t="s">
        <v>201</v>
      </c>
      <c r="E157" t="s">
        <v>202</v>
      </c>
      <c r="F157" t="s">
        <v>508</v>
      </c>
      <c r="G157" s="150">
        <v>32878</v>
      </c>
      <c r="H157" s="2">
        <v>207690</v>
      </c>
      <c r="I157" s="2">
        <v>18692.099999999999</v>
      </c>
      <c r="J157" s="2">
        <v>18692.099999999999</v>
      </c>
      <c r="K157" s="2">
        <v>0</v>
      </c>
      <c r="L157" s="2">
        <v>0</v>
      </c>
      <c r="M157" s="2">
        <v>0</v>
      </c>
      <c r="N157" s="2">
        <v>0</v>
      </c>
    </row>
    <row r="158" spans="1:14" x14ac:dyDescent="0.25">
      <c r="A158" s="1" t="s">
        <v>44</v>
      </c>
      <c r="B158" t="s">
        <v>315</v>
      </c>
      <c r="C158" s="150">
        <v>110</v>
      </c>
      <c r="D158" t="s">
        <v>201</v>
      </c>
      <c r="E158" t="s">
        <v>202</v>
      </c>
      <c r="F158" t="s">
        <v>509</v>
      </c>
      <c r="G158" s="150">
        <v>32878</v>
      </c>
      <c r="H158" s="2">
        <v>467530.14399999997</v>
      </c>
      <c r="I158" s="2">
        <v>42078</v>
      </c>
      <c r="J158" s="2">
        <v>42078</v>
      </c>
      <c r="K158" s="2">
        <v>0</v>
      </c>
      <c r="L158" s="2">
        <v>0</v>
      </c>
      <c r="M158" s="2">
        <v>0</v>
      </c>
      <c r="N158" s="2">
        <v>0</v>
      </c>
    </row>
    <row r="159" spans="1:14" x14ac:dyDescent="0.25">
      <c r="A159" s="1" t="s">
        <v>44</v>
      </c>
      <c r="B159" t="s">
        <v>318</v>
      </c>
      <c r="C159" s="150">
        <v>110</v>
      </c>
      <c r="D159" t="s">
        <v>201</v>
      </c>
      <c r="E159" t="s">
        <v>202</v>
      </c>
      <c r="F159" t="s">
        <v>510</v>
      </c>
      <c r="G159" s="150">
        <v>32961</v>
      </c>
      <c r="H159" s="2">
        <v>1486000</v>
      </c>
      <c r="I159" s="2">
        <v>0</v>
      </c>
      <c r="J159" s="2">
        <v>0</v>
      </c>
      <c r="K159" s="2">
        <v>267480</v>
      </c>
      <c r="L159" s="2">
        <v>0</v>
      </c>
      <c r="M159" s="2">
        <v>0</v>
      </c>
      <c r="N159" s="2">
        <v>0</v>
      </c>
    </row>
    <row r="160" spans="1:14" x14ac:dyDescent="0.25">
      <c r="A160" s="1" t="s">
        <v>44</v>
      </c>
      <c r="B160" t="s">
        <v>320</v>
      </c>
      <c r="C160" s="150">
        <v>110</v>
      </c>
      <c r="D160" t="s">
        <v>201</v>
      </c>
      <c r="E160" t="s">
        <v>202</v>
      </c>
      <c r="F160" t="s">
        <v>511</v>
      </c>
      <c r="G160" s="150">
        <v>32958</v>
      </c>
      <c r="H160" s="2">
        <v>344700</v>
      </c>
      <c r="I160" s="2">
        <v>0</v>
      </c>
      <c r="J160" s="2">
        <v>0</v>
      </c>
      <c r="K160" s="2">
        <v>62046</v>
      </c>
      <c r="L160" s="2">
        <v>0</v>
      </c>
      <c r="M160" s="2">
        <v>0</v>
      </c>
      <c r="N160" s="2">
        <v>0</v>
      </c>
    </row>
    <row r="161" spans="1:14" x14ac:dyDescent="0.25">
      <c r="A161" s="1" t="s">
        <v>44</v>
      </c>
      <c r="B161" t="s">
        <v>322</v>
      </c>
      <c r="C161" s="150">
        <v>110</v>
      </c>
      <c r="D161" t="s">
        <v>201</v>
      </c>
      <c r="E161" t="s">
        <v>202</v>
      </c>
      <c r="F161" t="s">
        <v>513</v>
      </c>
      <c r="G161" s="150">
        <v>32878</v>
      </c>
      <c r="H161" s="2">
        <v>253353.44</v>
      </c>
      <c r="I161" s="2">
        <v>15492</v>
      </c>
      <c r="J161" s="2">
        <v>15492</v>
      </c>
      <c r="K161" s="2">
        <v>0</v>
      </c>
      <c r="L161" s="2">
        <v>0</v>
      </c>
      <c r="M161" s="2">
        <v>0</v>
      </c>
      <c r="N161" s="2">
        <v>0</v>
      </c>
    </row>
    <row r="162" spans="1:14" x14ac:dyDescent="0.25">
      <c r="A162" s="1" t="s">
        <v>44</v>
      </c>
      <c r="B162" t="s">
        <v>324</v>
      </c>
      <c r="C162" s="150">
        <v>110</v>
      </c>
      <c r="D162" t="s">
        <v>201</v>
      </c>
      <c r="E162" t="s">
        <v>202</v>
      </c>
      <c r="F162" t="s">
        <v>515</v>
      </c>
      <c r="G162" s="150">
        <v>32963</v>
      </c>
      <c r="H162" s="2">
        <v>230625</v>
      </c>
      <c r="I162" s="2">
        <v>0</v>
      </c>
      <c r="J162" s="2">
        <v>0</v>
      </c>
      <c r="K162" s="2">
        <v>41512.5</v>
      </c>
      <c r="L162" s="2">
        <v>0</v>
      </c>
      <c r="M162" s="2">
        <v>0</v>
      </c>
      <c r="N162" s="2">
        <v>0</v>
      </c>
    </row>
    <row r="163" spans="1:14" x14ac:dyDescent="0.25">
      <c r="A163" s="1" t="s">
        <v>44</v>
      </c>
      <c r="B163" t="s">
        <v>325</v>
      </c>
      <c r="C163" s="150">
        <v>110</v>
      </c>
      <c r="D163" t="s">
        <v>201</v>
      </c>
      <c r="E163" t="s">
        <v>202</v>
      </c>
      <c r="F163" t="s">
        <v>517</v>
      </c>
      <c r="G163" s="150">
        <v>32961</v>
      </c>
      <c r="H163" s="2">
        <v>889000</v>
      </c>
      <c r="I163" s="2">
        <v>0</v>
      </c>
      <c r="J163" s="2">
        <v>0</v>
      </c>
      <c r="K163" s="2">
        <v>160020</v>
      </c>
      <c r="L163" s="2">
        <v>0</v>
      </c>
      <c r="M163" s="2">
        <v>0</v>
      </c>
      <c r="N163" s="2">
        <v>0</v>
      </c>
    </row>
    <row r="164" spans="1:14" x14ac:dyDescent="0.25">
      <c r="A164" s="1" t="s">
        <v>44</v>
      </c>
      <c r="B164" t="s">
        <v>327</v>
      </c>
      <c r="C164" s="150">
        <v>110</v>
      </c>
      <c r="D164" t="s">
        <v>201</v>
      </c>
      <c r="E164" t="s">
        <v>202</v>
      </c>
      <c r="F164" t="s">
        <v>519</v>
      </c>
      <c r="G164" s="150">
        <v>32878</v>
      </c>
      <c r="H164" s="2">
        <v>124442.96</v>
      </c>
      <c r="I164" s="2">
        <v>11200</v>
      </c>
      <c r="J164" s="2">
        <v>11200</v>
      </c>
      <c r="K164" s="2">
        <v>0</v>
      </c>
      <c r="L164" s="2">
        <v>0</v>
      </c>
      <c r="M164" s="2">
        <v>0</v>
      </c>
      <c r="N164" s="2">
        <v>0</v>
      </c>
    </row>
    <row r="165" spans="1:14" x14ac:dyDescent="0.25">
      <c r="A165" s="1" t="s">
        <v>44</v>
      </c>
      <c r="B165" t="s">
        <v>330</v>
      </c>
      <c r="C165" s="150">
        <v>110</v>
      </c>
      <c r="D165" t="s">
        <v>201</v>
      </c>
      <c r="E165" t="s">
        <v>202</v>
      </c>
      <c r="F165" t="s">
        <v>520</v>
      </c>
      <c r="G165" s="150">
        <v>32879</v>
      </c>
      <c r="H165" s="2">
        <v>254889.2</v>
      </c>
      <c r="I165" s="2">
        <v>22940.03</v>
      </c>
      <c r="J165" s="2">
        <v>22940.03</v>
      </c>
      <c r="K165" s="2">
        <v>0</v>
      </c>
      <c r="L165" s="2">
        <v>0</v>
      </c>
      <c r="M165" s="2">
        <v>0</v>
      </c>
      <c r="N165" s="2">
        <v>0</v>
      </c>
    </row>
    <row r="166" spans="1:14" x14ac:dyDescent="0.25">
      <c r="A166" s="1" t="s">
        <v>44</v>
      </c>
      <c r="B166" t="s">
        <v>335</v>
      </c>
      <c r="C166" s="150">
        <v>110</v>
      </c>
      <c r="D166" t="s">
        <v>201</v>
      </c>
      <c r="E166" t="s">
        <v>202</v>
      </c>
      <c r="F166" t="s">
        <v>522</v>
      </c>
      <c r="G166" s="150">
        <v>32879</v>
      </c>
      <c r="H166" s="2">
        <v>266008.02399999998</v>
      </c>
      <c r="I166" s="2">
        <v>23941</v>
      </c>
      <c r="J166" s="2">
        <v>23941</v>
      </c>
      <c r="K166" s="2">
        <v>0</v>
      </c>
      <c r="L166" s="2">
        <v>0</v>
      </c>
      <c r="M166" s="2">
        <v>0</v>
      </c>
      <c r="N166" s="2">
        <v>0</v>
      </c>
    </row>
    <row r="167" spans="1:14" x14ac:dyDescent="0.25">
      <c r="A167" s="1" t="s">
        <v>44</v>
      </c>
      <c r="B167" t="s">
        <v>337</v>
      </c>
      <c r="C167" s="150">
        <v>110</v>
      </c>
      <c r="D167" t="s">
        <v>201</v>
      </c>
      <c r="E167" t="s">
        <v>202</v>
      </c>
      <c r="F167" t="s">
        <v>274</v>
      </c>
      <c r="G167" s="150">
        <v>32880</v>
      </c>
      <c r="H167" s="2">
        <v>293900</v>
      </c>
      <c r="I167" s="2">
        <v>26451</v>
      </c>
      <c r="J167" s="2">
        <v>26451</v>
      </c>
      <c r="K167" s="2">
        <v>0</v>
      </c>
      <c r="L167" s="2">
        <v>0</v>
      </c>
      <c r="M167" s="2">
        <v>0</v>
      </c>
      <c r="N167" s="2">
        <v>0</v>
      </c>
    </row>
    <row r="168" spans="1:14" x14ac:dyDescent="0.25">
      <c r="A168" s="1" t="s">
        <v>44</v>
      </c>
      <c r="B168" t="s">
        <v>338</v>
      </c>
      <c r="C168" s="150">
        <v>111</v>
      </c>
      <c r="D168" t="s">
        <v>201</v>
      </c>
      <c r="E168" t="s">
        <v>202</v>
      </c>
      <c r="F168" t="s">
        <v>524</v>
      </c>
      <c r="G168" s="150">
        <v>32880</v>
      </c>
      <c r="H168" s="2">
        <v>4653.2</v>
      </c>
      <c r="I168" s="2">
        <v>418.79</v>
      </c>
      <c r="J168" s="2">
        <v>418.79</v>
      </c>
      <c r="K168" s="2">
        <v>0</v>
      </c>
      <c r="L168" s="2">
        <v>0</v>
      </c>
      <c r="M168" s="2">
        <v>0</v>
      </c>
      <c r="N168" s="2">
        <v>0</v>
      </c>
    </row>
    <row r="169" spans="1:14" x14ac:dyDescent="0.25">
      <c r="A169" s="1" t="s">
        <v>44</v>
      </c>
      <c r="B169" t="s">
        <v>340</v>
      </c>
      <c r="C169" s="150">
        <v>111</v>
      </c>
      <c r="D169" t="s">
        <v>201</v>
      </c>
      <c r="E169" t="s">
        <v>202</v>
      </c>
      <c r="F169" t="s">
        <v>525</v>
      </c>
      <c r="G169" s="150">
        <v>32880</v>
      </c>
      <c r="H169" s="2">
        <v>490947.69500000001</v>
      </c>
      <c r="I169" s="2">
        <v>0</v>
      </c>
      <c r="J169" s="2">
        <v>0</v>
      </c>
      <c r="K169" s="2">
        <v>88371</v>
      </c>
      <c r="L169" s="2">
        <v>0</v>
      </c>
      <c r="M169" s="2">
        <v>0</v>
      </c>
      <c r="N169" s="2">
        <v>0</v>
      </c>
    </row>
    <row r="170" spans="1:14" x14ac:dyDescent="0.25">
      <c r="A170" s="1" t="s">
        <v>44</v>
      </c>
      <c r="B170" t="s">
        <v>342</v>
      </c>
      <c r="C170" s="150">
        <v>111</v>
      </c>
      <c r="D170" t="s">
        <v>201</v>
      </c>
      <c r="E170" t="s">
        <v>202</v>
      </c>
      <c r="F170" t="s">
        <v>526</v>
      </c>
      <c r="G170" s="150">
        <v>32881</v>
      </c>
      <c r="H170" s="2">
        <v>484622.3</v>
      </c>
      <c r="I170" s="2">
        <v>43616.01</v>
      </c>
      <c r="J170" s="2">
        <v>43616.01</v>
      </c>
      <c r="K170" s="2">
        <v>0</v>
      </c>
      <c r="L170" s="2">
        <v>0</v>
      </c>
      <c r="M170" s="2">
        <v>0</v>
      </c>
      <c r="N170" s="2">
        <v>0</v>
      </c>
    </row>
    <row r="171" spans="1:14" x14ac:dyDescent="0.25">
      <c r="A171" s="1" t="s">
        <v>44</v>
      </c>
      <c r="B171" t="s">
        <v>349</v>
      </c>
      <c r="C171" s="150">
        <v>111</v>
      </c>
      <c r="D171" t="s">
        <v>201</v>
      </c>
      <c r="E171" t="s">
        <v>202</v>
      </c>
      <c r="F171" t="s">
        <v>530</v>
      </c>
      <c r="G171" s="150">
        <v>32881</v>
      </c>
      <c r="H171" s="2">
        <v>197120</v>
      </c>
      <c r="I171" s="2">
        <v>17740.8</v>
      </c>
      <c r="J171" s="2">
        <v>17740.8</v>
      </c>
      <c r="K171" s="2">
        <v>0</v>
      </c>
      <c r="L171" s="2">
        <v>0</v>
      </c>
      <c r="M171" s="2">
        <v>0</v>
      </c>
      <c r="N171" s="2">
        <v>0</v>
      </c>
    </row>
    <row r="172" spans="1:14" x14ac:dyDescent="0.25">
      <c r="A172" s="1" t="s">
        <v>44</v>
      </c>
      <c r="B172" t="s">
        <v>206</v>
      </c>
      <c r="C172" s="150">
        <v>111</v>
      </c>
      <c r="D172" t="s">
        <v>201</v>
      </c>
      <c r="E172" t="s">
        <v>202</v>
      </c>
      <c r="F172" t="s">
        <v>531</v>
      </c>
      <c r="G172" s="150">
        <v>32882</v>
      </c>
      <c r="H172" s="2">
        <v>820468.8</v>
      </c>
      <c r="I172" s="2">
        <v>73842.19</v>
      </c>
      <c r="J172" s="2">
        <v>73842.19</v>
      </c>
      <c r="K172" s="2">
        <v>0</v>
      </c>
      <c r="L172" s="2">
        <v>0</v>
      </c>
      <c r="M172" s="2">
        <v>0</v>
      </c>
      <c r="N172" s="2">
        <v>0</v>
      </c>
    </row>
    <row r="173" spans="1:14" x14ac:dyDescent="0.25">
      <c r="A173" s="1" t="s">
        <v>44</v>
      </c>
      <c r="B173" t="s">
        <v>352</v>
      </c>
      <c r="C173" s="150">
        <v>111</v>
      </c>
      <c r="D173" t="s">
        <v>201</v>
      </c>
      <c r="E173" t="s">
        <v>202</v>
      </c>
      <c r="F173" t="s">
        <v>532</v>
      </c>
      <c r="G173" s="150">
        <v>32882</v>
      </c>
      <c r="H173" s="2">
        <v>34549.370000000003</v>
      </c>
      <c r="I173" s="2">
        <v>3109.45</v>
      </c>
      <c r="J173" s="2">
        <v>3109.45</v>
      </c>
      <c r="K173" s="2">
        <v>0</v>
      </c>
      <c r="L173" s="2">
        <v>0</v>
      </c>
      <c r="M173" s="2">
        <v>0</v>
      </c>
      <c r="N173" s="2">
        <v>0</v>
      </c>
    </row>
    <row r="174" spans="1:14" x14ac:dyDescent="0.25">
      <c r="A174" s="1" t="s">
        <v>44</v>
      </c>
      <c r="B174" t="s">
        <v>354</v>
      </c>
      <c r="C174" s="150">
        <v>111</v>
      </c>
      <c r="D174" t="s">
        <v>201</v>
      </c>
      <c r="E174" t="s">
        <v>202</v>
      </c>
      <c r="F174" t="s">
        <v>533</v>
      </c>
      <c r="G174" s="150">
        <v>32882</v>
      </c>
      <c r="H174" s="2">
        <v>15738.75</v>
      </c>
      <c r="I174" s="2">
        <v>1416.49</v>
      </c>
      <c r="J174" s="2">
        <v>1416.49</v>
      </c>
      <c r="K174" s="2">
        <v>0</v>
      </c>
      <c r="L174" s="2">
        <v>0</v>
      </c>
      <c r="M174" s="2">
        <v>0</v>
      </c>
      <c r="N174" s="2">
        <v>0</v>
      </c>
    </row>
    <row r="175" spans="1:14" x14ac:dyDescent="0.25">
      <c r="A175" s="1" t="s">
        <v>44</v>
      </c>
      <c r="B175" t="s">
        <v>355</v>
      </c>
      <c r="C175" s="150">
        <v>111</v>
      </c>
      <c r="D175" t="s">
        <v>201</v>
      </c>
      <c r="E175" t="s">
        <v>202</v>
      </c>
      <c r="F175" t="s">
        <v>534</v>
      </c>
      <c r="G175" s="150">
        <v>32881</v>
      </c>
      <c r="H175" s="2">
        <v>924771.04599999997</v>
      </c>
      <c r="I175" s="2">
        <v>0</v>
      </c>
      <c r="J175" s="2">
        <v>0</v>
      </c>
      <c r="K175" s="2">
        <v>166459</v>
      </c>
      <c r="L175" s="2">
        <v>0</v>
      </c>
      <c r="M175" s="2">
        <v>0</v>
      </c>
      <c r="N175" s="2">
        <v>0</v>
      </c>
    </row>
    <row r="176" spans="1:14" x14ac:dyDescent="0.25">
      <c r="A176" s="1" t="s">
        <v>44</v>
      </c>
      <c r="B176" t="s">
        <v>357</v>
      </c>
      <c r="C176" s="150">
        <v>111</v>
      </c>
      <c r="D176" t="s">
        <v>201</v>
      </c>
      <c r="E176" t="s">
        <v>202</v>
      </c>
      <c r="F176" t="s">
        <v>196</v>
      </c>
      <c r="G176" s="150">
        <v>32882</v>
      </c>
      <c r="H176" s="2">
        <v>21910.12</v>
      </c>
      <c r="I176" s="2">
        <v>1971.91</v>
      </c>
      <c r="J176" s="2">
        <v>1971.91</v>
      </c>
      <c r="K176" s="2">
        <v>0</v>
      </c>
      <c r="L176" s="2">
        <v>0</v>
      </c>
      <c r="M176" s="2">
        <v>0</v>
      </c>
      <c r="N176" s="2">
        <v>0</v>
      </c>
    </row>
    <row r="177" spans="1:14" x14ac:dyDescent="0.25">
      <c r="A177" s="1" t="s">
        <v>44</v>
      </c>
      <c r="B177" t="s">
        <v>361</v>
      </c>
      <c r="C177" s="150">
        <v>111</v>
      </c>
      <c r="D177" t="s">
        <v>201</v>
      </c>
      <c r="E177" t="s">
        <v>202</v>
      </c>
      <c r="F177" t="s">
        <v>536</v>
      </c>
      <c r="G177" s="150">
        <v>32884</v>
      </c>
      <c r="H177" s="2">
        <v>11062.62</v>
      </c>
      <c r="I177" s="2">
        <v>995.64</v>
      </c>
      <c r="J177" s="2">
        <v>995.64</v>
      </c>
      <c r="K177" s="2">
        <v>0</v>
      </c>
      <c r="L177" s="2">
        <v>0</v>
      </c>
      <c r="M177" s="2">
        <v>0</v>
      </c>
      <c r="N177" s="2">
        <v>0</v>
      </c>
    </row>
    <row r="178" spans="1:14" x14ac:dyDescent="0.25">
      <c r="A178" s="1" t="s">
        <v>44</v>
      </c>
      <c r="B178" t="s">
        <v>363</v>
      </c>
      <c r="C178" s="150">
        <v>111</v>
      </c>
      <c r="D178" t="s">
        <v>201</v>
      </c>
      <c r="E178" t="s">
        <v>202</v>
      </c>
      <c r="F178" t="s">
        <v>537</v>
      </c>
      <c r="G178" s="150">
        <v>32884</v>
      </c>
      <c r="H178" s="2">
        <v>836449.6</v>
      </c>
      <c r="I178" s="2">
        <v>75280.460000000006</v>
      </c>
      <c r="J178" s="2">
        <v>75280.460000000006</v>
      </c>
      <c r="K178" s="2">
        <v>0</v>
      </c>
      <c r="L178" s="2">
        <v>0</v>
      </c>
      <c r="M178" s="2">
        <v>0</v>
      </c>
      <c r="N178" s="2">
        <v>0</v>
      </c>
    </row>
    <row r="179" spans="1:14" x14ac:dyDescent="0.25">
      <c r="A179" s="1" t="s">
        <v>44</v>
      </c>
      <c r="B179" t="s">
        <v>365</v>
      </c>
      <c r="C179" s="150">
        <v>111</v>
      </c>
      <c r="D179" t="s">
        <v>201</v>
      </c>
      <c r="E179" t="s">
        <v>202</v>
      </c>
      <c r="F179" t="s">
        <v>538</v>
      </c>
      <c r="G179" s="150">
        <v>32881</v>
      </c>
      <c r="H179" s="2">
        <v>200405.2</v>
      </c>
      <c r="I179" s="2">
        <v>18036.47</v>
      </c>
      <c r="J179" s="2">
        <v>18036.47</v>
      </c>
      <c r="K179" s="2">
        <v>0</v>
      </c>
      <c r="L179" s="2">
        <v>0</v>
      </c>
      <c r="M179" s="2">
        <v>0</v>
      </c>
      <c r="N179" s="2">
        <v>0</v>
      </c>
    </row>
    <row r="180" spans="1:14" x14ac:dyDescent="0.25">
      <c r="A180" s="1" t="s">
        <v>44</v>
      </c>
      <c r="B180" t="s">
        <v>367</v>
      </c>
      <c r="C180" s="150">
        <v>111</v>
      </c>
      <c r="D180" t="s">
        <v>201</v>
      </c>
      <c r="E180" t="s">
        <v>202</v>
      </c>
      <c r="F180" t="s">
        <v>248</v>
      </c>
      <c r="G180" s="150">
        <v>32882</v>
      </c>
      <c r="H180" s="2">
        <v>1204059.737</v>
      </c>
      <c r="I180" s="2">
        <v>0</v>
      </c>
      <c r="J180" s="2">
        <v>0</v>
      </c>
      <c r="K180" s="2">
        <v>216731</v>
      </c>
      <c r="L180" s="2">
        <v>0</v>
      </c>
      <c r="M180" s="2">
        <v>0</v>
      </c>
      <c r="N180" s="2">
        <v>0</v>
      </c>
    </row>
    <row r="181" spans="1:14" x14ac:dyDescent="0.25">
      <c r="A181" s="1" t="s">
        <v>44</v>
      </c>
      <c r="B181" t="s">
        <v>369</v>
      </c>
      <c r="C181" s="150">
        <v>111</v>
      </c>
      <c r="D181" t="s">
        <v>201</v>
      </c>
      <c r="E181" t="s">
        <v>202</v>
      </c>
      <c r="F181" t="s">
        <v>539</v>
      </c>
      <c r="G181" s="150">
        <v>32884</v>
      </c>
      <c r="H181" s="2">
        <v>1363368.848</v>
      </c>
      <c r="I181" s="2">
        <v>122703</v>
      </c>
      <c r="J181" s="2">
        <v>122703</v>
      </c>
      <c r="K181" s="2">
        <v>0</v>
      </c>
      <c r="L181" s="2">
        <v>0</v>
      </c>
      <c r="M181" s="2">
        <v>0</v>
      </c>
      <c r="N181" s="2">
        <v>0</v>
      </c>
    </row>
    <row r="182" spans="1:14" x14ac:dyDescent="0.25">
      <c r="A182" s="1" t="s">
        <v>44</v>
      </c>
      <c r="B182" t="s">
        <v>371</v>
      </c>
      <c r="C182" s="150">
        <v>111</v>
      </c>
      <c r="D182" t="s">
        <v>201</v>
      </c>
      <c r="E182" t="s">
        <v>202</v>
      </c>
      <c r="F182" t="s">
        <v>199</v>
      </c>
      <c r="G182" s="150">
        <v>32885</v>
      </c>
      <c r="H182" s="2">
        <v>12693.2</v>
      </c>
      <c r="I182" s="2">
        <v>1142.3800000000001</v>
      </c>
      <c r="J182" s="2">
        <v>1142.3800000000001</v>
      </c>
      <c r="K182" s="2">
        <v>0</v>
      </c>
      <c r="L182" s="2">
        <v>0</v>
      </c>
      <c r="M182" s="2">
        <v>0</v>
      </c>
      <c r="N182" s="2">
        <v>0</v>
      </c>
    </row>
    <row r="183" spans="1:14" x14ac:dyDescent="0.25">
      <c r="A183" s="1" t="s">
        <v>44</v>
      </c>
      <c r="B183" t="s">
        <v>373</v>
      </c>
      <c r="C183" s="150">
        <v>111</v>
      </c>
      <c r="D183" t="s">
        <v>201</v>
      </c>
      <c r="E183" t="s">
        <v>202</v>
      </c>
      <c r="F183" t="s">
        <v>540</v>
      </c>
      <c r="G183" s="150">
        <v>32885</v>
      </c>
      <c r="H183" s="2">
        <v>207690</v>
      </c>
      <c r="I183" s="2">
        <v>18692.099999999999</v>
      </c>
      <c r="J183" s="2">
        <v>18692.099999999999</v>
      </c>
      <c r="K183" s="2">
        <v>0</v>
      </c>
      <c r="L183" s="2">
        <v>0</v>
      </c>
      <c r="M183" s="2">
        <v>0</v>
      </c>
      <c r="N183" s="2">
        <v>0</v>
      </c>
    </row>
    <row r="184" spans="1:14" x14ac:dyDescent="0.25">
      <c r="A184" s="1" t="s">
        <v>44</v>
      </c>
      <c r="B184" t="s">
        <v>375</v>
      </c>
      <c r="C184" s="150">
        <v>112</v>
      </c>
      <c r="D184" t="s">
        <v>201</v>
      </c>
      <c r="E184" t="s">
        <v>202</v>
      </c>
      <c r="F184" t="s">
        <v>541</v>
      </c>
      <c r="G184" s="150">
        <v>32885</v>
      </c>
      <c r="H184" s="2">
        <v>127570.68</v>
      </c>
      <c r="I184" s="2">
        <v>11481.36</v>
      </c>
      <c r="J184" s="2">
        <v>11481.36</v>
      </c>
      <c r="K184" s="2">
        <v>0</v>
      </c>
      <c r="L184" s="2">
        <v>0</v>
      </c>
      <c r="M184" s="2">
        <v>0</v>
      </c>
      <c r="N184" s="2">
        <v>0</v>
      </c>
    </row>
    <row r="185" spans="1:14" x14ac:dyDescent="0.25">
      <c r="A185" s="1" t="s">
        <v>44</v>
      </c>
      <c r="B185" t="s">
        <v>377</v>
      </c>
      <c r="C185" s="150">
        <v>112</v>
      </c>
      <c r="D185" t="s">
        <v>201</v>
      </c>
      <c r="E185" t="s">
        <v>202</v>
      </c>
      <c r="F185" t="s">
        <v>543</v>
      </c>
      <c r="G185" s="150">
        <v>32885</v>
      </c>
      <c r="H185" s="2">
        <v>1184518.1459999999</v>
      </c>
      <c r="I185" s="2">
        <v>0</v>
      </c>
      <c r="J185" s="2">
        <v>0</v>
      </c>
      <c r="K185" s="2">
        <v>213213</v>
      </c>
      <c r="L185" s="2">
        <v>0</v>
      </c>
      <c r="M185" s="2">
        <v>0</v>
      </c>
      <c r="N185" s="2">
        <v>0</v>
      </c>
    </row>
    <row r="186" spans="1:14" x14ac:dyDescent="0.25">
      <c r="A186" s="1" t="s">
        <v>44</v>
      </c>
      <c r="B186" t="s">
        <v>379</v>
      </c>
      <c r="C186" s="150">
        <v>112</v>
      </c>
      <c r="D186" t="s">
        <v>201</v>
      </c>
      <c r="E186" t="s">
        <v>202</v>
      </c>
      <c r="F186" t="s">
        <v>544</v>
      </c>
      <c r="G186" s="150">
        <v>32884</v>
      </c>
      <c r="H186" s="2">
        <v>833930.75</v>
      </c>
      <c r="I186" s="2">
        <v>75054</v>
      </c>
      <c r="J186" s="2">
        <v>75054</v>
      </c>
      <c r="K186" s="2">
        <v>0</v>
      </c>
      <c r="L186" s="2">
        <v>0</v>
      </c>
      <c r="M186" s="2">
        <v>0</v>
      </c>
      <c r="N186" s="2">
        <v>0</v>
      </c>
    </row>
    <row r="187" spans="1:14" x14ac:dyDescent="0.25">
      <c r="A187" s="1" t="s">
        <v>44</v>
      </c>
      <c r="B187" t="s">
        <v>383</v>
      </c>
      <c r="C187" s="150">
        <v>112</v>
      </c>
      <c r="D187" t="s">
        <v>201</v>
      </c>
      <c r="E187" t="s">
        <v>202</v>
      </c>
      <c r="F187" t="s">
        <v>546</v>
      </c>
      <c r="G187" s="150">
        <v>32886</v>
      </c>
      <c r="H187" s="2">
        <v>874574.62</v>
      </c>
      <c r="I187" s="2">
        <v>78711.72</v>
      </c>
      <c r="J187" s="2">
        <v>78711.72</v>
      </c>
      <c r="K187" s="2">
        <v>0</v>
      </c>
      <c r="L187" s="2">
        <v>0</v>
      </c>
      <c r="M187" s="2">
        <v>0</v>
      </c>
      <c r="N187" s="2">
        <v>0</v>
      </c>
    </row>
    <row r="188" spans="1:14" x14ac:dyDescent="0.25">
      <c r="A188" s="1" t="s">
        <v>44</v>
      </c>
      <c r="B188" t="s">
        <v>386</v>
      </c>
      <c r="C188" s="150">
        <v>112</v>
      </c>
      <c r="D188" t="s">
        <v>201</v>
      </c>
      <c r="E188" t="s">
        <v>202</v>
      </c>
      <c r="F188" t="s">
        <v>547</v>
      </c>
      <c r="G188" s="150">
        <v>32885</v>
      </c>
      <c r="H188" s="2">
        <v>178880</v>
      </c>
      <c r="I188" s="2">
        <v>0</v>
      </c>
      <c r="J188" s="2">
        <v>0</v>
      </c>
      <c r="K188" s="2">
        <v>32197</v>
      </c>
      <c r="L188" s="2">
        <v>0</v>
      </c>
      <c r="M188" s="2">
        <v>0</v>
      </c>
      <c r="N188" s="2">
        <v>0</v>
      </c>
    </row>
    <row r="189" spans="1:14" x14ac:dyDescent="0.25">
      <c r="A189" s="1" t="s">
        <v>44</v>
      </c>
      <c r="B189" t="s">
        <v>389</v>
      </c>
      <c r="C189" s="150">
        <v>112</v>
      </c>
      <c r="D189" t="s">
        <v>201</v>
      </c>
      <c r="E189" t="s">
        <v>202</v>
      </c>
      <c r="F189" t="s">
        <v>549</v>
      </c>
      <c r="G189" s="150">
        <v>32887</v>
      </c>
      <c r="H189" s="2">
        <v>918169.59999999998</v>
      </c>
      <c r="I189" s="2">
        <v>82635.259999999995</v>
      </c>
      <c r="J189" s="2">
        <v>82635.259999999995</v>
      </c>
      <c r="K189" s="2">
        <v>0</v>
      </c>
      <c r="L189" s="2">
        <v>0</v>
      </c>
      <c r="M189" s="2">
        <v>0</v>
      </c>
      <c r="N189" s="2">
        <v>0</v>
      </c>
    </row>
    <row r="190" spans="1:14" x14ac:dyDescent="0.25">
      <c r="A190" s="1" t="s">
        <v>44</v>
      </c>
      <c r="B190" t="s">
        <v>393</v>
      </c>
      <c r="C190" s="150">
        <v>112</v>
      </c>
      <c r="D190" t="s">
        <v>201</v>
      </c>
      <c r="E190" t="s">
        <v>202</v>
      </c>
      <c r="F190" t="s">
        <v>551</v>
      </c>
      <c r="G190" s="150">
        <v>32886</v>
      </c>
      <c r="H190" s="2">
        <v>200076.79999999999</v>
      </c>
      <c r="I190" s="2">
        <v>18006.91</v>
      </c>
      <c r="J190" s="2">
        <v>18006.91</v>
      </c>
      <c r="K190" s="2">
        <v>0</v>
      </c>
      <c r="L190" s="2">
        <v>0</v>
      </c>
      <c r="M190" s="2">
        <v>0</v>
      </c>
      <c r="N190" s="2">
        <v>0</v>
      </c>
    </row>
    <row r="191" spans="1:14" x14ac:dyDescent="0.25">
      <c r="A191" s="1" t="s">
        <v>44</v>
      </c>
      <c r="B191" t="s">
        <v>397</v>
      </c>
      <c r="C191" s="150">
        <v>112</v>
      </c>
      <c r="D191" t="s">
        <v>201</v>
      </c>
      <c r="E191" t="s">
        <v>202</v>
      </c>
      <c r="F191" t="s">
        <v>553</v>
      </c>
      <c r="G191" s="150">
        <v>32887</v>
      </c>
      <c r="H191" s="2">
        <v>962610.48</v>
      </c>
      <c r="I191" s="2">
        <v>86635</v>
      </c>
      <c r="J191" s="2">
        <v>86635</v>
      </c>
      <c r="K191" s="2">
        <v>0</v>
      </c>
      <c r="L191" s="2">
        <v>0</v>
      </c>
      <c r="M191" s="2">
        <v>0</v>
      </c>
      <c r="N191" s="2">
        <v>0</v>
      </c>
    </row>
    <row r="192" spans="1:14" x14ac:dyDescent="0.25">
      <c r="A192" s="1" t="s">
        <v>44</v>
      </c>
      <c r="B192" t="s">
        <v>399</v>
      </c>
      <c r="C192" s="150">
        <v>112</v>
      </c>
      <c r="D192" t="s">
        <v>201</v>
      </c>
      <c r="E192" t="s">
        <v>202</v>
      </c>
      <c r="F192" t="s">
        <v>554</v>
      </c>
      <c r="G192" s="150">
        <v>32888</v>
      </c>
      <c r="H192" s="2">
        <v>175875</v>
      </c>
      <c r="I192" s="2">
        <v>15829</v>
      </c>
      <c r="J192" s="2">
        <v>15829</v>
      </c>
      <c r="K192" s="2">
        <v>0</v>
      </c>
      <c r="L192" s="2">
        <v>0</v>
      </c>
      <c r="M192" s="2">
        <v>0</v>
      </c>
      <c r="N192" s="2">
        <v>0</v>
      </c>
    </row>
    <row r="193" spans="1:14" x14ac:dyDescent="0.25">
      <c r="A193" s="1" t="s">
        <v>44</v>
      </c>
      <c r="B193" t="s">
        <v>208</v>
      </c>
      <c r="C193" s="150">
        <v>112</v>
      </c>
      <c r="D193" t="s">
        <v>201</v>
      </c>
      <c r="E193" t="s">
        <v>202</v>
      </c>
      <c r="F193" t="s">
        <v>555</v>
      </c>
      <c r="G193" s="150">
        <v>32887</v>
      </c>
      <c r="H193" s="2">
        <v>241628.4</v>
      </c>
      <c r="I193" s="2">
        <v>21746.560000000001</v>
      </c>
      <c r="J193" s="2">
        <v>21746.560000000001</v>
      </c>
      <c r="K193" s="2">
        <v>0</v>
      </c>
      <c r="L193" s="2">
        <v>0</v>
      </c>
      <c r="M193" s="2">
        <v>0</v>
      </c>
      <c r="N193" s="2">
        <v>0</v>
      </c>
    </row>
    <row r="194" spans="1:14" x14ac:dyDescent="0.25">
      <c r="A194" s="1" t="s">
        <v>44</v>
      </c>
      <c r="B194" t="s">
        <v>209</v>
      </c>
      <c r="C194" s="150">
        <v>112</v>
      </c>
      <c r="D194" t="s">
        <v>201</v>
      </c>
      <c r="E194" t="s">
        <v>202</v>
      </c>
      <c r="F194" t="s">
        <v>556</v>
      </c>
      <c r="G194" s="150">
        <v>32888</v>
      </c>
      <c r="H194" s="2">
        <v>103122.72</v>
      </c>
      <c r="I194" s="2">
        <v>9281.0400000000009</v>
      </c>
      <c r="J194" s="2">
        <v>9281.0400000000009</v>
      </c>
      <c r="K194" s="2">
        <v>0</v>
      </c>
      <c r="L194" s="2">
        <v>0</v>
      </c>
      <c r="M194" s="2">
        <v>0</v>
      </c>
      <c r="N194" s="2">
        <v>0</v>
      </c>
    </row>
    <row r="195" spans="1:14" x14ac:dyDescent="0.25">
      <c r="A195" s="1" t="s">
        <v>44</v>
      </c>
      <c r="B195" t="s">
        <v>210</v>
      </c>
      <c r="C195" s="150">
        <v>112</v>
      </c>
      <c r="D195" t="s">
        <v>201</v>
      </c>
      <c r="E195" t="s">
        <v>202</v>
      </c>
      <c r="F195" t="s">
        <v>558</v>
      </c>
      <c r="G195" s="150">
        <v>32885</v>
      </c>
      <c r="H195" s="2">
        <v>184500</v>
      </c>
      <c r="I195" s="2">
        <v>0</v>
      </c>
      <c r="J195" s="2">
        <v>0</v>
      </c>
      <c r="K195" s="2">
        <v>33210</v>
      </c>
      <c r="L195" s="2">
        <v>0</v>
      </c>
      <c r="M195" s="2">
        <v>0</v>
      </c>
      <c r="N195" s="2">
        <v>0</v>
      </c>
    </row>
    <row r="196" spans="1:14" x14ac:dyDescent="0.25">
      <c r="A196" s="1" t="s">
        <v>44</v>
      </c>
      <c r="B196" t="s">
        <v>406</v>
      </c>
      <c r="C196" s="150">
        <v>112</v>
      </c>
      <c r="D196" t="s">
        <v>201</v>
      </c>
      <c r="E196" t="s">
        <v>202</v>
      </c>
      <c r="F196" t="s">
        <v>561</v>
      </c>
      <c r="G196" s="150">
        <v>32891</v>
      </c>
      <c r="H196" s="2">
        <v>16625</v>
      </c>
      <c r="I196" s="2">
        <v>1496</v>
      </c>
      <c r="J196" s="2">
        <v>1496</v>
      </c>
      <c r="K196" s="2">
        <v>0</v>
      </c>
      <c r="L196" s="2">
        <v>0</v>
      </c>
      <c r="M196" s="2">
        <v>0</v>
      </c>
      <c r="N196" s="2">
        <v>0</v>
      </c>
    </row>
    <row r="197" spans="1:14" x14ac:dyDescent="0.25">
      <c r="A197" s="1" t="s">
        <v>44</v>
      </c>
      <c r="B197" t="s">
        <v>212</v>
      </c>
      <c r="C197" s="150">
        <v>112</v>
      </c>
      <c r="D197" t="s">
        <v>201</v>
      </c>
      <c r="E197" t="s">
        <v>202</v>
      </c>
      <c r="F197" t="s">
        <v>491</v>
      </c>
      <c r="G197" s="150">
        <v>32889</v>
      </c>
      <c r="H197" s="2">
        <v>174147</v>
      </c>
      <c r="I197" s="2">
        <v>15674</v>
      </c>
      <c r="J197" s="2">
        <v>15674</v>
      </c>
      <c r="K197" s="2">
        <v>0</v>
      </c>
      <c r="L197" s="2">
        <v>0</v>
      </c>
      <c r="M197" s="2">
        <v>0</v>
      </c>
      <c r="N197" s="2">
        <v>0</v>
      </c>
    </row>
    <row r="198" spans="1:14" x14ac:dyDescent="0.25">
      <c r="A198" s="1" t="s">
        <v>44</v>
      </c>
      <c r="B198" t="s">
        <v>409</v>
      </c>
      <c r="C198" s="150">
        <v>112</v>
      </c>
      <c r="D198" t="s">
        <v>201</v>
      </c>
      <c r="E198" t="s">
        <v>202</v>
      </c>
      <c r="F198" t="s">
        <v>562</v>
      </c>
      <c r="G198" s="150">
        <v>32889</v>
      </c>
      <c r="H198" s="2">
        <v>245555.20000000001</v>
      </c>
      <c r="I198" s="2">
        <v>22099.97</v>
      </c>
      <c r="J198" s="2">
        <v>22099.97</v>
      </c>
      <c r="K198" s="2">
        <v>0</v>
      </c>
      <c r="L198" s="2">
        <v>0</v>
      </c>
      <c r="M198" s="2">
        <v>0</v>
      </c>
      <c r="N198" s="2">
        <v>0</v>
      </c>
    </row>
    <row r="199" spans="1:14" x14ac:dyDescent="0.25">
      <c r="A199" s="1" t="s">
        <v>44</v>
      </c>
      <c r="B199" t="s">
        <v>213</v>
      </c>
      <c r="C199" s="150">
        <v>112</v>
      </c>
      <c r="D199" t="s">
        <v>201</v>
      </c>
      <c r="E199" t="s">
        <v>202</v>
      </c>
      <c r="F199" t="s">
        <v>563</v>
      </c>
      <c r="G199" s="150">
        <v>32880</v>
      </c>
      <c r="H199" s="2">
        <v>658855.02500000002</v>
      </c>
      <c r="I199" s="2">
        <v>59297</v>
      </c>
      <c r="J199" s="2">
        <v>59297</v>
      </c>
      <c r="K199" s="2">
        <v>0</v>
      </c>
      <c r="L199" s="2">
        <v>0</v>
      </c>
      <c r="M199" s="2">
        <v>0</v>
      </c>
      <c r="N199" s="2">
        <v>0</v>
      </c>
    </row>
    <row r="200" spans="1:14" x14ac:dyDescent="0.25">
      <c r="A200" s="1" t="s">
        <v>44</v>
      </c>
      <c r="B200" t="s">
        <v>214</v>
      </c>
      <c r="C200" s="150">
        <v>112</v>
      </c>
      <c r="D200" t="s">
        <v>201</v>
      </c>
      <c r="E200" t="s">
        <v>202</v>
      </c>
      <c r="F200" t="s">
        <v>565</v>
      </c>
      <c r="G200" s="150">
        <v>32962</v>
      </c>
      <c r="H200" s="2">
        <v>441000</v>
      </c>
      <c r="I200" s="2">
        <v>0</v>
      </c>
      <c r="J200" s="2">
        <v>0</v>
      </c>
      <c r="K200" s="2">
        <v>79380</v>
      </c>
      <c r="L200" s="2">
        <v>0</v>
      </c>
      <c r="M200" s="2">
        <v>0</v>
      </c>
      <c r="N200" s="2">
        <v>0</v>
      </c>
    </row>
    <row r="201" spans="1:14" x14ac:dyDescent="0.25">
      <c r="A201" s="1" t="s">
        <v>44</v>
      </c>
      <c r="B201" t="s">
        <v>215</v>
      </c>
      <c r="C201" s="150">
        <v>112</v>
      </c>
      <c r="D201" t="s">
        <v>201</v>
      </c>
      <c r="E201" t="s">
        <v>202</v>
      </c>
      <c r="F201" t="s">
        <v>567</v>
      </c>
      <c r="G201" s="150">
        <v>32960</v>
      </c>
      <c r="H201" s="2">
        <v>61600</v>
      </c>
      <c r="I201" s="2">
        <v>0</v>
      </c>
      <c r="J201" s="2">
        <v>0</v>
      </c>
      <c r="K201" s="2">
        <v>11088</v>
      </c>
      <c r="L201" s="2">
        <v>0</v>
      </c>
      <c r="M201" s="2">
        <v>0</v>
      </c>
      <c r="N201" s="2">
        <v>0</v>
      </c>
    </row>
    <row r="202" spans="1:14" x14ac:dyDescent="0.25">
      <c r="A202" s="1" t="s">
        <v>44</v>
      </c>
      <c r="B202" t="s">
        <v>216</v>
      </c>
      <c r="C202" s="150">
        <v>112</v>
      </c>
      <c r="D202" t="s">
        <v>201</v>
      </c>
      <c r="E202" t="s">
        <v>202</v>
      </c>
      <c r="F202" t="s">
        <v>569</v>
      </c>
      <c r="G202" s="150">
        <v>32958</v>
      </c>
      <c r="H202" s="2">
        <v>225000</v>
      </c>
      <c r="I202" s="2">
        <v>0</v>
      </c>
      <c r="J202" s="2">
        <v>0</v>
      </c>
      <c r="K202" s="2">
        <v>40500</v>
      </c>
      <c r="L202" s="2">
        <v>0</v>
      </c>
      <c r="M202" s="2">
        <v>0</v>
      </c>
      <c r="N202" s="2">
        <v>0</v>
      </c>
    </row>
    <row r="203" spans="1:14" x14ac:dyDescent="0.25">
      <c r="A203" s="1" t="s">
        <v>44</v>
      </c>
      <c r="B203" t="s">
        <v>217</v>
      </c>
      <c r="C203" s="150">
        <v>112</v>
      </c>
      <c r="D203" t="s">
        <v>201</v>
      </c>
      <c r="E203" t="s">
        <v>202</v>
      </c>
      <c r="F203" t="s">
        <v>571</v>
      </c>
      <c r="G203" s="150">
        <v>32963</v>
      </c>
      <c r="H203" s="2">
        <v>477000</v>
      </c>
      <c r="I203" s="2">
        <v>0</v>
      </c>
      <c r="J203" s="2">
        <v>0</v>
      </c>
      <c r="K203" s="2">
        <v>85860</v>
      </c>
      <c r="L203" s="2">
        <v>0</v>
      </c>
      <c r="M203" s="2">
        <v>0</v>
      </c>
      <c r="N203" s="2">
        <v>0</v>
      </c>
    </row>
    <row r="204" spans="1:14" x14ac:dyDescent="0.25">
      <c r="A204" s="1" t="s">
        <v>44</v>
      </c>
      <c r="B204" t="s">
        <v>218</v>
      </c>
      <c r="C204" s="150">
        <v>112</v>
      </c>
      <c r="D204" t="s">
        <v>201</v>
      </c>
      <c r="E204" t="s">
        <v>202</v>
      </c>
      <c r="F204" t="s">
        <v>573</v>
      </c>
      <c r="G204" s="150">
        <v>32962</v>
      </c>
      <c r="H204" s="2">
        <v>192000</v>
      </c>
      <c r="I204" s="2">
        <v>0</v>
      </c>
      <c r="J204" s="2">
        <v>0</v>
      </c>
      <c r="K204" s="2">
        <v>34560</v>
      </c>
      <c r="L204" s="2">
        <v>0</v>
      </c>
      <c r="M204" s="2">
        <v>0</v>
      </c>
      <c r="N204" s="2">
        <v>0</v>
      </c>
    </row>
    <row r="205" spans="1:14" x14ac:dyDescent="0.25">
      <c r="A205" s="1" t="s">
        <v>44</v>
      </c>
      <c r="B205" t="s">
        <v>417</v>
      </c>
      <c r="C205" s="150">
        <v>112</v>
      </c>
      <c r="D205" t="s">
        <v>201</v>
      </c>
      <c r="E205" t="s">
        <v>202</v>
      </c>
      <c r="F205" t="s">
        <v>575</v>
      </c>
      <c r="G205" s="150">
        <v>32960</v>
      </c>
      <c r="H205" s="2">
        <v>882000</v>
      </c>
      <c r="I205" s="2">
        <v>0</v>
      </c>
      <c r="J205" s="2">
        <v>0</v>
      </c>
      <c r="K205" s="2">
        <v>158760</v>
      </c>
      <c r="L205" s="2">
        <v>0</v>
      </c>
      <c r="M205" s="2">
        <v>0</v>
      </c>
      <c r="N205" s="2">
        <v>0</v>
      </c>
    </row>
    <row r="206" spans="1:14" x14ac:dyDescent="0.25">
      <c r="A206" s="1" t="s">
        <v>44</v>
      </c>
      <c r="B206" t="s">
        <v>419</v>
      </c>
      <c r="C206" s="150">
        <v>112</v>
      </c>
      <c r="D206" t="s">
        <v>201</v>
      </c>
      <c r="E206" t="s">
        <v>202</v>
      </c>
      <c r="F206" t="s">
        <v>576</v>
      </c>
      <c r="G206" s="150">
        <v>32961</v>
      </c>
      <c r="H206" s="2">
        <v>81750</v>
      </c>
      <c r="I206" s="2">
        <v>0</v>
      </c>
      <c r="J206" s="2">
        <v>0</v>
      </c>
      <c r="K206" s="2">
        <v>14715</v>
      </c>
      <c r="L206" s="2">
        <v>0</v>
      </c>
      <c r="M206" s="2">
        <v>0</v>
      </c>
      <c r="N206" s="2">
        <v>0</v>
      </c>
    </row>
    <row r="207" spans="1:14" x14ac:dyDescent="0.25">
      <c r="A207" s="1" t="s">
        <v>44</v>
      </c>
      <c r="B207" t="s">
        <v>421</v>
      </c>
      <c r="C207" s="150">
        <v>112</v>
      </c>
      <c r="D207" t="s">
        <v>201</v>
      </c>
      <c r="E207" t="s">
        <v>202</v>
      </c>
      <c r="F207" t="s">
        <v>578</v>
      </c>
      <c r="G207" s="150">
        <v>32962</v>
      </c>
      <c r="H207" s="2">
        <v>600000</v>
      </c>
      <c r="I207" s="2">
        <v>0</v>
      </c>
      <c r="J207" s="2">
        <v>0</v>
      </c>
      <c r="K207" s="2">
        <v>108000</v>
      </c>
      <c r="L207" s="2">
        <v>0</v>
      </c>
      <c r="M207" s="2">
        <v>0</v>
      </c>
      <c r="N207" s="2">
        <v>0</v>
      </c>
    </row>
    <row r="208" spans="1:14" x14ac:dyDescent="0.25">
      <c r="A208" s="1" t="s">
        <v>44</v>
      </c>
      <c r="B208" t="s">
        <v>423</v>
      </c>
      <c r="C208" s="150">
        <v>112</v>
      </c>
      <c r="D208" t="s">
        <v>201</v>
      </c>
      <c r="E208" t="s">
        <v>202</v>
      </c>
      <c r="F208" t="s">
        <v>579</v>
      </c>
      <c r="G208" s="150">
        <v>32878</v>
      </c>
      <c r="H208" s="2">
        <v>1188800</v>
      </c>
      <c r="I208" s="2">
        <v>0</v>
      </c>
      <c r="J208" s="2">
        <v>0</v>
      </c>
      <c r="K208" s="2">
        <v>213984</v>
      </c>
      <c r="L208" s="2">
        <v>0</v>
      </c>
      <c r="M208" s="2">
        <v>0</v>
      </c>
      <c r="N208" s="2">
        <v>0</v>
      </c>
    </row>
    <row r="209" spans="1:14" x14ac:dyDescent="0.25">
      <c r="A209" s="1" t="s">
        <v>44</v>
      </c>
      <c r="B209" t="s">
        <v>425</v>
      </c>
      <c r="C209" s="150">
        <v>112</v>
      </c>
      <c r="D209" t="s">
        <v>201</v>
      </c>
      <c r="E209" t="s">
        <v>202</v>
      </c>
      <c r="F209" t="s">
        <v>580</v>
      </c>
      <c r="G209" s="150">
        <v>32878</v>
      </c>
      <c r="H209" s="2">
        <v>94000</v>
      </c>
      <c r="I209" s="2">
        <v>0</v>
      </c>
      <c r="J209" s="2">
        <v>0</v>
      </c>
      <c r="K209" s="2">
        <v>16920</v>
      </c>
      <c r="L209" s="2">
        <v>0</v>
      </c>
      <c r="M209" s="2">
        <v>0</v>
      </c>
      <c r="N209" s="2">
        <v>0</v>
      </c>
    </row>
    <row r="210" spans="1:14" x14ac:dyDescent="0.25">
      <c r="A210" s="1" t="s">
        <v>44</v>
      </c>
      <c r="B210" t="s">
        <v>428</v>
      </c>
      <c r="C210" s="150">
        <v>112</v>
      </c>
      <c r="D210" t="s">
        <v>201</v>
      </c>
      <c r="E210" t="s">
        <v>202</v>
      </c>
      <c r="F210" t="s">
        <v>582</v>
      </c>
      <c r="G210" s="150">
        <v>32879</v>
      </c>
      <c r="H210" s="2">
        <v>118720</v>
      </c>
      <c r="I210" s="2">
        <v>0</v>
      </c>
      <c r="J210" s="2">
        <v>0</v>
      </c>
      <c r="K210" s="2">
        <v>21370</v>
      </c>
      <c r="L210" s="2">
        <v>0</v>
      </c>
      <c r="M210" s="2">
        <v>0</v>
      </c>
      <c r="N210" s="2">
        <v>0</v>
      </c>
    </row>
    <row r="211" spans="1:14" x14ac:dyDescent="0.25">
      <c r="A211" s="1" t="s">
        <v>44</v>
      </c>
      <c r="B211" t="s">
        <v>430</v>
      </c>
      <c r="C211" s="150">
        <v>112</v>
      </c>
      <c r="D211" t="s">
        <v>201</v>
      </c>
      <c r="E211" t="s">
        <v>202</v>
      </c>
      <c r="F211" t="s">
        <v>587</v>
      </c>
      <c r="G211" s="150">
        <v>32880</v>
      </c>
      <c r="H211" s="2">
        <v>4198320</v>
      </c>
      <c r="I211" s="2">
        <v>0</v>
      </c>
      <c r="J211" s="2">
        <v>0</v>
      </c>
      <c r="K211" s="2">
        <v>755697.6</v>
      </c>
      <c r="L211" s="2">
        <v>0</v>
      </c>
      <c r="M211" s="2">
        <v>0</v>
      </c>
      <c r="N211" s="2">
        <v>0</v>
      </c>
    </row>
    <row r="212" spans="1:14" x14ac:dyDescent="0.25">
      <c r="A212" s="1" t="s">
        <v>44</v>
      </c>
      <c r="B212" t="s">
        <v>432</v>
      </c>
      <c r="C212" s="150">
        <v>112</v>
      </c>
      <c r="D212" t="s">
        <v>201</v>
      </c>
      <c r="E212" t="s">
        <v>202</v>
      </c>
      <c r="F212" t="s">
        <v>589</v>
      </c>
      <c r="G212" s="150">
        <v>32878</v>
      </c>
      <c r="H212" s="2">
        <v>528590</v>
      </c>
      <c r="I212" s="2">
        <v>0</v>
      </c>
      <c r="J212" s="2">
        <v>0</v>
      </c>
      <c r="K212" s="2">
        <v>95146.2</v>
      </c>
      <c r="L212" s="2">
        <v>0</v>
      </c>
      <c r="M212" s="2">
        <v>0</v>
      </c>
      <c r="N212" s="2">
        <v>0</v>
      </c>
    </row>
    <row r="213" spans="1:14" x14ac:dyDescent="0.25">
      <c r="A213" s="1" t="s">
        <v>44</v>
      </c>
      <c r="B213" t="s">
        <v>434</v>
      </c>
      <c r="C213" s="150">
        <v>112</v>
      </c>
      <c r="D213" t="s">
        <v>201</v>
      </c>
      <c r="E213" t="s">
        <v>202</v>
      </c>
      <c r="F213" t="s">
        <v>591</v>
      </c>
      <c r="G213" s="150">
        <v>32879</v>
      </c>
      <c r="H213" s="2">
        <v>4153440</v>
      </c>
      <c r="I213" s="2">
        <v>0</v>
      </c>
      <c r="J213" s="2">
        <v>0</v>
      </c>
      <c r="K213" s="2">
        <v>747619.2</v>
      </c>
      <c r="L213" s="2">
        <v>0</v>
      </c>
      <c r="M213" s="2">
        <v>0</v>
      </c>
      <c r="N213" s="2">
        <v>0</v>
      </c>
    </row>
    <row r="214" spans="1:14" x14ac:dyDescent="0.25">
      <c r="A214" s="1" t="s">
        <v>44</v>
      </c>
      <c r="B214" t="s">
        <v>436</v>
      </c>
      <c r="C214" s="150">
        <v>112</v>
      </c>
      <c r="D214" t="s">
        <v>201</v>
      </c>
      <c r="E214" t="s">
        <v>202</v>
      </c>
      <c r="F214" t="s">
        <v>592</v>
      </c>
      <c r="G214" s="150">
        <v>32888</v>
      </c>
      <c r="H214" s="2">
        <v>54000</v>
      </c>
      <c r="I214" s="2">
        <v>4860</v>
      </c>
      <c r="J214" s="2">
        <v>4860</v>
      </c>
      <c r="K214" s="2">
        <v>0</v>
      </c>
      <c r="L214" s="2">
        <v>0</v>
      </c>
      <c r="M214" s="2">
        <v>0</v>
      </c>
      <c r="N214" s="2">
        <v>0</v>
      </c>
    </row>
    <row r="215" spans="1:14" x14ac:dyDescent="0.25">
      <c r="A215" s="1" t="s">
        <v>44</v>
      </c>
      <c r="B215" t="s">
        <v>438</v>
      </c>
      <c r="C215" s="150">
        <v>112</v>
      </c>
      <c r="D215" t="s">
        <v>201</v>
      </c>
      <c r="E215" t="s">
        <v>202</v>
      </c>
      <c r="F215" t="s">
        <v>596</v>
      </c>
      <c r="G215" s="150">
        <v>32881</v>
      </c>
      <c r="H215" s="2">
        <v>705600</v>
      </c>
      <c r="I215" s="2">
        <v>0</v>
      </c>
      <c r="J215" s="2">
        <v>0</v>
      </c>
      <c r="K215" s="2">
        <v>127008</v>
      </c>
      <c r="L215" s="2">
        <v>0</v>
      </c>
      <c r="M215" s="2">
        <v>0</v>
      </c>
      <c r="N215" s="2">
        <v>0</v>
      </c>
    </row>
    <row r="216" spans="1:14" x14ac:dyDescent="0.25">
      <c r="A216" s="1" t="s">
        <v>44</v>
      </c>
      <c r="B216" t="s">
        <v>441</v>
      </c>
      <c r="C216" s="150">
        <v>113</v>
      </c>
      <c r="D216" t="s">
        <v>201</v>
      </c>
      <c r="E216" t="s">
        <v>202</v>
      </c>
      <c r="F216" t="s">
        <v>597</v>
      </c>
      <c r="G216" s="150">
        <v>32880</v>
      </c>
      <c r="H216" s="2">
        <v>109000</v>
      </c>
      <c r="I216" s="2">
        <v>0</v>
      </c>
      <c r="J216" s="2">
        <v>0</v>
      </c>
      <c r="K216" s="2">
        <v>19620</v>
      </c>
      <c r="L216" s="2">
        <v>0</v>
      </c>
      <c r="M216" s="2">
        <v>0</v>
      </c>
      <c r="N216" s="2">
        <v>0</v>
      </c>
    </row>
    <row r="217" spans="1:14" x14ac:dyDescent="0.25">
      <c r="A217" s="1" t="s">
        <v>44</v>
      </c>
      <c r="B217" t="s">
        <v>443</v>
      </c>
      <c r="C217" s="150">
        <v>113</v>
      </c>
      <c r="D217" t="s">
        <v>201</v>
      </c>
      <c r="E217" t="s">
        <v>202</v>
      </c>
      <c r="F217" t="s">
        <v>598</v>
      </c>
      <c r="G217" s="150">
        <v>32880</v>
      </c>
      <c r="H217" s="2">
        <v>264225</v>
      </c>
      <c r="I217" s="2">
        <v>0</v>
      </c>
      <c r="J217" s="2">
        <v>0</v>
      </c>
      <c r="K217" s="2">
        <v>47561</v>
      </c>
      <c r="L217" s="2">
        <v>0</v>
      </c>
      <c r="M217" s="2">
        <v>0</v>
      </c>
      <c r="N217" s="2">
        <v>0</v>
      </c>
    </row>
    <row r="218" spans="1:14" x14ac:dyDescent="0.25">
      <c r="A218" s="1" t="s">
        <v>44</v>
      </c>
      <c r="B218" t="s">
        <v>446</v>
      </c>
      <c r="C218" s="150">
        <v>113</v>
      </c>
      <c r="D218" t="s">
        <v>201</v>
      </c>
      <c r="E218" t="s">
        <v>202</v>
      </c>
      <c r="F218" t="s">
        <v>599</v>
      </c>
      <c r="G218" s="150">
        <v>32879</v>
      </c>
      <c r="H218" s="2">
        <v>225000</v>
      </c>
      <c r="I218" s="2">
        <v>0</v>
      </c>
      <c r="J218" s="2">
        <v>0</v>
      </c>
      <c r="K218" s="2">
        <v>40500</v>
      </c>
      <c r="L218" s="2">
        <v>0</v>
      </c>
      <c r="M218" s="2">
        <v>0</v>
      </c>
      <c r="N218" s="2">
        <v>0</v>
      </c>
    </row>
    <row r="219" spans="1:14" x14ac:dyDescent="0.25">
      <c r="A219" s="1" t="s">
        <v>44</v>
      </c>
      <c r="B219" t="s">
        <v>448</v>
      </c>
      <c r="C219" s="150">
        <v>113</v>
      </c>
      <c r="D219" t="s">
        <v>201</v>
      </c>
      <c r="E219" t="s">
        <v>202</v>
      </c>
      <c r="F219" t="s">
        <v>600</v>
      </c>
      <c r="G219" s="150">
        <v>32882</v>
      </c>
      <c r="H219" s="2">
        <v>131400</v>
      </c>
      <c r="I219" s="2">
        <v>0</v>
      </c>
      <c r="J219" s="2">
        <v>0</v>
      </c>
      <c r="K219" s="2">
        <v>23652</v>
      </c>
      <c r="L219" s="2">
        <v>0</v>
      </c>
      <c r="M219" s="2">
        <v>0</v>
      </c>
      <c r="N219" s="2">
        <v>0</v>
      </c>
    </row>
    <row r="220" spans="1:14" x14ac:dyDescent="0.25">
      <c r="A220" s="1" t="s">
        <v>44</v>
      </c>
      <c r="B220" t="s">
        <v>449</v>
      </c>
      <c r="C220" s="150">
        <v>113</v>
      </c>
      <c r="D220" t="s">
        <v>201</v>
      </c>
      <c r="E220" t="s">
        <v>202</v>
      </c>
      <c r="F220" t="s">
        <v>602</v>
      </c>
      <c r="G220" s="150">
        <v>32963</v>
      </c>
      <c r="H220" s="2">
        <v>956500</v>
      </c>
      <c r="I220" s="2">
        <v>0</v>
      </c>
      <c r="J220" s="2">
        <v>0</v>
      </c>
      <c r="K220" s="2">
        <v>172170</v>
      </c>
      <c r="L220" s="2">
        <v>0</v>
      </c>
      <c r="M220" s="2">
        <v>0</v>
      </c>
      <c r="N220" s="2">
        <v>0</v>
      </c>
    </row>
    <row r="221" spans="1:14" x14ac:dyDescent="0.25">
      <c r="A221" s="1" t="s">
        <v>44</v>
      </c>
      <c r="B221" t="s">
        <v>451</v>
      </c>
      <c r="C221" s="150">
        <v>113</v>
      </c>
      <c r="D221" t="s">
        <v>201</v>
      </c>
      <c r="E221" t="s">
        <v>202</v>
      </c>
      <c r="F221" t="s">
        <v>603</v>
      </c>
      <c r="G221" s="150">
        <v>32961</v>
      </c>
      <c r="H221" s="2">
        <v>1055032.5</v>
      </c>
      <c r="I221" s="2">
        <v>0</v>
      </c>
      <c r="J221" s="2">
        <v>0</v>
      </c>
      <c r="K221" s="2">
        <v>189905.85</v>
      </c>
      <c r="L221" s="2">
        <v>0</v>
      </c>
      <c r="M221" s="2">
        <v>0</v>
      </c>
      <c r="N221" s="2">
        <v>0</v>
      </c>
    </row>
    <row r="222" spans="1:14" x14ac:dyDescent="0.25">
      <c r="A222" s="1" t="s">
        <v>44</v>
      </c>
      <c r="B222" t="s">
        <v>453</v>
      </c>
      <c r="C222" s="150">
        <v>113</v>
      </c>
      <c r="D222" t="s">
        <v>201</v>
      </c>
      <c r="E222" t="s">
        <v>202</v>
      </c>
      <c r="F222" t="s">
        <v>604</v>
      </c>
      <c r="G222" s="150">
        <v>32887</v>
      </c>
      <c r="H222" s="2">
        <v>38475</v>
      </c>
      <c r="I222" s="2">
        <v>0</v>
      </c>
      <c r="J222" s="2">
        <v>0</v>
      </c>
      <c r="K222" s="2">
        <v>6925.5</v>
      </c>
      <c r="L222" s="2">
        <v>0</v>
      </c>
      <c r="M222" s="2">
        <v>0</v>
      </c>
      <c r="N222" s="2">
        <v>0</v>
      </c>
    </row>
    <row r="223" spans="1:14" x14ac:dyDescent="0.25">
      <c r="A223" s="1" t="s">
        <v>44</v>
      </c>
      <c r="B223" t="s">
        <v>455</v>
      </c>
      <c r="C223" s="150">
        <v>113</v>
      </c>
      <c r="D223" t="s">
        <v>201</v>
      </c>
      <c r="E223" t="s">
        <v>202</v>
      </c>
      <c r="F223" t="s">
        <v>605</v>
      </c>
      <c r="G223" s="150">
        <v>32885</v>
      </c>
      <c r="H223" s="2">
        <v>288000</v>
      </c>
      <c r="I223" s="2">
        <v>0</v>
      </c>
      <c r="J223" s="2">
        <v>0</v>
      </c>
      <c r="K223" s="2">
        <v>51840</v>
      </c>
      <c r="L223" s="2">
        <v>0</v>
      </c>
      <c r="M223" s="2">
        <v>0</v>
      </c>
      <c r="N223" s="2">
        <v>0</v>
      </c>
    </row>
    <row r="224" spans="1:14" x14ac:dyDescent="0.25">
      <c r="A224" s="1" t="s">
        <v>44</v>
      </c>
      <c r="B224" t="s">
        <v>458</v>
      </c>
      <c r="C224" s="150">
        <v>113</v>
      </c>
      <c r="D224" t="s">
        <v>201</v>
      </c>
      <c r="E224" t="s">
        <v>202</v>
      </c>
      <c r="F224" t="s">
        <v>606</v>
      </c>
      <c r="G224" s="150">
        <v>32962</v>
      </c>
      <c r="H224" s="2">
        <v>1080765</v>
      </c>
      <c r="I224" s="2">
        <v>0</v>
      </c>
      <c r="J224" s="2">
        <v>0</v>
      </c>
      <c r="K224" s="2">
        <v>194537.7</v>
      </c>
      <c r="L224" s="2">
        <v>0</v>
      </c>
      <c r="M224" s="2">
        <v>0</v>
      </c>
      <c r="N224" s="2">
        <v>0</v>
      </c>
    </row>
    <row r="225" spans="1:14" x14ac:dyDescent="0.25">
      <c r="A225" s="1" t="s">
        <v>44</v>
      </c>
      <c r="B225" t="s">
        <v>459</v>
      </c>
      <c r="C225" s="150">
        <v>113</v>
      </c>
      <c r="D225" t="s">
        <v>201</v>
      </c>
      <c r="E225" t="s">
        <v>202</v>
      </c>
      <c r="F225" t="s">
        <v>609</v>
      </c>
      <c r="G225" s="150">
        <v>32963</v>
      </c>
      <c r="H225" s="2">
        <v>437000</v>
      </c>
      <c r="I225" s="2">
        <v>0</v>
      </c>
      <c r="J225" s="2">
        <v>0</v>
      </c>
      <c r="K225" s="2">
        <v>78660</v>
      </c>
      <c r="L225" s="2">
        <v>0</v>
      </c>
      <c r="M225" s="2">
        <v>0</v>
      </c>
      <c r="N225" s="2">
        <v>0</v>
      </c>
    </row>
    <row r="226" spans="1:14" x14ac:dyDescent="0.25">
      <c r="A226" s="1" t="s">
        <v>44</v>
      </c>
      <c r="B226" t="s">
        <v>236</v>
      </c>
      <c r="C226" s="150">
        <v>107</v>
      </c>
      <c r="D226" t="s">
        <v>201</v>
      </c>
      <c r="E226" t="s">
        <v>202</v>
      </c>
      <c r="F226" t="s">
        <v>493</v>
      </c>
      <c r="G226" s="150">
        <v>32953</v>
      </c>
      <c r="H226" s="2">
        <v>882000</v>
      </c>
      <c r="I226" s="2">
        <v>0</v>
      </c>
      <c r="J226" s="2">
        <v>0</v>
      </c>
      <c r="K226" s="2">
        <v>158760</v>
      </c>
      <c r="L226" s="2">
        <v>0</v>
      </c>
      <c r="M226" s="2">
        <v>0</v>
      </c>
      <c r="N226" s="2">
        <v>0</v>
      </c>
    </row>
    <row r="227" spans="1:14" x14ac:dyDescent="0.25">
      <c r="A227" s="1" t="s">
        <v>44</v>
      </c>
      <c r="B227" t="s">
        <v>523</v>
      </c>
      <c r="C227" s="150">
        <v>111</v>
      </c>
      <c r="D227" t="s">
        <v>201</v>
      </c>
      <c r="E227" t="s">
        <v>202</v>
      </c>
      <c r="F227" t="s">
        <v>260</v>
      </c>
      <c r="G227" s="150">
        <v>32880</v>
      </c>
      <c r="H227" s="2">
        <v>312375</v>
      </c>
      <c r="I227" s="2">
        <v>28114</v>
      </c>
      <c r="J227" s="2">
        <v>28114</v>
      </c>
      <c r="K227" s="2">
        <v>0</v>
      </c>
      <c r="L227" s="2">
        <v>0</v>
      </c>
      <c r="M227" s="2">
        <v>0</v>
      </c>
      <c r="N227" s="2">
        <v>0</v>
      </c>
    </row>
    <row r="228" spans="1:14" x14ac:dyDescent="0.25">
      <c r="A228" s="1" t="s">
        <v>44</v>
      </c>
      <c r="B228" t="s">
        <v>584</v>
      </c>
      <c r="C228" s="150">
        <v>112</v>
      </c>
      <c r="D228" t="s">
        <v>201</v>
      </c>
      <c r="E228" t="s">
        <v>202</v>
      </c>
      <c r="F228" t="s">
        <v>585</v>
      </c>
      <c r="G228" s="150">
        <v>32884</v>
      </c>
      <c r="H228" s="2">
        <v>501250</v>
      </c>
      <c r="I228" s="2">
        <v>45113</v>
      </c>
      <c r="J228" s="2">
        <v>45113</v>
      </c>
      <c r="K228" s="2">
        <v>0</v>
      </c>
      <c r="L228" s="2">
        <v>0</v>
      </c>
      <c r="M228" s="2">
        <v>0</v>
      </c>
      <c r="N228" s="2">
        <v>0</v>
      </c>
    </row>
    <row r="229" spans="1:14" x14ac:dyDescent="0.25">
      <c r="A229" s="1" t="s">
        <v>44</v>
      </c>
      <c r="B229" t="s">
        <v>594</v>
      </c>
      <c r="C229" s="150">
        <v>112</v>
      </c>
      <c r="D229" t="s">
        <v>201</v>
      </c>
      <c r="E229" t="s">
        <v>202</v>
      </c>
      <c r="F229" t="s">
        <v>595</v>
      </c>
      <c r="G229" s="150">
        <v>32874</v>
      </c>
      <c r="H229" s="2">
        <v>882000</v>
      </c>
      <c r="I229" s="2">
        <v>0</v>
      </c>
      <c r="J229" s="2">
        <v>0</v>
      </c>
      <c r="K229" s="2">
        <v>158760</v>
      </c>
      <c r="L229" s="2">
        <v>0</v>
      </c>
      <c r="M229" s="2">
        <v>0</v>
      </c>
      <c r="N229" s="2">
        <v>0</v>
      </c>
    </row>
    <row r="230" spans="1:14" x14ac:dyDescent="0.25">
      <c r="A230" s="1" t="s">
        <v>44</v>
      </c>
      <c r="B230" t="s">
        <v>607</v>
      </c>
      <c r="C230" s="150">
        <v>113</v>
      </c>
      <c r="D230" t="s">
        <v>201</v>
      </c>
      <c r="E230" t="s">
        <v>202</v>
      </c>
      <c r="F230" t="s">
        <v>608</v>
      </c>
      <c r="G230" s="150">
        <v>32885</v>
      </c>
      <c r="H230" s="2">
        <v>16250</v>
      </c>
      <c r="I230" s="2">
        <v>0</v>
      </c>
      <c r="J230" s="2">
        <v>0</v>
      </c>
      <c r="K230" s="2">
        <v>2925</v>
      </c>
      <c r="L230" s="2">
        <v>0</v>
      </c>
      <c r="M230" s="2">
        <v>0</v>
      </c>
      <c r="N230" s="2">
        <v>0</v>
      </c>
    </row>
    <row r="231" spans="1:14" x14ac:dyDescent="0.25">
      <c r="A231" s="1" t="s">
        <v>44</v>
      </c>
      <c r="B231" t="s">
        <v>610</v>
      </c>
      <c r="C231" s="150">
        <v>113</v>
      </c>
      <c r="D231" t="s">
        <v>201</v>
      </c>
      <c r="E231" t="s">
        <v>202</v>
      </c>
      <c r="F231" t="s">
        <v>611</v>
      </c>
      <c r="G231" s="150">
        <v>32963</v>
      </c>
      <c r="H231" s="2">
        <v>418000</v>
      </c>
      <c r="I231" s="2">
        <v>0</v>
      </c>
      <c r="J231" s="2">
        <v>0</v>
      </c>
      <c r="K231" s="2">
        <v>75240</v>
      </c>
      <c r="L231" s="2">
        <v>0</v>
      </c>
      <c r="M231" s="2">
        <v>0</v>
      </c>
      <c r="N231" s="2">
        <v>0</v>
      </c>
    </row>
    <row r="232" spans="1:14" x14ac:dyDescent="0.25">
      <c r="A232" s="1" t="s">
        <v>44</v>
      </c>
      <c r="B232" t="s">
        <v>614</v>
      </c>
      <c r="C232" s="150">
        <v>121</v>
      </c>
      <c r="D232" t="s">
        <v>201</v>
      </c>
      <c r="E232" t="s">
        <v>202</v>
      </c>
      <c r="F232" t="s">
        <v>615</v>
      </c>
      <c r="G232" s="150">
        <v>32874</v>
      </c>
      <c r="H232" s="2">
        <v>253864.6</v>
      </c>
      <c r="I232" s="2">
        <v>22847.81</v>
      </c>
      <c r="J232" s="2">
        <v>22847.81</v>
      </c>
      <c r="K232" s="2">
        <v>0</v>
      </c>
      <c r="L232" s="2">
        <v>0</v>
      </c>
      <c r="M232" s="2">
        <v>0</v>
      </c>
      <c r="N232" s="2">
        <v>0</v>
      </c>
    </row>
    <row r="233" spans="1:14" x14ac:dyDescent="0.25">
      <c r="A233" s="1" t="s">
        <v>44</v>
      </c>
      <c r="B233" t="s">
        <v>616</v>
      </c>
      <c r="C233" s="150">
        <v>121</v>
      </c>
      <c r="D233" t="s">
        <v>201</v>
      </c>
      <c r="E233" t="s">
        <v>202</v>
      </c>
      <c r="F233" t="s">
        <v>198</v>
      </c>
      <c r="G233" s="150">
        <v>32881</v>
      </c>
      <c r="H233" s="2">
        <v>33319.5</v>
      </c>
      <c r="I233" s="2">
        <v>2998.76</v>
      </c>
      <c r="J233" s="2">
        <v>2998.76</v>
      </c>
      <c r="K233" s="2">
        <v>0</v>
      </c>
      <c r="L233" s="2">
        <v>0</v>
      </c>
      <c r="M233" s="2">
        <v>0</v>
      </c>
      <c r="N233" s="2">
        <v>0</v>
      </c>
    </row>
    <row r="234" spans="1:14" x14ac:dyDescent="0.25">
      <c r="A234" s="1" t="s">
        <v>44</v>
      </c>
      <c r="B234" t="s">
        <v>617</v>
      </c>
      <c r="C234" s="150">
        <v>121</v>
      </c>
      <c r="D234" t="s">
        <v>201</v>
      </c>
      <c r="E234" t="s">
        <v>202</v>
      </c>
      <c r="F234" t="s">
        <v>618</v>
      </c>
      <c r="G234" s="150">
        <v>32887</v>
      </c>
      <c r="H234" s="2">
        <v>14688</v>
      </c>
      <c r="I234" s="2">
        <v>1321.92</v>
      </c>
      <c r="J234" s="2">
        <v>1321.92</v>
      </c>
      <c r="K234" s="2">
        <v>0</v>
      </c>
      <c r="L234" s="2">
        <v>0</v>
      </c>
      <c r="M234" s="2">
        <v>0</v>
      </c>
      <c r="N234" s="2">
        <v>0</v>
      </c>
    </row>
    <row r="235" spans="1:14" x14ac:dyDescent="0.25">
      <c r="A235" s="1" t="s">
        <v>44</v>
      </c>
      <c r="B235" t="s">
        <v>619</v>
      </c>
      <c r="C235" s="150">
        <v>121</v>
      </c>
      <c r="D235" t="s">
        <v>201</v>
      </c>
      <c r="E235" t="s">
        <v>202</v>
      </c>
      <c r="F235" t="s">
        <v>460</v>
      </c>
      <c r="G235" s="150">
        <v>32889</v>
      </c>
      <c r="H235" s="2">
        <v>152747.79999999999</v>
      </c>
      <c r="I235" s="2">
        <v>13747</v>
      </c>
      <c r="J235" s="2">
        <v>13747</v>
      </c>
      <c r="K235" s="2">
        <v>0</v>
      </c>
      <c r="L235" s="2">
        <v>0</v>
      </c>
      <c r="M235" s="2">
        <v>0</v>
      </c>
      <c r="N235" s="2">
        <v>0</v>
      </c>
    </row>
    <row r="236" spans="1:14" x14ac:dyDescent="0.25">
      <c r="A236" s="1" t="s">
        <v>44</v>
      </c>
      <c r="B236" t="s">
        <v>620</v>
      </c>
      <c r="C236" s="150">
        <v>121</v>
      </c>
      <c r="D236" t="s">
        <v>201</v>
      </c>
      <c r="E236" t="s">
        <v>202</v>
      </c>
      <c r="F236" t="s">
        <v>251</v>
      </c>
      <c r="G236" s="150">
        <v>32892</v>
      </c>
      <c r="H236" s="2">
        <v>445226.5</v>
      </c>
      <c r="I236" s="2">
        <v>40070.39</v>
      </c>
      <c r="J236" s="2">
        <v>40070.39</v>
      </c>
      <c r="K236" s="2">
        <v>0</v>
      </c>
      <c r="L236" s="2">
        <v>0</v>
      </c>
      <c r="M236" s="2">
        <v>0</v>
      </c>
      <c r="N236" s="2">
        <v>0</v>
      </c>
    </row>
    <row r="237" spans="1:14" x14ac:dyDescent="0.25">
      <c r="A237" s="1" t="s">
        <v>44</v>
      </c>
      <c r="B237" t="s">
        <v>621</v>
      </c>
      <c r="C237" s="150">
        <v>121</v>
      </c>
      <c r="D237" t="s">
        <v>201</v>
      </c>
      <c r="E237" t="s">
        <v>202</v>
      </c>
      <c r="F237" t="s">
        <v>622</v>
      </c>
      <c r="G237" s="150">
        <v>32892</v>
      </c>
      <c r="H237" s="2">
        <v>416000.2</v>
      </c>
      <c r="I237" s="2">
        <v>37440.019999999997</v>
      </c>
      <c r="J237" s="2">
        <v>37440.019999999997</v>
      </c>
      <c r="K237" s="2">
        <v>0</v>
      </c>
      <c r="L237" s="2">
        <v>0</v>
      </c>
      <c r="M237" s="2">
        <v>0</v>
      </c>
      <c r="N237" s="2">
        <v>0</v>
      </c>
    </row>
    <row r="238" spans="1:14" x14ac:dyDescent="0.25">
      <c r="A238" s="1" t="s">
        <v>44</v>
      </c>
      <c r="B238" t="s">
        <v>623</v>
      </c>
      <c r="C238" s="150">
        <v>121</v>
      </c>
      <c r="D238" t="s">
        <v>201</v>
      </c>
      <c r="E238" t="s">
        <v>202</v>
      </c>
      <c r="F238" t="s">
        <v>624</v>
      </c>
      <c r="G238" s="150">
        <v>32891</v>
      </c>
      <c r="H238" s="2">
        <v>32493.24</v>
      </c>
      <c r="I238" s="2">
        <v>2924</v>
      </c>
      <c r="J238" s="2">
        <v>2924</v>
      </c>
      <c r="K238" s="2">
        <v>0</v>
      </c>
      <c r="L238" s="2">
        <v>0</v>
      </c>
      <c r="M238" s="2">
        <v>0</v>
      </c>
      <c r="N238" s="2">
        <v>0</v>
      </c>
    </row>
    <row r="239" spans="1:14" x14ac:dyDescent="0.25">
      <c r="A239" s="1" t="s">
        <v>44</v>
      </c>
      <c r="B239" t="s">
        <v>625</v>
      </c>
      <c r="C239" s="150">
        <v>121</v>
      </c>
      <c r="D239" t="s">
        <v>201</v>
      </c>
      <c r="E239" t="s">
        <v>202</v>
      </c>
      <c r="F239" t="s">
        <v>626</v>
      </c>
      <c r="G239" s="150">
        <v>32891</v>
      </c>
      <c r="H239" s="2">
        <v>207690</v>
      </c>
      <c r="I239" s="2">
        <v>18692.099999999999</v>
      </c>
      <c r="J239" s="2">
        <v>18692.099999999999</v>
      </c>
      <c r="K239" s="2">
        <v>0</v>
      </c>
      <c r="L239" s="2">
        <v>0</v>
      </c>
      <c r="M239" s="2">
        <v>0</v>
      </c>
      <c r="N239" s="2">
        <v>0</v>
      </c>
    </row>
    <row r="240" spans="1:14" x14ac:dyDescent="0.25">
      <c r="A240" s="1" t="s">
        <v>44</v>
      </c>
      <c r="B240" t="s">
        <v>627</v>
      </c>
      <c r="C240" s="150">
        <v>121</v>
      </c>
      <c r="D240" t="s">
        <v>201</v>
      </c>
      <c r="E240" t="s">
        <v>202</v>
      </c>
      <c r="F240" t="s">
        <v>628</v>
      </c>
      <c r="G240" s="150">
        <v>32892</v>
      </c>
      <c r="H240" s="2">
        <v>296530.5</v>
      </c>
      <c r="I240" s="2">
        <v>26687.75</v>
      </c>
      <c r="J240" s="2">
        <v>26687.75</v>
      </c>
      <c r="K240" s="2">
        <v>0</v>
      </c>
      <c r="L240" s="2">
        <v>0</v>
      </c>
      <c r="M240" s="2">
        <v>0</v>
      </c>
      <c r="N240" s="2">
        <v>0</v>
      </c>
    </row>
    <row r="241" spans="1:14" x14ac:dyDescent="0.25">
      <c r="A241" s="1" t="s">
        <v>44</v>
      </c>
      <c r="B241" t="s">
        <v>629</v>
      </c>
      <c r="C241" s="150">
        <v>121</v>
      </c>
      <c r="D241" t="s">
        <v>201</v>
      </c>
      <c r="E241" t="s">
        <v>202</v>
      </c>
      <c r="F241" t="s">
        <v>630</v>
      </c>
      <c r="G241" s="150">
        <v>32892</v>
      </c>
      <c r="H241" s="2">
        <v>15927.1</v>
      </c>
      <c r="I241" s="2">
        <v>1433.44</v>
      </c>
      <c r="J241" s="2">
        <v>1433.44</v>
      </c>
      <c r="K241" s="2">
        <v>0</v>
      </c>
      <c r="L241" s="2">
        <v>0</v>
      </c>
      <c r="M241" s="2">
        <v>0</v>
      </c>
      <c r="N241" s="2">
        <v>0</v>
      </c>
    </row>
    <row r="242" spans="1:14" x14ac:dyDescent="0.25">
      <c r="A242" s="1" t="s">
        <v>44</v>
      </c>
      <c r="B242" t="s">
        <v>631</v>
      </c>
      <c r="C242" s="150">
        <v>121</v>
      </c>
      <c r="D242" t="s">
        <v>201</v>
      </c>
      <c r="E242" t="s">
        <v>202</v>
      </c>
      <c r="F242" t="s">
        <v>632</v>
      </c>
      <c r="G242" s="150">
        <v>32892</v>
      </c>
      <c r="H242" s="2">
        <v>8402.76</v>
      </c>
      <c r="I242" s="2">
        <v>756.25</v>
      </c>
      <c r="J242" s="2">
        <v>756.25</v>
      </c>
      <c r="K242" s="2">
        <v>0</v>
      </c>
      <c r="L242" s="2">
        <v>0</v>
      </c>
      <c r="M242" s="2">
        <v>0</v>
      </c>
      <c r="N242" s="2">
        <v>0</v>
      </c>
    </row>
    <row r="243" spans="1:14" x14ac:dyDescent="0.25">
      <c r="A243" s="1" t="s">
        <v>44</v>
      </c>
      <c r="B243" t="s">
        <v>635</v>
      </c>
      <c r="C243" s="150">
        <v>121</v>
      </c>
      <c r="D243" t="s">
        <v>201</v>
      </c>
      <c r="E243" t="s">
        <v>202</v>
      </c>
      <c r="F243" t="s">
        <v>636</v>
      </c>
      <c r="G243" s="150">
        <v>32893</v>
      </c>
      <c r="H243" s="2">
        <v>23346.61</v>
      </c>
      <c r="I243" s="2">
        <v>2101.19</v>
      </c>
      <c r="J243" s="2">
        <v>2101.19</v>
      </c>
      <c r="K243" s="2">
        <v>0</v>
      </c>
      <c r="L243" s="2">
        <v>0</v>
      </c>
      <c r="M243" s="2">
        <v>0</v>
      </c>
      <c r="N243" s="2">
        <v>0</v>
      </c>
    </row>
    <row r="244" spans="1:14" x14ac:dyDescent="0.25">
      <c r="A244" s="1" t="s">
        <v>44</v>
      </c>
      <c r="B244" t="s">
        <v>637</v>
      </c>
      <c r="C244" s="150">
        <v>121</v>
      </c>
      <c r="D244" t="s">
        <v>201</v>
      </c>
      <c r="E244" t="s">
        <v>202</v>
      </c>
      <c r="F244" t="s">
        <v>277</v>
      </c>
      <c r="G244" s="150">
        <v>32893</v>
      </c>
      <c r="H244" s="2">
        <v>212465.04</v>
      </c>
      <c r="I244" s="2">
        <v>19121</v>
      </c>
      <c r="J244" s="2">
        <v>19121</v>
      </c>
      <c r="K244" s="2">
        <v>0</v>
      </c>
      <c r="L244" s="2">
        <v>0</v>
      </c>
      <c r="M244" s="2">
        <v>0</v>
      </c>
      <c r="N244" s="2">
        <v>0</v>
      </c>
    </row>
    <row r="245" spans="1:14" x14ac:dyDescent="0.25">
      <c r="A245" s="1" t="s">
        <v>44</v>
      </c>
      <c r="B245" t="s">
        <v>638</v>
      </c>
      <c r="C245" s="150">
        <v>121</v>
      </c>
      <c r="D245" t="s">
        <v>201</v>
      </c>
      <c r="E245" t="s">
        <v>202</v>
      </c>
      <c r="F245" t="s">
        <v>639</v>
      </c>
      <c r="G245" s="150">
        <v>32892</v>
      </c>
      <c r="H245" s="2">
        <v>629598.4</v>
      </c>
      <c r="I245" s="2">
        <v>56664</v>
      </c>
      <c r="J245" s="2">
        <v>56664</v>
      </c>
      <c r="K245" s="2">
        <v>0</v>
      </c>
      <c r="L245" s="2">
        <v>0</v>
      </c>
      <c r="M245" s="2">
        <v>0</v>
      </c>
      <c r="N245" s="2">
        <v>0</v>
      </c>
    </row>
    <row r="246" spans="1:14" x14ac:dyDescent="0.25">
      <c r="A246" s="1" t="s">
        <v>44</v>
      </c>
      <c r="B246" t="s">
        <v>640</v>
      </c>
      <c r="C246" s="150">
        <v>121</v>
      </c>
      <c r="D246" t="s">
        <v>201</v>
      </c>
      <c r="E246" t="s">
        <v>202</v>
      </c>
      <c r="F246" t="s">
        <v>641</v>
      </c>
      <c r="G246" s="150">
        <v>32894</v>
      </c>
      <c r="H246" s="2">
        <v>730781.1</v>
      </c>
      <c r="I246" s="2">
        <v>65770.3</v>
      </c>
      <c r="J246" s="2">
        <v>65770.3</v>
      </c>
      <c r="K246" s="2">
        <v>0</v>
      </c>
      <c r="L246" s="2">
        <v>0</v>
      </c>
      <c r="M246" s="2">
        <v>0</v>
      </c>
      <c r="N246" s="2">
        <v>0</v>
      </c>
    </row>
    <row r="247" spans="1:14" x14ac:dyDescent="0.25">
      <c r="A247" s="1" t="s">
        <v>44</v>
      </c>
      <c r="B247" t="s">
        <v>642</v>
      </c>
      <c r="C247" s="150">
        <v>121</v>
      </c>
      <c r="D247" t="s">
        <v>201</v>
      </c>
      <c r="E247" t="s">
        <v>202</v>
      </c>
      <c r="F247" t="s">
        <v>643</v>
      </c>
      <c r="G247" s="150">
        <v>32894</v>
      </c>
      <c r="H247" s="2">
        <v>294617.40000000002</v>
      </c>
      <c r="I247" s="2">
        <v>26515.57</v>
      </c>
      <c r="J247" s="2">
        <v>26515.57</v>
      </c>
      <c r="K247" s="2">
        <v>0</v>
      </c>
      <c r="L247" s="2">
        <v>0</v>
      </c>
      <c r="M247" s="2">
        <v>0</v>
      </c>
      <c r="N247" s="2">
        <v>0</v>
      </c>
    </row>
    <row r="248" spans="1:14" x14ac:dyDescent="0.25">
      <c r="A248" s="1" t="s">
        <v>44</v>
      </c>
      <c r="B248" t="s">
        <v>644</v>
      </c>
      <c r="C248" s="150">
        <v>121</v>
      </c>
      <c r="D248" t="s">
        <v>201</v>
      </c>
      <c r="E248" t="s">
        <v>202</v>
      </c>
      <c r="F248" t="s">
        <v>645</v>
      </c>
      <c r="G248" s="150">
        <v>32891</v>
      </c>
      <c r="H248" s="2">
        <v>43697</v>
      </c>
      <c r="I248" s="2">
        <v>0</v>
      </c>
      <c r="J248" s="2">
        <v>0</v>
      </c>
      <c r="K248" s="2">
        <v>7865.46</v>
      </c>
      <c r="L248" s="2">
        <v>0</v>
      </c>
      <c r="M248" s="2">
        <v>0</v>
      </c>
      <c r="N248" s="2">
        <v>0</v>
      </c>
    </row>
    <row r="249" spans="1:14" x14ac:dyDescent="0.25">
      <c r="A249" s="1" t="s">
        <v>44</v>
      </c>
      <c r="B249" t="s">
        <v>649</v>
      </c>
      <c r="C249" s="150">
        <v>114</v>
      </c>
      <c r="D249" t="s">
        <v>201</v>
      </c>
      <c r="E249" t="s">
        <v>202</v>
      </c>
      <c r="F249" t="s">
        <v>650</v>
      </c>
      <c r="G249" s="150">
        <v>32896</v>
      </c>
      <c r="H249" s="2">
        <v>11430</v>
      </c>
      <c r="I249" s="2">
        <v>1028.7</v>
      </c>
      <c r="J249" s="2">
        <v>1028.7</v>
      </c>
      <c r="K249" s="2">
        <v>0</v>
      </c>
      <c r="L249" s="2">
        <v>0</v>
      </c>
      <c r="M249" s="2">
        <v>0</v>
      </c>
      <c r="N249" s="2">
        <v>0</v>
      </c>
    </row>
    <row r="250" spans="1:14" x14ac:dyDescent="0.25">
      <c r="A250" s="1" t="s">
        <v>44</v>
      </c>
      <c r="B250" t="s">
        <v>652</v>
      </c>
      <c r="C250" s="150">
        <v>121</v>
      </c>
      <c r="D250" t="s">
        <v>201</v>
      </c>
      <c r="E250" t="s">
        <v>202</v>
      </c>
      <c r="F250" t="s">
        <v>420</v>
      </c>
      <c r="G250" s="150">
        <v>32897</v>
      </c>
      <c r="H250" s="2">
        <v>32449.43</v>
      </c>
      <c r="I250" s="2">
        <v>2920.45</v>
      </c>
      <c r="J250" s="2">
        <v>2920.45</v>
      </c>
      <c r="K250" s="2">
        <v>0</v>
      </c>
      <c r="L250" s="2">
        <v>0</v>
      </c>
      <c r="M250" s="2">
        <v>0</v>
      </c>
      <c r="N250" s="2">
        <v>0</v>
      </c>
    </row>
    <row r="251" spans="1:14" x14ac:dyDescent="0.25">
      <c r="A251" s="1" t="s">
        <v>44</v>
      </c>
      <c r="B251" t="s">
        <v>653</v>
      </c>
      <c r="C251" s="150">
        <v>121</v>
      </c>
      <c r="D251" t="s">
        <v>201</v>
      </c>
      <c r="E251" t="s">
        <v>202</v>
      </c>
      <c r="F251" t="s">
        <v>654</v>
      </c>
      <c r="G251" s="150">
        <v>32895</v>
      </c>
      <c r="H251" s="2">
        <v>349784.3</v>
      </c>
      <c r="I251" s="2">
        <v>31480.59</v>
      </c>
      <c r="J251" s="2">
        <v>31480.59</v>
      </c>
      <c r="K251" s="2">
        <v>0</v>
      </c>
      <c r="L251" s="2">
        <v>0</v>
      </c>
      <c r="M251" s="2">
        <v>0</v>
      </c>
      <c r="N251" s="2">
        <v>0</v>
      </c>
    </row>
    <row r="252" spans="1:14" x14ac:dyDescent="0.25">
      <c r="A252" s="1" t="s">
        <v>44</v>
      </c>
      <c r="B252" t="s">
        <v>655</v>
      </c>
      <c r="C252" s="150">
        <v>121</v>
      </c>
      <c r="D252" t="s">
        <v>201</v>
      </c>
      <c r="E252" t="s">
        <v>202</v>
      </c>
      <c r="F252" t="s">
        <v>656</v>
      </c>
      <c r="G252" s="150">
        <v>32895</v>
      </c>
      <c r="H252" s="2">
        <v>378931.1</v>
      </c>
      <c r="I252" s="2">
        <v>34103.800000000003</v>
      </c>
      <c r="J252" s="2">
        <v>34103.800000000003</v>
      </c>
      <c r="K252" s="2">
        <v>0</v>
      </c>
      <c r="L252" s="2">
        <v>0</v>
      </c>
      <c r="M252" s="2">
        <v>0</v>
      </c>
      <c r="N252" s="2">
        <v>0</v>
      </c>
    </row>
    <row r="253" spans="1:14" x14ac:dyDescent="0.25">
      <c r="A253" s="1" t="s">
        <v>44</v>
      </c>
      <c r="B253" t="s">
        <v>657</v>
      </c>
      <c r="C253" s="150">
        <v>121</v>
      </c>
      <c r="D253" t="s">
        <v>201</v>
      </c>
      <c r="E253" t="s">
        <v>202</v>
      </c>
      <c r="F253" t="s">
        <v>658</v>
      </c>
      <c r="G253" s="150">
        <v>32898</v>
      </c>
      <c r="H253" s="2">
        <v>16520.5</v>
      </c>
      <c r="I253" s="2">
        <v>1486.85</v>
      </c>
      <c r="J253" s="2">
        <v>1486.85</v>
      </c>
      <c r="K253" s="2">
        <v>0</v>
      </c>
      <c r="L253" s="2">
        <v>0</v>
      </c>
      <c r="M253" s="2">
        <v>0</v>
      </c>
      <c r="N253" s="2">
        <v>0</v>
      </c>
    </row>
    <row r="254" spans="1:14" x14ac:dyDescent="0.25">
      <c r="A254" s="1" t="s">
        <v>44</v>
      </c>
      <c r="B254" t="s">
        <v>659</v>
      </c>
      <c r="C254" s="150">
        <v>121</v>
      </c>
      <c r="D254" t="s">
        <v>201</v>
      </c>
      <c r="E254" t="s">
        <v>202</v>
      </c>
      <c r="F254" t="s">
        <v>660</v>
      </c>
      <c r="G254" s="150">
        <v>32893</v>
      </c>
      <c r="H254" s="2">
        <v>31680</v>
      </c>
      <c r="I254" s="2">
        <v>0</v>
      </c>
      <c r="J254" s="2">
        <v>0</v>
      </c>
      <c r="K254" s="2">
        <v>5702</v>
      </c>
      <c r="L254" s="2">
        <v>0</v>
      </c>
      <c r="M254" s="2">
        <v>0</v>
      </c>
      <c r="N254" s="2">
        <v>0</v>
      </c>
    </row>
    <row r="255" spans="1:14" x14ac:dyDescent="0.25">
      <c r="A255" s="1" t="s">
        <v>44</v>
      </c>
      <c r="B255" t="s">
        <v>662</v>
      </c>
      <c r="C255" s="150">
        <v>121</v>
      </c>
      <c r="D255" t="s">
        <v>201</v>
      </c>
      <c r="E255" t="s">
        <v>202</v>
      </c>
      <c r="F255" t="s">
        <v>524</v>
      </c>
      <c r="G255" s="150">
        <v>32898</v>
      </c>
      <c r="H255" s="2">
        <v>83400</v>
      </c>
      <c r="I255" s="2">
        <v>7506</v>
      </c>
      <c r="J255" s="2">
        <v>7506</v>
      </c>
      <c r="K255" s="2">
        <v>0</v>
      </c>
      <c r="L255" s="2">
        <v>0</v>
      </c>
      <c r="M255" s="2">
        <v>0</v>
      </c>
      <c r="N255" s="2">
        <v>0</v>
      </c>
    </row>
    <row r="256" spans="1:14" x14ac:dyDescent="0.25">
      <c r="A256" s="1" t="s">
        <v>44</v>
      </c>
      <c r="B256" t="s">
        <v>664</v>
      </c>
      <c r="C256" s="150">
        <v>121</v>
      </c>
      <c r="D256" t="s">
        <v>201</v>
      </c>
      <c r="E256" t="s">
        <v>202</v>
      </c>
      <c r="F256" t="s">
        <v>198</v>
      </c>
      <c r="G256" s="150">
        <v>32898</v>
      </c>
      <c r="H256" s="2">
        <v>186065.1</v>
      </c>
      <c r="I256" s="2">
        <v>16746</v>
      </c>
      <c r="J256" s="2">
        <v>16746</v>
      </c>
      <c r="K256" s="2">
        <v>0</v>
      </c>
      <c r="L256" s="2">
        <v>0</v>
      </c>
      <c r="M256" s="2">
        <v>0</v>
      </c>
      <c r="N256" s="2">
        <v>0</v>
      </c>
    </row>
    <row r="257" spans="1:14" x14ac:dyDescent="0.25">
      <c r="A257" s="1" t="s">
        <v>44</v>
      </c>
      <c r="B257" t="s">
        <v>665</v>
      </c>
      <c r="C257" s="150">
        <v>121</v>
      </c>
      <c r="D257" t="s">
        <v>201</v>
      </c>
      <c r="E257" t="s">
        <v>202</v>
      </c>
      <c r="F257" t="s">
        <v>666</v>
      </c>
      <c r="G257" s="150">
        <v>32898</v>
      </c>
      <c r="H257" s="2">
        <v>905801.35499999998</v>
      </c>
      <c r="I257" s="2">
        <v>81522</v>
      </c>
      <c r="J257" s="2">
        <v>81522</v>
      </c>
      <c r="K257" s="2">
        <v>0</v>
      </c>
      <c r="L257" s="2">
        <v>0</v>
      </c>
      <c r="M257" s="2">
        <v>0</v>
      </c>
      <c r="N257" s="2">
        <v>0</v>
      </c>
    </row>
    <row r="258" spans="1:14" x14ac:dyDescent="0.25">
      <c r="A258" s="1" t="s">
        <v>44</v>
      </c>
      <c r="B258" t="s">
        <v>667</v>
      </c>
      <c r="C258" s="150">
        <v>121</v>
      </c>
      <c r="D258" t="s">
        <v>201</v>
      </c>
      <c r="E258" t="s">
        <v>202</v>
      </c>
      <c r="F258" t="s">
        <v>668</v>
      </c>
      <c r="G258" s="150">
        <v>32898</v>
      </c>
      <c r="H258" s="2">
        <v>92070</v>
      </c>
      <c r="I258" s="2">
        <v>8286.2999999999993</v>
      </c>
      <c r="J258" s="2">
        <v>8286.2999999999993</v>
      </c>
      <c r="K258" s="2">
        <v>0</v>
      </c>
      <c r="L258" s="2">
        <v>0</v>
      </c>
      <c r="M258" s="2">
        <v>0</v>
      </c>
      <c r="N258" s="2">
        <v>0</v>
      </c>
    </row>
    <row r="259" spans="1:14" x14ac:dyDescent="0.25">
      <c r="A259" s="1" t="s">
        <v>44</v>
      </c>
      <c r="B259" t="s">
        <v>669</v>
      </c>
      <c r="C259" s="150">
        <v>121</v>
      </c>
      <c r="D259" t="s">
        <v>201</v>
      </c>
      <c r="E259" t="s">
        <v>202</v>
      </c>
      <c r="F259" t="s">
        <v>670</v>
      </c>
      <c r="G259" s="150">
        <v>32898</v>
      </c>
      <c r="H259" s="2">
        <v>92070</v>
      </c>
      <c r="I259" s="2">
        <v>8286.2999999999993</v>
      </c>
      <c r="J259" s="2">
        <v>8286.2999999999993</v>
      </c>
      <c r="K259" s="2">
        <v>0</v>
      </c>
      <c r="L259" s="2">
        <v>0</v>
      </c>
      <c r="M259" s="2">
        <v>0</v>
      </c>
      <c r="N259" s="2">
        <v>0</v>
      </c>
    </row>
    <row r="260" spans="1:14" x14ac:dyDescent="0.25">
      <c r="A260" s="1" t="s">
        <v>44</v>
      </c>
      <c r="B260" t="s">
        <v>671</v>
      </c>
      <c r="C260" s="150">
        <v>121</v>
      </c>
      <c r="D260" t="s">
        <v>201</v>
      </c>
      <c r="E260" t="s">
        <v>202</v>
      </c>
      <c r="F260" t="s">
        <v>672</v>
      </c>
      <c r="G260" s="150">
        <v>32899</v>
      </c>
      <c r="H260" s="2">
        <v>28830.14</v>
      </c>
      <c r="I260" s="2">
        <v>2594.71</v>
      </c>
      <c r="J260" s="2">
        <v>2594.71</v>
      </c>
      <c r="K260" s="2">
        <v>0</v>
      </c>
      <c r="L260" s="2">
        <v>0</v>
      </c>
      <c r="M260" s="2">
        <v>0</v>
      </c>
      <c r="N260" s="2">
        <v>0</v>
      </c>
    </row>
    <row r="261" spans="1:14" x14ac:dyDescent="0.25">
      <c r="A261" s="1" t="s">
        <v>44</v>
      </c>
      <c r="B261" t="s">
        <v>673</v>
      </c>
      <c r="C261" s="150">
        <v>121</v>
      </c>
      <c r="D261" t="s">
        <v>201</v>
      </c>
      <c r="E261" t="s">
        <v>202</v>
      </c>
      <c r="F261" t="s">
        <v>674</v>
      </c>
      <c r="G261" s="150">
        <v>32898</v>
      </c>
      <c r="H261" s="2">
        <v>296530.5</v>
      </c>
      <c r="I261" s="2">
        <v>26687.75</v>
      </c>
      <c r="J261" s="2">
        <v>26687.75</v>
      </c>
      <c r="K261" s="2">
        <v>0</v>
      </c>
      <c r="L261" s="2">
        <v>0</v>
      </c>
      <c r="M261" s="2">
        <v>0</v>
      </c>
      <c r="N261" s="2">
        <v>0</v>
      </c>
    </row>
    <row r="262" spans="1:14" x14ac:dyDescent="0.25">
      <c r="A262" s="1" t="s">
        <v>44</v>
      </c>
      <c r="B262" t="s">
        <v>675</v>
      </c>
      <c r="C262" s="150">
        <v>121</v>
      </c>
      <c r="D262" t="s">
        <v>201</v>
      </c>
      <c r="E262" t="s">
        <v>202</v>
      </c>
      <c r="F262" t="s">
        <v>676</v>
      </c>
      <c r="G262" s="150">
        <v>32897</v>
      </c>
      <c r="H262" s="2">
        <v>1203307.3470000001</v>
      </c>
      <c r="I262" s="2">
        <v>0</v>
      </c>
      <c r="J262" s="2">
        <v>0</v>
      </c>
      <c r="K262" s="2">
        <v>216595</v>
      </c>
      <c r="L262" s="2">
        <v>0</v>
      </c>
      <c r="M262" s="2">
        <v>0</v>
      </c>
      <c r="N262" s="2">
        <v>0</v>
      </c>
    </row>
    <row r="263" spans="1:14" x14ac:dyDescent="0.25">
      <c r="A263" s="1" t="s">
        <v>44</v>
      </c>
      <c r="B263" t="s">
        <v>677</v>
      </c>
      <c r="C263" s="150">
        <v>121</v>
      </c>
      <c r="D263" t="s">
        <v>201</v>
      </c>
      <c r="E263" t="s">
        <v>202</v>
      </c>
      <c r="F263" t="s">
        <v>678</v>
      </c>
      <c r="G263" s="150">
        <v>32961</v>
      </c>
      <c r="H263" s="2">
        <v>3119920</v>
      </c>
      <c r="I263" s="2">
        <v>0</v>
      </c>
      <c r="J263" s="2">
        <v>0</v>
      </c>
      <c r="K263" s="2">
        <v>561585.6</v>
      </c>
      <c r="L263" s="2">
        <v>0</v>
      </c>
      <c r="M263" s="2">
        <v>0</v>
      </c>
      <c r="N263" s="2">
        <v>0</v>
      </c>
    </row>
    <row r="264" spans="1:14" x14ac:dyDescent="0.25">
      <c r="A264" s="1" t="s">
        <v>44</v>
      </c>
      <c r="B264" t="s">
        <v>679</v>
      </c>
      <c r="C264" s="150">
        <v>121</v>
      </c>
      <c r="D264" t="s">
        <v>201</v>
      </c>
      <c r="E264" t="s">
        <v>202</v>
      </c>
      <c r="F264" t="s">
        <v>680</v>
      </c>
      <c r="G264" s="150">
        <v>32875</v>
      </c>
      <c r="H264" s="2">
        <v>3831156</v>
      </c>
      <c r="I264" s="2">
        <v>0</v>
      </c>
      <c r="J264" s="2">
        <v>0</v>
      </c>
      <c r="K264" s="2">
        <v>689608.08</v>
      </c>
      <c r="L264" s="2">
        <v>0</v>
      </c>
      <c r="M264" s="2">
        <v>0</v>
      </c>
      <c r="N264" s="2">
        <v>0</v>
      </c>
    </row>
    <row r="265" spans="1:14" x14ac:dyDescent="0.25">
      <c r="A265" s="1" t="s">
        <v>44</v>
      </c>
      <c r="B265" t="s">
        <v>681</v>
      </c>
      <c r="C265" s="150">
        <v>121</v>
      </c>
      <c r="D265" t="s">
        <v>201</v>
      </c>
      <c r="E265" t="s">
        <v>202</v>
      </c>
      <c r="F265" t="s">
        <v>682</v>
      </c>
      <c r="G265" s="150">
        <v>32882</v>
      </c>
      <c r="H265" s="2">
        <v>22500</v>
      </c>
      <c r="I265" s="2">
        <v>0</v>
      </c>
      <c r="J265" s="2">
        <v>0</v>
      </c>
      <c r="K265" s="2">
        <v>4050</v>
      </c>
      <c r="L265" s="2">
        <v>0</v>
      </c>
      <c r="M265" s="2">
        <v>0</v>
      </c>
      <c r="N265" s="2">
        <v>0</v>
      </c>
    </row>
    <row r="266" spans="1:14" x14ac:dyDescent="0.25">
      <c r="A266" s="1" t="s">
        <v>44</v>
      </c>
      <c r="B266" t="s">
        <v>683</v>
      </c>
      <c r="C266" s="150">
        <v>121</v>
      </c>
      <c r="D266" t="s">
        <v>201</v>
      </c>
      <c r="E266" t="s">
        <v>202</v>
      </c>
      <c r="F266" t="s">
        <v>684</v>
      </c>
      <c r="G266" s="150">
        <v>32885</v>
      </c>
      <c r="H266" s="2">
        <v>2490988.7999999998</v>
      </c>
      <c r="I266" s="2">
        <v>0</v>
      </c>
      <c r="J266" s="2">
        <v>0</v>
      </c>
      <c r="K266" s="2">
        <v>448377.98</v>
      </c>
      <c r="L266" s="2">
        <v>0</v>
      </c>
      <c r="M266" s="2">
        <v>0</v>
      </c>
      <c r="N266" s="2">
        <v>0</v>
      </c>
    </row>
    <row r="267" spans="1:14" x14ac:dyDescent="0.25">
      <c r="A267" s="1" t="s">
        <v>44</v>
      </c>
      <c r="B267" t="s">
        <v>685</v>
      </c>
      <c r="C267" s="150">
        <v>121</v>
      </c>
      <c r="D267" t="s">
        <v>201</v>
      </c>
      <c r="E267" t="s">
        <v>202</v>
      </c>
      <c r="F267" t="s">
        <v>686</v>
      </c>
      <c r="G267" s="150">
        <v>32887</v>
      </c>
      <c r="H267" s="2">
        <v>147250</v>
      </c>
      <c r="I267" s="2">
        <v>0</v>
      </c>
      <c r="J267" s="2">
        <v>0</v>
      </c>
      <c r="K267" s="2">
        <v>26505</v>
      </c>
      <c r="L267" s="2">
        <v>0</v>
      </c>
      <c r="M267" s="2">
        <v>0</v>
      </c>
      <c r="N267" s="2">
        <v>0</v>
      </c>
    </row>
    <row r="268" spans="1:14" x14ac:dyDescent="0.25">
      <c r="A268" s="1" t="s">
        <v>44</v>
      </c>
      <c r="B268" t="s">
        <v>687</v>
      </c>
      <c r="C268" s="150">
        <v>121</v>
      </c>
      <c r="D268" t="s">
        <v>201</v>
      </c>
      <c r="E268" t="s">
        <v>202</v>
      </c>
      <c r="F268" t="s">
        <v>688</v>
      </c>
      <c r="G268" s="150">
        <v>32887</v>
      </c>
      <c r="H268" s="2">
        <v>50000</v>
      </c>
      <c r="I268" s="2">
        <v>0</v>
      </c>
      <c r="J268" s="2">
        <v>0</v>
      </c>
      <c r="K268" s="2">
        <v>9000</v>
      </c>
      <c r="L268" s="2">
        <v>0</v>
      </c>
      <c r="M268" s="2">
        <v>0</v>
      </c>
      <c r="N268" s="2">
        <v>0</v>
      </c>
    </row>
    <row r="269" spans="1:14" x14ac:dyDescent="0.25">
      <c r="A269" s="1" t="s">
        <v>44</v>
      </c>
      <c r="B269" t="s">
        <v>690</v>
      </c>
      <c r="C269" s="150">
        <v>121</v>
      </c>
      <c r="D269" t="s">
        <v>201</v>
      </c>
      <c r="E269" t="s">
        <v>202</v>
      </c>
      <c r="F269" t="s">
        <v>691</v>
      </c>
      <c r="G269" s="150">
        <v>32892</v>
      </c>
      <c r="H269" s="2">
        <v>66000</v>
      </c>
      <c r="I269" s="2">
        <v>0</v>
      </c>
      <c r="J269" s="2">
        <v>0</v>
      </c>
      <c r="K269" s="2">
        <v>11880</v>
      </c>
      <c r="L269" s="2">
        <v>0</v>
      </c>
      <c r="M269" s="2">
        <v>0</v>
      </c>
      <c r="N269" s="2">
        <v>0</v>
      </c>
    </row>
    <row r="270" spans="1:14" x14ac:dyDescent="0.25">
      <c r="A270" s="1" t="s">
        <v>44</v>
      </c>
      <c r="B270" t="s">
        <v>693</v>
      </c>
      <c r="C270" s="150">
        <v>121</v>
      </c>
      <c r="D270" t="s">
        <v>201</v>
      </c>
      <c r="E270" t="s">
        <v>202</v>
      </c>
      <c r="F270" t="s">
        <v>694</v>
      </c>
      <c r="G270" s="150">
        <v>32894</v>
      </c>
      <c r="H270" s="2">
        <v>173550</v>
      </c>
      <c r="I270" s="2">
        <v>0</v>
      </c>
      <c r="J270" s="2">
        <v>0</v>
      </c>
      <c r="K270" s="2">
        <v>31239</v>
      </c>
      <c r="L270" s="2">
        <v>0</v>
      </c>
      <c r="M270" s="2">
        <v>0</v>
      </c>
      <c r="N270" s="2">
        <v>0</v>
      </c>
    </row>
    <row r="271" spans="1:14" x14ac:dyDescent="0.25">
      <c r="A271" s="1" t="s">
        <v>44</v>
      </c>
      <c r="B271" t="s">
        <v>695</v>
      </c>
      <c r="C271" s="150">
        <v>121</v>
      </c>
      <c r="D271" t="s">
        <v>201</v>
      </c>
      <c r="E271" t="s">
        <v>202</v>
      </c>
      <c r="F271" t="s">
        <v>696</v>
      </c>
      <c r="G271" s="150">
        <v>32892</v>
      </c>
      <c r="H271" s="2">
        <v>113200</v>
      </c>
      <c r="I271" s="2">
        <v>0</v>
      </c>
      <c r="J271" s="2">
        <v>0</v>
      </c>
      <c r="K271" s="2">
        <v>20376</v>
      </c>
      <c r="L271" s="2">
        <v>0</v>
      </c>
      <c r="M271" s="2">
        <v>0</v>
      </c>
      <c r="N271" s="2">
        <v>0</v>
      </c>
    </row>
    <row r="272" spans="1:14" x14ac:dyDescent="0.25">
      <c r="A272" s="1" t="s">
        <v>44</v>
      </c>
      <c r="B272" t="s">
        <v>698</v>
      </c>
      <c r="C272" s="150">
        <v>121</v>
      </c>
      <c r="D272" t="s">
        <v>201</v>
      </c>
      <c r="E272" t="s">
        <v>202</v>
      </c>
      <c r="F272" t="s">
        <v>699</v>
      </c>
      <c r="G272" s="150">
        <v>32891</v>
      </c>
      <c r="H272" s="2">
        <v>11100</v>
      </c>
      <c r="I272" s="2">
        <v>0</v>
      </c>
      <c r="J272" s="2">
        <v>0</v>
      </c>
      <c r="K272" s="2">
        <v>1998</v>
      </c>
      <c r="L272" s="2">
        <v>0</v>
      </c>
      <c r="M272" s="2">
        <v>0</v>
      </c>
      <c r="N272" s="2">
        <v>0</v>
      </c>
    </row>
    <row r="273" spans="1:14" x14ac:dyDescent="0.25">
      <c r="A273" s="1" t="s">
        <v>44</v>
      </c>
      <c r="B273" t="s">
        <v>701</v>
      </c>
      <c r="C273" s="150">
        <v>121</v>
      </c>
      <c r="D273" t="s">
        <v>201</v>
      </c>
      <c r="E273" t="s">
        <v>202</v>
      </c>
      <c r="F273" t="s">
        <v>702</v>
      </c>
      <c r="G273" s="150">
        <v>32891</v>
      </c>
      <c r="H273" s="2">
        <v>55500</v>
      </c>
      <c r="I273" s="2">
        <v>0</v>
      </c>
      <c r="J273" s="2">
        <v>0</v>
      </c>
      <c r="K273" s="2">
        <v>9990</v>
      </c>
      <c r="L273" s="2">
        <v>0</v>
      </c>
      <c r="M273" s="2">
        <v>0</v>
      </c>
      <c r="N273" s="2">
        <v>0</v>
      </c>
    </row>
    <row r="274" spans="1:14" x14ac:dyDescent="0.25">
      <c r="A274" s="1" t="s">
        <v>44</v>
      </c>
      <c r="B274" t="s">
        <v>703</v>
      </c>
      <c r="C274" s="150">
        <v>121</v>
      </c>
      <c r="D274" t="s">
        <v>201</v>
      </c>
      <c r="E274" t="s">
        <v>202</v>
      </c>
      <c r="F274" t="s">
        <v>704</v>
      </c>
      <c r="G274" s="150">
        <v>32895</v>
      </c>
      <c r="H274" s="2">
        <v>301556.8</v>
      </c>
      <c r="I274" s="2">
        <v>18457</v>
      </c>
      <c r="J274" s="2">
        <v>18457</v>
      </c>
      <c r="K274" s="2">
        <v>0</v>
      </c>
      <c r="L274" s="2">
        <v>0</v>
      </c>
      <c r="M274" s="2">
        <v>0</v>
      </c>
      <c r="N274" s="2">
        <v>0</v>
      </c>
    </row>
    <row r="275" spans="1:14" x14ac:dyDescent="0.25">
      <c r="A275" s="1" t="s">
        <v>44</v>
      </c>
      <c r="B275" t="s">
        <v>705</v>
      </c>
      <c r="C275" s="150">
        <v>121</v>
      </c>
      <c r="D275" t="s">
        <v>201</v>
      </c>
      <c r="E275" t="s">
        <v>202</v>
      </c>
      <c r="F275" t="s">
        <v>706</v>
      </c>
      <c r="G275" s="150">
        <v>32888</v>
      </c>
      <c r="H275" s="2">
        <v>240625</v>
      </c>
      <c r="I275" s="2">
        <v>0</v>
      </c>
      <c r="J275" s="2">
        <v>0</v>
      </c>
      <c r="K275" s="2">
        <v>43313</v>
      </c>
      <c r="L275" s="2">
        <v>0</v>
      </c>
      <c r="M275" s="2">
        <v>0</v>
      </c>
      <c r="N275" s="2">
        <v>0</v>
      </c>
    </row>
    <row r="276" spans="1:14" x14ac:dyDescent="0.25">
      <c r="A276" s="1" t="s">
        <v>44</v>
      </c>
      <c r="B276" t="s">
        <v>708</v>
      </c>
      <c r="C276" s="150">
        <v>121</v>
      </c>
      <c r="D276" t="s">
        <v>201</v>
      </c>
      <c r="E276" t="s">
        <v>202</v>
      </c>
      <c r="F276" t="s">
        <v>709</v>
      </c>
      <c r="G276" s="150">
        <v>32891</v>
      </c>
      <c r="H276" s="2">
        <v>882000</v>
      </c>
      <c r="I276" s="2">
        <v>0</v>
      </c>
      <c r="J276" s="2">
        <v>0</v>
      </c>
      <c r="K276" s="2">
        <v>158760</v>
      </c>
      <c r="L276" s="2">
        <v>0</v>
      </c>
      <c r="M276" s="2">
        <v>0</v>
      </c>
      <c r="N276" s="2">
        <v>0</v>
      </c>
    </row>
    <row r="277" spans="1:14" x14ac:dyDescent="0.25">
      <c r="A277" s="1" t="s">
        <v>44</v>
      </c>
      <c r="B277" t="s">
        <v>710</v>
      </c>
      <c r="C277" s="150">
        <v>121</v>
      </c>
      <c r="D277" t="s">
        <v>201</v>
      </c>
      <c r="E277" t="s">
        <v>202</v>
      </c>
      <c r="F277" t="s">
        <v>711</v>
      </c>
      <c r="G277" s="150">
        <v>32886</v>
      </c>
      <c r="H277" s="2">
        <v>158625</v>
      </c>
      <c r="I277" s="2">
        <v>0</v>
      </c>
      <c r="J277" s="2">
        <v>0</v>
      </c>
      <c r="K277" s="2">
        <v>28552.5</v>
      </c>
      <c r="L277" s="2">
        <v>0</v>
      </c>
      <c r="M277" s="2">
        <v>0</v>
      </c>
      <c r="N277" s="2">
        <v>0</v>
      </c>
    </row>
    <row r="278" spans="1:14" x14ac:dyDescent="0.25">
      <c r="A278" s="1" t="s">
        <v>44</v>
      </c>
      <c r="B278" t="s">
        <v>712</v>
      </c>
      <c r="C278" s="150">
        <v>121</v>
      </c>
      <c r="D278" t="s">
        <v>201</v>
      </c>
      <c r="E278" t="s">
        <v>202</v>
      </c>
      <c r="F278" t="s">
        <v>713</v>
      </c>
      <c r="G278" s="150">
        <v>32882</v>
      </c>
      <c r="H278" s="2">
        <v>956500</v>
      </c>
      <c r="I278" s="2">
        <v>0</v>
      </c>
      <c r="J278" s="2">
        <v>0</v>
      </c>
      <c r="K278" s="2">
        <v>172170</v>
      </c>
      <c r="L278" s="2">
        <v>0</v>
      </c>
      <c r="M278" s="2">
        <v>0</v>
      </c>
      <c r="N278" s="2">
        <v>0</v>
      </c>
    </row>
    <row r="279" spans="1:14" x14ac:dyDescent="0.25">
      <c r="A279" s="1" t="s">
        <v>44</v>
      </c>
      <c r="B279" t="s">
        <v>714</v>
      </c>
      <c r="C279" s="150">
        <v>121</v>
      </c>
      <c r="D279" t="s">
        <v>201</v>
      </c>
      <c r="E279" t="s">
        <v>202</v>
      </c>
      <c r="F279" t="s">
        <v>715</v>
      </c>
      <c r="G279" s="150">
        <v>32888</v>
      </c>
      <c r="H279" s="2">
        <v>277600</v>
      </c>
      <c r="I279" s="2">
        <v>0</v>
      </c>
      <c r="J279" s="2">
        <v>0</v>
      </c>
      <c r="K279" s="2">
        <v>49968</v>
      </c>
      <c r="L279" s="2">
        <v>0</v>
      </c>
      <c r="M279" s="2">
        <v>0</v>
      </c>
      <c r="N279" s="2">
        <v>0</v>
      </c>
    </row>
    <row r="280" spans="1:14" x14ac:dyDescent="0.25">
      <c r="A280" s="1" t="s">
        <v>44</v>
      </c>
      <c r="B280" t="s">
        <v>716</v>
      </c>
      <c r="C280" s="150">
        <v>121</v>
      </c>
      <c r="D280" t="s">
        <v>201</v>
      </c>
      <c r="E280" t="s">
        <v>202</v>
      </c>
      <c r="F280" t="s">
        <v>717</v>
      </c>
      <c r="G280" s="150">
        <v>32888</v>
      </c>
      <c r="H280" s="2">
        <v>109000</v>
      </c>
      <c r="I280" s="2">
        <v>0</v>
      </c>
      <c r="J280" s="2">
        <v>0</v>
      </c>
      <c r="K280" s="2">
        <v>19620</v>
      </c>
      <c r="L280" s="2">
        <v>0</v>
      </c>
      <c r="M280" s="2">
        <v>0</v>
      </c>
      <c r="N280" s="2">
        <v>0</v>
      </c>
    </row>
    <row r="281" spans="1:14" x14ac:dyDescent="0.25">
      <c r="A281" s="1" t="s">
        <v>44</v>
      </c>
      <c r="B281" t="s">
        <v>718</v>
      </c>
      <c r="C281" s="150">
        <v>121</v>
      </c>
      <c r="D281" t="s">
        <v>201</v>
      </c>
      <c r="E281" t="s">
        <v>202</v>
      </c>
      <c r="F281" t="s">
        <v>719</v>
      </c>
      <c r="G281" s="150">
        <v>32895</v>
      </c>
      <c r="H281" s="2">
        <v>9500</v>
      </c>
      <c r="I281" s="2">
        <v>0</v>
      </c>
      <c r="J281" s="2">
        <v>0</v>
      </c>
      <c r="K281" s="2">
        <v>1710</v>
      </c>
      <c r="L281" s="2">
        <v>0</v>
      </c>
      <c r="M281" s="2">
        <v>0</v>
      </c>
      <c r="N281" s="2">
        <v>0</v>
      </c>
    </row>
    <row r="282" spans="1:14" x14ac:dyDescent="0.25">
      <c r="A282" s="1" t="s">
        <v>44</v>
      </c>
      <c r="B282" t="s">
        <v>721</v>
      </c>
      <c r="C282" s="150">
        <v>121</v>
      </c>
      <c r="D282" t="s">
        <v>201</v>
      </c>
      <c r="E282" t="s">
        <v>202</v>
      </c>
      <c r="F282" t="s">
        <v>722</v>
      </c>
      <c r="G282" s="150">
        <v>32890</v>
      </c>
      <c r="H282" s="2">
        <v>152460</v>
      </c>
      <c r="I282" s="2">
        <v>0</v>
      </c>
      <c r="J282" s="2">
        <v>0</v>
      </c>
      <c r="K282" s="2">
        <v>27443</v>
      </c>
      <c r="L282" s="2">
        <v>0</v>
      </c>
      <c r="M282" s="2">
        <v>0</v>
      </c>
      <c r="N282" s="2">
        <v>0</v>
      </c>
    </row>
    <row r="283" spans="1:14" x14ac:dyDescent="0.25">
      <c r="A283" s="1" t="s">
        <v>44</v>
      </c>
      <c r="B283" t="s">
        <v>724</v>
      </c>
      <c r="C283" s="150">
        <v>121</v>
      </c>
      <c r="D283" t="s">
        <v>201</v>
      </c>
      <c r="E283" t="s">
        <v>202</v>
      </c>
      <c r="F283" t="s">
        <v>725</v>
      </c>
      <c r="G283" s="150">
        <v>32896</v>
      </c>
      <c r="H283" s="2">
        <v>17300</v>
      </c>
      <c r="I283" s="2">
        <v>0</v>
      </c>
      <c r="J283" s="2">
        <v>0</v>
      </c>
      <c r="K283" s="2">
        <v>3114</v>
      </c>
      <c r="L283" s="2">
        <v>0</v>
      </c>
      <c r="M283" s="2">
        <v>0</v>
      </c>
      <c r="N283" s="2">
        <v>0</v>
      </c>
    </row>
    <row r="284" spans="1:14" x14ac:dyDescent="0.25">
      <c r="A284" s="1" t="s">
        <v>44</v>
      </c>
      <c r="B284" t="s">
        <v>726</v>
      </c>
      <c r="C284" s="150">
        <v>121</v>
      </c>
      <c r="D284" t="s">
        <v>201</v>
      </c>
      <c r="E284" t="s">
        <v>202</v>
      </c>
      <c r="F284" t="s">
        <v>727</v>
      </c>
      <c r="G284" s="150">
        <v>32892</v>
      </c>
      <c r="H284" s="2">
        <v>29625</v>
      </c>
      <c r="I284" s="2">
        <v>0</v>
      </c>
      <c r="J284" s="2">
        <v>0</v>
      </c>
      <c r="K284" s="2">
        <v>5332.5</v>
      </c>
      <c r="L284" s="2">
        <v>0</v>
      </c>
      <c r="M284" s="2">
        <v>0</v>
      </c>
      <c r="N284" s="2">
        <v>0</v>
      </c>
    </row>
    <row r="285" spans="1:14" x14ac:dyDescent="0.25">
      <c r="A285" s="1" t="s">
        <v>44</v>
      </c>
      <c r="B285" t="s">
        <v>729</v>
      </c>
      <c r="C285" s="150">
        <v>121</v>
      </c>
      <c r="D285" t="s">
        <v>201</v>
      </c>
      <c r="E285" t="s">
        <v>202</v>
      </c>
      <c r="F285" t="s">
        <v>730</v>
      </c>
      <c r="G285" s="150">
        <v>32886</v>
      </c>
      <c r="H285" s="2">
        <v>4228240</v>
      </c>
      <c r="I285" s="2">
        <v>0</v>
      </c>
      <c r="J285" s="2">
        <v>0</v>
      </c>
      <c r="K285" s="2">
        <v>761083.2</v>
      </c>
      <c r="L285" s="2">
        <v>0</v>
      </c>
      <c r="M285" s="2">
        <v>0</v>
      </c>
      <c r="N285" s="2">
        <v>0</v>
      </c>
    </row>
    <row r="286" spans="1:14" x14ac:dyDescent="0.25">
      <c r="A286" s="1" t="s">
        <v>44</v>
      </c>
      <c r="B286" t="s">
        <v>731</v>
      </c>
      <c r="C286" s="150">
        <v>121</v>
      </c>
      <c r="D286" t="s">
        <v>201</v>
      </c>
      <c r="E286" t="s">
        <v>202</v>
      </c>
      <c r="F286" t="s">
        <v>732</v>
      </c>
      <c r="G286" s="150">
        <v>32893</v>
      </c>
      <c r="H286" s="2">
        <v>57600</v>
      </c>
      <c r="I286" s="2">
        <v>0</v>
      </c>
      <c r="J286" s="2">
        <v>0</v>
      </c>
      <c r="K286" s="2">
        <v>10368</v>
      </c>
      <c r="L286" s="2">
        <v>0</v>
      </c>
      <c r="M286" s="2">
        <v>0</v>
      </c>
      <c r="N286" s="2">
        <v>0</v>
      </c>
    </row>
    <row r="287" spans="1:14" x14ac:dyDescent="0.25">
      <c r="A287" s="1" t="s">
        <v>44</v>
      </c>
      <c r="B287" t="s">
        <v>734</v>
      </c>
      <c r="C287" s="150">
        <v>121</v>
      </c>
      <c r="D287" t="s">
        <v>201</v>
      </c>
      <c r="E287" t="s">
        <v>202</v>
      </c>
      <c r="F287" t="s">
        <v>735</v>
      </c>
      <c r="G287" s="150">
        <v>32894</v>
      </c>
      <c r="H287" s="2">
        <v>1040200</v>
      </c>
      <c r="I287" s="2">
        <v>0</v>
      </c>
      <c r="J287" s="2">
        <v>0</v>
      </c>
      <c r="K287" s="2">
        <v>187236</v>
      </c>
      <c r="L287" s="2">
        <v>0</v>
      </c>
      <c r="M287" s="2">
        <v>0</v>
      </c>
      <c r="N287" s="2">
        <v>0</v>
      </c>
    </row>
    <row r="288" spans="1:14" x14ac:dyDescent="0.25">
      <c r="A288" s="1" t="s">
        <v>44</v>
      </c>
      <c r="B288" t="s">
        <v>736</v>
      </c>
      <c r="C288" s="150">
        <v>121</v>
      </c>
      <c r="D288" t="s">
        <v>201</v>
      </c>
      <c r="E288" t="s">
        <v>202</v>
      </c>
      <c r="F288" t="s">
        <v>737</v>
      </c>
      <c r="G288" s="150">
        <v>32894</v>
      </c>
      <c r="H288" s="2">
        <v>297200</v>
      </c>
      <c r="I288" s="2">
        <v>0</v>
      </c>
      <c r="J288" s="2">
        <v>0</v>
      </c>
      <c r="K288" s="2">
        <v>53496</v>
      </c>
      <c r="L288" s="2">
        <v>0</v>
      </c>
      <c r="M288" s="2">
        <v>0</v>
      </c>
      <c r="N288" s="2">
        <v>0</v>
      </c>
    </row>
    <row r="289" spans="1:14" x14ac:dyDescent="0.25">
      <c r="A289" s="1" t="s">
        <v>44</v>
      </c>
      <c r="B289" t="s">
        <v>738</v>
      </c>
      <c r="C289" s="150">
        <v>121</v>
      </c>
      <c r="D289" t="s">
        <v>201</v>
      </c>
      <c r="E289" t="s">
        <v>202</v>
      </c>
      <c r="F289" t="s">
        <v>739</v>
      </c>
      <c r="G289" s="150">
        <v>32893</v>
      </c>
      <c r="H289" s="2">
        <v>153150</v>
      </c>
      <c r="I289" s="2">
        <v>0</v>
      </c>
      <c r="J289" s="2">
        <v>0</v>
      </c>
      <c r="K289" s="2">
        <v>27567</v>
      </c>
      <c r="L289" s="2">
        <v>0</v>
      </c>
      <c r="M289" s="2">
        <v>0</v>
      </c>
      <c r="N289" s="2">
        <v>0</v>
      </c>
    </row>
    <row r="290" spans="1:14" x14ac:dyDescent="0.25">
      <c r="A290" s="1" t="s">
        <v>44</v>
      </c>
      <c r="B290" t="s">
        <v>759</v>
      </c>
      <c r="C290" s="150">
        <v>121</v>
      </c>
      <c r="D290" t="s">
        <v>201</v>
      </c>
      <c r="E290" t="s">
        <v>202</v>
      </c>
      <c r="F290" t="s">
        <v>760</v>
      </c>
      <c r="G290" s="150">
        <v>32895</v>
      </c>
      <c r="H290" s="2">
        <v>1661000</v>
      </c>
      <c r="I290" s="2">
        <v>0</v>
      </c>
      <c r="J290" s="2">
        <v>0</v>
      </c>
      <c r="K290" s="2">
        <v>298980</v>
      </c>
      <c r="L290" s="2">
        <v>0</v>
      </c>
      <c r="M290" s="2">
        <v>0</v>
      </c>
      <c r="N290" s="2">
        <v>0</v>
      </c>
    </row>
    <row r="291" spans="1:14" x14ac:dyDescent="0.25">
      <c r="A291" s="1" t="s">
        <v>44</v>
      </c>
      <c r="B291" t="s">
        <v>762</v>
      </c>
      <c r="C291" s="150">
        <v>121</v>
      </c>
      <c r="D291" t="s">
        <v>201</v>
      </c>
      <c r="E291" t="s">
        <v>202</v>
      </c>
      <c r="F291" t="s">
        <v>763</v>
      </c>
      <c r="G291" s="150">
        <v>32892</v>
      </c>
      <c r="H291" s="2">
        <v>75900</v>
      </c>
      <c r="I291" s="2">
        <v>0</v>
      </c>
      <c r="J291" s="2">
        <v>0</v>
      </c>
      <c r="K291" s="2">
        <v>13662</v>
      </c>
      <c r="L291" s="2">
        <v>0</v>
      </c>
      <c r="M291" s="2">
        <v>0</v>
      </c>
      <c r="N291" s="2">
        <v>0</v>
      </c>
    </row>
    <row r="292" spans="1:14" x14ac:dyDescent="0.25">
      <c r="A292" s="1" t="s">
        <v>45</v>
      </c>
      <c r="B292" t="s">
        <v>224</v>
      </c>
      <c r="C292" s="150">
        <v>116</v>
      </c>
      <c r="D292" t="s">
        <v>201</v>
      </c>
      <c r="E292" t="s">
        <v>202</v>
      </c>
      <c r="F292" t="s">
        <v>748</v>
      </c>
      <c r="G292" s="150">
        <v>32959</v>
      </c>
      <c r="H292" s="2">
        <v>1794</v>
      </c>
      <c r="I292" s="2">
        <v>161</v>
      </c>
      <c r="J292" s="2">
        <v>161</v>
      </c>
      <c r="K292" s="2">
        <v>0</v>
      </c>
      <c r="L292" s="2">
        <v>0</v>
      </c>
      <c r="M292" s="2">
        <v>0</v>
      </c>
      <c r="N292" s="2">
        <v>0</v>
      </c>
    </row>
    <row r="293" spans="1:14" x14ac:dyDescent="0.25">
      <c r="A293" s="1" t="s">
        <v>45</v>
      </c>
      <c r="B293" t="s">
        <v>227</v>
      </c>
      <c r="C293" s="150">
        <v>121</v>
      </c>
      <c r="D293" t="s">
        <v>201</v>
      </c>
      <c r="E293" t="s">
        <v>202</v>
      </c>
      <c r="F293" t="s">
        <v>533</v>
      </c>
      <c r="G293" s="150">
        <v>32901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</row>
    <row r="294" spans="1:14" x14ac:dyDescent="0.25">
      <c r="A294" s="1" t="s">
        <v>45</v>
      </c>
      <c r="B294" t="s">
        <v>228</v>
      </c>
      <c r="C294" s="150">
        <v>121</v>
      </c>
      <c r="D294" t="s">
        <v>201</v>
      </c>
      <c r="E294" t="s">
        <v>202</v>
      </c>
      <c r="F294" t="s">
        <v>321</v>
      </c>
      <c r="G294" s="150">
        <v>32903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</row>
    <row r="295" spans="1:14" x14ac:dyDescent="0.25">
      <c r="A295" s="1" t="s">
        <v>45</v>
      </c>
      <c r="B295" t="s">
        <v>229</v>
      </c>
      <c r="C295" s="150">
        <v>121</v>
      </c>
      <c r="D295" t="s">
        <v>201</v>
      </c>
      <c r="E295" t="s">
        <v>202</v>
      </c>
      <c r="F295" t="s">
        <v>752</v>
      </c>
      <c r="G295" s="150">
        <v>32903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14" x14ac:dyDescent="0.25">
      <c r="A296" s="1" t="s">
        <v>45</v>
      </c>
      <c r="B296" t="s">
        <v>230</v>
      </c>
      <c r="C296" s="150">
        <v>121</v>
      </c>
      <c r="D296" t="s">
        <v>201</v>
      </c>
      <c r="E296" t="s">
        <v>202</v>
      </c>
      <c r="F296" t="s">
        <v>753</v>
      </c>
      <c r="G296" s="150">
        <v>32900</v>
      </c>
      <c r="H296" s="2">
        <v>7940</v>
      </c>
      <c r="I296" s="2">
        <v>714.6</v>
      </c>
      <c r="J296" s="2">
        <v>714.6</v>
      </c>
      <c r="K296" s="2">
        <v>0</v>
      </c>
      <c r="L296" s="2">
        <v>0</v>
      </c>
      <c r="M296" s="2">
        <v>0</v>
      </c>
      <c r="N296" s="2">
        <v>0</v>
      </c>
    </row>
    <row r="297" spans="1:14" x14ac:dyDescent="0.25">
      <c r="A297" s="1" t="s">
        <v>45</v>
      </c>
      <c r="B297" t="s">
        <v>231</v>
      </c>
      <c r="C297" s="150">
        <v>121</v>
      </c>
      <c r="D297" t="s">
        <v>201</v>
      </c>
      <c r="E297" t="s">
        <v>202</v>
      </c>
      <c r="F297" t="s">
        <v>754</v>
      </c>
      <c r="G297" s="150">
        <v>32894</v>
      </c>
      <c r="H297" s="2">
        <v>31540</v>
      </c>
      <c r="I297" s="2">
        <v>2838.6</v>
      </c>
      <c r="J297" s="2">
        <v>2838.6</v>
      </c>
      <c r="K297" s="2">
        <v>0</v>
      </c>
      <c r="L297" s="2">
        <v>0</v>
      </c>
      <c r="M297" s="2">
        <v>0</v>
      </c>
      <c r="N297" s="2">
        <v>0</v>
      </c>
    </row>
    <row r="298" spans="1:14" x14ac:dyDescent="0.25">
      <c r="A298" s="1" t="s">
        <v>45</v>
      </c>
      <c r="B298" t="s">
        <v>232</v>
      </c>
      <c r="C298" s="150">
        <v>121</v>
      </c>
      <c r="D298" t="s">
        <v>201</v>
      </c>
      <c r="E298" t="s">
        <v>202</v>
      </c>
      <c r="F298" t="s">
        <v>195</v>
      </c>
      <c r="G298" s="150">
        <v>32895</v>
      </c>
      <c r="H298" s="2">
        <v>62100</v>
      </c>
      <c r="I298" s="2">
        <v>3726</v>
      </c>
      <c r="J298" s="2">
        <v>3726</v>
      </c>
      <c r="K298" s="2">
        <v>0</v>
      </c>
      <c r="L298" s="2">
        <v>0</v>
      </c>
      <c r="M298" s="2">
        <v>0</v>
      </c>
      <c r="N298" s="2">
        <v>0</v>
      </c>
    </row>
    <row r="299" spans="1:14" x14ac:dyDescent="0.25">
      <c r="A299" s="1" t="s">
        <v>45</v>
      </c>
      <c r="B299" t="s">
        <v>233</v>
      </c>
      <c r="C299" s="150">
        <v>121</v>
      </c>
      <c r="D299" t="s">
        <v>201</v>
      </c>
      <c r="E299" t="s">
        <v>202</v>
      </c>
      <c r="F299" t="s">
        <v>198</v>
      </c>
      <c r="G299" s="150">
        <v>32895</v>
      </c>
      <c r="H299" s="2">
        <v>62100</v>
      </c>
      <c r="I299" s="2">
        <v>3726</v>
      </c>
      <c r="J299" s="2">
        <v>3726</v>
      </c>
      <c r="K299" s="2">
        <v>0</v>
      </c>
      <c r="L299" s="2">
        <v>0</v>
      </c>
      <c r="M299" s="2">
        <v>0</v>
      </c>
      <c r="N299" s="2">
        <v>0</v>
      </c>
    </row>
    <row r="300" spans="1:14" x14ac:dyDescent="0.25">
      <c r="A300" s="1" t="s">
        <v>45</v>
      </c>
      <c r="B300" t="s">
        <v>234</v>
      </c>
      <c r="C300" s="150">
        <v>121</v>
      </c>
      <c r="D300" t="s">
        <v>201</v>
      </c>
      <c r="E300" t="s">
        <v>202</v>
      </c>
      <c r="F300" t="s">
        <v>259</v>
      </c>
      <c r="G300" s="150">
        <v>32888</v>
      </c>
      <c r="H300" s="2">
        <v>62050</v>
      </c>
      <c r="I300" s="2">
        <v>3723</v>
      </c>
      <c r="J300" s="2">
        <v>3723</v>
      </c>
      <c r="K300" s="2">
        <v>0</v>
      </c>
      <c r="L300" s="2">
        <v>0</v>
      </c>
      <c r="M300" s="2">
        <v>0</v>
      </c>
      <c r="N300" s="2">
        <v>0</v>
      </c>
    </row>
    <row r="301" spans="1:14" x14ac:dyDescent="0.25">
      <c r="A301" s="1" t="s">
        <v>45</v>
      </c>
      <c r="B301" t="s">
        <v>240</v>
      </c>
      <c r="C301" s="150">
        <v>121</v>
      </c>
      <c r="D301" t="s">
        <v>201</v>
      </c>
      <c r="E301" t="s">
        <v>202</v>
      </c>
      <c r="F301" t="s">
        <v>758</v>
      </c>
      <c r="G301" s="150">
        <v>32888</v>
      </c>
      <c r="H301" s="2">
        <v>62050</v>
      </c>
      <c r="I301" s="2">
        <v>3723</v>
      </c>
      <c r="J301" s="2">
        <v>3723</v>
      </c>
      <c r="K301" s="2">
        <v>0</v>
      </c>
      <c r="L301" s="2">
        <v>0</v>
      </c>
      <c r="M301" s="2">
        <v>0</v>
      </c>
      <c r="N301" s="2">
        <v>0</v>
      </c>
    </row>
    <row r="302" spans="1:14" x14ac:dyDescent="0.25">
      <c r="A302" s="1" t="s">
        <v>45</v>
      </c>
      <c r="B302" t="s">
        <v>235</v>
      </c>
      <c r="C302" s="150">
        <v>121</v>
      </c>
      <c r="D302" t="s">
        <v>201</v>
      </c>
      <c r="E302" t="s">
        <v>202</v>
      </c>
      <c r="F302" t="s">
        <v>498</v>
      </c>
      <c r="G302" s="150">
        <v>32884</v>
      </c>
      <c r="H302" s="2">
        <v>2550</v>
      </c>
      <c r="I302" s="2">
        <v>0</v>
      </c>
      <c r="J302" s="2">
        <v>0</v>
      </c>
      <c r="K302" s="2">
        <v>306</v>
      </c>
      <c r="L302" s="2">
        <v>0</v>
      </c>
      <c r="M302" s="2">
        <v>0</v>
      </c>
      <c r="N302" s="2">
        <v>0</v>
      </c>
    </row>
    <row r="303" spans="1:14" x14ac:dyDescent="0.25">
      <c r="A303" s="1" t="s">
        <v>242</v>
      </c>
      <c r="B303" t="s">
        <v>200</v>
      </c>
      <c r="C303" s="150">
        <v>121</v>
      </c>
      <c r="D303" t="s">
        <v>201</v>
      </c>
      <c r="E303" t="s">
        <v>202</v>
      </c>
      <c r="F303" t="s">
        <v>243</v>
      </c>
      <c r="G303" s="150">
        <v>32881</v>
      </c>
      <c r="H303" s="2">
        <v>17087.2</v>
      </c>
      <c r="I303" s="2">
        <v>1537.85</v>
      </c>
      <c r="J303" s="2">
        <v>1537.85</v>
      </c>
      <c r="K303" s="2">
        <v>0</v>
      </c>
      <c r="L303" s="2">
        <v>0</v>
      </c>
      <c r="M303" s="2">
        <v>0</v>
      </c>
      <c r="N303" s="2">
        <v>0</v>
      </c>
    </row>
    <row r="304" spans="1:14" x14ac:dyDescent="0.25">
      <c r="A304" s="1" t="s">
        <v>242</v>
      </c>
      <c r="B304" t="s">
        <v>203</v>
      </c>
      <c r="C304" s="150">
        <v>121</v>
      </c>
      <c r="D304" t="s">
        <v>201</v>
      </c>
      <c r="E304" t="s">
        <v>202</v>
      </c>
      <c r="F304" t="s">
        <v>245</v>
      </c>
      <c r="G304" s="150">
        <v>32883</v>
      </c>
      <c r="H304" s="2">
        <v>4126</v>
      </c>
      <c r="I304" s="2">
        <v>371.34</v>
      </c>
      <c r="J304" s="2">
        <v>371.34</v>
      </c>
      <c r="K304" s="2">
        <v>0</v>
      </c>
      <c r="L304" s="2">
        <v>0</v>
      </c>
      <c r="M304" s="2">
        <v>0</v>
      </c>
      <c r="N304" s="2">
        <v>0</v>
      </c>
    </row>
    <row r="305" spans="1:14" x14ac:dyDescent="0.25">
      <c r="A305" s="1" t="s">
        <v>242</v>
      </c>
      <c r="B305" t="s">
        <v>204</v>
      </c>
      <c r="C305" s="150">
        <v>121</v>
      </c>
      <c r="D305" t="s">
        <v>201</v>
      </c>
      <c r="E305" t="s">
        <v>202</v>
      </c>
      <c r="F305" t="s">
        <v>246</v>
      </c>
      <c r="G305" s="150">
        <v>32881</v>
      </c>
      <c r="H305" s="2">
        <v>34125</v>
      </c>
      <c r="I305" s="2">
        <v>3071.25</v>
      </c>
      <c r="J305" s="2">
        <v>3071.25</v>
      </c>
      <c r="K305" s="2">
        <v>0</v>
      </c>
      <c r="L305" s="2">
        <v>0</v>
      </c>
      <c r="M305" s="2">
        <v>0</v>
      </c>
      <c r="N305" s="2">
        <v>0</v>
      </c>
    </row>
    <row r="306" spans="1:14" x14ac:dyDescent="0.25">
      <c r="A306" s="1" t="s">
        <v>242</v>
      </c>
      <c r="B306" t="s">
        <v>219</v>
      </c>
      <c r="C306" s="150">
        <v>121</v>
      </c>
      <c r="D306" t="s">
        <v>201</v>
      </c>
      <c r="E306" t="s">
        <v>202</v>
      </c>
      <c r="F306" t="s">
        <v>197</v>
      </c>
      <c r="G306" s="150">
        <v>32894</v>
      </c>
      <c r="H306" s="2">
        <v>380570</v>
      </c>
      <c r="I306" s="2">
        <v>0</v>
      </c>
      <c r="J306" s="2">
        <v>0</v>
      </c>
      <c r="K306" s="2">
        <v>68502.600000000006</v>
      </c>
      <c r="L306" s="2">
        <v>0</v>
      </c>
      <c r="M306" s="2">
        <v>0</v>
      </c>
      <c r="N306" s="2">
        <v>0</v>
      </c>
    </row>
    <row r="307" spans="1:14" x14ac:dyDescent="0.25">
      <c r="A307" s="1" t="s">
        <v>242</v>
      </c>
      <c r="B307" t="s">
        <v>220</v>
      </c>
      <c r="C307" s="150">
        <v>121</v>
      </c>
      <c r="D307" t="s">
        <v>201</v>
      </c>
      <c r="E307" t="s">
        <v>202</v>
      </c>
      <c r="F307" t="s">
        <v>198</v>
      </c>
      <c r="G307" s="150">
        <v>32894</v>
      </c>
      <c r="H307" s="2">
        <v>20368</v>
      </c>
      <c r="I307" s="2">
        <v>0</v>
      </c>
      <c r="J307" s="2">
        <v>0</v>
      </c>
      <c r="K307" s="2">
        <v>3666.24</v>
      </c>
      <c r="L307" s="2">
        <v>0</v>
      </c>
      <c r="M307" s="2">
        <v>0</v>
      </c>
      <c r="N307" s="2">
        <v>0</v>
      </c>
    </row>
    <row r="308" spans="1:14" x14ac:dyDescent="0.25">
      <c r="A308" s="1" t="s">
        <v>59</v>
      </c>
      <c r="B308" s="1"/>
      <c r="C308" s="1"/>
      <c r="D308" s="1"/>
      <c r="E308" s="1"/>
      <c r="F308" s="1"/>
      <c r="G308" s="1"/>
      <c r="H308" s="2">
        <v>92475003.026000008</v>
      </c>
      <c r="I308" s="2">
        <v>2164335.1700000004</v>
      </c>
      <c r="J308" s="2">
        <v>2164335.1700000004</v>
      </c>
      <c r="K308" s="2">
        <v>11970125.059999999</v>
      </c>
      <c r="L308" s="2">
        <v>0</v>
      </c>
      <c r="M308" s="2">
        <v>0</v>
      </c>
      <c r="N308" s="2">
        <v>0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eligible">
    <tabColor rgb="FF92D050"/>
  </sheetPr>
  <dimension ref="A2:N15"/>
  <sheetViews>
    <sheetView topLeftCell="B1" workbookViewId="0">
      <selection activeCell="F10" sqref="F10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7.85546875" customWidth="1"/>
    <col min="5" max="5" width="31.7109375" customWidth="1"/>
    <col min="6" max="6" width="16.140625" bestFit="1" customWidth="1"/>
    <col min="7" max="7" width="10.7109375" bestFit="1" customWidth="1"/>
    <col min="8" max="8" width="16.85546875" bestFit="1" customWidth="1"/>
    <col min="9" max="9" width="10.7109375" bestFit="1" customWidth="1"/>
    <col min="10" max="10" width="10.85546875" bestFit="1" customWidth="1"/>
    <col min="11" max="11" width="10.28515625" bestFit="1" customWidth="1"/>
    <col min="12" max="12" width="15.42578125" customWidth="1"/>
    <col min="13" max="13" width="15.5703125" bestFit="1" customWidth="1"/>
    <col min="14" max="14" width="15" customWidth="1"/>
  </cols>
  <sheetData>
    <row r="2" spans="1:14" x14ac:dyDescent="0.25">
      <c r="A2" s="3" t="s">
        <v>51</v>
      </c>
      <c r="B2" t="s">
        <v>12</v>
      </c>
    </row>
    <row r="4" spans="1:14" hidden="1" x14ac:dyDescent="0.25">
      <c r="H4" s="3" t="s">
        <v>52</v>
      </c>
    </row>
    <row r="5" spans="1:14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57</v>
      </c>
      <c r="M5" t="s">
        <v>56</v>
      </c>
      <c r="N5" s="1" t="s">
        <v>58</v>
      </c>
    </row>
    <row r="6" spans="1:14" x14ac:dyDescent="0.25">
      <c r="A6" s="1" t="s">
        <v>42</v>
      </c>
      <c r="B6" t="s">
        <v>337</v>
      </c>
      <c r="C6" s="150">
        <v>106</v>
      </c>
      <c r="D6" t="s">
        <v>201</v>
      </c>
      <c r="E6" t="s">
        <v>202</v>
      </c>
      <c r="F6" t="s">
        <v>323</v>
      </c>
      <c r="G6" s="150">
        <v>32878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14" x14ac:dyDescent="0.25">
      <c r="A7" s="1" t="s">
        <v>42</v>
      </c>
      <c r="B7" t="s">
        <v>212</v>
      </c>
      <c r="C7" s="150">
        <v>121</v>
      </c>
      <c r="D7" t="s">
        <v>201</v>
      </c>
      <c r="E7" t="s">
        <v>202</v>
      </c>
      <c r="F7" t="s">
        <v>199</v>
      </c>
      <c r="G7" s="150">
        <v>32899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</row>
    <row r="8" spans="1:14" x14ac:dyDescent="0.25">
      <c r="A8" s="1" t="s">
        <v>42</v>
      </c>
      <c r="B8" t="s">
        <v>215</v>
      </c>
      <c r="C8" s="150">
        <v>121</v>
      </c>
      <c r="D8" t="s">
        <v>201</v>
      </c>
      <c r="E8" t="s">
        <v>202</v>
      </c>
      <c r="F8" t="s">
        <v>412</v>
      </c>
      <c r="G8" s="150">
        <v>32888</v>
      </c>
      <c r="H8" s="2">
        <v>15570</v>
      </c>
      <c r="I8" s="2">
        <v>389.25</v>
      </c>
      <c r="J8" s="2">
        <v>389.25</v>
      </c>
      <c r="K8" s="2">
        <v>0</v>
      </c>
      <c r="L8" s="2">
        <v>0</v>
      </c>
      <c r="M8" s="2">
        <v>0</v>
      </c>
      <c r="N8" s="2">
        <v>0</v>
      </c>
    </row>
    <row r="9" spans="1:14" x14ac:dyDescent="0.25">
      <c r="A9" s="1" t="s">
        <v>45</v>
      </c>
      <c r="B9" t="s">
        <v>219</v>
      </c>
      <c r="C9" s="150">
        <v>116</v>
      </c>
      <c r="D9" t="s">
        <v>201</v>
      </c>
      <c r="E9" t="s">
        <v>202</v>
      </c>
      <c r="F9" t="s">
        <v>742</v>
      </c>
      <c r="G9" s="150">
        <v>32887</v>
      </c>
      <c r="H9" s="2">
        <v>122.04</v>
      </c>
      <c r="I9" s="2">
        <v>10.98</v>
      </c>
      <c r="J9" s="2">
        <v>10.98</v>
      </c>
      <c r="K9" s="2">
        <v>0</v>
      </c>
      <c r="L9" s="2">
        <v>0</v>
      </c>
      <c r="M9" s="2">
        <v>0</v>
      </c>
      <c r="N9" s="2">
        <v>0</v>
      </c>
    </row>
    <row r="10" spans="1:14" x14ac:dyDescent="0.25">
      <c r="A10" s="1" t="s">
        <v>45</v>
      </c>
      <c r="B10" t="s">
        <v>220</v>
      </c>
      <c r="C10" s="150">
        <v>116</v>
      </c>
      <c r="D10" t="s">
        <v>201</v>
      </c>
      <c r="E10" t="s">
        <v>202</v>
      </c>
      <c r="F10" t="s">
        <v>743</v>
      </c>
      <c r="G10" s="150">
        <v>32881</v>
      </c>
      <c r="H10" s="2">
        <v>971.44</v>
      </c>
      <c r="I10" s="2">
        <v>24.29</v>
      </c>
      <c r="J10" s="2">
        <v>24.29</v>
      </c>
      <c r="K10" s="2">
        <v>0</v>
      </c>
      <c r="L10" s="2">
        <v>0</v>
      </c>
      <c r="M10" s="2">
        <v>0</v>
      </c>
      <c r="N10" s="2">
        <v>0</v>
      </c>
    </row>
    <row r="11" spans="1:14" x14ac:dyDescent="0.25">
      <c r="A11" s="1" t="s">
        <v>45</v>
      </c>
      <c r="B11" t="s">
        <v>221</v>
      </c>
      <c r="C11" s="150">
        <v>116</v>
      </c>
      <c r="D11" t="s">
        <v>201</v>
      </c>
      <c r="E11" t="s">
        <v>202</v>
      </c>
      <c r="F11" t="s">
        <v>745</v>
      </c>
      <c r="G11" s="150">
        <v>32953</v>
      </c>
      <c r="H11" s="2">
        <v>182.06</v>
      </c>
      <c r="I11" s="2">
        <v>13.97</v>
      </c>
      <c r="J11" s="2">
        <v>13.97</v>
      </c>
      <c r="K11" s="2">
        <v>0</v>
      </c>
      <c r="L11" s="2">
        <v>0</v>
      </c>
      <c r="M11" s="2">
        <v>0</v>
      </c>
      <c r="N11" s="2">
        <v>0</v>
      </c>
    </row>
    <row r="12" spans="1:14" x14ac:dyDescent="0.25">
      <c r="A12" s="1" t="s">
        <v>45</v>
      </c>
      <c r="B12" t="s">
        <v>222</v>
      </c>
      <c r="C12" s="150">
        <v>116</v>
      </c>
      <c r="D12" t="s">
        <v>201</v>
      </c>
      <c r="E12" t="s">
        <v>202</v>
      </c>
      <c r="F12" t="s">
        <v>746</v>
      </c>
      <c r="G12" s="150">
        <v>32935</v>
      </c>
      <c r="H12" s="2">
        <v>6471.13</v>
      </c>
      <c r="I12" s="2">
        <v>472.35</v>
      </c>
      <c r="J12" s="2">
        <v>472.35</v>
      </c>
      <c r="K12" s="2">
        <v>0</v>
      </c>
      <c r="L12" s="2">
        <v>0</v>
      </c>
      <c r="M12" s="2">
        <v>0</v>
      </c>
      <c r="N12" s="2">
        <v>0</v>
      </c>
    </row>
    <row r="13" spans="1:14" x14ac:dyDescent="0.25">
      <c r="A13" s="1" t="s">
        <v>45</v>
      </c>
      <c r="B13" t="s">
        <v>223</v>
      </c>
      <c r="C13" s="150">
        <v>116</v>
      </c>
      <c r="D13" t="s">
        <v>201</v>
      </c>
      <c r="E13" t="s">
        <v>202</v>
      </c>
      <c r="F13" t="s">
        <v>747</v>
      </c>
      <c r="G13" s="150">
        <v>32962</v>
      </c>
      <c r="H13" s="2">
        <v>1247.32</v>
      </c>
      <c r="I13" s="2">
        <v>41.83</v>
      </c>
      <c r="J13" s="2">
        <v>41.83</v>
      </c>
      <c r="K13" s="2">
        <v>0</v>
      </c>
      <c r="L13" s="2">
        <v>0</v>
      </c>
      <c r="M13" s="2">
        <v>0</v>
      </c>
      <c r="N13" s="2">
        <v>0</v>
      </c>
    </row>
    <row r="14" spans="1:14" x14ac:dyDescent="0.25">
      <c r="A14" s="1" t="s">
        <v>45</v>
      </c>
      <c r="B14" t="s">
        <v>238</v>
      </c>
      <c r="C14" s="150">
        <v>116</v>
      </c>
      <c r="D14" t="s">
        <v>201</v>
      </c>
      <c r="E14" t="s">
        <v>202</v>
      </c>
      <c r="F14" t="s">
        <v>744</v>
      </c>
      <c r="G14" s="150">
        <v>32880</v>
      </c>
      <c r="H14" s="2">
        <v>616.85</v>
      </c>
      <c r="I14" s="2">
        <v>42.09</v>
      </c>
      <c r="J14" s="2">
        <v>42.09</v>
      </c>
      <c r="K14" s="2">
        <v>0</v>
      </c>
      <c r="L14" s="2">
        <v>0</v>
      </c>
      <c r="M14" s="2">
        <v>0</v>
      </c>
      <c r="N14" s="2">
        <v>0</v>
      </c>
    </row>
    <row r="15" spans="1:14" x14ac:dyDescent="0.25">
      <c r="A15" s="1" t="s">
        <v>59</v>
      </c>
      <c r="B15" s="1"/>
      <c r="C15" s="1"/>
      <c r="D15" s="1"/>
      <c r="E15" s="1"/>
      <c r="F15" s="1"/>
      <c r="G15" s="1"/>
      <c r="H15" s="2">
        <v>25180.84</v>
      </c>
      <c r="I15" s="2">
        <v>994.76000000000022</v>
      </c>
      <c r="J15" s="2">
        <v>994.76000000000022</v>
      </c>
      <c r="K15" s="2">
        <v>0</v>
      </c>
      <c r="L15" s="2">
        <v>0</v>
      </c>
      <c r="M15" s="2">
        <v>0</v>
      </c>
      <c r="N15" s="2">
        <v>0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shboard">
    <tabColor rgb="FF00B050"/>
    <pageSetUpPr fitToPage="1"/>
  </sheetPr>
  <dimension ref="A1:AZ101"/>
  <sheetViews>
    <sheetView tabSelected="1" zoomScale="85" zoomScaleNormal="85" workbookViewId="0">
      <selection activeCell="AG8" sqref="AG8:AJ8"/>
    </sheetView>
  </sheetViews>
  <sheetFormatPr defaultRowHeight="15" x14ac:dyDescent="0.25"/>
  <cols>
    <col min="1" max="1" width="9.140625" style="5"/>
    <col min="2" max="3" width="9.140625" style="5" customWidth="1"/>
    <col min="4" max="4" width="9.140625" style="5"/>
    <col min="5" max="5" width="8.42578125" style="5" customWidth="1"/>
    <col min="6" max="6" width="9.140625" style="5"/>
    <col min="7" max="7" width="6.7109375" style="5" customWidth="1"/>
    <col min="8" max="8" width="10.140625" style="5" customWidth="1"/>
    <col min="9" max="9" width="0.85546875" style="5" customWidth="1"/>
    <col min="10" max="11" width="9.140625" style="5" hidden="1" customWidth="1"/>
    <col min="12" max="12" width="10.85546875" style="5" hidden="1" customWidth="1"/>
    <col min="13" max="13" width="5.140625" style="5" customWidth="1"/>
    <col min="14" max="14" width="5.28515625" style="5" customWidth="1"/>
    <col min="15" max="15" width="5" style="5" customWidth="1"/>
    <col min="16" max="16" width="3.7109375" style="5" customWidth="1"/>
    <col min="17" max="22" width="9.140625" style="5" hidden="1" customWidth="1"/>
    <col min="23" max="23" width="8.140625" style="5" customWidth="1"/>
    <col min="24" max="24" width="4.7109375" style="5" customWidth="1"/>
    <col min="25" max="25" width="1" style="5" customWidth="1"/>
    <col min="26" max="26" width="4.42578125" style="5" customWidth="1"/>
    <col min="27" max="27" width="4.28515625" style="5" customWidth="1"/>
    <col min="28" max="29" width="4" style="5" customWidth="1"/>
    <col min="30" max="30" width="6.28515625" style="5" customWidth="1"/>
    <col min="31" max="31" width="4.28515625" style="5" customWidth="1"/>
    <col min="32" max="33" width="9.140625" style="5" hidden="1" customWidth="1"/>
    <col min="34" max="35" width="3.85546875" style="5" customWidth="1"/>
    <col min="36" max="36" width="1" style="5" customWidth="1"/>
    <col min="37" max="37" width="9.140625" style="5"/>
    <col min="38" max="38" width="14.42578125" style="5" bestFit="1" customWidth="1"/>
    <col min="39" max="39" width="13.42578125" style="5" customWidth="1"/>
    <col min="40" max="40" width="17" style="5" bestFit="1" customWidth="1"/>
    <col min="41" max="43" width="12.7109375" style="5" customWidth="1"/>
    <col min="44" max="44" width="13.42578125" style="5" bestFit="1" customWidth="1"/>
    <col min="45" max="45" width="13.85546875" style="5" customWidth="1"/>
    <col min="46" max="46" width="14.140625" style="5" bestFit="1" customWidth="1"/>
    <col min="47" max="47" width="13.42578125" style="5" customWidth="1"/>
    <col min="48" max="48" width="49.42578125" style="5" customWidth="1"/>
    <col min="49" max="49" width="12.5703125" style="5" customWidth="1"/>
    <col min="50" max="50" width="3.7109375" style="5" customWidth="1"/>
    <col min="51" max="51" width="10.7109375" style="5" bestFit="1" customWidth="1"/>
    <col min="52" max="52" width="13.42578125" style="5" bestFit="1" customWidth="1"/>
    <col min="53" max="16384" width="9.140625" style="5"/>
  </cols>
  <sheetData>
    <row r="1" spans="1:52" x14ac:dyDescent="0.25">
      <c r="AL1" s="6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</row>
    <row r="2" spans="1:52" x14ac:dyDescent="0.25">
      <c r="AL2" s="6"/>
      <c r="AM2" s="130"/>
      <c r="AN2" s="130"/>
      <c r="AO2" s="130"/>
      <c r="AP2" s="130"/>
      <c r="AQ2" s="131"/>
      <c r="AR2" s="131"/>
      <c r="AS2" s="131"/>
      <c r="AT2" s="72"/>
      <c r="AU2" s="72"/>
      <c r="AV2" s="72"/>
      <c r="AW2" s="72"/>
      <c r="AX2" s="72"/>
    </row>
    <row r="3" spans="1:52" x14ac:dyDescent="0.25">
      <c r="AL3" s="6"/>
      <c r="AM3" s="72"/>
      <c r="AN3" s="72"/>
      <c r="AO3" s="129"/>
      <c r="AP3" s="129"/>
      <c r="AQ3" s="72"/>
      <c r="AR3" s="72"/>
      <c r="AS3" s="72"/>
      <c r="AT3" s="72"/>
      <c r="AU3" s="72"/>
      <c r="AV3" s="72"/>
      <c r="AW3" s="72"/>
      <c r="AX3" s="72"/>
    </row>
    <row r="4" spans="1:52" ht="30" customHeight="1" x14ac:dyDescent="0.25">
      <c r="A4" s="363" t="s">
        <v>61</v>
      </c>
      <c r="B4" s="363"/>
      <c r="C4" s="363"/>
      <c r="D4" s="363"/>
      <c r="E4" s="363"/>
      <c r="F4" s="363"/>
      <c r="G4" s="363"/>
      <c r="H4" s="363"/>
      <c r="I4" s="363"/>
      <c r="J4" s="363"/>
      <c r="K4" s="363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3"/>
      <c r="X4" s="363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6"/>
      <c r="AM4" s="72"/>
      <c r="AN4" s="74"/>
      <c r="AO4" s="74"/>
      <c r="AP4" s="74"/>
      <c r="AQ4" s="72"/>
      <c r="AR4" s="72"/>
      <c r="AS4" s="72"/>
      <c r="AT4" s="72"/>
      <c r="AU4" s="72"/>
      <c r="AV4" s="72"/>
      <c r="AW4" s="72"/>
      <c r="AX4" s="72"/>
    </row>
    <row r="5" spans="1:52" x14ac:dyDescent="0.25">
      <c r="A5" s="8"/>
      <c r="B5" s="8"/>
      <c r="C5" s="8"/>
      <c r="D5" s="8"/>
      <c r="E5" s="8"/>
      <c r="F5" s="8"/>
      <c r="G5" s="8"/>
      <c r="H5" s="9"/>
      <c r="I5" s="8"/>
      <c r="J5" s="9"/>
      <c r="K5" s="364" t="s">
        <v>62</v>
      </c>
      <c r="L5" s="364"/>
      <c r="M5" s="364"/>
      <c r="N5" s="364"/>
      <c r="O5" s="364"/>
      <c r="P5" s="364"/>
      <c r="Q5" s="364"/>
      <c r="R5" s="364"/>
      <c r="S5" s="364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6"/>
      <c r="AM5" s="6"/>
      <c r="AN5" s="6"/>
      <c r="AO5" s="6"/>
      <c r="AP5" s="6"/>
      <c r="AQ5" s="6"/>
    </row>
    <row r="6" spans="1:52" x14ac:dyDescent="0.25">
      <c r="A6" s="11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6"/>
      <c r="AM6" s="6"/>
      <c r="AN6" s="7"/>
      <c r="AO6" s="7"/>
      <c r="AP6" s="7"/>
      <c r="AQ6" s="6"/>
      <c r="AV6" s="61"/>
    </row>
    <row r="7" spans="1:52" x14ac:dyDescent="0.25">
      <c r="AC7" s="365" t="s">
        <v>63</v>
      </c>
      <c r="AD7" s="366"/>
      <c r="AE7" s="366"/>
      <c r="AF7" s="367"/>
      <c r="AG7" s="368">
        <v>1900</v>
      </c>
      <c r="AH7" s="369"/>
      <c r="AI7" s="369"/>
      <c r="AJ7" s="370"/>
      <c r="AL7" s="6"/>
      <c r="AM7" s="6"/>
      <c r="AN7" s="6"/>
      <c r="AO7" s="7"/>
      <c r="AP7" s="6"/>
      <c r="AQ7" s="6"/>
      <c r="AR7" s="127"/>
      <c r="AV7" s="61"/>
    </row>
    <row r="8" spans="1:52" x14ac:dyDescent="0.25">
      <c r="AC8" s="365" t="s">
        <v>64</v>
      </c>
      <c r="AD8" s="366"/>
      <c r="AE8" s="366"/>
      <c r="AF8" s="367"/>
      <c r="AG8" s="368" t="s">
        <v>767</v>
      </c>
      <c r="AH8" s="369"/>
      <c r="AI8" s="369"/>
      <c r="AJ8" s="370"/>
      <c r="AL8" s="6"/>
      <c r="AM8" s="6"/>
      <c r="AN8" s="117"/>
      <c r="AO8" s="117"/>
      <c r="AP8" s="117"/>
      <c r="AQ8" s="37"/>
      <c r="AR8" s="127" t="s">
        <v>170</v>
      </c>
      <c r="AS8" s="118" t="s">
        <v>80</v>
      </c>
      <c r="AT8" s="118" t="s">
        <v>168</v>
      </c>
      <c r="AV8" s="61"/>
    </row>
    <row r="9" spans="1:52" x14ac:dyDescent="0.25">
      <c r="A9" s="12"/>
      <c r="B9" s="13"/>
      <c r="C9" s="13"/>
      <c r="D9" s="13"/>
      <c r="E9" s="14"/>
      <c r="F9" s="14"/>
      <c r="G9" s="14"/>
      <c r="H9" s="14"/>
      <c r="AL9" s="6"/>
      <c r="AM9" s="6"/>
      <c r="AN9" s="37"/>
      <c r="AO9" s="42" t="s">
        <v>169</v>
      </c>
      <c r="AP9" s="37"/>
      <c r="AQ9" s="119"/>
      <c r="AR9" s="118"/>
      <c r="AS9" s="120"/>
      <c r="AT9" s="120"/>
    </row>
    <row r="10" spans="1:52" x14ac:dyDescent="0.25">
      <c r="A10" s="354">
        <v>-1</v>
      </c>
      <c r="B10" s="355"/>
      <c r="C10" s="356"/>
      <c r="D10" s="357" t="s">
        <v>65</v>
      </c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8" t="s">
        <v>766</v>
      </c>
      <c r="P10" s="359"/>
      <c r="Q10" s="359"/>
      <c r="R10" s="359"/>
      <c r="S10" s="359"/>
      <c r="T10" s="359"/>
      <c r="U10" s="359"/>
      <c r="V10" s="359"/>
      <c r="W10" s="359"/>
      <c r="X10" s="359"/>
      <c r="Y10" s="359"/>
      <c r="Z10" s="359"/>
      <c r="AA10" s="359"/>
      <c r="AB10" s="359"/>
      <c r="AC10" s="359"/>
      <c r="AD10" s="359"/>
      <c r="AE10" s="359"/>
      <c r="AF10" s="359"/>
      <c r="AG10" s="359"/>
      <c r="AH10" s="359"/>
      <c r="AI10" s="359"/>
      <c r="AJ10" s="359"/>
      <c r="AK10" s="359"/>
      <c r="AL10" s="6"/>
      <c r="AM10" s="6"/>
      <c r="AN10" s="37"/>
      <c r="AO10" s="37"/>
      <c r="AP10" s="37"/>
      <c r="AQ10" s="37"/>
      <c r="AR10" s="120"/>
      <c r="AS10" s="120"/>
      <c r="AT10" s="120"/>
    </row>
    <row r="11" spans="1:52" ht="15.75" thickBot="1" x14ac:dyDescent="0.3">
      <c r="A11" s="354">
        <v>-2</v>
      </c>
      <c r="B11" s="355"/>
      <c r="C11" s="356"/>
      <c r="D11" s="357" t="s">
        <v>66</v>
      </c>
      <c r="E11" s="357"/>
      <c r="F11" s="357"/>
      <c r="G11" s="357"/>
      <c r="H11" s="357"/>
      <c r="I11" s="357"/>
      <c r="J11" s="357"/>
      <c r="K11" s="357"/>
      <c r="L11" s="357"/>
      <c r="M11" s="357"/>
      <c r="N11" s="357"/>
      <c r="O11" s="360" t="s">
        <v>765</v>
      </c>
      <c r="P11" s="361"/>
      <c r="Q11" s="361"/>
      <c r="R11" s="361"/>
      <c r="S11" s="361"/>
      <c r="T11" s="361"/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2"/>
      <c r="AN11" s="120"/>
      <c r="AO11" s="120"/>
      <c r="AP11" s="120"/>
      <c r="AQ11" s="120"/>
      <c r="AR11" s="120"/>
      <c r="AS11" s="120"/>
      <c r="AT11" s="120"/>
    </row>
    <row r="12" spans="1:52" x14ac:dyDescent="0.25">
      <c r="A12" s="15"/>
      <c r="B12" s="15"/>
      <c r="C12" s="15"/>
      <c r="D12" s="16"/>
      <c r="E12" s="16"/>
      <c r="F12" s="16"/>
      <c r="G12" s="16"/>
      <c r="H12" s="16"/>
      <c r="I12" s="16"/>
      <c r="J12" s="16"/>
      <c r="K12" s="16"/>
      <c r="L12" s="16"/>
      <c r="M12" s="17"/>
      <c r="N12" s="17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N12" s="327" t="str">
        <f>"GST Payment working for the month of "&amp;AG8&amp;"-"&amp;AG7</f>
        <v>GST Payment working for the month of JAN-1900</v>
      </c>
      <c r="AO12" s="328"/>
      <c r="AP12" s="328"/>
      <c r="AQ12" s="328"/>
      <c r="AR12" s="328"/>
      <c r="AS12" s="328"/>
      <c r="AT12" s="329"/>
      <c r="AV12" t="s">
        <v>67</v>
      </c>
      <c r="AW12" t="s">
        <v>68</v>
      </c>
      <c r="AX12" t="s">
        <v>69</v>
      </c>
      <c r="AY12" s="145">
        <f>AR22</f>
        <v>268</v>
      </c>
      <c r="AZ12" s="149"/>
    </row>
    <row r="13" spans="1:52" ht="15.75" thickBot="1" x14ac:dyDescent="0.3">
      <c r="A13" s="15"/>
      <c r="B13" s="15"/>
      <c r="C13" s="14"/>
      <c r="D13" s="16"/>
      <c r="E13" s="16"/>
      <c r="F13" s="16"/>
      <c r="G13" s="16"/>
      <c r="H13" s="16"/>
      <c r="I13" s="16"/>
      <c r="J13" s="16"/>
      <c r="K13" s="16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N13" s="330"/>
      <c r="AO13" s="331"/>
      <c r="AP13" s="331"/>
      <c r="AQ13" s="331"/>
      <c r="AR13" s="331"/>
      <c r="AS13" s="331"/>
      <c r="AT13" s="332"/>
      <c r="AV13" t="s">
        <v>70</v>
      </c>
      <c r="AW13" t="s">
        <v>68</v>
      </c>
      <c r="AX13" t="s">
        <v>69</v>
      </c>
      <c r="AY13" s="145">
        <f>AS22</f>
        <v>8436</v>
      </c>
      <c r="AZ13" s="149"/>
    </row>
    <row r="14" spans="1:52" ht="15.75" thickBot="1" x14ac:dyDescent="0.3">
      <c r="A14" s="19" t="s">
        <v>71</v>
      </c>
      <c r="AN14" s="333" t="s">
        <v>72</v>
      </c>
      <c r="AO14" s="334"/>
      <c r="AP14" s="334"/>
      <c r="AQ14" s="335"/>
      <c r="AR14" s="20" t="s">
        <v>73</v>
      </c>
      <c r="AS14" s="20" t="s">
        <v>74</v>
      </c>
      <c r="AT14" s="20" t="s">
        <v>75</v>
      </c>
      <c r="AV14" t="s">
        <v>76</v>
      </c>
      <c r="AW14" t="s">
        <v>68</v>
      </c>
      <c r="AX14" t="s">
        <v>69</v>
      </c>
      <c r="AY14" s="145">
        <f>AT22</f>
        <v>8436</v>
      </c>
      <c r="AZ14" s="149"/>
    </row>
    <row r="15" spans="1:52" x14ac:dyDescent="0.25">
      <c r="A15" s="336" t="s">
        <v>77</v>
      </c>
      <c r="B15" s="337"/>
      <c r="C15" s="337"/>
      <c r="D15" s="337"/>
      <c r="E15" s="337"/>
      <c r="F15" s="337"/>
      <c r="G15" s="337"/>
      <c r="H15" s="337"/>
      <c r="I15" s="337"/>
      <c r="J15" s="337"/>
      <c r="K15" s="337"/>
      <c r="L15" s="337"/>
      <c r="M15" s="338" t="s">
        <v>78</v>
      </c>
      <c r="N15" s="338"/>
      <c r="O15" s="338"/>
      <c r="P15" s="338"/>
      <c r="Q15" s="21"/>
      <c r="R15" s="21"/>
      <c r="S15" s="339" t="s">
        <v>79</v>
      </c>
      <c r="T15" s="340"/>
      <c r="U15" s="340"/>
      <c r="V15" s="340"/>
      <c r="W15" s="340"/>
      <c r="X15" s="340"/>
      <c r="Y15" s="341"/>
      <c r="Z15" s="166" t="s">
        <v>80</v>
      </c>
      <c r="AA15" s="166"/>
      <c r="AB15" s="166"/>
      <c r="AC15" s="166"/>
      <c r="AD15" s="338" t="s">
        <v>81</v>
      </c>
      <c r="AE15" s="338"/>
      <c r="AF15" s="338"/>
      <c r="AG15" s="338"/>
      <c r="AH15" s="338"/>
      <c r="AI15" s="338"/>
      <c r="AJ15" s="338"/>
      <c r="AK15" s="22" t="s">
        <v>82</v>
      </c>
      <c r="AN15" s="23"/>
      <c r="AO15" s="24"/>
      <c r="AP15" s="24"/>
      <c r="AQ15" s="24"/>
      <c r="AR15" s="25"/>
      <c r="AS15" s="25"/>
      <c r="AT15" s="26"/>
      <c r="AV15" t="s">
        <v>83</v>
      </c>
      <c r="AW15" t="s">
        <v>68</v>
      </c>
      <c r="AX15" t="s">
        <v>84</v>
      </c>
      <c r="AY15" s="145"/>
      <c r="AZ15" s="149">
        <f>AY12</f>
        <v>268</v>
      </c>
    </row>
    <row r="16" spans="1:52" x14ac:dyDescent="0.25">
      <c r="A16" s="27">
        <v>11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9"/>
      <c r="M16" s="30"/>
      <c r="N16" s="31"/>
      <c r="O16" s="31"/>
      <c r="P16" s="32"/>
      <c r="Q16" s="33"/>
      <c r="R16" s="33"/>
      <c r="S16" s="342"/>
      <c r="T16" s="343"/>
      <c r="U16" s="343"/>
      <c r="V16" s="343"/>
      <c r="W16" s="343"/>
      <c r="X16" s="343"/>
      <c r="Y16" s="344"/>
      <c r="Z16" s="34"/>
      <c r="AA16" s="34"/>
      <c r="AB16" s="308"/>
      <c r="AC16" s="345"/>
      <c r="AD16" s="346"/>
      <c r="AE16" s="347"/>
      <c r="AF16" s="347"/>
      <c r="AG16" s="347"/>
      <c r="AH16" s="347"/>
      <c r="AI16" s="347"/>
      <c r="AJ16" s="348"/>
      <c r="AK16" s="35">
        <v>6</v>
      </c>
      <c r="AN16" s="36"/>
      <c r="AO16" s="37"/>
      <c r="AP16" s="37"/>
      <c r="AQ16" s="37"/>
      <c r="AR16" s="38"/>
      <c r="AS16" s="38"/>
      <c r="AT16" s="39"/>
      <c r="AV16" t="s">
        <v>85</v>
      </c>
      <c r="AW16" t="s">
        <v>68</v>
      </c>
      <c r="AX16" t="s">
        <v>84</v>
      </c>
      <c r="AY16" s="145"/>
      <c r="AZ16" s="149">
        <f>AY13</f>
        <v>8436</v>
      </c>
    </row>
    <row r="17" spans="1:52" s="41" customFormat="1" x14ac:dyDescent="0.25">
      <c r="A17" s="321" t="s">
        <v>86</v>
      </c>
      <c r="B17" s="322"/>
      <c r="C17" s="322"/>
      <c r="D17" s="322"/>
      <c r="E17" s="322"/>
      <c r="F17" s="322"/>
      <c r="G17" s="322"/>
      <c r="H17" s="322"/>
      <c r="I17" s="322"/>
      <c r="J17" s="322"/>
      <c r="K17" s="322"/>
      <c r="L17" s="322"/>
      <c r="M17" s="323">
        <f>SUM(HSN!F:F)</f>
        <v>69048311.480000004</v>
      </c>
      <c r="N17" s="324"/>
      <c r="O17" s="324"/>
      <c r="P17" s="325"/>
      <c r="Q17" s="109"/>
      <c r="R17" s="109"/>
      <c r="S17" s="323">
        <f>SUM(HSN!G:G)</f>
        <v>12282820.080000002</v>
      </c>
      <c r="T17" s="324"/>
      <c r="U17" s="324"/>
      <c r="V17" s="324"/>
      <c r="W17" s="324"/>
      <c r="X17" s="324"/>
      <c r="Y17" s="325"/>
      <c r="Z17" s="349">
        <f>SUM(HSN!H:H)</f>
        <v>71152.599999999991</v>
      </c>
      <c r="AA17" s="280"/>
      <c r="AB17" s="280"/>
      <c r="AC17" s="350"/>
      <c r="AD17" s="351">
        <f>SUM(HSN!I:I)</f>
        <v>71152.599999999991</v>
      </c>
      <c r="AE17" s="352"/>
      <c r="AF17" s="352"/>
      <c r="AG17" s="352"/>
      <c r="AH17" s="352"/>
      <c r="AI17" s="352"/>
      <c r="AJ17" s="353"/>
      <c r="AK17" s="40"/>
      <c r="AN17" s="36" t="s">
        <v>87</v>
      </c>
      <c r="AO17" s="42" t="s">
        <v>88</v>
      </c>
      <c r="AP17" s="37"/>
      <c r="AQ17" s="37"/>
      <c r="AR17" s="121">
        <f>ROUND(S17,0.5)</f>
        <v>12282820</v>
      </c>
      <c r="AS17" s="122">
        <f>ROUND(Z17,0.5)</f>
        <v>71153</v>
      </c>
      <c r="AT17" s="123">
        <f>ROUND(AD17,0.5)</f>
        <v>71153</v>
      </c>
      <c r="AU17" s="43"/>
      <c r="AV17" t="s">
        <v>89</v>
      </c>
      <c r="AW17" t="s">
        <v>68</v>
      </c>
      <c r="AX17" t="s">
        <v>84</v>
      </c>
      <c r="AY17" s="145"/>
      <c r="AZ17" s="149">
        <f>AY14</f>
        <v>8436</v>
      </c>
    </row>
    <row r="18" spans="1:52" s="41" customFormat="1" ht="15.75" thickBot="1" x14ac:dyDescent="0.3">
      <c r="A18" s="321" t="s">
        <v>90</v>
      </c>
      <c r="B18" s="322"/>
      <c r="C18" s="322"/>
      <c r="D18" s="322"/>
      <c r="E18" s="322"/>
      <c r="F18" s="322"/>
      <c r="G18" s="322"/>
      <c r="H18" s="322"/>
      <c r="I18" s="322"/>
      <c r="J18" s="322"/>
      <c r="K18" s="322"/>
      <c r="L18" s="322"/>
      <c r="M18" s="311"/>
      <c r="N18" s="312"/>
      <c r="O18" s="312"/>
      <c r="P18" s="313"/>
      <c r="Q18" s="109"/>
      <c r="R18" s="109"/>
      <c r="S18" s="311"/>
      <c r="T18" s="312"/>
      <c r="U18" s="312"/>
      <c r="V18" s="312"/>
      <c r="W18" s="312"/>
      <c r="X18" s="312"/>
      <c r="Y18" s="313"/>
      <c r="Z18" s="314"/>
      <c r="AA18" s="314"/>
      <c r="AB18" s="314"/>
      <c r="AC18" s="314"/>
      <c r="AD18" s="326"/>
      <c r="AE18" s="326"/>
      <c r="AF18" s="326"/>
      <c r="AG18" s="326"/>
      <c r="AH18" s="326"/>
      <c r="AI18" s="326"/>
      <c r="AJ18" s="326"/>
      <c r="AK18" s="40"/>
      <c r="AN18" s="44"/>
      <c r="AO18" s="45"/>
      <c r="AP18" s="45"/>
      <c r="AQ18" s="45"/>
      <c r="AR18" s="46">
        <f>AR17</f>
        <v>12282820</v>
      </c>
      <c r="AS18" s="46">
        <f>AS17</f>
        <v>71153</v>
      </c>
      <c r="AT18" s="47">
        <f>AT17</f>
        <v>71153</v>
      </c>
      <c r="AV18"/>
      <c r="AW18"/>
      <c r="AX18"/>
      <c r="AY18" s="145"/>
      <c r="AZ18" s="149"/>
    </row>
    <row r="19" spans="1:52" s="41" customFormat="1" x14ac:dyDescent="0.25">
      <c r="A19" s="321" t="s">
        <v>91</v>
      </c>
      <c r="B19" s="322"/>
      <c r="C19" s="322"/>
      <c r="D19" s="322"/>
      <c r="E19" s="322"/>
      <c r="F19" s="322"/>
      <c r="G19" s="322"/>
      <c r="H19" s="322"/>
      <c r="I19" s="322"/>
      <c r="J19" s="322"/>
      <c r="K19" s="322"/>
      <c r="L19" s="322"/>
      <c r="M19" s="311">
        <v>0</v>
      </c>
      <c r="N19" s="312"/>
      <c r="O19" s="312"/>
      <c r="P19" s="313"/>
      <c r="Q19" s="109"/>
      <c r="R19" s="109"/>
      <c r="S19" s="311">
        <v>0</v>
      </c>
      <c r="T19" s="312"/>
      <c r="U19" s="312"/>
      <c r="V19" s="312"/>
      <c r="W19" s="312"/>
      <c r="X19" s="312"/>
      <c r="Y19" s="313"/>
      <c r="Z19" s="314">
        <v>0</v>
      </c>
      <c r="AA19" s="314"/>
      <c r="AB19" s="314"/>
      <c r="AC19" s="314"/>
      <c r="AD19" s="311">
        <v>0</v>
      </c>
      <c r="AE19" s="312"/>
      <c r="AF19" s="312"/>
      <c r="AG19" s="312"/>
      <c r="AH19" s="312"/>
      <c r="AI19" s="312"/>
      <c r="AJ19" s="313"/>
      <c r="AK19" s="40"/>
      <c r="AN19" s="23"/>
      <c r="AO19" s="24"/>
      <c r="AP19" s="24"/>
      <c r="AQ19" s="24"/>
      <c r="AR19" s="25"/>
      <c r="AS19" s="25"/>
      <c r="AT19" s="26"/>
      <c r="AV19"/>
      <c r="AW19"/>
      <c r="AX19"/>
      <c r="AY19"/>
      <c r="AZ19" s="4"/>
    </row>
    <row r="20" spans="1:52" s="41" customFormat="1" x14ac:dyDescent="0.25">
      <c r="A20" s="321" t="s">
        <v>92</v>
      </c>
      <c r="B20" s="322"/>
      <c r="C20" s="322"/>
      <c r="D20" s="322"/>
      <c r="E20" s="322"/>
      <c r="F20" s="322"/>
      <c r="G20" s="322"/>
      <c r="H20" s="322"/>
      <c r="I20" s="322"/>
      <c r="J20" s="322"/>
      <c r="K20" s="322"/>
      <c r="L20" s="322"/>
      <c r="M20" s="323">
        <f>GETPIVOTDATA("Sum of Assbl. Val.",RCM!$A$4)</f>
        <v>342756.72</v>
      </c>
      <c r="N20" s="324"/>
      <c r="O20" s="324"/>
      <c r="P20" s="325"/>
      <c r="Q20" s="109"/>
      <c r="R20" s="109"/>
      <c r="S20" s="323">
        <f>GETPIVOTDATA(" IGST RCM Total",RCM!$A$4)</f>
        <v>268</v>
      </c>
      <c r="T20" s="324"/>
      <c r="U20" s="324"/>
      <c r="V20" s="324"/>
      <c r="W20" s="324"/>
      <c r="X20" s="324"/>
      <c r="Y20" s="325"/>
      <c r="Z20" s="280">
        <f>GETPIVOTDATA(" SGST RCM Total",RCM!$A$4)</f>
        <v>8435.93</v>
      </c>
      <c r="AA20" s="280"/>
      <c r="AB20" s="280"/>
      <c r="AC20" s="280"/>
      <c r="AD20" s="281">
        <f>GETPIVOTDATA(" CGST RCM Total",RCM!$A$4)</f>
        <v>8435.93</v>
      </c>
      <c r="AE20" s="281"/>
      <c r="AF20" s="281"/>
      <c r="AG20" s="281"/>
      <c r="AH20" s="281"/>
      <c r="AI20" s="281"/>
      <c r="AJ20" s="281"/>
      <c r="AK20" s="40"/>
      <c r="AN20" s="36" t="s">
        <v>93</v>
      </c>
      <c r="AO20" s="42" t="s">
        <v>46</v>
      </c>
      <c r="AP20" s="37"/>
      <c r="AQ20" s="37"/>
      <c r="AR20" s="38"/>
      <c r="AS20" s="38"/>
      <c r="AT20" s="39"/>
      <c r="AU20" s="5"/>
      <c r="AV20" t="s">
        <v>94</v>
      </c>
      <c r="AW20" t="s">
        <v>68</v>
      </c>
      <c r="AX20" t="s">
        <v>69</v>
      </c>
      <c r="AY20" s="4">
        <f>AR17</f>
        <v>12282820</v>
      </c>
      <c r="AZ20" s="4"/>
    </row>
    <row r="21" spans="1:52" x14ac:dyDescent="0.25">
      <c r="A21" s="151" t="s">
        <v>95</v>
      </c>
      <c r="B21" s="152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311"/>
      <c r="N21" s="312"/>
      <c r="O21" s="312"/>
      <c r="P21" s="313"/>
      <c r="Q21" s="109"/>
      <c r="R21" s="109"/>
      <c r="S21" s="311"/>
      <c r="T21" s="312"/>
      <c r="U21" s="312"/>
      <c r="V21" s="312"/>
      <c r="W21" s="312"/>
      <c r="X21" s="312"/>
      <c r="Y21" s="313"/>
      <c r="Z21" s="314"/>
      <c r="AA21" s="314"/>
      <c r="AB21" s="314"/>
      <c r="AC21" s="314"/>
      <c r="AD21" s="326"/>
      <c r="AE21" s="326"/>
      <c r="AF21" s="326"/>
      <c r="AG21" s="326"/>
      <c r="AH21" s="326"/>
      <c r="AI21" s="326"/>
      <c r="AJ21" s="326"/>
      <c r="AK21" s="49"/>
      <c r="AL21" s="50"/>
      <c r="AN21" s="36"/>
      <c r="AO21" s="37"/>
      <c r="AP21" s="37"/>
      <c r="AQ21" s="37"/>
      <c r="AR21" s="38"/>
      <c r="AS21" s="38"/>
      <c r="AT21" s="39"/>
      <c r="AV21" t="s">
        <v>96</v>
      </c>
      <c r="AW21" t="s">
        <v>68</v>
      </c>
      <c r="AX21" t="s">
        <v>69</v>
      </c>
      <c r="AY21" s="4">
        <f>AS17</f>
        <v>71153</v>
      </c>
      <c r="AZ21" s="4"/>
    </row>
    <row r="22" spans="1:52" x14ac:dyDescent="0.25">
      <c r="A22" s="315" t="s">
        <v>97</v>
      </c>
      <c r="B22" s="316"/>
      <c r="C22" s="316"/>
      <c r="D22" s="316"/>
      <c r="E22" s="316"/>
      <c r="F22" s="316"/>
      <c r="G22" s="316"/>
      <c r="H22" s="316"/>
      <c r="I22" s="316"/>
      <c r="J22" s="316"/>
      <c r="K22" s="316"/>
      <c r="L22" s="316"/>
      <c r="M22" s="317">
        <f>SUM(M17:P21)</f>
        <v>69391068.200000003</v>
      </c>
      <c r="N22" s="318"/>
      <c r="O22" s="318"/>
      <c r="P22" s="319"/>
      <c r="Q22" s="110"/>
      <c r="R22" s="110"/>
      <c r="S22" s="317">
        <f>SUM(S17:Y21)</f>
        <v>12283088.080000002</v>
      </c>
      <c r="T22" s="318"/>
      <c r="U22" s="318"/>
      <c r="V22" s="318"/>
      <c r="W22" s="318"/>
      <c r="X22" s="318"/>
      <c r="Y22" s="319"/>
      <c r="Z22" s="317">
        <f>SUM(Z17:AC21)</f>
        <v>79588.53</v>
      </c>
      <c r="AA22" s="318"/>
      <c r="AB22" s="318"/>
      <c r="AC22" s="319"/>
      <c r="AD22" s="320">
        <f>SUM(AD17:AJ21)</f>
        <v>79588.53</v>
      </c>
      <c r="AE22" s="320"/>
      <c r="AF22" s="320"/>
      <c r="AG22" s="320"/>
      <c r="AH22" s="320"/>
      <c r="AI22" s="320"/>
      <c r="AJ22" s="320"/>
      <c r="AK22" s="49"/>
      <c r="AN22" s="52"/>
      <c r="AO22" s="37" t="s">
        <v>98</v>
      </c>
      <c r="AP22" s="37" t="s">
        <v>48</v>
      </c>
      <c r="AQ22" s="37"/>
      <c r="AR22" s="143">
        <f>ROUND(S20,0.5)</f>
        <v>268</v>
      </c>
      <c r="AS22" s="143">
        <f>ROUND(Z20,0.5)</f>
        <v>8436</v>
      </c>
      <c r="AT22" s="144">
        <f>ROUND(AD20,0.5)</f>
        <v>8436</v>
      </c>
      <c r="AV22" t="s">
        <v>99</v>
      </c>
      <c r="AW22" t="s">
        <v>68</v>
      </c>
      <c r="AX22" t="s">
        <v>69</v>
      </c>
      <c r="AY22" s="51">
        <f>AT17</f>
        <v>71153</v>
      </c>
      <c r="AZ22" s="4"/>
    </row>
    <row r="23" spans="1:52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8"/>
      <c r="N23" s="18"/>
      <c r="O23" s="18"/>
      <c r="P23" s="18"/>
      <c r="Q23" s="55"/>
      <c r="R23" s="55"/>
      <c r="S23" s="55"/>
      <c r="T23" s="18"/>
      <c r="U23" s="18"/>
      <c r="V23" s="18"/>
      <c r="W23" s="18"/>
      <c r="X23" s="18"/>
      <c r="Y23" s="18"/>
      <c r="Z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N23" s="36"/>
      <c r="AO23" s="37" t="s">
        <v>100</v>
      </c>
      <c r="AP23" s="37" t="s">
        <v>46</v>
      </c>
      <c r="AQ23" s="37"/>
      <c r="AR23" s="124">
        <f>ROUND(M45+AR9+M41,0.5)</f>
        <v>11970125</v>
      </c>
      <c r="AS23" s="125">
        <f>ROUND(W45+AS9,0.5)</f>
        <v>2164335</v>
      </c>
      <c r="AT23" s="126">
        <f>ROUND(AB45+AT9,0.5)</f>
        <v>2164335</v>
      </c>
      <c r="AU23" s="112"/>
      <c r="AV23" t="s">
        <v>67</v>
      </c>
      <c r="AW23" t="s">
        <v>68</v>
      </c>
      <c r="AX23" t="s">
        <v>84</v>
      </c>
      <c r="AY23"/>
      <c r="AZ23" s="4">
        <f>+AR24</f>
        <v>11970393</v>
      </c>
    </row>
    <row r="24" spans="1:52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116"/>
      <c r="AN24" s="52"/>
      <c r="AO24" s="37" t="s">
        <v>101</v>
      </c>
      <c r="AP24" s="37"/>
      <c r="AQ24" s="37"/>
      <c r="AR24" s="53">
        <f>SUM(AR22:AR23)</f>
        <v>11970393</v>
      </c>
      <c r="AS24" s="53">
        <f>SUM(AS22:AS23)</f>
        <v>2172771</v>
      </c>
      <c r="AT24" s="54">
        <f>SUM(AT22:AT23)</f>
        <v>2172771</v>
      </c>
      <c r="AU24" s="61"/>
      <c r="AV24" t="s">
        <v>70</v>
      </c>
      <c r="AW24" t="s">
        <v>68</v>
      </c>
      <c r="AX24" t="s">
        <v>84</v>
      </c>
      <c r="AY24"/>
      <c r="AZ24" s="4">
        <f>AS24</f>
        <v>2172771</v>
      </c>
    </row>
    <row r="25" spans="1:52" ht="15.75" thickBot="1" x14ac:dyDescent="0.3">
      <c r="A25" s="19" t="s">
        <v>102</v>
      </c>
      <c r="AL25" s="116"/>
      <c r="AN25" s="44"/>
      <c r="AO25" s="45"/>
      <c r="AP25" s="45"/>
      <c r="AQ25" s="45"/>
      <c r="AR25" s="57"/>
      <c r="AS25" s="57"/>
      <c r="AT25" s="58"/>
      <c r="AU25" s="61"/>
      <c r="AV25" t="s">
        <v>76</v>
      </c>
      <c r="AW25" t="s">
        <v>68</v>
      </c>
      <c r="AX25" t="s">
        <v>84</v>
      </c>
      <c r="AY25"/>
      <c r="AZ25" s="4">
        <f>+AT24</f>
        <v>2172771</v>
      </c>
    </row>
    <row r="26" spans="1:52" x14ac:dyDescent="0.25">
      <c r="A26" s="19" t="s">
        <v>103</v>
      </c>
      <c r="B26" s="59"/>
      <c r="C26" s="60"/>
      <c r="AL26" s="61"/>
      <c r="AN26" s="23"/>
      <c r="AO26" s="24"/>
      <c r="AP26" s="24"/>
      <c r="AQ26" s="24"/>
      <c r="AR26" s="62"/>
      <c r="AS26" s="62"/>
      <c r="AT26" s="63"/>
      <c r="AU26" s="61"/>
      <c r="AV26" t="s">
        <v>104</v>
      </c>
      <c r="AW26" t="s">
        <v>68</v>
      </c>
      <c r="AX26" t="s">
        <v>84</v>
      </c>
      <c r="AY26"/>
      <c r="AZ26" s="4">
        <f>+AR28</f>
        <v>0</v>
      </c>
    </row>
    <row r="27" spans="1:52" x14ac:dyDescent="0.25">
      <c r="A27" s="64"/>
      <c r="AL27" s="61"/>
      <c r="AM27" s="65"/>
      <c r="AN27" s="66" t="s">
        <v>105</v>
      </c>
      <c r="AO27" s="42" t="s">
        <v>106</v>
      </c>
      <c r="AP27" s="37"/>
      <c r="AQ27" s="37"/>
      <c r="AR27" s="38"/>
      <c r="AS27" s="38"/>
      <c r="AT27" s="39"/>
      <c r="AV27"/>
      <c r="AW27"/>
      <c r="AX27"/>
      <c r="AY27">
        <f>SUM(AY20:AY26)</f>
        <v>12425126</v>
      </c>
      <c r="AZ27">
        <f>SUM(AZ20:AZ26)</f>
        <v>16315935</v>
      </c>
    </row>
    <row r="28" spans="1:52" ht="15" customHeight="1" x14ac:dyDescent="0.25">
      <c r="A28" s="162" t="s">
        <v>107</v>
      </c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4"/>
      <c r="N28" s="165" t="s">
        <v>78</v>
      </c>
      <c r="O28" s="166"/>
      <c r="P28" s="166"/>
      <c r="Q28" s="166"/>
      <c r="R28" s="166"/>
      <c r="S28" s="166"/>
      <c r="T28" s="166"/>
      <c r="U28" s="166"/>
      <c r="V28" s="166"/>
      <c r="W28" s="166"/>
      <c r="X28" s="167"/>
      <c r="Y28" s="165" t="s">
        <v>108</v>
      </c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7"/>
      <c r="AL28" s="61"/>
      <c r="AN28" s="36"/>
      <c r="AO28" s="37"/>
      <c r="AP28" s="42" t="s">
        <v>109</v>
      </c>
      <c r="AQ28" s="37"/>
      <c r="AR28" s="67">
        <f>IF((+AR18-AR24)+IF(AS18-AS24&lt;=0,AS18-AS24,0)+IF(AT18-AT24&lt;=0,AT18-AT24,0)&lt;=0,0,(+AR18-AR24)+IF(AS18-AS24&lt;=0,AS18-AS24,0)+IF(AT18-AT24&lt;=0,AT18-AT24,0))</f>
        <v>0</v>
      </c>
      <c r="AS28" s="67">
        <f>IF(AS18-AS24&lt;=0,0,AS18-AS24)</f>
        <v>0</v>
      </c>
      <c r="AT28" s="68">
        <f>IF((+AR18-AR24)+IF(AS18-AS24&lt;=0,AS18-AS24,0)+IF(AT18-AT24&lt;=0,AT18-AT24,0)&lt;=0,(+AR18-AR24)+IF(AS18-AS24&lt;=0,AS18-AS24,0)+IF(AT18-AT24&lt;=0,AT18-AT24,0),IF(AT18-AT24&lt;=0,0,AT18-AT24))</f>
        <v>-3890809</v>
      </c>
      <c r="AU28" s="61"/>
      <c r="AV28"/>
      <c r="AW28"/>
      <c r="AX28"/>
      <c r="AY28"/>
      <c r="AZ28" s="4"/>
    </row>
    <row r="29" spans="1:52" ht="15.75" thickBot="1" x14ac:dyDescent="0.3">
      <c r="A29" s="229">
        <v>1</v>
      </c>
      <c r="B29" s="230"/>
      <c r="C29" s="230"/>
      <c r="D29" s="230"/>
      <c r="E29" s="230"/>
      <c r="F29" s="230"/>
      <c r="G29" s="230"/>
      <c r="H29" s="230"/>
      <c r="I29" s="230"/>
      <c r="J29" s="231"/>
      <c r="K29" s="229">
        <v>2</v>
      </c>
      <c r="L29" s="230"/>
      <c r="M29" s="231"/>
      <c r="N29" s="304">
        <v>3</v>
      </c>
      <c r="O29" s="305"/>
      <c r="P29" s="305"/>
      <c r="Q29" s="305"/>
      <c r="R29" s="305"/>
      <c r="S29" s="305"/>
      <c r="T29" s="305"/>
      <c r="U29" s="305"/>
      <c r="V29" s="305"/>
      <c r="W29" s="305"/>
      <c r="X29" s="306"/>
      <c r="Y29" s="304">
        <v>4</v>
      </c>
      <c r="Z29" s="305"/>
      <c r="AA29" s="305"/>
      <c r="AB29" s="305"/>
      <c r="AC29" s="305"/>
      <c r="AD29" s="305"/>
      <c r="AE29" s="305"/>
      <c r="AF29" s="305"/>
      <c r="AG29" s="305"/>
      <c r="AH29" s="305"/>
      <c r="AI29" s="305"/>
      <c r="AJ29" s="305"/>
      <c r="AK29" s="306"/>
      <c r="AM29" s="65"/>
      <c r="AN29" s="44" t="s">
        <v>110</v>
      </c>
      <c r="AO29" s="45"/>
      <c r="AP29" s="69" t="s">
        <v>48</v>
      </c>
      <c r="AQ29" s="45"/>
      <c r="AR29" s="46">
        <f>AR22</f>
        <v>268</v>
      </c>
      <c r="AS29" s="46">
        <f t="shared" ref="AS29:AT29" si="0">AS22</f>
        <v>8436</v>
      </c>
      <c r="AT29" s="47">
        <f t="shared" si="0"/>
        <v>8436</v>
      </c>
      <c r="AU29" s="61"/>
      <c r="AV29" t="s">
        <v>111</v>
      </c>
      <c r="AW29" t="s">
        <v>68</v>
      </c>
      <c r="AX29" t="s">
        <v>69</v>
      </c>
      <c r="AY29">
        <f>AY12</f>
        <v>268</v>
      </c>
      <c r="AZ29" s="4"/>
    </row>
    <row r="30" spans="1:52" ht="15" customHeight="1" x14ac:dyDescent="0.25">
      <c r="A30" s="151" t="s">
        <v>163</v>
      </c>
      <c r="B30" s="152"/>
      <c r="C30" s="152"/>
      <c r="D30" s="152"/>
      <c r="E30" s="152"/>
      <c r="F30" s="152"/>
      <c r="G30" s="284"/>
      <c r="H30" s="284"/>
      <c r="I30" s="284"/>
      <c r="J30" s="284"/>
      <c r="K30" s="284"/>
      <c r="L30" s="284"/>
      <c r="M30" s="285"/>
      <c r="N30" s="310"/>
      <c r="O30" s="308"/>
      <c r="P30" s="308"/>
      <c r="Q30" s="308"/>
      <c r="R30" s="308"/>
      <c r="S30" s="308"/>
      <c r="T30" s="308"/>
      <c r="U30" s="308"/>
      <c r="V30" s="308"/>
      <c r="W30" s="308"/>
      <c r="X30" s="309"/>
      <c r="Y30" s="307"/>
      <c r="Z30" s="308"/>
      <c r="AA30" s="308"/>
      <c r="AB30" s="308"/>
      <c r="AC30" s="308"/>
      <c r="AD30" s="308"/>
      <c r="AE30" s="308"/>
      <c r="AF30" s="308"/>
      <c r="AG30" s="308"/>
      <c r="AH30" s="308"/>
      <c r="AI30" s="308"/>
      <c r="AJ30" s="308"/>
      <c r="AK30" s="309"/>
      <c r="AM30" s="65"/>
      <c r="AN30" s="36"/>
      <c r="AO30" s="37"/>
      <c r="AP30" s="42"/>
      <c r="AQ30" s="37"/>
      <c r="AR30" s="113"/>
      <c r="AS30" s="114"/>
      <c r="AT30" s="68"/>
      <c r="AU30" s="61"/>
      <c r="AV30" t="s">
        <v>113</v>
      </c>
      <c r="AW30" t="s">
        <v>68</v>
      </c>
      <c r="AX30" t="s">
        <v>69</v>
      </c>
      <c r="AY30">
        <f>AY13</f>
        <v>8436</v>
      </c>
      <c r="AZ30" s="4"/>
    </row>
    <row r="31" spans="1:52" ht="15.75" customHeight="1" thickBot="1" x14ac:dyDescent="0.3">
      <c r="A31" s="151" t="s">
        <v>163</v>
      </c>
      <c r="B31" s="152"/>
      <c r="C31" s="152"/>
      <c r="D31" s="152"/>
      <c r="E31" s="152"/>
      <c r="F31" s="152"/>
      <c r="G31" s="284"/>
      <c r="H31" s="284"/>
      <c r="I31" s="284"/>
      <c r="J31" s="284"/>
      <c r="K31" s="284"/>
      <c r="L31" s="284"/>
      <c r="M31" s="285"/>
      <c r="N31" s="307"/>
      <c r="O31" s="308"/>
      <c r="P31" s="308"/>
      <c r="Q31" s="308"/>
      <c r="R31" s="308"/>
      <c r="S31" s="308"/>
      <c r="T31" s="308"/>
      <c r="U31" s="308"/>
      <c r="V31" s="308"/>
      <c r="W31" s="308"/>
      <c r="X31" s="309"/>
      <c r="Y31" s="307"/>
      <c r="Z31" s="308"/>
      <c r="AA31" s="308"/>
      <c r="AB31" s="308"/>
      <c r="AC31" s="308"/>
      <c r="AD31" s="308"/>
      <c r="AE31" s="308"/>
      <c r="AF31" s="308"/>
      <c r="AG31" s="308"/>
      <c r="AH31" s="308"/>
      <c r="AI31" s="308"/>
      <c r="AJ31" s="308"/>
      <c r="AK31" s="309"/>
      <c r="AM31" s="65"/>
      <c r="AN31" s="36"/>
      <c r="AO31" s="37"/>
      <c r="AP31" s="42"/>
      <c r="AQ31" s="37"/>
      <c r="AR31" s="113"/>
      <c r="AS31" s="114"/>
      <c r="AT31" s="68"/>
      <c r="AU31" s="61"/>
      <c r="AV31" t="s">
        <v>115</v>
      </c>
      <c r="AW31" t="s">
        <v>68</v>
      </c>
      <c r="AX31" t="s">
        <v>69</v>
      </c>
      <c r="AY31">
        <f>AY14</f>
        <v>8436</v>
      </c>
      <c r="AZ31" s="51"/>
    </row>
    <row r="32" spans="1:52" ht="15" customHeight="1" x14ac:dyDescent="0.25">
      <c r="A32" s="151" t="s">
        <v>163</v>
      </c>
      <c r="B32" s="152"/>
      <c r="C32" s="152"/>
      <c r="D32" s="152"/>
      <c r="E32" s="152"/>
      <c r="F32" s="152"/>
      <c r="G32" s="284"/>
      <c r="H32" s="284"/>
      <c r="I32" s="284"/>
      <c r="J32" s="284"/>
      <c r="K32" s="284"/>
      <c r="L32" s="284"/>
      <c r="M32" s="285"/>
      <c r="N32" s="307"/>
      <c r="O32" s="308"/>
      <c r="P32" s="308"/>
      <c r="Q32" s="308"/>
      <c r="R32" s="308"/>
      <c r="S32" s="308"/>
      <c r="T32" s="308"/>
      <c r="U32" s="308"/>
      <c r="V32" s="308"/>
      <c r="W32" s="308"/>
      <c r="X32" s="309"/>
      <c r="Y32" s="307"/>
      <c r="Z32" s="308"/>
      <c r="AA32" s="308"/>
      <c r="AB32" s="308"/>
      <c r="AC32" s="308"/>
      <c r="AD32" s="308"/>
      <c r="AE32" s="308"/>
      <c r="AF32" s="308"/>
      <c r="AG32" s="308"/>
      <c r="AH32" s="308"/>
      <c r="AI32" s="308"/>
      <c r="AJ32" s="308"/>
      <c r="AK32" s="309"/>
      <c r="AN32" s="292" t="s">
        <v>112</v>
      </c>
      <c r="AO32" s="293"/>
      <c r="AP32" s="293"/>
      <c r="AQ32" s="294"/>
      <c r="AR32" s="298">
        <f>IF(SUM(AR28:AT29)&lt;0,SUM(AR29:AT29),SUM(AR28:AT29))</f>
        <v>17140</v>
      </c>
      <c r="AS32" s="299"/>
      <c r="AT32" s="300"/>
      <c r="AV32" t="s">
        <v>104</v>
      </c>
      <c r="AW32" t="s">
        <v>68</v>
      </c>
      <c r="AX32" t="s">
        <v>69</v>
      </c>
      <c r="AY32">
        <f>AZ26</f>
        <v>0</v>
      </c>
      <c r="AZ32" s="51"/>
    </row>
    <row r="33" spans="1:52" ht="15.75" customHeight="1" thickBot="1" x14ac:dyDescent="0.3">
      <c r="A33" s="174" t="s">
        <v>114</v>
      </c>
      <c r="B33" s="175"/>
      <c r="C33" s="175"/>
      <c r="D33" s="175"/>
      <c r="E33" s="175"/>
      <c r="F33" s="175"/>
      <c r="G33" s="175"/>
      <c r="H33" s="175"/>
      <c r="I33" s="175"/>
      <c r="J33" s="176"/>
      <c r="K33" s="286"/>
      <c r="L33" s="287"/>
      <c r="M33" s="288"/>
      <c r="N33" s="289"/>
      <c r="O33" s="290"/>
      <c r="P33" s="290"/>
      <c r="Q33" s="290"/>
      <c r="R33" s="290"/>
      <c r="S33" s="290"/>
      <c r="T33" s="290"/>
      <c r="U33" s="290"/>
      <c r="V33" s="290"/>
      <c r="W33" s="290"/>
      <c r="X33" s="291"/>
      <c r="Y33" s="289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1"/>
      <c r="AN33" s="295"/>
      <c r="AO33" s="296"/>
      <c r="AP33" s="296"/>
      <c r="AQ33" s="297"/>
      <c r="AR33" s="301"/>
      <c r="AS33" s="302"/>
      <c r="AT33" s="303"/>
      <c r="AV33" t="s">
        <v>117</v>
      </c>
      <c r="AW33" t="s">
        <v>68</v>
      </c>
      <c r="AX33" t="s">
        <v>84</v>
      </c>
      <c r="AY33"/>
      <c r="AZ33" s="4">
        <f>SUM(AY29:AY32)</f>
        <v>17140</v>
      </c>
    </row>
    <row r="34" spans="1:52" x14ac:dyDescent="0.25">
      <c r="A34" s="283" t="s">
        <v>116</v>
      </c>
      <c r="B34" s="284"/>
      <c r="C34" s="284"/>
      <c r="D34" s="284"/>
      <c r="E34" s="284"/>
      <c r="F34" s="284"/>
      <c r="G34" s="284"/>
      <c r="H34" s="284"/>
      <c r="I34" s="284"/>
      <c r="J34" s="285"/>
      <c r="K34" s="286"/>
      <c r="L34" s="287"/>
      <c r="M34" s="288"/>
      <c r="N34" s="289"/>
      <c r="O34" s="290"/>
      <c r="P34" s="290"/>
      <c r="Q34" s="290"/>
      <c r="R34" s="290"/>
      <c r="S34" s="290"/>
      <c r="T34" s="290"/>
      <c r="U34" s="290"/>
      <c r="V34" s="290"/>
      <c r="W34" s="290"/>
      <c r="X34" s="291"/>
      <c r="Y34" s="289"/>
      <c r="Z34" s="290"/>
      <c r="AA34" s="290"/>
      <c r="AB34" s="290"/>
      <c r="AC34" s="290"/>
      <c r="AD34" s="290"/>
      <c r="AE34" s="290"/>
      <c r="AF34" s="290"/>
      <c r="AG34" s="290"/>
      <c r="AH34" s="290"/>
      <c r="AI34" s="290"/>
      <c r="AJ34" s="290"/>
      <c r="AK34" s="291"/>
    </row>
    <row r="35" spans="1:52" x14ac:dyDescent="0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14"/>
      <c r="L35" s="14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R35" s="61"/>
    </row>
    <row r="36" spans="1:52" x14ac:dyDescent="0.25">
      <c r="A36" s="70"/>
      <c r="B36" s="70"/>
      <c r="C36" s="70"/>
      <c r="D36" s="70"/>
      <c r="E36" s="70"/>
      <c r="F36" s="70"/>
      <c r="G36" s="70"/>
      <c r="H36" s="70"/>
      <c r="I36" s="70"/>
      <c r="J36" s="70"/>
      <c r="K36" s="14"/>
      <c r="L36" s="14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/>
      <c r="AA36" s="56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O36" s="65"/>
      <c r="AP36" s="128"/>
      <c r="AQ36" s="65"/>
      <c r="AR36" s="50"/>
      <c r="AS36" s="71"/>
      <c r="AT36" s="71"/>
      <c r="AU36" s="61"/>
    </row>
    <row r="37" spans="1:52" x14ac:dyDescent="0.25">
      <c r="A37" s="19" t="s">
        <v>118</v>
      </c>
      <c r="AN37" s="116"/>
      <c r="AO37" s="115"/>
      <c r="AP37" s="115"/>
      <c r="AQ37" s="115"/>
      <c r="AR37" s="61"/>
      <c r="AS37" s="71"/>
      <c r="AT37" s="71"/>
    </row>
    <row r="38" spans="1:52" x14ac:dyDescent="0.25">
      <c r="A38" s="223" t="s">
        <v>119</v>
      </c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5"/>
      <c r="M38" s="226" t="s">
        <v>79</v>
      </c>
      <c r="N38" s="227"/>
      <c r="O38" s="227"/>
      <c r="P38" s="227"/>
      <c r="Q38" s="227"/>
      <c r="R38" s="227"/>
      <c r="S38" s="227"/>
      <c r="T38" s="227"/>
      <c r="U38" s="227"/>
      <c r="V38" s="227"/>
      <c r="W38" s="228" t="s">
        <v>80</v>
      </c>
      <c r="X38" s="228"/>
      <c r="Y38" s="228"/>
      <c r="Z38" s="228"/>
      <c r="AA38" s="228"/>
      <c r="AB38" s="228" t="s">
        <v>81</v>
      </c>
      <c r="AC38" s="228"/>
      <c r="AD38" s="228"/>
      <c r="AE38" s="228"/>
      <c r="AF38" s="228"/>
      <c r="AG38" s="228"/>
      <c r="AH38" s="228" t="s">
        <v>82</v>
      </c>
      <c r="AI38" s="228"/>
      <c r="AJ38" s="228"/>
      <c r="AK38" s="228"/>
      <c r="AQ38" s="61"/>
      <c r="AR38" s="50"/>
      <c r="AS38" s="50"/>
      <c r="AT38" s="50"/>
    </row>
    <row r="39" spans="1:52" x14ac:dyDescent="0.25">
      <c r="A39" s="229">
        <v>1</v>
      </c>
      <c r="B39" s="230"/>
      <c r="C39" s="230"/>
      <c r="D39" s="230"/>
      <c r="E39" s="230"/>
      <c r="F39" s="230"/>
      <c r="G39" s="230"/>
      <c r="H39" s="230"/>
      <c r="I39" s="230"/>
      <c r="J39" s="230"/>
      <c r="K39" s="230"/>
      <c r="L39" s="231"/>
      <c r="M39" s="232">
        <v>2</v>
      </c>
      <c r="N39" s="233"/>
      <c r="O39" s="233"/>
      <c r="P39" s="233"/>
      <c r="Q39" s="233"/>
      <c r="R39" s="233"/>
      <c r="S39" s="233"/>
      <c r="T39" s="233"/>
      <c r="U39" s="233"/>
      <c r="V39" s="233"/>
      <c r="W39" s="234">
        <v>3</v>
      </c>
      <c r="X39" s="234"/>
      <c r="Y39" s="234"/>
      <c r="Z39" s="234"/>
      <c r="AA39" s="234"/>
      <c r="AB39" s="234">
        <v>4</v>
      </c>
      <c r="AC39" s="234"/>
      <c r="AD39" s="234"/>
      <c r="AE39" s="234"/>
      <c r="AF39" s="234"/>
      <c r="AG39" s="234"/>
      <c r="AH39" s="234">
        <v>5</v>
      </c>
      <c r="AI39" s="234"/>
      <c r="AJ39" s="234"/>
      <c r="AK39" s="234"/>
      <c r="AR39" s="61"/>
      <c r="AS39" s="61"/>
      <c r="AT39" s="61"/>
    </row>
    <row r="40" spans="1:52" x14ac:dyDescent="0.25">
      <c r="A40" s="258" t="s">
        <v>120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60"/>
      <c r="M40" s="221"/>
      <c r="N40" s="160"/>
      <c r="O40" s="160"/>
      <c r="P40" s="160"/>
      <c r="Q40" s="160"/>
      <c r="R40" s="160"/>
      <c r="S40" s="160"/>
      <c r="T40" s="160"/>
      <c r="U40" s="160"/>
      <c r="V40" s="160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  <c r="AR40" s="61"/>
      <c r="AS40" s="61"/>
      <c r="AT40" s="61"/>
    </row>
    <row r="41" spans="1:52" x14ac:dyDescent="0.25">
      <c r="A41" s="174" t="s">
        <v>121</v>
      </c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6"/>
      <c r="M41" s="221">
        <f>GETPIVOTDATA(" IGST Total",Import!$A$4)</f>
        <v>0</v>
      </c>
      <c r="N41" s="160"/>
      <c r="O41" s="160"/>
      <c r="P41" s="160"/>
      <c r="Q41" s="160"/>
      <c r="R41" s="160"/>
      <c r="S41" s="160"/>
      <c r="T41" s="160"/>
      <c r="U41" s="160"/>
      <c r="V41" s="160"/>
      <c r="W41" s="184">
        <f>GETPIVOTDATA(" SGST Total",Import!$A$4)</f>
        <v>145249.63999999998</v>
      </c>
      <c r="X41" s="184"/>
      <c r="Y41" s="184"/>
      <c r="Z41" s="184"/>
      <c r="AA41" s="184"/>
      <c r="AB41" s="184">
        <f>GETPIVOTDATA(" CGST Total",Import!$A$4)</f>
        <v>145249.63999999998</v>
      </c>
      <c r="AC41" s="184"/>
      <c r="AD41" s="184"/>
      <c r="AE41" s="184"/>
      <c r="AF41" s="184"/>
      <c r="AG41" s="184"/>
      <c r="AH41" s="184"/>
      <c r="AI41" s="184"/>
      <c r="AJ41" s="184"/>
      <c r="AK41" s="184"/>
      <c r="AM41" s="116"/>
      <c r="AR41" s="61"/>
      <c r="AS41" s="61"/>
      <c r="AT41" s="61"/>
    </row>
    <row r="42" spans="1:52" x14ac:dyDescent="0.25">
      <c r="A42" s="174" t="s">
        <v>122</v>
      </c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6"/>
      <c r="M42" s="265"/>
      <c r="N42" s="266"/>
      <c r="O42" s="266"/>
      <c r="P42" s="266"/>
      <c r="Q42" s="266"/>
      <c r="R42" s="266"/>
      <c r="S42" s="266"/>
      <c r="T42" s="266"/>
      <c r="U42" s="266"/>
      <c r="V42" s="266"/>
      <c r="W42" s="264"/>
      <c r="X42" s="264"/>
      <c r="Y42" s="264"/>
      <c r="Z42" s="264"/>
      <c r="AA42" s="264"/>
      <c r="AB42" s="264"/>
      <c r="AC42" s="264"/>
      <c r="AD42" s="264"/>
      <c r="AE42" s="264"/>
      <c r="AF42" s="264"/>
      <c r="AG42" s="264"/>
      <c r="AH42" s="264"/>
      <c r="AI42" s="264"/>
      <c r="AJ42" s="264"/>
      <c r="AK42" s="264"/>
      <c r="AL42" s="41"/>
      <c r="AQ42" s="7"/>
      <c r="AR42" s="7"/>
      <c r="AS42" s="50"/>
    </row>
    <row r="43" spans="1:52" x14ac:dyDescent="0.25">
      <c r="A43" s="174" t="s">
        <v>123</v>
      </c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6"/>
      <c r="M43" s="279">
        <f>S20</f>
        <v>268</v>
      </c>
      <c r="N43" s="280"/>
      <c r="O43" s="280"/>
      <c r="P43" s="280"/>
      <c r="Q43" s="280"/>
      <c r="R43" s="280"/>
      <c r="S43" s="280"/>
      <c r="T43" s="280"/>
      <c r="U43" s="280"/>
      <c r="V43" s="280"/>
      <c r="W43" s="281">
        <f>Z20</f>
        <v>8435.93</v>
      </c>
      <c r="X43" s="281"/>
      <c r="Y43" s="281"/>
      <c r="Z43" s="281"/>
      <c r="AA43" s="281"/>
      <c r="AB43" s="281">
        <f>AD20</f>
        <v>8435.93</v>
      </c>
      <c r="AC43" s="281"/>
      <c r="AD43" s="281"/>
      <c r="AE43" s="281"/>
      <c r="AF43" s="281"/>
      <c r="AG43" s="281"/>
      <c r="AH43" s="282"/>
      <c r="AI43" s="282"/>
      <c r="AJ43" s="282"/>
      <c r="AK43" s="282"/>
      <c r="AL43" s="61"/>
      <c r="AM43" s="116">
        <f>M43</f>
        <v>268</v>
      </c>
      <c r="AN43" s="132">
        <f>W43</f>
        <v>8435.93</v>
      </c>
      <c r="AO43" s="116">
        <f>AB43</f>
        <v>8435.93</v>
      </c>
      <c r="AP43" s="132"/>
      <c r="AQ43" s="132"/>
      <c r="AR43" s="73"/>
      <c r="AS43" s="132"/>
      <c r="AT43" s="132"/>
      <c r="AU43" s="132"/>
      <c r="AV43" s="132"/>
      <c r="AX43" s="116"/>
      <c r="AY43" s="116"/>
      <c r="AZ43" s="116"/>
    </row>
    <row r="44" spans="1:52" x14ac:dyDescent="0.25">
      <c r="A44" s="174" t="s">
        <v>124</v>
      </c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6"/>
      <c r="M44" s="270"/>
      <c r="N44" s="271"/>
      <c r="O44" s="271"/>
      <c r="P44" s="271"/>
      <c r="Q44" s="271"/>
      <c r="R44" s="271"/>
      <c r="S44" s="271"/>
      <c r="T44" s="271"/>
      <c r="U44" s="271"/>
      <c r="V44" s="271"/>
      <c r="W44" s="272"/>
      <c r="X44" s="272"/>
      <c r="Y44" s="272"/>
      <c r="Z44" s="272"/>
      <c r="AA44" s="272"/>
      <c r="AB44" s="272"/>
      <c r="AC44" s="272"/>
      <c r="AD44" s="272"/>
      <c r="AE44" s="272"/>
      <c r="AF44" s="272"/>
      <c r="AG44" s="272"/>
      <c r="AH44" s="184"/>
      <c r="AI44" s="184"/>
      <c r="AJ44" s="184"/>
      <c r="AK44" s="184"/>
      <c r="AM44" s="61"/>
      <c r="AN44" s="72"/>
      <c r="AO44" s="72"/>
      <c r="AP44" s="72"/>
      <c r="AQ44" s="72"/>
      <c r="AR44" s="74"/>
      <c r="AS44" s="72"/>
      <c r="AT44" s="72"/>
      <c r="AU44" s="72"/>
      <c r="AV44" s="72"/>
      <c r="AW44" s="72"/>
    </row>
    <row r="45" spans="1:52" x14ac:dyDescent="0.25">
      <c r="A45" s="174" t="s">
        <v>125</v>
      </c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6"/>
      <c r="M45" s="273">
        <f>GETPIVOTDATA(" IGST Total",Input!$A$4)</f>
        <v>11970125.059999999</v>
      </c>
      <c r="N45" s="274"/>
      <c r="O45" s="274"/>
      <c r="P45" s="274"/>
      <c r="Q45" s="274"/>
      <c r="R45" s="274"/>
      <c r="S45" s="274"/>
      <c r="T45" s="274"/>
      <c r="U45" s="274"/>
      <c r="V45" s="274"/>
      <c r="W45" s="275">
        <f>GETPIVOTDATA(" SGST Total",Input!$A$4)</f>
        <v>2164335.1700000004</v>
      </c>
      <c r="X45" s="275"/>
      <c r="Y45" s="275"/>
      <c r="Z45" s="275"/>
      <c r="AA45" s="275"/>
      <c r="AB45" s="275">
        <f>GETPIVOTDATA(" CGST Total",Input!$A$4)</f>
        <v>2164335.1700000004</v>
      </c>
      <c r="AC45" s="275"/>
      <c r="AD45" s="275"/>
      <c r="AE45" s="275"/>
      <c r="AF45" s="275"/>
      <c r="AG45" s="275"/>
      <c r="AH45" s="264"/>
      <c r="AI45" s="264"/>
      <c r="AJ45" s="264"/>
      <c r="AK45" s="264"/>
      <c r="AL45" s="61"/>
      <c r="AM45" s="116">
        <f>M45</f>
        <v>11970125.059999999</v>
      </c>
      <c r="AN45" s="132">
        <f>W45</f>
        <v>2164335.1700000004</v>
      </c>
      <c r="AO45" s="116">
        <f>AB45</f>
        <v>2164335.1700000004</v>
      </c>
      <c r="AP45" s="132"/>
      <c r="AQ45" s="132"/>
      <c r="AR45" s="74"/>
      <c r="AS45" s="132"/>
      <c r="AT45" s="132"/>
      <c r="AU45" s="132"/>
      <c r="AV45" s="74"/>
      <c r="AX45" s="61"/>
      <c r="AY45" s="116"/>
      <c r="AZ45" s="116"/>
    </row>
    <row r="46" spans="1:52" x14ac:dyDescent="0.25">
      <c r="A46" s="276" t="s">
        <v>126</v>
      </c>
      <c r="B46" s="277"/>
      <c r="C46" s="277"/>
      <c r="D46" s="277"/>
      <c r="E46" s="277"/>
      <c r="F46" s="277"/>
      <c r="G46" s="277"/>
      <c r="H46" s="277"/>
      <c r="I46" s="277"/>
      <c r="J46" s="277"/>
      <c r="K46" s="277"/>
      <c r="L46" s="278"/>
      <c r="M46" s="270"/>
      <c r="N46" s="271"/>
      <c r="O46" s="271"/>
      <c r="P46" s="271"/>
      <c r="Q46" s="271"/>
      <c r="R46" s="271"/>
      <c r="S46" s="271"/>
      <c r="T46" s="271"/>
      <c r="U46" s="271"/>
      <c r="V46" s="271"/>
      <c r="W46" s="272"/>
      <c r="X46" s="272"/>
      <c r="Y46" s="272"/>
      <c r="Z46" s="272"/>
      <c r="AA46" s="272"/>
      <c r="AB46" s="272"/>
      <c r="AC46" s="272"/>
      <c r="AD46" s="272"/>
      <c r="AE46" s="272"/>
      <c r="AF46" s="272"/>
      <c r="AG46" s="272"/>
      <c r="AH46" s="264"/>
      <c r="AI46" s="264"/>
      <c r="AJ46" s="264"/>
      <c r="AK46" s="264"/>
      <c r="AL46" s="61"/>
      <c r="AM46" s="61"/>
      <c r="AO46" s="72"/>
      <c r="AP46" s="72"/>
      <c r="AQ46" s="72"/>
      <c r="AR46" s="75"/>
      <c r="AS46" s="72"/>
      <c r="AT46" s="72"/>
      <c r="AU46" s="74"/>
      <c r="AV46" s="74"/>
      <c r="AW46" s="72"/>
    </row>
    <row r="47" spans="1:52" x14ac:dyDescent="0.25">
      <c r="A47" s="267" t="s">
        <v>127</v>
      </c>
      <c r="B47" s="268"/>
      <c r="C47" s="268"/>
      <c r="D47" s="268"/>
      <c r="E47" s="268"/>
      <c r="F47" s="268"/>
      <c r="G47" s="268"/>
      <c r="H47" s="268"/>
      <c r="I47" s="268"/>
      <c r="J47" s="268"/>
      <c r="K47" s="268"/>
      <c r="L47" s="269"/>
      <c r="M47" s="270"/>
      <c r="N47" s="271"/>
      <c r="O47" s="271"/>
      <c r="P47" s="271"/>
      <c r="Q47" s="271"/>
      <c r="R47" s="271"/>
      <c r="S47" s="271"/>
      <c r="T47" s="271"/>
      <c r="U47" s="271"/>
      <c r="V47" s="271"/>
      <c r="W47" s="272"/>
      <c r="X47" s="272"/>
      <c r="Y47" s="272"/>
      <c r="Z47" s="272"/>
      <c r="AA47" s="272"/>
      <c r="AB47" s="272"/>
      <c r="AC47" s="272"/>
      <c r="AD47" s="272"/>
      <c r="AE47" s="272"/>
      <c r="AF47" s="272"/>
      <c r="AG47" s="272"/>
      <c r="AH47" s="264"/>
      <c r="AI47" s="264"/>
      <c r="AJ47" s="264"/>
      <c r="AK47" s="264"/>
      <c r="AM47" s="61"/>
      <c r="AN47" s="74"/>
      <c r="AO47" s="72"/>
      <c r="AP47" s="72"/>
      <c r="AQ47" s="72"/>
      <c r="AR47" s="72"/>
      <c r="AS47" s="72"/>
      <c r="AT47" s="72"/>
      <c r="AU47" s="74"/>
      <c r="AV47" s="72"/>
      <c r="AW47" s="72"/>
    </row>
    <row r="48" spans="1:52" x14ac:dyDescent="0.25">
      <c r="A48" s="267" t="s">
        <v>128</v>
      </c>
      <c r="B48" s="268"/>
      <c r="C48" s="268"/>
      <c r="D48" s="268"/>
      <c r="E48" s="268"/>
      <c r="F48" s="268"/>
      <c r="G48" s="268"/>
      <c r="H48" s="268"/>
      <c r="I48" s="268"/>
      <c r="J48" s="268"/>
      <c r="K48" s="268"/>
      <c r="L48" s="269"/>
      <c r="M48" s="270"/>
      <c r="N48" s="271"/>
      <c r="O48" s="271"/>
      <c r="P48" s="271"/>
      <c r="Q48" s="271"/>
      <c r="R48" s="271"/>
      <c r="S48" s="271"/>
      <c r="T48" s="271"/>
      <c r="U48" s="271"/>
      <c r="V48" s="271"/>
      <c r="W48" s="272"/>
      <c r="X48" s="272"/>
      <c r="Y48" s="272"/>
      <c r="Z48" s="272"/>
      <c r="AA48" s="272"/>
      <c r="AB48" s="272"/>
      <c r="AC48" s="272"/>
      <c r="AD48" s="272"/>
      <c r="AE48" s="272"/>
      <c r="AF48" s="272"/>
      <c r="AG48" s="272"/>
      <c r="AH48" s="264"/>
      <c r="AI48" s="264"/>
      <c r="AJ48" s="264"/>
      <c r="AK48" s="264"/>
      <c r="AM48" s="148"/>
      <c r="AN48" s="74"/>
      <c r="AO48" s="72"/>
      <c r="AP48" s="147"/>
      <c r="AQ48" s="74"/>
      <c r="AR48" s="132"/>
      <c r="AS48" s="72"/>
      <c r="AT48" s="72"/>
      <c r="AU48" s="72"/>
      <c r="AV48" s="72"/>
      <c r="AW48" s="72"/>
    </row>
    <row r="49" spans="1:52" x14ac:dyDescent="0.25">
      <c r="A49" s="258" t="s">
        <v>129</v>
      </c>
      <c r="B49" s="259"/>
      <c r="C49" s="259"/>
      <c r="D49" s="259"/>
      <c r="E49" s="259"/>
      <c r="F49" s="259"/>
      <c r="G49" s="259"/>
      <c r="H49" s="259"/>
      <c r="I49" s="259"/>
      <c r="J49" s="259"/>
      <c r="K49" s="259"/>
      <c r="L49" s="260"/>
      <c r="M49" s="261">
        <f>SUM(M41:P45)</f>
        <v>11970393.059999999</v>
      </c>
      <c r="N49" s="262"/>
      <c r="O49" s="262"/>
      <c r="P49" s="262"/>
      <c r="Q49" s="262"/>
      <c r="R49" s="262"/>
      <c r="S49" s="262"/>
      <c r="T49" s="262"/>
      <c r="U49" s="262"/>
      <c r="V49" s="262"/>
      <c r="W49" s="263">
        <f>SUM(W43:AA48)</f>
        <v>2172771.1000000006</v>
      </c>
      <c r="X49" s="263"/>
      <c r="Y49" s="263"/>
      <c r="Z49" s="263"/>
      <c r="AA49" s="263"/>
      <c r="AB49" s="263">
        <f>SUM(AB43:AG48)</f>
        <v>2172771.1000000006</v>
      </c>
      <c r="AC49" s="263"/>
      <c r="AD49" s="263"/>
      <c r="AE49" s="263"/>
      <c r="AF49" s="263"/>
      <c r="AG49" s="263"/>
      <c r="AH49" s="264"/>
      <c r="AI49" s="264"/>
      <c r="AJ49" s="264"/>
      <c r="AK49" s="264"/>
      <c r="AM49" s="146"/>
      <c r="AN49" s="146"/>
      <c r="AO49" s="146"/>
      <c r="AP49" s="72"/>
      <c r="AQ49" s="72"/>
      <c r="AR49" s="72"/>
      <c r="AS49" s="72"/>
      <c r="AT49" s="72"/>
      <c r="AU49" s="72"/>
      <c r="AV49" s="72"/>
      <c r="AW49" s="72"/>
      <c r="AZ49" s="50"/>
    </row>
    <row r="50" spans="1:52" x14ac:dyDescent="0.25">
      <c r="A50" s="258" t="s">
        <v>130</v>
      </c>
      <c r="B50" s="259"/>
      <c r="C50" s="259"/>
      <c r="D50" s="259"/>
      <c r="E50" s="259"/>
      <c r="F50" s="259"/>
      <c r="G50" s="259"/>
      <c r="H50" s="259"/>
      <c r="I50" s="259"/>
      <c r="J50" s="259"/>
      <c r="K50" s="259"/>
      <c r="L50" s="260"/>
      <c r="M50" s="265"/>
      <c r="N50" s="266"/>
      <c r="O50" s="266"/>
      <c r="P50" s="266"/>
      <c r="Q50" s="266"/>
      <c r="R50" s="266"/>
      <c r="S50" s="266"/>
      <c r="T50" s="266"/>
      <c r="U50" s="266"/>
      <c r="V50" s="266"/>
      <c r="W50" s="264"/>
      <c r="X50" s="264"/>
      <c r="Y50" s="264"/>
      <c r="Z50" s="264"/>
      <c r="AA50" s="264"/>
      <c r="AB50" s="264"/>
      <c r="AC50" s="264"/>
      <c r="AD50" s="264"/>
      <c r="AE50" s="264"/>
      <c r="AF50" s="264"/>
      <c r="AG50" s="264"/>
      <c r="AH50" s="184"/>
      <c r="AI50" s="184"/>
      <c r="AJ50" s="184"/>
      <c r="AK50" s="184"/>
      <c r="AM50" s="116"/>
      <c r="AN50" s="147"/>
      <c r="AO50" s="147"/>
      <c r="AP50" s="72"/>
      <c r="AQ50" s="72"/>
      <c r="AR50" s="74"/>
      <c r="AS50" s="74"/>
      <c r="AT50" s="74"/>
      <c r="AU50" s="72"/>
      <c r="AV50" s="72"/>
      <c r="AW50" s="72"/>
      <c r="AZ50" s="50"/>
    </row>
    <row r="51" spans="1:52" x14ac:dyDescent="0.25">
      <c r="A51" s="174" t="s">
        <v>131</v>
      </c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6"/>
      <c r="M51" s="221"/>
      <c r="N51" s="160"/>
      <c r="O51" s="160"/>
      <c r="P51" s="160"/>
      <c r="Q51" s="160"/>
      <c r="R51" s="160"/>
      <c r="S51" s="160"/>
      <c r="T51" s="160"/>
      <c r="U51" s="160"/>
      <c r="V51" s="160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  <c r="AN51" s="72"/>
      <c r="AO51" s="72"/>
      <c r="AP51" s="72"/>
      <c r="AQ51" s="72"/>
      <c r="AR51" s="74"/>
      <c r="AS51" s="72"/>
      <c r="AT51" s="72"/>
      <c r="AU51" s="72"/>
      <c r="AV51" s="72"/>
      <c r="AW51" s="72"/>
    </row>
    <row r="52" spans="1:52" x14ac:dyDescent="0.25">
      <c r="A52" s="174" t="s">
        <v>128</v>
      </c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6"/>
      <c r="M52" s="221"/>
      <c r="N52" s="160"/>
      <c r="O52" s="160"/>
      <c r="P52" s="160"/>
      <c r="Q52" s="160"/>
      <c r="R52" s="160"/>
      <c r="S52" s="160"/>
      <c r="T52" s="160"/>
      <c r="U52" s="160"/>
      <c r="V52" s="160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N52" s="72"/>
      <c r="AO52" s="72"/>
      <c r="AP52" s="72"/>
      <c r="AQ52" s="72"/>
      <c r="AR52" s="72"/>
      <c r="AS52" s="72"/>
      <c r="AT52" s="72"/>
      <c r="AU52" s="72"/>
      <c r="AV52" s="72"/>
      <c r="AW52" s="72"/>
    </row>
    <row r="53" spans="1:52" x14ac:dyDescent="0.25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N53" s="72"/>
      <c r="AO53" s="72"/>
      <c r="AP53" s="72"/>
      <c r="AQ53" s="72"/>
      <c r="AR53" s="72"/>
      <c r="AS53" s="72"/>
      <c r="AT53" s="72"/>
      <c r="AU53" s="72"/>
      <c r="AV53" s="72"/>
      <c r="AW53" s="72"/>
    </row>
    <row r="54" spans="1:52" x14ac:dyDescent="0.25">
      <c r="A54" s="76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N54" s="72"/>
      <c r="AO54" s="72"/>
      <c r="AP54" s="72"/>
      <c r="AQ54" s="72"/>
      <c r="AR54" s="72"/>
      <c r="AS54" s="72"/>
      <c r="AT54" s="72"/>
      <c r="AU54" s="72"/>
      <c r="AV54" s="72"/>
      <c r="AW54" s="72"/>
    </row>
    <row r="55" spans="1:52" x14ac:dyDescent="0.25">
      <c r="A55" s="19" t="s">
        <v>132</v>
      </c>
      <c r="AN55" s="72"/>
      <c r="AO55" s="72"/>
      <c r="AP55" s="72"/>
      <c r="AQ55" s="72"/>
      <c r="AR55" s="72"/>
      <c r="AS55" s="72"/>
      <c r="AT55" s="72"/>
      <c r="AU55" s="72"/>
      <c r="AV55" s="72"/>
      <c r="AW55" s="72"/>
    </row>
    <row r="56" spans="1:52" x14ac:dyDescent="0.25">
      <c r="A56" s="248" t="s">
        <v>133</v>
      </c>
      <c r="B56" s="249"/>
      <c r="C56" s="249"/>
      <c r="D56" s="249"/>
      <c r="E56" s="249"/>
      <c r="F56" s="249"/>
      <c r="G56" s="249"/>
      <c r="H56" s="249"/>
      <c r="I56" s="249"/>
      <c r="J56" s="249"/>
      <c r="K56" s="249"/>
      <c r="L56" s="249"/>
      <c r="M56" s="249"/>
      <c r="N56" s="249"/>
      <c r="O56" s="249"/>
      <c r="P56" s="250"/>
      <c r="Q56" s="21"/>
      <c r="R56" s="166" t="s">
        <v>134</v>
      </c>
      <c r="S56" s="166"/>
      <c r="T56" s="166"/>
      <c r="U56" s="166"/>
      <c r="V56" s="166"/>
      <c r="W56" s="166"/>
      <c r="X56" s="166"/>
      <c r="Y56" s="166"/>
      <c r="Z56" s="166"/>
      <c r="AA56" s="166"/>
      <c r="AB56" s="166"/>
      <c r="AC56" s="167"/>
      <c r="AD56" s="165" t="s">
        <v>135</v>
      </c>
      <c r="AE56" s="166"/>
      <c r="AF56" s="166"/>
      <c r="AG56" s="166"/>
      <c r="AH56" s="166"/>
      <c r="AI56" s="166"/>
      <c r="AJ56" s="166"/>
      <c r="AK56" s="167"/>
      <c r="AN56" s="72"/>
      <c r="AO56" s="72"/>
      <c r="AP56" s="72"/>
      <c r="AQ56" s="72"/>
      <c r="AR56" s="72"/>
      <c r="AS56" s="72"/>
      <c r="AT56" s="72"/>
      <c r="AU56" s="72"/>
      <c r="AV56" s="72"/>
      <c r="AW56" s="72"/>
    </row>
    <row r="57" spans="1:52" x14ac:dyDescent="0.25">
      <c r="A57" s="251"/>
      <c r="B57" s="252"/>
      <c r="C57" s="252"/>
      <c r="D57" s="252"/>
      <c r="E57" s="252"/>
      <c r="F57" s="252"/>
      <c r="G57" s="252"/>
      <c r="H57" s="252"/>
      <c r="I57" s="252"/>
      <c r="J57" s="252"/>
      <c r="K57" s="252"/>
      <c r="L57" s="252"/>
      <c r="M57" s="252"/>
      <c r="N57" s="252"/>
      <c r="O57" s="252"/>
      <c r="P57" s="253"/>
      <c r="Q57" s="33"/>
      <c r="R57" s="254"/>
      <c r="S57" s="243"/>
      <c r="T57" s="243"/>
      <c r="U57" s="243"/>
      <c r="V57" s="243"/>
      <c r="W57" s="243"/>
      <c r="X57" s="243"/>
      <c r="Y57" s="243"/>
      <c r="Z57" s="243"/>
      <c r="AA57" s="243"/>
      <c r="AB57" s="243"/>
      <c r="AC57" s="244"/>
      <c r="AD57" s="255">
        <v>3</v>
      </c>
      <c r="AE57" s="256"/>
      <c r="AF57" s="256"/>
      <c r="AG57" s="256"/>
      <c r="AH57" s="256"/>
      <c r="AI57" s="256"/>
      <c r="AJ57" s="256"/>
      <c r="AK57" s="257"/>
    </row>
    <row r="58" spans="1:52" x14ac:dyDescent="0.25">
      <c r="A58" s="235" t="s">
        <v>136</v>
      </c>
      <c r="B58" s="236"/>
      <c r="C58" s="236"/>
      <c r="D58" s="236"/>
      <c r="E58" s="236"/>
      <c r="F58" s="236"/>
      <c r="G58" s="236"/>
      <c r="H58" s="236"/>
      <c r="I58" s="236"/>
      <c r="J58" s="236"/>
      <c r="K58" s="236"/>
      <c r="L58" s="236"/>
      <c r="M58" s="236"/>
      <c r="N58" s="236"/>
      <c r="O58" s="236"/>
      <c r="P58" s="237"/>
      <c r="Q58" s="33"/>
      <c r="R58" s="238">
        <f>GETPIVOTDATA("Sum of Assbl. Val.",Exempt!$A$4)</f>
        <v>0</v>
      </c>
      <c r="S58" s="238"/>
      <c r="T58" s="238"/>
      <c r="U58" s="238"/>
      <c r="V58" s="238"/>
      <c r="W58" s="238"/>
      <c r="X58" s="238"/>
      <c r="Y58" s="238"/>
      <c r="Z58" s="238"/>
      <c r="AA58" s="238"/>
      <c r="AB58" s="238"/>
      <c r="AC58" s="238"/>
      <c r="AD58" s="239">
        <f>GETPIVOTDATA("Sum of Assbl. Val.",Exempt!$P$4)</f>
        <v>0</v>
      </c>
      <c r="AE58" s="239"/>
      <c r="AF58" s="239"/>
      <c r="AG58" s="239"/>
      <c r="AH58" s="239"/>
      <c r="AI58" s="239"/>
      <c r="AJ58" s="239"/>
      <c r="AK58" s="239"/>
    </row>
    <row r="59" spans="1:52" x14ac:dyDescent="0.25">
      <c r="A59" s="240" t="s">
        <v>137</v>
      </c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2"/>
      <c r="Q59" s="33"/>
      <c r="R59" s="243">
        <f>GETPIVOTDATA("Sum of Assbl. Val.",'NON GST'!$A$4)</f>
        <v>0</v>
      </c>
      <c r="S59" s="243"/>
      <c r="T59" s="243"/>
      <c r="U59" s="243"/>
      <c r="V59" s="243"/>
      <c r="W59" s="243"/>
      <c r="X59" s="243"/>
      <c r="Y59" s="243"/>
      <c r="Z59" s="243"/>
      <c r="AA59" s="243"/>
      <c r="AB59" s="243"/>
      <c r="AC59" s="244"/>
      <c r="AD59" s="245">
        <f>GETPIVOTDATA("Sum of Assbl. Val.",'NON GST'!$P$4)</f>
        <v>0</v>
      </c>
      <c r="AE59" s="246"/>
      <c r="AF59" s="246"/>
      <c r="AG59" s="246"/>
      <c r="AH59" s="246"/>
      <c r="AI59" s="246"/>
      <c r="AJ59" s="246"/>
      <c r="AK59" s="247"/>
      <c r="AL59" s="61"/>
      <c r="AM59" s="61"/>
      <c r="AN59" s="142"/>
      <c r="AO59" s="61"/>
    </row>
    <row r="60" spans="1:52" x14ac:dyDescent="0.25">
      <c r="A60" s="77"/>
      <c r="B60" s="77"/>
      <c r="C60" s="77"/>
      <c r="D60" s="77"/>
      <c r="E60" s="77"/>
      <c r="F60" s="77"/>
      <c r="G60" s="77"/>
      <c r="H60" s="77"/>
      <c r="I60" s="77"/>
      <c r="J60" s="77"/>
      <c r="K60" s="77"/>
      <c r="L60" s="77"/>
      <c r="M60" s="78"/>
      <c r="N60" s="78"/>
      <c r="O60" s="78"/>
      <c r="P60" s="78"/>
      <c r="Q60" s="55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11"/>
      <c r="AE60" s="111"/>
      <c r="AF60" s="111"/>
      <c r="AG60" s="111"/>
      <c r="AH60" s="111"/>
      <c r="AI60" s="111"/>
      <c r="AJ60" s="111"/>
      <c r="AK60" s="111"/>
    </row>
    <row r="61" spans="1:52" x14ac:dyDescent="0.25">
      <c r="A61" s="77"/>
      <c r="B61" s="77"/>
      <c r="C61" s="77"/>
      <c r="D61" s="77"/>
      <c r="E61" s="77"/>
      <c r="F61" s="77"/>
      <c r="G61" s="77"/>
      <c r="H61" s="77"/>
      <c r="I61" s="77"/>
      <c r="J61" s="77"/>
      <c r="K61" s="77"/>
      <c r="L61" s="77"/>
      <c r="M61" s="78"/>
      <c r="N61" s="78"/>
      <c r="O61" s="78"/>
      <c r="P61" s="78"/>
      <c r="Q61" s="55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56"/>
      <c r="AE61" s="56"/>
      <c r="AF61" s="56"/>
      <c r="AG61" s="56"/>
      <c r="AH61" s="56"/>
      <c r="AI61" s="56"/>
      <c r="AJ61" s="56"/>
      <c r="AK61" s="56"/>
      <c r="AL61" s="61"/>
      <c r="AM61" s="61"/>
    </row>
    <row r="62" spans="1:52" x14ac:dyDescent="0.25">
      <c r="A62" s="19" t="s">
        <v>138</v>
      </c>
      <c r="AL62" s="61"/>
    </row>
    <row r="63" spans="1:52" x14ac:dyDescent="0.25">
      <c r="A63" s="223" t="s">
        <v>60</v>
      </c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5"/>
      <c r="M63" s="226" t="s">
        <v>79</v>
      </c>
      <c r="N63" s="227"/>
      <c r="O63" s="227"/>
      <c r="P63" s="227"/>
      <c r="Q63" s="227"/>
      <c r="R63" s="227"/>
      <c r="S63" s="227"/>
      <c r="T63" s="227"/>
      <c r="U63" s="227"/>
      <c r="V63" s="227"/>
      <c r="W63" s="228" t="s">
        <v>80</v>
      </c>
      <c r="X63" s="228"/>
      <c r="Y63" s="228"/>
      <c r="Z63" s="228"/>
      <c r="AA63" s="228"/>
      <c r="AB63" s="228" t="s">
        <v>81</v>
      </c>
      <c r="AC63" s="228"/>
      <c r="AD63" s="228"/>
      <c r="AE63" s="228"/>
      <c r="AF63" s="228"/>
      <c r="AG63" s="228"/>
      <c r="AH63" s="228" t="s">
        <v>82</v>
      </c>
      <c r="AI63" s="228"/>
      <c r="AJ63" s="228"/>
      <c r="AK63" s="228"/>
      <c r="AM63" s="61"/>
    </row>
    <row r="64" spans="1:52" x14ac:dyDescent="0.25">
      <c r="A64" s="229">
        <v>1</v>
      </c>
      <c r="B64" s="230"/>
      <c r="C64" s="230"/>
      <c r="D64" s="230"/>
      <c r="E64" s="230"/>
      <c r="F64" s="230"/>
      <c r="G64" s="230"/>
      <c r="H64" s="230"/>
      <c r="I64" s="230"/>
      <c r="J64" s="230"/>
      <c r="K64" s="230"/>
      <c r="L64" s="231"/>
      <c r="M64" s="232">
        <v>2</v>
      </c>
      <c r="N64" s="233"/>
      <c r="O64" s="233"/>
      <c r="P64" s="233"/>
      <c r="Q64" s="233"/>
      <c r="R64" s="233"/>
      <c r="S64" s="233"/>
      <c r="T64" s="233"/>
      <c r="U64" s="233"/>
      <c r="V64" s="233"/>
      <c r="W64" s="234">
        <v>3</v>
      </c>
      <c r="X64" s="234"/>
      <c r="Y64" s="234"/>
      <c r="Z64" s="234"/>
      <c r="AA64" s="234"/>
      <c r="AB64" s="234">
        <v>4</v>
      </c>
      <c r="AC64" s="234"/>
      <c r="AD64" s="234"/>
      <c r="AE64" s="234"/>
      <c r="AF64" s="234"/>
      <c r="AG64" s="234"/>
      <c r="AH64" s="234">
        <v>5</v>
      </c>
      <c r="AI64" s="234"/>
      <c r="AJ64" s="234"/>
      <c r="AK64" s="234"/>
    </row>
    <row r="65" spans="1:37" x14ac:dyDescent="0.25">
      <c r="A65" s="151" t="s">
        <v>139</v>
      </c>
      <c r="B65" s="152"/>
      <c r="C65" s="152"/>
      <c r="D65" s="152"/>
      <c r="E65" s="152"/>
      <c r="F65" s="152"/>
      <c r="G65" s="152"/>
      <c r="H65" s="152"/>
      <c r="I65" s="152"/>
      <c r="J65" s="152"/>
      <c r="K65" s="152"/>
      <c r="L65" s="153"/>
      <c r="M65" s="221"/>
      <c r="N65" s="160"/>
      <c r="O65" s="160"/>
      <c r="P65" s="160"/>
      <c r="Q65" s="160"/>
      <c r="R65" s="160"/>
      <c r="S65" s="160"/>
      <c r="T65" s="160"/>
      <c r="U65" s="160"/>
      <c r="V65" s="160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</row>
    <row r="66" spans="1:37" x14ac:dyDescent="0.25">
      <c r="A66" s="151" t="s">
        <v>140</v>
      </c>
      <c r="B66" s="152"/>
      <c r="C66" s="152"/>
      <c r="D66" s="152"/>
      <c r="E66" s="152"/>
      <c r="F66" s="152"/>
      <c r="G66" s="152"/>
      <c r="H66" s="152"/>
      <c r="I66" s="152"/>
      <c r="J66" s="152"/>
      <c r="K66" s="152"/>
      <c r="L66" s="153"/>
      <c r="M66" s="157"/>
      <c r="N66" s="158"/>
      <c r="O66" s="158"/>
      <c r="P66" s="158"/>
      <c r="Q66" s="158"/>
      <c r="R66" s="158"/>
      <c r="S66" s="158"/>
      <c r="T66" s="158"/>
      <c r="U66" s="158"/>
      <c r="V66" s="158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</row>
    <row r="67" spans="1:37" x14ac:dyDescent="0.25">
      <c r="A67" s="77"/>
      <c r="B67" s="77"/>
      <c r="C67" s="77"/>
      <c r="D67" s="77"/>
      <c r="E67" s="77"/>
      <c r="F67" s="77"/>
      <c r="G67" s="77"/>
      <c r="H67" s="77"/>
      <c r="I67" s="77"/>
      <c r="J67" s="77"/>
      <c r="K67" s="77"/>
      <c r="L67" s="77"/>
      <c r="M67" s="78"/>
      <c r="N67" s="78"/>
      <c r="O67" s="78"/>
      <c r="P67" s="78"/>
      <c r="Q67" s="55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56"/>
      <c r="AE67" s="56"/>
      <c r="AF67" s="56"/>
      <c r="AG67" s="56"/>
      <c r="AH67" s="56"/>
      <c r="AI67" s="56"/>
      <c r="AJ67" s="56"/>
      <c r="AK67" s="56"/>
    </row>
    <row r="68" spans="1:37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7"/>
      <c r="N68" s="17"/>
      <c r="O68" s="17"/>
      <c r="P68" s="17"/>
      <c r="Q68" s="17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</row>
    <row r="69" spans="1:37" x14ac:dyDescent="0.25">
      <c r="A69" s="19" t="s">
        <v>141</v>
      </c>
    </row>
    <row r="70" spans="1:37" x14ac:dyDescent="0.25">
      <c r="A70" s="202" t="s">
        <v>60</v>
      </c>
      <c r="B70" s="203"/>
      <c r="C70" s="203"/>
      <c r="D70" s="203"/>
      <c r="E70" s="203"/>
      <c r="F70" s="204"/>
      <c r="G70" s="202" t="s">
        <v>142</v>
      </c>
      <c r="H70" s="203"/>
      <c r="I70" s="203"/>
      <c r="J70" s="203"/>
      <c r="K70" s="208" t="s">
        <v>143</v>
      </c>
      <c r="L70" s="209"/>
      <c r="M70" s="209"/>
      <c r="N70" s="209"/>
      <c r="O70" s="209"/>
      <c r="P70" s="209"/>
      <c r="Q70" s="209"/>
      <c r="R70" s="209"/>
      <c r="S70" s="210"/>
      <c r="T70" s="79"/>
      <c r="U70" s="79"/>
      <c r="V70" s="211" t="s">
        <v>144</v>
      </c>
      <c r="W70" s="212"/>
      <c r="X70" s="212"/>
      <c r="Y70" s="213"/>
      <c r="Z70" s="79"/>
      <c r="AA70" s="79"/>
      <c r="AB70" s="211" t="s">
        <v>145</v>
      </c>
      <c r="AC70" s="212"/>
      <c r="AD70" s="213"/>
      <c r="AE70" s="217" t="s">
        <v>139</v>
      </c>
      <c r="AF70" s="217"/>
      <c r="AG70" s="217"/>
      <c r="AH70" s="218"/>
      <c r="AI70" s="191" t="s">
        <v>146</v>
      </c>
      <c r="AJ70" s="192"/>
      <c r="AK70" s="193"/>
    </row>
    <row r="71" spans="1:37" ht="28.5" x14ac:dyDescent="0.25">
      <c r="A71" s="205"/>
      <c r="B71" s="206"/>
      <c r="C71" s="206"/>
      <c r="D71" s="206"/>
      <c r="E71" s="206"/>
      <c r="F71" s="207"/>
      <c r="G71" s="205"/>
      <c r="H71" s="206"/>
      <c r="I71" s="206"/>
      <c r="J71" s="206"/>
      <c r="K71" s="80" t="s">
        <v>79</v>
      </c>
      <c r="L71" s="80" t="s">
        <v>80</v>
      </c>
      <c r="M71" s="197" t="s">
        <v>147</v>
      </c>
      <c r="N71" s="198"/>
      <c r="O71" s="198"/>
      <c r="P71" s="199"/>
      <c r="Q71" s="79"/>
      <c r="R71" s="79" t="s">
        <v>82</v>
      </c>
      <c r="S71" s="79" t="s">
        <v>82</v>
      </c>
      <c r="T71" s="79"/>
      <c r="U71" s="79"/>
      <c r="V71" s="214"/>
      <c r="W71" s="215"/>
      <c r="X71" s="215"/>
      <c r="Y71" s="216"/>
      <c r="Z71" s="81"/>
      <c r="AA71" s="81"/>
      <c r="AB71" s="214"/>
      <c r="AC71" s="215"/>
      <c r="AD71" s="216"/>
      <c r="AE71" s="219"/>
      <c r="AF71" s="219"/>
      <c r="AG71" s="219"/>
      <c r="AH71" s="220"/>
      <c r="AI71" s="194"/>
      <c r="AJ71" s="195"/>
      <c r="AK71" s="196"/>
    </row>
    <row r="72" spans="1:37" x14ac:dyDescent="0.25">
      <c r="A72" s="27">
        <v>1</v>
      </c>
      <c r="B72" s="28"/>
      <c r="C72" s="28"/>
      <c r="D72" s="28"/>
      <c r="E72" s="28"/>
      <c r="F72" s="82"/>
      <c r="G72" s="27">
        <v>2</v>
      </c>
      <c r="H72" s="28"/>
      <c r="I72" s="28"/>
      <c r="J72" s="82"/>
      <c r="K72" s="83">
        <v>3</v>
      </c>
      <c r="L72" s="83">
        <v>4</v>
      </c>
      <c r="M72" s="84"/>
      <c r="N72" s="85"/>
      <c r="O72" s="85"/>
      <c r="P72" s="85"/>
      <c r="Q72" s="86"/>
      <c r="R72" s="84">
        <v>6</v>
      </c>
      <c r="S72" s="87"/>
      <c r="T72" s="85"/>
      <c r="U72" s="88">
        <v>7</v>
      </c>
      <c r="V72" s="89"/>
      <c r="W72" s="90"/>
      <c r="X72" s="90"/>
      <c r="Y72" s="91"/>
      <c r="Z72" s="92"/>
      <c r="AA72" s="93"/>
      <c r="AB72" s="93"/>
      <c r="AC72" s="93"/>
      <c r="AD72" s="94"/>
      <c r="AE72" s="184"/>
      <c r="AF72" s="184"/>
      <c r="AG72" s="184"/>
      <c r="AH72" s="184"/>
      <c r="AI72" s="95">
        <v>10</v>
      </c>
      <c r="AJ72" s="96"/>
      <c r="AK72" s="97"/>
    </row>
    <row r="73" spans="1:37" x14ac:dyDescent="0.25">
      <c r="A73" s="174" t="s">
        <v>79</v>
      </c>
      <c r="B73" s="175"/>
      <c r="C73" s="175"/>
      <c r="D73" s="175"/>
      <c r="E73" s="175"/>
      <c r="F73" s="176"/>
      <c r="G73" s="177"/>
      <c r="H73" s="178"/>
      <c r="I73" s="178"/>
      <c r="J73" s="178"/>
      <c r="K73" s="98">
        <v>3831891.3299999991</v>
      </c>
      <c r="L73" s="98"/>
      <c r="M73" s="200"/>
      <c r="N73" s="201"/>
      <c r="O73" s="201"/>
      <c r="P73" s="201"/>
      <c r="Q73" s="99"/>
      <c r="R73" s="100"/>
      <c r="S73" s="48"/>
      <c r="T73" s="101"/>
      <c r="U73" s="48"/>
      <c r="V73" s="188"/>
      <c r="W73" s="189"/>
      <c r="X73" s="189"/>
      <c r="Y73" s="190"/>
      <c r="Z73" s="184"/>
      <c r="AA73" s="184"/>
      <c r="AB73" s="184"/>
      <c r="AC73" s="184"/>
      <c r="AD73" s="184"/>
      <c r="AE73" s="184"/>
      <c r="AF73" s="184"/>
      <c r="AG73" s="184"/>
      <c r="AH73" s="184"/>
      <c r="AI73" s="160"/>
      <c r="AJ73" s="160"/>
      <c r="AK73" s="161"/>
    </row>
    <row r="74" spans="1:37" x14ac:dyDescent="0.25">
      <c r="A74" s="174" t="s">
        <v>80</v>
      </c>
      <c r="B74" s="175"/>
      <c r="C74" s="175"/>
      <c r="D74" s="175"/>
      <c r="E74" s="175"/>
      <c r="F74" s="176"/>
      <c r="G74" s="185"/>
      <c r="H74" s="178"/>
      <c r="I74" s="178"/>
      <c r="J74" s="178"/>
      <c r="K74" s="98">
        <v>76680.315000000002</v>
      </c>
      <c r="L74" s="98"/>
      <c r="M74" s="188"/>
      <c r="N74" s="189"/>
      <c r="O74" s="189"/>
      <c r="P74" s="190"/>
      <c r="Q74" s="99"/>
      <c r="R74" s="100"/>
      <c r="S74" s="48"/>
      <c r="T74" s="101"/>
      <c r="U74" s="48"/>
      <c r="V74" s="188"/>
      <c r="W74" s="189"/>
      <c r="X74" s="189"/>
      <c r="Y74" s="190"/>
      <c r="Z74" s="184"/>
      <c r="AA74" s="184"/>
      <c r="AB74" s="184"/>
      <c r="AC74" s="184"/>
      <c r="AD74" s="184"/>
      <c r="AE74" s="184"/>
      <c r="AF74" s="184"/>
      <c r="AG74" s="184"/>
      <c r="AH74" s="184"/>
      <c r="AI74" s="160"/>
      <c r="AJ74" s="160"/>
      <c r="AK74" s="161"/>
    </row>
    <row r="75" spans="1:37" x14ac:dyDescent="0.25">
      <c r="A75" s="174" t="s">
        <v>81</v>
      </c>
      <c r="B75" s="175"/>
      <c r="C75" s="175"/>
      <c r="D75" s="175"/>
      <c r="E75" s="175"/>
      <c r="F75" s="176"/>
      <c r="G75" s="185"/>
      <c r="H75" s="178"/>
      <c r="I75" s="178"/>
      <c r="J75" s="178"/>
      <c r="K75" s="98">
        <v>76680.315000000002</v>
      </c>
      <c r="L75" s="102"/>
      <c r="M75" s="186"/>
      <c r="N75" s="187"/>
      <c r="O75" s="187"/>
      <c r="P75" s="187"/>
      <c r="Q75" s="99"/>
      <c r="R75" s="100"/>
      <c r="S75" s="48"/>
      <c r="T75" s="101"/>
      <c r="U75" s="48"/>
      <c r="V75" s="188"/>
      <c r="W75" s="189"/>
      <c r="X75" s="189"/>
      <c r="Y75" s="190"/>
      <c r="Z75" s="184"/>
      <c r="AA75" s="184"/>
      <c r="AB75" s="184"/>
      <c r="AC75" s="184"/>
      <c r="AD75" s="184"/>
      <c r="AE75" s="184"/>
      <c r="AF75" s="184"/>
      <c r="AG75" s="184"/>
      <c r="AH75" s="184"/>
      <c r="AI75" s="160"/>
      <c r="AJ75" s="160"/>
      <c r="AK75" s="161"/>
    </row>
    <row r="76" spans="1:37" x14ac:dyDescent="0.25">
      <c r="A76" s="174" t="s">
        <v>82</v>
      </c>
      <c r="B76" s="175"/>
      <c r="C76" s="175"/>
      <c r="D76" s="175"/>
      <c r="E76" s="175"/>
      <c r="F76" s="176"/>
      <c r="G76" s="177"/>
      <c r="H76" s="178"/>
      <c r="I76" s="178"/>
      <c r="J76" s="178"/>
      <c r="K76" s="102"/>
      <c r="L76" s="102"/>
      <c r="M76" s="179"/>
      <c r="N76" s="180"/>
      <c r="O76" s="180"/>
      <c r="P76" s="180"/>
      <c r="Q76" s="99"/>
      <c r="R76" s="100"/>
      <c r="S76" s="103"/>
      <c r="T76" s="101"/>
      <c r="U76" s="48"/>
      <c r="V76" s="181"/>
      <c r="W76" s="182"/>
      <c r="X76" s="182"/>
      <c r="Y76" s="183"/>
      <c r="Z76" s="184"/>
      <c r="AA76" s="184"/>
      <c r="AB76" s="184"/>
      <c r="AC76" s="184"/>
      <c r="AD76" s="184"/>
      <c r="AE76" s="184"/>
      <c r="AF76" s="184"/>
      <c r="AG76" s="184"/>
      <c r="AH76" s="184"/>
      <c r="AI76" s="160"/>
      <c r="AJ76" s="160"/>
      <c r="AK76" s="161"/>
    </row>
    <row r="77" spans="1:37" x14ac:dyDescent="0.25">
      <c r="A77" s="76"/>
      <c r="B77" s="76"/>
      <c r="C77" s="76"/>
      <c r="D77" s="76"/>
      <c r="E77" s="76"/>
      <c r="F77" s="76"/>
      <c r="G77" s="14"/>
      <c r="H77" s="14"/>
      <c r="I77" s="14"/>
      <c r="J77" s="14"/>
      <c r="K77" s="14"/>
      <c r="L77" s="14"/>
      <c r="M77" s="104"/>
      <c r="N77" s="104"/>
      <c r="O77" s="104"/>
      <c r="P77" s="104"/>
      <c r="Q77" s="104"/>
      <c r="R77" s="104"/>
      <c r="S77" s="104"/>
      <c r="T77" s="104"/>
      <c r="U77" s="104"/>
      <c r="V77" s="105"/>
      <c r="W77" s="105"/>
      <c r="X77" s="105"/>
      <c r="Y77" s="105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</row>
    <row r="78" spans="1:37" x14ac:dyDescent="0.25">
      <c r="A78" s="76"/>
      <c r="B78" s="76"/>
      <c r="C78" s="76"/>
      <c r="D78" s="76"/>
      <c r="E78" s="76"/>
      <c r="F78" s="76"/>
      <c r="G78" s="14"/>
      <c r="H78" s="14"/>
      <c r="I78" s="14"/>
      <c r="J78" s="14"/>
      <c r="K78" s="14"/>
      <c r="L78" s="14"/>
      <c r="M78" s="104"/>
      <c r="N78" s="104"/>
      <c r="O78" s="104"/>
      <c r="P78" s="104"/>
      <c r="Q78" s="104"/>
      <c r="R78" s="104"/>
      <c r="S78" s="104"/>
      <c r="T78" s="104"/>
      <c r="U78" s="104"/>
      <c r="V78" s="105"/>
      <c r="W78" s="105"/>
      <c r="X78" s="105"/>
      <c r="Y78" s="105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</row>
    <row r="79" spans="1:37" x14ac:dyDescent="0.25">
      <c r="A79" s="76"/>
      <c r="B79" s="76"/>
      <c r="C79" s="76"/>
      <c r="D79" s="76"/>
      <c r="E79" s="76"/>
      <c r="F79" s="76"/>
      <c r="G79" s="14"/>
      <c r="H79" s="14"/>
      <c r="I79" s="14"/>
      <c r="J79" s="14"/>
      <c r="K79" s="14"/>
      <c r="L79" s="14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</row>
    <row r="80" spans="1:37" x14ac:dyDescent="0.25">
      <c r="A80" s="64" t="s">
        <v>148</v>
      </c>
    </row>
    <row r="81" spans="1:37" x14ac:dyDescent="0.25">
      <c r="A81" s="162" t="s">
        <v>119</v>
      </c>
      <c r="B81" s="163"/>
      <c r="C81" s="163"/>
      <c r="D81" s="163"/>
      <c r="E81" s="163"/>
      <c r="F81" s="163"/>
      <c r="G81" s="163"/>
      <c r="H81" s="163"/>
      <c r="I81" s="164"/>
      <c r="J81" s="162" t="s">
        <v>79</v>
      </c>
      <c r="K81" s="163"/>
      <c r="L81" s="163"/>
      <c r="M81" s="163"/>
      <c r="N81" s="163"/>
      <c r="O81" s="163"/>
      <c r="P81" s="164"/>
      <c r="Q81" s="165" t="s">
        <v>80</v>
      </c>
      <c r="R81" s="166"/>
      <c r="S81" s="166"/>
      <c r="T81" s="166"/>
      <c r="U81" s="166"/>
      <c r="V81" s="166"/>
      <c r="W81" s="166"/>
      <c r="X81" s="166"/>
      <c r="Y81" s="166"/>
      <c r="Z81" s="166"/>
      <c r="AA81" s="166"/>
      <c r="AB81" s="167"/>
      <c r="AC81" s="165" t="s">
        <v>149</v>
      </c>
      <c r="AD81" s="166"/>
      <c r="AE81" s="166"/>
      <c r="AF81" s="166"/>
      <c r="AG81" s="166"/>
      <c r="AH81" s="166"/>
      <c r="AI81" s="166"/>
      <c r="AJ81" s="166"/>
      <c r="AK81" s="167"/>
    </row>
    <row r="82" spans="1:37" x14ac:dyDescent="0.25">
      <c r="A82" s="168">
        <v>1</v>
      </c>
      <c r="B82" s="169"/>
      <c r="C82" s="169"/>
      <c r="D82" s="169"/>
      <c r="E82" s="169"/>
      <c r="F82" s="169"/>
      <c r="G82" s="169"/>
      <c r="H82" s="169"/>
      <c r="I82" s="170"/>
      <c r="J82" s="168">
        <v>2</v>
      </c>
      <c r="K82" s="169"/>
      <c r="L82" s="169"/>
      <c r="M82" s="169"/>
      <c r="N82" s="169"/>
      <c r="O82" s="169"/>
      <c r="P82" s="170"/>
      <c r="Q82" s="171">
        <v>4</v>
      </c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3"/>
      <c r="AC82" s="171">
        <v>4</v>
      </c>
      <c r="AD82" s="172"/>
      <c r="AE82" s="172"/>
      <c r="AF82" s="172"/>
      <c r="AG82" s="172"/>
      <c r="AH82" s="172"/>
      <c r="AI82" s="172"/>
      <c r="AJ82" s="172"/>
      <c r="AK82" s="173"/>
    </row>
    <row r="83" spans="1:37" x14ac:dyDescent="0.25">
      <c r="A83" s="151" t="s">
        <v>150</v>
      </c>
      <c r="B83" s="152"/>
      <c r="C83" s="152"/>
      <c r="D83" s="152"/>
      <c r="E83" s="152"/>
      <c r="F83" s="152"/>
      <c r="G83" s="152"/>
      <c r="H83" s="152"/>
      <c r="I83" s="153"/>
      <c r="J83" s="154"/>
      <c r="K83" s="155"/>
      <c r="L83" s="155"/>
      <c r="M83" s="155"/>
      <c r="N83" s="155"/>
      <c r="O83" s="155"/>
      <c r="P83" s="156"/>
      <c r="Q83" s="157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9"/>
      <c r="AC83" s="157"/>
      <c r="AD83" s="158"/>
      <c r="AE83" s="158"/>
      <c r="AF83" s="158"/>
      <c r="AG83" s="158"/>
      <c r="AH83" s="158"/>
      <c r="AI83" s="158"/>
      <c r="AJ83" s="158"/>
      <c r="AK83" s="159"/>
    </row>
    <row r="84" spans="1:37" x14ac:dyDescent="0.25">
      <c r="A84" s="151" t="s">
        <v>151</v>
      </c>
      <c r="B84" s="152"/>
      <c r="C84" s="152"/>
      <c r="D84" s="152"/>
      <c r="E84" s="152"/>
      <c r="F84" s="152"/>
      <c r="G84" s="152"/>
      <c r="H84" s="152"/>
      <c r="I84" s="153"/>
      <c r="J84" s="154"/>
      <c r="K84" s="155"/>
      <c r="L84" s="155"/>
      <c r="M84" s="155"/>
      <c r="N84" s="155"/>
      <c r="O84" s="155"/>
      <c r="P84" s="156"/>
      <c r="Q84" s="157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9"/>
      <c r="AC84" s="157"/>
      <c r="AD84" s="158"/>
      <c r="AE84" s="158"/>
      <c r="AF84" s="158"/>
      <c r="AG84" s="158"/>
      <c r="AH84" s="158"/>
      <c r="AI84" s="158"/>
      <c r="AJ84" s="158"/>
      <c r="AK84" s="159"/>
    </row>
    <row r="85" spans="1:37" x14ac:dyDescent="0.25">
      <c r="A85" s="16"/>
      <c r="B85" s="16"/>
      <c r="C85" s="16"/>
      <c r="D85" s="16"/>
      <c r="E85" s="16"/>
      <c r="F85" s="16"/>
      <c r="G85" s="16"/>
      <c r="H85" s="16"/>
      <c r="I85" s="16"/>
      <c r="J85" s="14"/>
      <c r="K85" s="14"/>
      <c r="L85" s="14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</row>
    <row r="87" spans="1:37" x14ac:dyDescent="0.25">
      <c r="A87" s="19" t="s">
        <v>152</v>
      </c>
      <c r="B87" s="106"/>
      <c r="C87" s="106"/>
      <c r="D87" s="106"/>
      <c r="E87" s="106"/>
      <c r="F87" s="106"/>
      <c r="G87" s="106"/>
      <c r="H87" s="106"/>
      <c r="I87" s="106"/>
      <c r="J87" s="106"/>
      <c r="K87" s="106"/>
      <c r="L87" s="106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</row>
    <row r="88" spans="1:37" x14ac:dyDescent="0.25">
      <c r="A88" s="108" t="s">
        <v>153</v>
      </c>
      <c r="B88" s="106"/>
      <c r="C88" s="106"/>
      <c r="D88" s="106"/>
      <c r="E88" s="106"/>
      <c r="F88" s="106"/>
      <c r="G88" s="106"/>
      <c r="H88" s="106"/>
      <c r="I88" s="106"/>
      <c r="J88" s="106"/>
      <c r="K88" s="106"/>
      <c r="L88" s="106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</row>
    <row r="89" spans="1:37" x14ac:dyDescent="0.25">
      <c r="A89" s="108" t="s">
        <v>154</v>
      </c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</row>
    <row r="90" spans="1:37" x14ac:dyDescent="0.25">
      <c r="A90" s="108"/>
      <c r="B90" s="106"/>
      <c r="C90" s="106"/>
      <c r="D90" s="106"/>
      <c r="E90" s="106"/>
      <c r="F90" s="106"/>
      <c r="G90" s="106"/>
      <c r="H90" s="106"/>
      <c r="I90" s="106"/>
      <c r="J90" s="106"/>
      <c r="K90" s="106"/>
      <c r="L90" s="106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</row>
    <row r="91" spans="1:37" x14ac:dyDescent="0.25">
      <c r="A91" s="19" t="s">
        <v>155</v>
      </c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</row>
    <row r="92" spans="1:37" x14ac:dyDescent="0.25">
      <c r="A92" s="108" t="s">
        <v>156</v>
      </c>
      <c r="B92" s="106"/>
      <c r="C92" s="106"/>
      <c r="D92" s="106"/>
      <c r="E92" s="106"/>
      <c r="F92" s="106"/>
      <c r="G92" s="106"/>
      <c r="H92" s="106"/>
      <c r="I92" s="106"/>
      <c r="J92" s="106"/>
      <c r="K92" s="106"/>
      <c r="L92" s="106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</row>
    <row r="93" spans="1:37" x14ac:dyDescent="0.25">
      <c r="A93" s="108" t="s">
        <v>157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</row>
    <row r="94" spans="1:37" x14ac:dyDescent="0.25">
      <c r="A94" s="108" t="s">
        <v>158</v>
      </c>
      <c r="B94" s="106"/>
      <c r="C94" s="106"/>
      <c r="D94" s="106"/>
      <c r="E94" s="106"/>
      <c r="F94" s="106"/>
      <c r="G94" s="106"/>
      <c r="H94" s="106"/>
      <c r="I94" s="106"/>
      <c r="J94" s="106"/>
      <c r="K94" s="106"/>
      <c r="L94" s="106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</row>
    <row r="95" spans="1:37" x14ac:dyDescent="0.25">
      <c r="A95" s="108"/>
      <c r="B95" s="106"/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</row>
    <row r="96" spans="1:37" x14ac:dyDescent="0.25">
      <c r="A96" s="108" t="s">
        <v>159</v>
      </c>
      <c r="B96" s="106"/>
      <c r="C96" s="106"/>
      <c r="D96" s="106"/>
      <c r="E96" s="106"/>
      <c r="F96" s="106"/>
      <c r="G96" s="106"/>
      <c r="H96" s="106"/>
      <c r="I96" s="106"/>
      <c r="J96" s="106"/>
      <c r="K96" s="106"/>
      <c r="L96" s="106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</row>
    <row r="97" spans="1:37" x14ac:dyDescent="0.25">
      <c r="A97" s="108" t="s">
        <v>160</v>
      </c>
      <c r="B97" s="106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</row>
    <row r="98" spans="1:37" x14ac:dyDescent="0.25">
      <c r="A98" s="108"/>
      <c r="B98" s="106"/>
      <c r="C98" s="106"/>
      <c r="D98" s="106"/>
      <c r="E98" s="106"/>
      <c r="F98" s="106"/>
      <c r="G98" s="106"/>
      <c r="H98" s="106"/>
      <c r="I98" s="106"/>
      <c r="J98" s="106"/>
      <c r="K98" s="106"/>
      <c r="L98" s="106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</row>
    <row r="99" spans="1:37" x14ac:dyDescent="0.25">
      <c r="A99" s="108" t="s">
        <v>161</v>
      </c>
      <c r="B99" s="106"/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</row>
    <row r="100" spans="1:37" x14ac:dyDescent="0.25">
      <c r="A100" s="106"/>
      <c r="B100" s="106"/>
      <c r="C100" s="106"/>
      <c r="D100" s="106"/>
      <c r="E100" s="106"/>
      <c r="F100" s="106"/>
      <c r="G100" s="106"/>
      <c r="H100" s="106"/>
      <c r="I100" s="106"/>
      <c r="J100" s="106"/>
      <c r="K100" s="106"/>
      <c r="L100" s="106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K100" s="141" t="s">
        <v>192</v>
      </c>
    </row>
    <row r="101" spans="1:37" x14ac:dyDescent="0.25">
      <c r="A101" s="106"/>
      <c r="B101" s="106"/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</row>
  </sheetData>
  <mergeCells count="241">
    <mergeCell ref="A10:C10"/>
    <mergeCell ref="D10:N10"/>
    <mergeCell ref="O10:AK10"/>
    <mergeCell ref="A11:C11"/>
    <mergeCell ref="D11:N11"/>
    <mergeCell ref="O11:AK11"/>
    <mergeCell ref="A4:AK4"/>
    <mergeCell ref="K5:S5"/>
    <mergeCell ref="AC7:AF7"/>
    <mergeCell ref="AG7:AJ7"/>
    <mergeCell ref="AC8:AF8"/>
    <mergeCell ref="AG8:AJ8"/>
    <mergeCell ref="AN12:AT13"/>
    <mergeCell ref="AN14:AQ14"/>
    <mergeCell ref="A15:L15"/>
    <mergeCell ref="M15:P15"/>
    <mergeCell ref="S15:Y15"/>
    <mergeCell ref="Z15:AC15"/>
    <mergeCell ref="AD15:AJ15"/>
    <mergeCell ref="A18:L18"/>
    <mergeCell ref="M18:P18"/>
    <mergeCell ref="S18:Y18"/>
    <mergeCell ref="Z18:AC18"/>
    <mergeCell ref="AD18:AJ18"/>
    <mergeCell ref="S16:Y16"/>
    <mergeCell ref="AB16:AC16"/>
    <mergeCell ref="AD16:AJ16"/>
    <mergeCell ref="A17:L17"/>
    <mergeCell ref="M17:P17"/>
    <mergeCell ref="S17:Y17"/>
    <mergeCell ref="Z17:AC17"/>
    <mergeCell ref="AD17:AJ17"/>
    <mergeCell ref="S19:Y19"/>
    <mergeCell ref="Z19:AC19"/>
    <mergeCell ref="AD19:AJ19"/>
    <mergeCell ref="A22:L22"/>
    <mergeCell ref="M22:P22"/>
    <mergeCell ref="S22:Y22"/>
    <mergeCell ref="Z22:AC22"/>
    <mergeCell ref="AD22:AJ22"/>
    <mergeCell ref="A28:M28"/>
    <mergeCell ref="N28:X28"/>
    <mergeCell ref="Y28:AK28"/>
    <mergeCell ref="A20:L20"/>
    <mergeCell ref="M20:P20"/>
    <mergeCell ref="S20:Y20"/>
    <mergeCell ref="Z20:AC20"/>
    <mergeCell ref="AD20:AJ20"/>
    <mergeCell ref="A21:L21"/>
    <mergeCell ref="M21:P21"/>
    <mergeCell ref="S21:Y21"/>
    <mergeCell ref="Z21:AC21"/>
    <mergeCell ref="AD21:AJ21"/>
    <mergeCell ref="A19:L19"/>
    <mergeCell ref="M19:P19"/>
    <mergeCell ref="AN32:AQ33"/>
    <mergeCell ref="AR32:AT33"/>
    <mergeCell ref="A33:J33"/>
    <mergeCell ref="K33:M33"/>
    <mergeCell ref="N33:X33"/>
    <mergeCell ref="Y33:AK33"/>
    <mergeCell ref="A29:J29"/>
    <mergeCell ref="K29:M29"/>
    <mergeCell ref="N29:X29"/>
    <mergeCell ref="Y29:AK29"/>
    <mergeCell ref="N32:X32"/>
    <mergeCell ref="Y32:AK32"/>
    <mergeCell ref="A30:F30"/>
    <mergeCell ref="G30:M30"/>
    <mergeCell ref="A31:F31"/>
    <mergeCell ref="G31:M31"/>
    <mergeCell ref="A32:F32"/>
    <mergeCell ref="G32:M32"/>
    <mergeCell ref="N30:X30"/>
    <mergeCell ref="N31:X31"/>
    <mergeCell ref="Y30:AK30"/>
    <mergeCell ref="Y31:AK31"/>
    <mergeCell ref="A34:J34"/>
    <mergeCell ref="K34:M34"/>
    <mergeCell ref="N34:X34"/>
    <mergeCell ref="Y34:AK34"/>
    <mergeCell ref="A38:L38"/>
    <mergeCell ref="M38:V38"/>
    <mergeCell ref="W38:AA38"/>
    <mergeCell ref="AB38:AG38"/>
    <mergeCell ref="AH38:AK38"/>
    <mergeCell ref="A39:L39"/>
    <mergeCell ref="M39:V39"/>
    <mergeCell ref="W39:AA39"/>
    <mergeCell ref="AB39:AG39"/>
    <mergeCell ref="AH39:AK39"/>
    <mergeCell ref="A40:L40"/>
    <mergeCell ref="M40:V40"/>
    <mergeCell ref="W40:AA40"/>
    <mergeCell ref="AB40:AG40"/>
    <mergeCell ref="AH40:AK40"/>
    <mergeCell ref="A41:L41"/>
    <mergeCell ref="M41:V41"/>
    <mergeCell ref="W41:AA41"/>
    <mergeCell ref="AB41:AG41"/>
    <mergeCell ref="AH41:AK41"/>
    <mergeCell ref="A42:L42"/>
    <mergeCell ref="M42:V42"/>
    <mergeCell ref="W42:AA42"/>
    <mergeCell ref="AB42:AG42"/>
    <mergeCell ref="AH42:AK42"/>
    <mergeCell ref="A43:L43"/>
    <mergeCell ref="M43:V43"/>
    <mergeCell ref="W43:AA43"/>
    <mergeCell ref="AB43:AG43"/>
    <mergeCell ref="AH43:AK43"/>
    <mergeCell ref="A44:L44"/>
    <mergeCell ref="M44:V44"/>
    <mergeCell ref="W44:AA44"/>
    <mergeCell ref="AB44:AG44"/>
    <mergeCell ref="AH44:AK44"/>
    <mergeCell ref="A45:L45"/>
    <mergeCell ref="M45:V45"/>
    <mergeCell ref="W45:AA45"/>
    <mergeCell ref="AB45:AG45"/>
    <mergeCell ref="AH45:AK45"/>
    <mergeCell ref="A46:L46"/>
    <mergeCell ref="M46:V46"/>
    <mergeCell ref="W46:AA46"/>
    <mergeCell ref="AB46:AG46"/>
    <mergeCell ref="AH46:AK46"/>
    <mergeCell ref="A47:L47"/>
    <mergeCell ref="M47:V47"/>
    <mergeCell ref="W47:AA47"/>
    <mergeCell ref="AB47:AG47"/>
    <mergeCell ref="AH47:AK47"/>
    <mergeCell ref="A48:L48"/>
    <mergeCell ref="M48:V48"/>
    <mergeCell ref="W48:AA48"/>
    <mergeCell ref="AB48:AG48"/>
    <mergeCell ref="AH48:AK48"/>
    <mergeCell ref="A49:L49"/>
    <mergeCell ref="M49:V49"/>
    <mergeCell ref="W49:AA49"/>
    <mergeCell ref="AB49:AG49"/>
    <mergeCell ref="AH49:AK49"/>
    <mergeCell ref="A50:L50"/>
    <mergeCell ref="M50:V50"/>
    <mergeCell ref="W50:AA50"/>
    <mergeCell ref="AB50:AG50"/>
    <mergeCell ref="AH50:AK50"/>
    <mergeCell ref="A51:L51"/>
    <mergeCell ref="M51:V51"/>
    <mergeCell ref="W51:AA51"/>
    <mergeCell ref="AB51:AG51"/>
    <mergeCell ref="AH51:AK51"/>
    <mergeCell ref="A52:L52"/>
    <mergeCell ref="M52:V52"/>
    <mergeCell ref="W52:AA52"/>
    <mergeCell ref="AB52:AG52"/>
    <mergeCell ref="AH52:AK52"/>
    <mergeCell ref="A58:P58"/>
    <mergeCell ref="R58:AC58"/>
    <mergeCell ref="AD58:AK58"/>
    <mergeCell ref="A59:P59"/>
    <mergeCell ref="R59:AC59"/>
    <mergeCell ref="AD59:AK59"/>
    <mergeCell ref="A56:P56"/>
    <mergeCell ref="R56:AC56"/>
    <mergeCell ref="AD56:AK56"/>
    <mergeCell ref="A57:P57"/>
    <mergeCell ref="R57:AC57"/>
    <mergeCell ref="AD57:AK57"/>
    <mergeCell ref="A63:L63"/>
    <mergeCell ref="M63:V63"/>
    <mergeCell ref="W63:AA63"/>
    <mergeCell ref="AB63:AG63"/>
    <mergeCell ref="AH63:AK63"/>
    <mergeCell ref="A64:L64"/>
    <mergeCell ref="M64:V64"/>
    <mergeCell ref="W64:AA64"/>
    <mergeCell ref="AB64:AG64"/>
    <mergeCell ref="AH64:AK64"/>
    <mergeCell ref="A65:L65"/>
    <mergeCell ref="M65:V65"/>
    <mergeCell ref="W65:AA65"/>
    <mergeCell ref="AB65:AG65"/>
    <mergeCell ref="AH65:AK65"/>
    <mergeCell ref="A66:L66"/>
    <mergeCell ref="M66:V66"/>
    <mergeCell ref="W66:AA66"/>
    <mergeCell ref="AB66:AG66"/>
    <mergeCell ref="AH66:AK66"/>
    <mergeCell ref="AI70:AK71"/>
    <mergeCell ref="M71:P71"/>
    <mergeCell ref="AE72:AH72"/>
    <mergeCell ref="A73:F73"/>
    <mergeCell ref="G73:J73"/>
    <mergeCell ref="M73:P73"/>
    <mergeCell ref="V73:Y73"/>
    <mergeCell ref="Z73:AD73"/>
    <mergeCell ref="AE73:AH73"/>
    <mergeCell ref="AI73:AK73"/>
    <mergeCell ref="A70:F71"/>
    <mergeCell ref="G70:J71"/>
    <mergeCell ref="K70:S70"/>
    <mergeCell ref="V70:Y71"/>
    <mergeCell ref="AB70:AD71"/>
    <mergeCell ref="AE70:AH71"/>
    <mergeCell ref="AI74:AK74"/>
    <mergeCell ref="A75:F75"/>
    <mergeCell ref="G75:J75"/>
    <mergeCell ref="M75:P75"/>
    <mergeCell ref="V75:Y75"/>
    <mergeCell ref="Z75:AD75"/>
    <mergeCell ref="AE75:AH75"/>
    <mergeCell ref="AI75:AK75"/>
    <mergeCell ref="A74:F74"/>
    <mergeCell ref="G74:J74"/>
    <mergeCell ref="M74:P74"/>
    <mergeCell ref="V74:Y74"/>
    <mergeCell ref="Z74:AD74"/>
    <mergeCell ref="AE74:AH74"/>
    <mergeCell ref="A83:I83"/>
    <mergeCell ref="J83:P83"/>
    <mergeCell ref="Q83:AB83"/>
    <mergeCell ref="AC83:AK83"/>
    <mergeCell ref="A84:I84"/>
    <mergeCell ref="J84:P84"/>
    <mergeCell ref="Q84:AB84"/>
    <mergeCell ref="AC84:AK84"/>
    <mergeCell ref="AI76:AK76"/>
    <mergeCell ref="A81:I81"/>
    <mergeCell ref="J81:P81"/>
    <mergeCell ref="Q81:AB81"/>
    <mergeCell ref="AC81:AK81"/>
    <mergeCell ref="A82:I82"/>
    <mergeCell ref="J82:P82"/>
    <mergeCell ref="Q82:AB82"/>
    <mergeCell ref="AC82:AK82"/>
    <mergeCell ref="A76:F76"/>
    <mergeCell ref="G76:J76"/>
    <mergeCell ref="M76:P76"/>
    <mergeCell ref="V76:Y76"/>
    <mergeCell ref="Z76:AD76"/>
    <mergeCell ref="AE76:AH76"/>
  </mergeCells>
  <pageMargins left="0.23622047244094499" right="0.23622047244094499" top="0.26" bottom="0.22" header="0.31496062992126" footer="0.31496062992126"/>
  <pageSetup paperSize="9" scale="26" orientation="portrait" r:id="rId1"/>
  <colBreaks count="1" manualBreakCount="1">
    <brk id="37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mportData">
    <tabColor rgb="FF92D050"/>
  </sheetPr>
  <dimension ref="A1:N17"/>
  <sheetViews>
    <sheetView topLeftCell="D1" workbookViewId="0">
      <selection activeCell="B16" sqref="B16"/>
    </sheetView>
  </sheetViews>
  <sheetFormatPr defaultRowHeight="15" x14ac:dyDescent="0.25"/>
  <cols>
    <col min="1" max="1" width="11.28515625" customWidth="1"/>
    <col min="2" max="2" width="11" bestFit="1" customWidth="1"/>
    <col min="3" max="3" width="10.42578125" bestFit="1" customWidth="1"/>
    <col min="4" max="4" width="7.85546875" customWidth="1"/>
    <col min="5" max="5" width="31.7109375" customWidth="1"/>
    <col min="6" max="6" width="16.140625" bestFit="1" customWidth="1"/>
    <col min="7" max="7" width="10.7109375" bestFit="1" customWidth="1"/>
    <col min="8" max="8" width="16.85546875" bestFit="1" customWidth="1"/>
    <col min="9" max="9" width="10.7109375" bestFit="1" customWidth="1"/>
    <col min="10" max="10" width="10.85546875" bestFit="1" customWidth="1"/>
    <col min="11" max="11" width="10.28515625" bestFit="1" customWidth="1"/>
    <col min="12" max="12" width="15.42578125" customWidth="1"/>
    <col min="13" max="13" width="15.5703125" bestFit="1" customWidth="1"/>
    <col min="14" max="14" width="15" customWidth="1"/>
  </cols>
  <sheetData>
    <row r="1" spans="1:14" x14ac:dyDescent="0.25">
      <c r="A1" s="3" t="s">
        <v>51</v>
      </c>
      <c r="B1" t="s">
        <v>46</v>
      </c>
    </row>
    <row r="2" spans="1:14" x14ac:dyDescent="0.25">
      <c r="A2" s="3" t="s">
        <v>174</v>
      </c>
      <c r="B2" t="s">
        <v>8</v>
      </c>
    </row>
    <row r="4" spans="1:14" hidden="1" x14ac:dyDescent="0.25">
      <c r="H4" s="3" t="s">
        <v>52</v>
      </c>
    </row>
    <row r="5" spans="1:14" x14ac:dyDescent="0.25">
      <c r="A5" s="3" t="s">
        <v>0</v>
      </c>
      <c r="B5" s="3" t="s">
        <v>1</v>
      </c>
      <c r="C5" s="3" t="s">
        <v>2</v>
      </c>
      <c r="D5" s="3" t="s">
        <v>3</v>
      </c>
      <c r="E5" s="3" t="s">
        <v>4</v>
      </c>
      <c r="F5" s="3" t="s">
        <v>5</v>
      </c>
      <c r="G5" s="3" t="s">
        <v>6</v>
      </c>
      <c r="H5" t="s">
        <v>162</v>
      </c>
      <c r="I5" s="1" t="s">
        <v>53</v>
      </c>
      <c r="J5" s="1" t="s">
        <v>54</v>
      </c>
      <c r="K5" s="1" t="s">
        <v>55</v>
      </c>
      <c r="L5" s="1" t="s">
        <v>57</v>
      </c>
      <c r="M5" t="s">
        <v>56</v>
      </c>
      <c r="N5" s="1" t="s">
        <v>58</v>
      </c>
    </row>
    <row r="6" spans="1:14" x14ac:dyDescent="0.25">
      <c r="A6" s="1" t="s">
        <v>44</v>
      </c>
      <c r="B6" t="s">
        <v>332</v>
      </c>
      <c r="C6" s="150">
        <v>110</v>
      </c>
      <c r="D6" t="s">
        <v>201</v>
      </c>
      <c r="E6" t="s">
        <v>202</v>
      </c>
      <c r="F6" t="s">
        <v>521</v>
      </c>
      <c r="G6" s="150">
        <v>32880</v>
      </c>
      <c r="H6" s="2">
        <v>77000</v>
      </c>
      <c r="I6" s="2">
        <v>6930</v>
      </c>
      <c r="J6" s="2">
        <v>6930</v>
      </c>
      <c r="K6" s="2">
        <v>0</v>
      </c>
      <c r="L6" s="2">
        <v>0</v>
      </c>
      <c r="M6" s="2">
        <v>0</v>
      </c>
      <c r="N6" s="2">
        <v>0</v>
      </c>
    </row>
    <row r="7" spans="1:14" x14ac:dyDescent="0.25">
      <c r="A7" s="1" t="s">
        <v>44</v>
      </c>
      <c r="B7" t="s">
        <v>344</v>
      </c>
      <c r="C7" s="150">
        <v>111</v>
      </c>
      <c r="D7" t="s">
        <v>201</v>
      </c>
      <c r="E7" t="s">
        <v>202</v>
      </c>
      <c r="F7" t="s">
        <v>527</v>
      </c>
      <c r="G7" s="150">
        <v>32881</v>
      </c>
      <c r="H7" s="2">
        <v>48825</v>
      </c>
      <c r="I7" s="2">
        <v>4394.25</v>
      </c>
      <c r="J7" s="2">
        <v>4394.25</v>
      </c>
      <c r="K7" s="2">
        <v>0</v>
      </c>
      <c r="L7" s="2">
        <v>0</v>
      </c>
      <c r="M7" s="2">
        <v>0</v>
      </c>
      <c r="N7" s="2">
        <v>0</v>
      </c>
    </row>
    <row r="8" spans="1:14" x14ac:dyDescent="0.25">
      <c r="A8" s="1" t="s">
        <v>44</v>
      </c>
      <c r="B8" t="s">
        <v>346</v>
      </c>
      <c r="C8" s="150">
        <v>111</v>
      </c>
      <c r="D8" t="s">
        <v>201</v>
      </c>
      <c r="E8" t="s">
        <v>202</v>
      </c>
      <c r="F8" t="s">
        <v>528</v>
      </c>
      <c r="G8" s="150">
        <v>32881</v>
      </c>
      <c r="H8" s="2">
        <v>259490.12</v>
      </c>
      <c r="I8" s="2">
        <v>23354.11</v>
      </c>
      <c r="J8" s="2">
        <v>23354.11</v>
      </c>
      <c r="K8" s="2">
        <v>0</v>
      </c>
      <c r="L8" s="2">
        <v>0</v>
      </c>
      <c r="M8" s="2">
        <v>0</v>
      </c>
      <c r="N8" s="2">
        <v>0</v>
      </c>
    </row>
    <row r="9" spans="1:14" x14ac:dyDescent="0.25">
      <c r="A9" s="1" t="s">
        <v>44</v>
      </c>
      <c r="B9" t="s">
        <v>207</v>
      </c>
      <c r="C9" s="150">
        <v>111</v>
      </c>
      <c r="D9" t="s">
        <v>201</v>
      </c>
      <c r="E9" t="s">
        <v>202</v>
      </c>
      <c r="F9" t="s">
        <v>535</v>
      </c>
      <c r="G9" s="150">
        <v>32884</v>
      </c>
      <c r="H9" s="2">
        <v>145979.1</v>
      </c>
      <c r="I9" s="2">
        <v>13138.12</v>
      </c>
      <c r="J9" s="2">
        <v>13138.12</v>
      </c>
      <c r="K9" s="2">
        <v>0</v>
      </c>
      <c r="L9" s="2">
        <v>0</v>
      </c>
      <c r="M9" s="2">
        <v>0</v>
      </c>
      <c r="N9" s="2">
        <v>0</v>
      </c>
    </row>
    <row r="10" spans="1:14" x14ac:dyDescent="0.25">
      <c r="A10" s="1" t="s">
        <v>44</v>
      </c>
      <c r="B10" t="s">
        <v>381</v>
      </c>
      <c r="C10" s="150">
        <v>112</v>
      </c>
      <c r="D10" t="s">
        <v>201</v>
      </c>
      <c r="E10" t="s">
        <v>202</v>
      </c>
      <c r="F10" t="s">
        <v>545</v>
      </c>
      <c r="G10" s="150">
        <v>32885</v>
      </c>
      <c r="H10" s="2">
        <v>201966</v>
      </c>
      <c r="I10" s="2">
        <v>18176.939999999999</v>
      </c>
      <c r="J10" s="2">
        <v>18176.939999999999</v>
      </c>
      <c r="K10" s="2">
        <v>0</v>
      </c>
      <c r="L10" s="2">
        <v>0</v>
      </c>
      <c r="M10" s="2">
        <v>0</v>
      </c>
      <c r="N10" s="2">
        <v>0</v>
      </c>
    </row>
    <row r="11" spans="1:14" x14ac:dyDescent="0.25">
      <c r="A11" s="1" t="s">
        <v>44</v>
      </c>
      <c r="B11" t="s">
        <v>391</v>
      </c>
      <c r="C11" s="150">
        <v>112</v>
      </c>
      <c r="D11" t="s">
        <v>201</v>
      </c>
      <c r="E11" t="s">
        <v>202</v>
      </c>
      <c r="F11" t="s">
        <v>550</v>
      </c>
      <c r="G11" s="150">
        <v>32887</v>
      </c>
      <c r="H11" s="2">
        <v>107055</v>
      </c>
      <c r="I11" s="2">
        <v>9634.9500000000007</v>
      </c>
      <c r="J11" s="2">
        <v>9634.9500000000007</v>
      </c>
      <c r="K11" s="2">
        <v>0</v>
      </c>
      <c r="L11" s="2">
        <v>0</v>
      </c>
      <c r="M11" s="2">
        <v>0</v>
      </c>
      <c r="N11" s="2">
        <v>0</v>
      </c>
    </row>
    <row r="12" spans="1:14" x14ac:dyDescent="0.25">
      <c r="A12" s="1" t="s">
        <v>44</v>
      </c>
      <c r="B12" t="s">
        <v>395</v>
      </c>
      <c r="C12" s="150">
        <v>112</v>
      </c>
      <c r="D12" t="s">
        <v>201</v>
      </c>
      <c r="E12" t="s">
        <v>202</v>
      </c>
      <c r="F12" t="s">
        <v>552</v>
      </c>
      <c r="G12" s="150">
        <v>32888</v>
      </c>
      <c r="H12" s="2">
        <v>65043</v>
      </c>
      <c r="I12" s="2">
        <v>5853.87</v>
      </c>
      <c r="J12" s="2">
        <v>5853.87</v>
      </c>
      <c r="K12" s="2">
        <v>0</v>
      </c>
      <c r="L12" s="2">
        <v>0</v>
      </c>
      <c r="M12" s="2">
        <v>0</v>
      </c>
      <c r="N12" s="2">
        <v>0</v>
      </c>
    </row>
    <row r="13" spans="1:14" x14ac:dyDescent="0.25">
      <c r="A13" s="1" t="s">
        <v>44</v>
      </c>
      <c r="B13" t="s">
        <v>211</v>
      </c>
      <c r="C13" s="150">
        <v>112</v>
      </c>
      <c r="D13" t="s">
        <v>201</v>
      </c>
      <c r="E13" t="s">
        <v>202</v>
      </c>
      <c r="F13" t="s">
        <v>560</v>
      </c>
      <c r="G13" s="150">
        <v>32889</v>
      </c>
      <c r="H13" s="2">
        <v>65043</v>
      </c>
      <c r="I13" s="2">
        <v>5853.87</v>
      </c>
      <c r="J13" s="2">
        <v>5853.87</v>
      </c>
      <c r="K13" s="2">
        <v>0</v>
      </c>
      <c r="L13" s="2">
        <v>0</v>
      </c>
      <c r="M13" s="2">
        <v>0</v>
      </c>
      <c r="N13" s="2">
        <v>0</v>
      </c>
    </row>
    <row r="14" spans="1:14" x14ac:dyDescent="0.25">
      <c r="A14" s="1" t="s">
        <v>44</v>
      </c>
      <c r="B14" t="s">
        <v>612</v>
      </c>
      <c r="C14" s="150">
        <v>113</v>
      </c>
      <c r="D14" t="s">
        <v>201</v>
      </c>
      <c r="E14" t="s">
        <v>202</v>
      </c>
      <c r="F14" t="s">
        <v>613</v>
      </c>
      <c r="G14" s="150">
        <v>32891</v>
      </c>
      <c r="H14" s="2">
        <v>193000.68</v>
      </c>
      <c r="I14" s="2">
        <v>17370.060000000001</v>
      </c>
      <c r="J14" s="2">
        <v>17370.060000000001</v>
      </c>
      <c r="K14" s="2">
        <v>0</v>
      </c>
      <c r="L14" s="2">
        <v>0</v>
      </c>
      <c r="M14" s="2">
        <v>0</v>
      </c>
      <c r="N14" s="2">
        <v>0</v>
      </c>
    </row>
    <row r="15" spans="1:14" x14ac:dyDescent="0.25">
      <c r="A15" s="1" t="s">
        <v>44</v>
      </c>
      <c r="B15" t="s">
        <v>633</v>
      </c>
      <c r="C15" s="150">
        <v>121</v>
      </c>
      <c r="D15" t="s">
        <v>201</v>
      </c>
      <c r="E15" t="s">
        <v>202</v>
      </c>
      <c r="F15" t="s">
        <v>634</v>
      </c>
      <c r="G15" s="150">
        <v>32893</v>
      </c>
      <c r="H15" s="2">
        <v>179523</v>
      </c>
      <c r="I15" s="2">
        <v>16157.07</v>
      </c>
      <c r="J15" s="2">
        <v>16157.07</v>
      </c>
      <c r="K15" s="2">
        <v>0</v>
      </c>
      <c r="L15" s="2">
        <v>0</v>
      </c>
      <c r="M15" s="2">
        <v>0</v>
      </c>
      <c r="N15" s="2">
        <v>0</v>
      </c>
    </row>
    <row r="16" spans="1:14" x14ac:dyDescent="0.25">
      <c r="A16" s="1" t="s">
        <v>44</v>
      </c>
      <c r="B16" t="s">
        <v>647</v>
      </c>
      <c r="C16" s="150">
        <v>121</v>
      </c>
      <c r="D16" t="s">
        <v>201</v>
      </c>
      <c r="E16" t="s">
        <v>202</v>
      </c>
      <c r="F16" t="s">
        <v>648</v>
      </c>
      <c r="G16" s="150">
        <v>32896</v>
      </c>
      <c r="H16" s="2">
        <v>270960</v>
      </c>
      <c r="I16" s="2">
        <v>24386.400000000001</v>
      </c>
      <c r="J16" s="2">
        <v>24386.400000000001</v>
      </c>
      <c r="K16" s="2">
        <v>0</v>
      </c>
      <c r="L16" s="2">
        <v>0</v>
      </c>
      <c r="M16" s="2">
        <v>0</v>
      </c>
      <c r="N16" s="2">
        <v>0</v>
      </c>
    </row>
    <row r="17" spans="1:14" x14ac:dyDescent="0.25">
      <c r="A17" s="1" t="s">
        <v>59</v>
      </c>
      <c r="B17" s="1"/>
      <c r="C17" s="1"/>
      <c r="D17" s="1"/>
      <c r="E17" s="1"/>
      <c r="F17" s="1"/>
      <c r="G17" s="1"/>
      <c r="H17" s="2">
        <v>1613884.9</v>
      </c>
      <c r="I17" s="2">
        <v>145249.63999999998</v>
      </c>
      <c r="J17" s="2">
        <v>145249.63999999998</v>
      </c>
      <c r="K17" s="2">
        <v>0</v>
      </c>
      <c r="L17" s="2">
        <v>0</v>
      </c>
      <c r="M17" s="2">
        <v>0</v>
      </c>
      <c r="N17" s="2">
        <v>0</v>
      </c>
    </row>
  </sheetData>
  <pageMargins left="0.7" right="0.7" top="0.75" bottom="0.75" header="0.3" footer="0.3"/>
  <pageSetup paperSize="9"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urchase"/>
  <dimension ref="A1:AP329"/>
  <sheetViews>
    <sheetView topLeftCell="AH1" zoomScaleNormal="100" workbookViewId="0">
      <pane ySplit="1" topLeftCell="A2" activePane="bottomLeft" state="frozen"/>
      <selection activeCell="A14" sqref="A14"/>
      <selection pane="bottomLeft" activeCell="AP12" sqref="AP12:AP322"/>
    </sheetView>
  </sheetViews>
  <sheetFormatPr defaultRowHeight="15" x14ac:dyDescent="0.25"/>
  <cols>
    <col min="1" max="1" width="9.85546875" bestFit="1" customWidth="1"/>
    <col min="2" max="2" width="9" customWidth="1"/>
    <col min="3" max="3" width="9.7109375" customWidth="1"/>
    <col min="4" max="4" width="10.42578125" bestFit="1" customWidth="1"/>
    <col min="5" max="5" width="9.140625" customWidth="1"/>
    <col min="6" max="6" width="55.5703125" bestFit="1" customWidth="1"/>
    <col min="7" max="7" width="18.42578125" customWidth="1"/>
    <col min="8" max="8" width="10.42578125" bestFit="1" customWidth="1"/>
    <col min="9" max="9" width="8.85546875" customWidth="1"/>
    <col min="10" max="10" width="12.140625" bestFit="1" customWidth="1"/>
    <col min="11" max="11" width="10" customWidth="1"/>
    <col min="12" max="12" width="11" bestFit="1" customWidth="1"/>
    <col min="13" max="13" width="9.42578125" customWidth="1"/>
    <col min="14" max="14" width="19.140625" bestFit="1" customWidth="1"/>
    <col min="15" max="15" width="6.42578125" customWidth="1"/>
    <col min="16" max="16" width="7.42578125" customWidth="1"/>
    <col min="17" max="17" width="8" bestFit="1" customWidth="1"/>
    <col min="18" max="18" width="7" bestFit="1" customWidth="1"/>
    <col min="19" max="19" width="9" customWidth="1"/>
    <col min="20" max="20" width="10.28515625" bestFit="1" customWidth="1"/>
    <col min="21" max="21" width="6.5703125" customWidth="1"/>
    <col min="22" max="22" width="7.5703125" customWidth="1"/>
    <col min="23" max="23" width="8.140625" bestFit="1" customWidth="1"/>
    <col min="24" max="24" width="7" bestFit="1" customWidth="1"/>
    <col min="25" max="25" width="9" customWidth="1"/>
    <col min="26" max="26" width="10.42578125" bestFit="1" customWidth="1"/>
    <col min="27" max="27" width="6" customWidth="1"/>
    <col min="28" max="28" width="7" bestFit="1" customWidth="1"/>
    <col min="29" max="29" width="10" bestFit="1" customWidth="1"/>
    <col min="30" max="30" width="6" customWidth="1"/>
    <col min="31" max="32" width="10" bestFit="1" customWidth="1"/>
    <col min="33" max="33" width="9.140625" bestFit="1" customWidth="1"/>
    <col min="34" max="34" width="9" customWidth="1"/>
    <col min="35" max="35" width="15" bestFit="1" customWidth="1"/>
    <col min="36" max="36" width="9.28515625" bestFit="1" customWidth="1"/>
    <col min="37" max="37" width="9" customWidth="1"/>
    <col min="38" max="38" width="15.140625" bestFit="1" customWidth="1"/>
    <col min="39" max="39" width="7.140625" customWidth="1"/>
    <col min="40" max="40" width="14.5703125" bestFit="1" customWidth="1"/>
    <col min="41" max="41" width="10.28515625" bestFit="1" customWidth="1"/>
  </cols>
  <sheetData>
    <row r="1" spans="1:42" x14ac:dyDescent="0.25">
      <c r="A1" t="s">
        <v>755</v>
      </c>
      <c r="B1" s="133" t="s">
        <v>0</v>
      </c>
      <c r="C1" s="133" t="s">
        <v>1</v>
      </c>
      <c r="D1" s="133" t="s">
        <v>2</v>
      </c>
      <c r="E1" s="134" t="s">
        <v>3</v>
      </c>
      <c r="F1" s="134" t="s">
        <v>4</v>
      </c>
      <c r="G1" s="134" t="s">
        <v>5</v>
      </c>
      <c r="H1" s="134" t="s">
        <v>6</v>
      </c>
      <c r="I1" s="135" t="s">
        <v>51</v>
      </c>
      <c r="J1" s="136" t="s">
        <v>7</v>
      </c>
      <c r="K1" s="136" t="s">
        <v>9</v>
      </c>
      <c r="L1" s="137" t="s">
        <v>10</v>
      </c>
      <c r="M1" s="133" t="s">
        <v>12</v>
      </c>
      <c r="N1" s="136" t="s">
        <v>11</v>
      </c>
      <c r="O1" s="136" t="s">
        <v>30</v>
      </c>
      <c r="P1" s="136" t="s">
        <v>22</v>
      </c>
      <c r="Q1" s="136" t="s">
        <v>23</v>
      </c>
      <c r="R1" s="136" t="s">
        <v>18</v>
      </c>
      <c r="S1" s="136" t="s">
        <v>13</v>
      </c>
      <c r="T1" s="135" t="s">
        <v>33</v>
      </c>
      <c r="U1" s="136" t="s">
        <v>14</v>
      </c>
      <c r="V1" s="136" t="s">
        <v>26</v>
      </c>
      <c r="W1" s="136" t="s">
        <v>29</v>
      </c>
      <c r="X1" s="136" t="s">
        <v>17</v>
      </c>
      <c r="Y1" s="136" t="s">
        <v>25</v>
      </c>
      <c r="Z1" s="135" t="s">
        <v>32</v>
      </c>
      <c r="AA1" s="136" t="s">
        <v>171</v>
      </c>
      <c r="AB1" s="136" t="s">
        <v>19</v>
      </c>
      <c r="AC1" s="136" t="s">
        <v>16</v>
      </c>
      <c r="AD1" s="136" t="s">
        <v>24</v>
      </c>
      <c r="AE1" s="135" t="s">
        <v>31</v>
      </c>
      <c r="AF1" s="135" t="s">
        <v>46</v>
      </c>
      <c r="AG1" s="136" t="s">
        <v>28</v>
      </c>
      <c r="AH1" s="136" t="s">
        <v>27</v>
      </c>
      <c r="AI1" s="135" t="s">
        <v>36</v>
      </c>
      <c r="AJ1" s="136" t="s">
        <v>21</v>
      </c>
      <c r="AK1" s="136" t="s">
        <v>20</v>
      </c>
      <c r="AL1" s="135" t="s">
        <v>35</v>
      </c>
      <c r="AM1" s="136" t="s">
        <v>15</v>
      </c>
      <c r="AN1" s="135" t="s">
        <v>34</v>
      </c>
      <c r="AO1" s="135" t="s">
        <v>47</v>
      </c>
      <c r="AP1" s="140" t="s">
        <v>174</v>
      </c>
    </row>
    <row r="2" spans="1:42" hidden="1" x14ac:dyDescent="0.25">
      <c r="A2" s="138" t="s">
        <v>38</v>
      </c>
      <c r="B2" t="s">
        <v>242</v>
      </c>
      <c r="C2" t="s">
        <v>200</v>
      </c>
      <c r="D2" s="150">
        <v>121</v>
      </c>
      <c r="E2" t="s">
        <v>201</v>
      </c>
      <c r="F2" t="s">
        <v>202</v>
      </c>
      <c r="G2" t="s">
        <v>243</v>
      </c>
      <c r="H2" s="150">
        <v>32881</v>
      </c>
      <c r="I2" s="139" t="s">
        <v>46</v>
      </c>
      <c r="J2">
        <v>20162.900000000001</v>
      </c>
      <c r="K2">
        <v>3075.7</v>
      </c>
      <c r="L2">
        <v>17087.2</v>
      </c>
      <c r="M2" t="s">
        <v>39</v>
      </c>
      <c r="N2" t="s">
        <v>244</v>
      </c>
      <c r="O2">
        <v>0</v>
      </c>
      <c r="P2">
        <v>0</v>
      </c>
      <c r="Q2">
        <v>0</v>
      </c>
      <c r="R2">
        <v>0</v>
      </c>
      <c r="S2">
        <v>1537.85</v>
      </c>
      <c r="T2">
        <v>1537.85</v>
      </c>
      <c r="U2">
        <v>0</v>
      </c>
      <c r="V2">
        <v>0</v>
      </c>
      <c r="W2">
        <v>0</v>
      </c>
      <c r="X2">
        <v>0</v>
      </c>
      <c r="Y2">
        <v>1537.85</v>
      </c>
      <c r="Z2">
        <v>1537.85</v>
      </c>
      <c r="AA2">
        <v>0</v>
      </c>
      <c r="AB2">
        <v>0</v>
      </c>
      <c r="AC2">
        <v>0</v>
      </c>
      <c r="AD2" s="138"/>
      <c r="AE2">
        <v>0</v>
      </c>
      <c r="AF2" s="138">
        <f>+Purchase[[#This Row],[IGST Total]]+Purchase[[#This Row],[CGST Total]]+Purchase[[#This Row],[SGST Total]]</f>
        <v>3075.7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 s="138">
        <f>+Purchase[[#This Row],[IGST RCM Total]]+Purchase[[#This Row],[CGST RCM Total]]+Purchase[[#This Row],[SGST RCM Total]]</f>
        <v>0</v>
      </c>
      <c r="AP2" t="s">
        <v>175</v>
      </c>
    </row>
    <row r="3" spans="1:42" hidden="1" x14ac:dyDescent="0.25">
      <c r="A3" s="138" t="s">
        <v>38</v>
      </c>
      <c r="B3" t="s">
        <v>242</v>
      </c>
      <c r="C3" t="s">
        <v>203</v>
      </c>
      <c r="D3" s="150">
        <v>121</v>
      </c>
      <c r="E3" t="s">
        <v>201</v>
      </c>
      <c r="F3" t="s">
        <v>202</v>
      </c>
      <c r="G3" t="s">
        <v>245</v>
      </c>
      <c r="H3" s="150">
        <v>32883</v>
      </c>
      <c r="I3" s="139" t="s">
        <v>46</v>
      </c>
      <c r="J3">
        <v>4868.68</v>
      </c>
      <c r="K3">
        <v>742.68</v>
      </c>
      <c r="L3">
        <v>4126</v>
      </c>
      <c r="M3" t="s">
        <v>39</v>
      </c>
      <c r="N3" t="s">
        <v>244</v>
      </c>
      <c r="O3">
        <v>0</v>
      </c>
      <c r="P3">
        <v>0</v>
      </c>
      <c r="Q3">
        <v>0</v>
      </c>
      <c r="R3">
        <v>0</v>
      </c>
      <c r="S3">
        <v>371.34</v>
      </c>
      <c r="T3">
        <v>371.34</v>
      </c>
      <c r="U3">
        <v>0</v>
      </c>
      <c r="V3">
        <v>0</v>
      </c>
      <c r="W3">
        <v>0</v>
      </c>
      <c r="X3">
        <v>0</v>
      </c>
      <c r="Y3">
        <v>371.34</v>
      </c>
      <c r="Z3">
        <v>371.34</v>
      </c>
      <c r="AA3">
        <v>0</v>
      </c>
      <c r="AB3">
        <v>0</v>
      </c>
      <c r="AC3">
        <v>0</v>
      </c>
      <c r="AD3" s="138"/>
      <c r="AE3">
        <v>0</v>
      </c>
      <c r="AF3" s="138">
        <f>+Purchase[[#This Row],[IGST Total]]+Purchase[[#This Row],[CGST Total]]+Purchase[[#This Row],[SGST Total]]</f>
        <v>742.68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 s="138">
        <f>+Purchase[[#This Row],[IGST RCM Total]]+Purchase[[#This Row],[CGST RCM Total]]+Purchase[[#This Row],[SGST RCM Total]]</f>
        <v>0</v>
      </c>
      <c r="AP3" t="s">
        <v>175</v>
      </c>
    </row>
    <row r="4" spans="1:42" hidden="1" x14ac:dyDescent="0.25">
      <c r="A4" s="138" t="s">
        <v>38</v>
      </c>
      <c r="B4" t="s">
        <v>242</v>
      </c>
      <c r="C4" t="s">
        <v>204</v>
      </c>
      <c r="D4" s="150">
        <v>121</v>
      </c>
      <c r="E4" t="s">
        <v>201</v>
      </c>
      <c r="F4" t="s">
        <v>202</v>
      </c>
      <c r="G4" t="s">
        <v>246</v>
      </c>
      <c r="H4" s="150">
        <v>32881</v>
      </c>
      <c r="I4" s="139" t="s">
        <v>46</v>
      </c>
      <c r="J4">
        <v>40267.5</v>
      </c>
      <c r="K4">
        <v>6142.5</v>
      </c>
      <c r="L4">
        <v>34125</v>
      </c>
      <c r="M4" t="s">
        <v>39</v>
      </c>
      <c r="N4" t="s">
        <v>244</v>
      </c>
      <c r="O4">
        <v>0</v>
      </c>
      <c r="P4">
        <v>0</v>
      </c>
      <c r="Q4">
        <v>0</v>
      </c>
      <c r="R4">
        <v>0</v>
      </c>
      <c r="S4">
        <v>3071.25</v>
      </c>
      <c r="T4">
        <v>3071.25</v>
      </c>
      <c r="U4">
        <v>0</v>
      </c>
      <c r="V4">
        <v>0</v>
      </c>
      <c r="W4">
        <v>0</v>
      </c>
      <c r="X4">
        <v>0</v>
      </c>
      <c r="Y4">
        <v>3071.25</v>
      </c>
      <c r="Z4">
        <v>3071.25</v>
      </c>
      <c r="AA4">
        <v>0</v>
      </c>
      <c r="AB4">
        <v>0</v>
      </c>
      <c r="AC4">
        <v>0</v>
      </c>
      <c r="AD4" s="138"/>
      <c r="AE4">
        <v>0</v>
      </c>
      <c r="AF4" s="138">
        <f>+Purchase[[#This Row],[IGST Total]]+Purchase[[#This Row],[CGST Total]]+Purchase[[#This Row],[SGST Total]]</f>
        <v>6142.5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 s="138">
        <f>+Purchase[[#This Row],[IGST RCM Total]]+Purchase[[#This Row],[CGST RCM Total]]+Purchase[[#This Row],[SGST RCM Total]]</f>
        <v>0</v>
      </c>
      <c r="AP4" t="s">
        <v>175</v>
      </c>
    </row>
    <row r="5" spans="1:42" hidden="1" x14ac:dyDescent="0.25">
      <c r="A5" s="138" t="s">
        <v>38</v>
      </c>
      <c r="B5" t="s">
        <v>242</v>
      </c>
      <c r="C5" t="s">
        <v>219</v>
      </c>
      <c r="D5" s="150">
        <v>121</v>
      </c>
      <c r="E5" t="s">
        <v>201</v>
      </c>
      <c r="F5" t="s">
        <v>202</v>
      </c>
      <c r="G5" t="s">
        <v>197</v>
      </c>
      <c r="H5" s="150">
        <v>32894</v>
      </c>
      <c r="I5" s="139" t="s">
        <v>46</v>
      </c>
      <c r="J5">
        <v>449072.6</v>
      </c>
      <c r="K5">
        <v>68502.600000000006</v>
      </c>
      <c r="L5">
        <v>380570</v>
      </c>
      <c r="M5" t="s">
        <v>39</v>
      </c>
      <c r="N5" t="s">
        <v>247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68502.600000000006</v>
      </c>
      <c r="AD5" s="138"/>
      <c r="AE5">
        <v>68502.600000000006</v>
      </c>
      <c r="AF5" s="138">
        <f>+Purchase[[#This Row],[IGST Total]]+Purchase[[#This Row],[CGST Total]]+Purchase[[#This Row],[SGST Total]]</f>
        <v>68502.600000000006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 s="138">
        <f>+Purchase[[#This Row],[IGST RCM Total]]+Purchase[[#This Row],[CGST RCM Total]]+Purchase[[#This Row],[SGST RCM Total]]</f>
        <v>0</v>
      </c>
      <c r="AP5" t="s">
        <v>176</v>
      </c>
    </row>
    <row r="6" spans="1:42" hidden="1" x14ac:dyDescent="0.25">
      <c r="A6" s="138" t="s">
        <v>38</v>
      </c>
      <c r="B6" t="s">
        <v>242</v>
      </c>
      <c r="C6" t="s">
        <v>220</v>
      </c>
      <c r="D6" s="150">
        <v>121</v>
      </c>
      <c r="E6" t="s">
        <v>201</v>
      </c>
      <c r="F6" t="s">
        <v>202</v>
      </c>
      <c r="G6" t="s">
        <v>198</v>
      </c>
      <c r="H6" s="150">
        <v>32894</v>
      </c>
      <c r="I6" s="139" t="s">
        <v>46</v>
      </c>
      <c r="J6">
        <v>24034.240000000002</v>
      </c>
      <c r="K6">
        <v>3666.24</v>
      </c>
      <c r="L6">
        <v>20368</v>
      </c>
      <c r="M6" t="s">
        <v>39</v>
      </c>
      <c r="N6" t="s">
        <v>247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3666.24</v>
      </c>
      <c r="AD6" s="138"/>
      <c r="AE6">
        <v>3666.24</v>
      </c>
      <c r="AF6" s="138">
        <f>+Purchase[[#This Row],[IGST Total]]+Purchase[[#This Row],[CGST Total]]+Purchase[[#This Row],[SGST Total]]</f>
        <v>3666.24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 s="138">
        <f>+Purchase[[#This Row],[IGST RCM Total]]+Purchase[[#This Row],[CGST RCM Total]]+Purchase[[#This Row],[SGST RCM Total]]</f>
        <v>0</v>
      </c>
      <c r="AP6" t="s">
        <v>176</v>
      </c>
    </row>
    <row r="7" spans="1:42" hidden="1" x14ac:dyDescent="0.25">
      <c r="A7" s="138" t="s">
        <v>40</v>
      </c>
      <c r="B7" t="s">
        <v>41</v>
      </c>
      <c r="C7" t="s">
        <v>203</v>
      </c>
      <c r="D7" s="150">
        <v>111</v>
      </c>
      <c r="E7" t="s">
        <v>201</v>
      </c>
      <c r="F7" t="s">
        <v>202</v>
      </c>
      <c r="G7" t="s">
        <v>248</v>
      </c>
      <c r="H7" s="150">
        <v>32882</v>
      </c>
      <c r="I7" s="139" t="s">
        <v>46</v>
      </c>
      <c r="J7">
        <v>-4902</v>
      </c>
      <c r="K7">
        <v>-747.76</v>
      </c>
      <c r="L7">
        <v>-4154.21</v>
      </c>
      <c r="M7" t="s">
        <v>39</v>
      </c>
      <c r="N7" t="s">
        <v>249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-747.76</v>
      </c>
      <c r="AD7" s="138">
        <v>0</v>
      </c>
      <c r="AE7">
        <v>-747.76</v>
      </c>
      <c r="AF7" s="138">
        <f>+Purchase[[#This Row],[IGST Total]]+Purchase[[#This Row],[CGST Total]]+Purchase[[#This Row],[SGST Total]]</f>
        <v>-747.76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 s="138">
        <f>+Purchase[[#This Row],[IGST RCM Total]]+Purchase[[#This Row],[CGST RCM Total]]+Purchase[[#This Row],[SGST RCM Total]]</f>
        <v>0</v>
      </c>
      <c r="AP7" t="s">
        <v>176</v>
      </c>
    </row>
    <row r="8" spans="1:42" hidden="1" x14ac:dyDescent="0.25">
      <c r="A8" s="138" t="s">
        <v>40</v>
      </c>
      <c r="B8" t="s">
        <v>41</v>
      </c>
      <c r="C8" t="s">
        <v>204</v>
      </c>
      <c r="D8" s="150">
        <v>112</v>
      </c>
      <c r="E8" t="s">
        <v>201</v>
      </c>
      <c r="F8" t="s">
        <v>202</v>
      </c>
      <c r="G8" t="s">
        <v>194</v>
      </c>
      <c r="H8" s="150">
        <v>32958</v>
      </c>
      <c r="I8" s="139" t="s">
        <v>46</v>
      </c>
      <c r="J8">
        <v>-16983</v>
      </c>
      <c r="K8">
        <v>-2590.56</v>
      </c>
      <c r="L8">
        <v>-14391.98</v>
      </c>
      <c r="M8" t="s">
        <v>39</v>
      </c>
      <c r="N8" t="s">
        <v>249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-2590.56</v>
      </c>
      <c r="AD8" s="138">
        <v>0</v>
      </c>
      <c r="AE8">
        <v>-2590.56</v>
      </c>
      <c r="AF8" s="138">
        <f>+Purchase[[#This Row],[IGST Total]]+Purchase[[#This Row],[CGST Total]]+Purchase[[#This Row],[SGST Total]]</f>
        <v>-2590.56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 s="138">
        <f>+Purchase[[#This Row],[IGST RCM Total]]+Purchase[[#This Row],[CGST RCM Total]]+Purchase[[#This Row],[SGST RCM Total]]</f>
        <v>0</v>
      </c>
      <c r="AP8" t="s">
        <v>176</v>
      </c>
    </row>
    <row r="9" spans="1:42" hidden="1" x14ac:dyDescent="0.25">
      <c r="A9" s="138" t="s">
        <v>40</v>
      </c>
      <c r="B9" t="s">
        <v>41</v>
      </c>
      <c r="C9" t="s">
        <v>219</v>
      </c>
      <c r="D9" s="150">
        <v>112</v>
      </c>
      <c r="E9" t="s">
        <v>201</v>
      </c>
      <c r="F9" t="s">
        <v>202</v>
      </c>
      <c r="G9" t="s">
        <v>250</v>
      </c>
      <c r="H9" s="150">
        <v>32894</v>
      </c>
      <c r="I9" s="139" t="s">
        <v>46</v>
      </c>
      <c r="J9">
        <v>-22656</v>
      </c>
      <c r="K9">
        <v>-3456</v>
      </c>
      <c r="L9">
        <v>-19200</v>
      </c>
      <c r="M9" t="s">
        <v>39</v>
      </c>
      <c r="N9" t="s">
        <v>249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-3456</v>
      </c>
      <c r="AD9" s="138">
        <v>0</v>
      </c>
      <c r="AE9">
        <v>-3456</v>
      </c>
      <c r="AF9" s="138">
        <f>+Purchase[[#This Row],[IGST Total]]+Purchase[[#This Row],[CGST Total]]+Purchase[[#This Row],[SGST Total]]</f>
        <v>-3456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 s="138">
        <f>+Purchase[[#This Row],[IGST RCM Total]]+Purchase[[#This Row],[CGST RCM Total]]+Purchase[[#This Row],[SGST RCM Total]]</f>
        <v>0</v>
      </c>
      <c r="AP9" t="s">
        <v>176</v>
      </c>
    </row>
    <row r="10" spans="1:42" hidden="1" x14ac:dyDescent="0.25">
      <c r="A10" s="138" t="s">
        <v>40</v>
      </c>
      <c r="B10" t="s">
        <v>41</v>
      </c>
      <c r="C10" t="s">
        <v>221</v>
      </c>
      <c r="D10" s="150">
        <v>121</v>
      </c>
      <c r="E10" t="s">
        <v>201</v>
      </c>
      <c r="F10" t="s">
        <v>202</v>
      </c>
      <c r="G10" t="s">
        <v>251</v>
      </c>
      <c r="H10" s="150">
        <v>32892</v>
      </c>
      <c r="I10" s="139" t="s">
        <v>46</v>
      </c>
      <c r="J10">
        <v>-63797</v>
      </c>
      <c r="K10">
        <v>-9731.82</v>
      </c>
      <c r="L10">
        <v>-54065.62</v>
      </c>
      <c r="M10" t="s">
        <v>39</v>
      </c>
      <c r="N10" t="s">
        <v>252</v>
      </c>
      <c r="O10">
        <v>0</v>
      </c>
      <c r="P10">
        <v>0</v>
      </c>
      <c r="Q10">
        <v>0</v>
      </c>
      <c r="R10">
        <v>0</v>
      </c>
      <c r="S10">
        <v>-4865.91</v>
      </c>
      <c r="T10">
        <v>-4865.91</v>
      </c>
      <c r="U10">
        <v>0</v>
      </c>
      <c r="V10">
        <v>0</v>
      </c>
      <c r="W10">
        <v>0</v>
      </c>
      <c r="X10">
        <v>0</v>
      </c>
      <c r="Y10">
        <v>-4865.91</v>
      </c>
      <c r="Z10">
        <v>-4865.91</v>
      </c>
      <c r="AA10">
        <v>0</v>
      </c>
      <c r="AB10">
        <v>0</v>
      </c>
      <c r="AC10">
        <v>0</v>
      </c>
      <c r="AD10" s="138">
        <v>0</v>
      </c>
      <c r="AE10">
        <v>0</v>
      </c>
      <c r="AF10" s="138">
        <f>+Purchase[[#This Row],[IGST Total]]+Purchase[[#This Row],[CGST Total]]+Purchase[[#This Row],[SGST Total]]</f>
        <v>-9731.82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 s="138">
        <f>+Purchase[[#This Row],[IGST RCM Total]]+Purchase[[#This Row],[CGST RCM Total]]+Purchase[[#This Row],[SGST RCM Total]]</f>
        <v>0</v>
      </c>
      <c r="AP10" t="s">
        <v>175</v>
      </c>
    </row>
    <row r="11" spans="1:42" hidden="1" x14ac:dyDescent="0.25">
      <c r="A11" s="138" t="s">
        <v>40</v>
      </c>
      <c r="B11" t="s">
        <v>41</v>
      </c>
      <c r="C11" t="s">
        <v>222</v>
      </c>
      <c r="D11" s="150">
        <v>121</v>
      </c>
      <c r="E11" t="s">
        <v>201</v>
      </c>
      <c r="F11" t="s">
        <v>202</v>
      </c>
      <c r="G11" t="s">
        <v>253</v>
      </c>
      <c r="H11" s="150">
        <v>32898</v>
      </c>
      <c r="I11" s="139" t="s">
        <v>46</v>
      </c>
      <c r="J11">
        <v>-972</v>
      </c>
      <c r="K11">
        <v>-148.24</v>
      </c>
      <c r="L11">
        <v>-823.5</v>
      </c>
      <c r="M11" t="s">
        <v>39</v>
      </c>
      <c r="N11" t="s">
        <v>254</v>
      </c>
      <c r="O11">
        <v>0</v>
      </c>
      <c r="P11">
        <v>0</v>
      </c>
      <c r="Q11">
        <v>0</v>
      </c>
      <c r="R11">
        <v>0</v>
      </c>
      <c r="S11">
        <v>-74.12</v>
      </c>
      <c r="T11">
        <v>-74.12</v>
      </c>
      <c r="U11">
        <v>0</v>
      </c>
      <c r="V11">
        <v>0</v>
      </c>
      <c r="W11">
        <v>0</v>
      </c>
      <c r="X11">
        <v>0</v>
      </c>
      <c r="Y11">
        <v>-74.12</v>
      </c>
      <c r="Z11">
        <v>-74.12</v>
      </c>
      <c r="AA11">
        <v>0</v>
      </c>
      <c r="AB11">
        <v>0</v>
      </c>
      <c r="AC11">
        <v>0</v>
      </c>
      <c r="AD11" s="138">
        <v>0</v>
      </c>
      <c r="AE11">
        <v>0</v>
      </c>
      <c r="AF11" s="138">
        <f>+Purchase[[#This Row],[IGST Total]]+Purchase[[#This Row],[CGST Total]]+Purchase[[#This Row],[SGST Total]]</f>
        <v>-148.24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 s="138">
        <f>+Purchase[[#This Row],[IGST RCM Total]]+Purchase[[#This Row],[CGST RCM Total]]+Purchase[[#This Row],[SGST RCM Total]]</f>
        <v>0</v>
      </c>
      <c r="AP11" t="s">
        <v>176</v>
      </c>
    </row>
    <row r="12" spans="1:42" x14ac:dyDescent="0.25">
      <c r="A12" s="138" t="s">
        <v>40</v>
      </c>
      <c r="B12" t="s">
        <v>41</v>
      </c>
      <c r="C12" t="s">
        <v>223</v>
      </c>
      <c r="D12" s="150">
        <v>121</v>
      </c>
      <c r="E12" t="s">
        <v>201</v>
      </c>
      <c r="F12" t="s">
        <v>202</v>
      </c>
      <c r="G12" t="s">
        <v>255</v>
      </c>
      <c r="H12" s="150">
        <v>32953</v>
      </c>
      <c r="I12" s="139" t="s">
        <v>48</v>
      </c>
      <c r="J12">
        <v>-2147</v>
      </c>
      <c r="K12">
        <v>-107.36</v>
      </c>
      <c r="L12">
        <v>-2147.2800000000002</v>
      </c>
      <c r="M12" t="s">
        <v>39</v>
      </c>
      <c r="N12" t="s">
        <v>37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 s="138">
        <v>0</v>
      </c>
      <c r="AE12">
        <v>0</v>
      </c>
      <c r="AF12" s="138">
        <f>+Purchase[[#This Row],[IGST Total]]+Purchase[[#This Row],[CGST Total]]+Purchase[[#This Row],[SGST Total]]</f>
        <v>0</v>
      </c>
      <c r="AG12">
        <v>-53.68</v>
      </c>
      <c r="AH12">
        <v>0</v>
      </c>
      <c r="AI12">
        <v>-53.68</v>
      </c>
      <c r="AJ12">
        <v>-53.68</v>
      </c>
      <c r="AK12">
        <v>0</v>
      </c>
      <c r="AL12">
        <v>-53.68</v>
      </c>
      <c r="AM12">
        <v>0</v>
      </c>
      <c r="AN12">
        <v>0</v>
      </c>
      <c r="AO12" s="138">
        <f>+Purchase[[#This Row],[IGST RCM Total]]+Purchase[[#This Row],[CGST RCM Total]]+Purchase[[#This Row],[SGST RCM Total]]</f>
        <v>-107.36</v>
      </c>
      <c r="AP12" t="s">
        <v>175</v>
      </c>
    </row>
    <row r="13" spans="1:42" hidden="1" x14ac:dyDescent="0.25">
      <c r="A13" s="138" t="s">
        <v>38</v>
      </c>
      <c r="B13" t="s">
        <v>42</v>
      </c>
      <c r="C13" t="s">
        <v>200</v>
      </c>
      <c r="D13" s="150">
        <v>98</v>
      </c>
      <c r="E13" t="s">
        <v>201</v>
      </c>
      <c r="F13" t="s">
        <v>202</v>
      </c>
      <c r="G13" t="s">
        <v>256</v>
      </c>
      <c r="H13" s="150">
        <v>32880</v>
      </c>
      <c r="I13" s="139" t="s">
        <v>46</v>
      </c>
      <c r="J13">
        <v>28231.5</v>
      </c>
      <c r="K13">
        <v>4306.5</v>
      </c>
      <c r="L13">
        <v>23925</v>
      </c>
      <c r="M13" t="s">
        <v>39</v>
      </c>
      <c r="N13" t="s">
        <v>257</v>
      </c>
      <c r="O13">
        <v>0</v>
      </c>
      <c r="P13">
        <v>0</v>
      </c>
      <c r="Q13">
        <v>0</v>
      </c>
      <c r="R13">
        <v>0</v>
      </c>
      <c r="S13">
        <v>2153.25</v>
      </c>
      <c r="T13">
        <v>2153.25</v>
      </c>
      <c r="U13">
        <v>0</v>
      </c>
      <c r="V13">
        <v>0</v>
      </c>
      <c r="W13">
        <v>0</v>
      </c>
      <c r="X13">
        <v>0</v>
      </c>
      <c r="Y13">
        <v>2153.25</v>
      </c>
      <c r="Z13">
        <v>2153.25</v>
      </c>
      <c r="AA13">
        <v>0</v>
      </c>
      <c r="AB13">
        <v>0</v>
      </c>
      <c r="AC13">
        <v>0</v>
      </c>
      <c r="AD13" s="138"/>
      <c r="AE13">
        <v>0</v>
      </c>
      <c r="AF13" s="138">
        <f>+Purchase[[#This Row],[IGST Total]]+Purchase[[#This Row],[CGST Total]]+Purchase[[#This Row],[SGST Total]]</f>
        <v>4306.5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 s="138">
        <f>+Purchase[[#This Row],[IGST RCM Total]]+Purchase[[#This Row],[CGST RCM Total]]+Purchase[[#This Row],[SGST RCM Total]]</f>
        <v>0</v>
      </c>
      <c r="AP13" t="s">
        <v>175</v>
      </c>
    </row>
    <row r="14" spans="1:42" hidden="1" x14ac:dyDescent="0.25">
      <c r="A14" s="138" t="s">
        <v>38</v>
      </c>
      <c r="B14" t="s">
        <v>42</v>
      </c>
      <c r="C14" t="s">
        <v>203</v>
      </c>
      <c r="D14" s="150">
        <v>98</v>
      </c>
      <c r="E14" t="s">
        <v>201</v>
      </c>
      <c r="F14" t="s">
        <v>202</v>
      </c>
      <c r="G14" t="s">
        <v>258</v>
      </c>
      <c r="H14" s="150">
        <v>32874</v>
      </c>
      <c r="I14" s="139" t="s">
        <v>46</v>
      </c>
      <c r="J14">
        <v>14115.76</v>
      </c>
      <c r="K14">
        <v>2153.2600000000002</v>
      </c>
      <c r="L14">
        <v>11962.5</v>
      </c>
      <c r="M14" t="s">
        <v>39</v>
      </c>
      <c r="N14" t="s">
        <v>257</v>
      </c>
      <c r="O14">
        <v>0</v>
      </c>
      <c r="P14">
        <v>0</v>
      </c>
      <c r="Q14">
        <v>0</v>
      </c>
      <c r="R14">
        <v>0</v>
      </c>
      <c r="S14">
        <v>1076.6300000000001</v>
      </c>
      <c r="T14">
        <v>1076.6300000000001</v>
      </c>
      <c r="U14">
        <v>0</v>
      </c>
      <c r="V14">
        <v>0</v>
      </c>
      <c r="W14">
        <v>0</v>
      </c>
      <c r="X14">
        <v>0</v>
      </c>
      <c r="Y14">
        <v>1076.6300000000001</v>
      </c>
      <c r="Z14">
        <v>1076.6300000000001</v>
      </c>
      <c r="AA14">
        <v>0</v>
      </c>
      <c r="AB14">
        <v>0</v>
      </c>
      <c r="AC14">
        <v>0</v>
      </c>
      <c r="AD14" s="138"/>
      <c r="AE14">
        <v>0</v>
      </c>
      <c r="AF14" s="138">
        <f>+Purchase[[#This Row],[IGST Total]]+Purchase[[#This Row],[CGST Total]]+Purchase[[#This Row],[SGST Total]]</f>
        <v>2153.2600000000002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 s="138">
        <f>+Purchase[[#This Row],[IGST RCM Total]]+Purchase[[#This Row],[CGST RCM Total]]+Purchase[[#This Row],[SGST RCM Total]]</f>
        <v>0</v>
      </c>
      <c r="AP14" t="s">
        <v>175</v>
      </c>
    </row>
    <row r="15" spans="1:42" hidden="1" x14ac:dyDescent="0.25">
      <c r="A15" s="138" t="s">
        <v>38</v>
      </c>
      <c r="B15" t="s">
        <v>42</v>
      </c>
      <c r="C15" t="s">
        <v>204</v>
      </c>
      <c r="D15" s="150">
        <v>98</v>
      </c>
      <c r="E15" t="s">
        <v>201</v>
      </c>
      <c r="F15" t="s">
        <v>202</v>
      </c>
      <c r="G15" t="s">
        <v>259</v>
      </c>
      <c r="H15" s="150">
        <v>32875</v>
      </c>
      <c r="I15" s="139" t="s">
        <v>46</v>
      </c>
      <c r="J15">
        <v>1239</v>
      </c>
      <c r="K15">
        <v>189</v>
      </c>
      <c r="L15">
        <v>1050</v>
      </c>
      <c r="M15" t="s">
        <v>39</v>
      </c>
      <c r="N15" t="s">
        <v>244</v>
      </c>
      <c r="O15">
        <v>0</v>
      </c>
      <c r="P15">
        <v>0</v>
      </c>
      <c r="Q15">
        <v>0</v>
      </c>
      <c r="R15">
        <v>0</v>
      </c>
      <c r="S15">
        <v>94.5</v>
      </c>
      <c r="T15">
        <v>94.5</v>
      </c>
      <c r="U15">
        <v>0</v>
      </c>
      <c r="V15">
        <v>0</v>
      </c>
      <c r="W15">
        <v>0</v>
      </c>
      <c r="X15">
        <v>0</v>
      </c>
      <c r="Y15">
        <v>94.5</v>
      </c>
      <c r="Z15">
        <v>94.5</v>
      </c>
      <c r="AA15">
        <v>0</v>
      </c>
      <c r="AB15">
        <v>0</v>
      </c>
      <c r="AC15">
        <v>0</v>
      </c>
      <c r="AD15" s="138"/>
      <c r="AE15">
        <v>0</v>
      </c>
      <c r="AF15" s="138">
        <f>+Purchase[[#This Row],[IGST Total]]+Purchase[[#This Row],[CGST Total]]+Purchase[[#This Row],[SGST Total]]</f>
        <v>189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 s="138">
        <f>+Purchase[[#This Row],[IGST RCM Total]]+Purchase[[#This Row],[CGST RCM Total]]+Purchase[[#This Row],[SGST RCM Total]]</f>
        <v>0</v>
      </c>
      <c r="AP15" t="s">
        <v>175</v>
      </c>
    </row>
    <row r="16" spans="1:42" hidden="1" x14ac:dyDescent="0.25">
      <c r="A16" s="138" t="s">
        <v>38</v>
      </c>
      <c r="B16" t="s">
        <v>42</v>
      </c>
      <c r="C16" t="s">
        <v>219</v>
      </c>
      <c r="D16" s="150">
        <v>98</v>
      </c>
      <c r="E16" t="s">
        <v>201</v>
      </c>
      <c r="F16" t="s">
        <v>202</v>
      </c>
      <c r="G16" t="s">
        <v>260</v>
      </c>
      <c r="H16" s="150">
        <v>32874</v>
      </c>
      <c r="I16" s="139" t="s">
        <v>46</v>
      </c>
      <c r="J16">
        <v>1333.4</v>
      </c>
      <c r="K16">
        <v>203.4</v>
      </c>
      <c r="L16">
        <v>1130</v>
      </c>
      <c r="M16" t="s">
        <v>39</v>
      </c>
      <c r="N16" t="s">
        <v>244</v>
      </c>
      <c r="O16">
        <v>0</v>
      </c>
      <c r="P16">
        <v>0</v>
      </c>
      <c r="Q16">
        <v>0</v>
      </c>
      <c r="R16">
        <v>0</v>
      </c>
      <c r="S16">
        <v>101.7</v>
      </c>
      <c r="T16">
        <v>101.7</v>
      </c>
      <c r="U16">
        <v>0</v>
      </c>
      <c r="V16">
        <v>0</v>
      </c>
      <c r="W16">
        <v>0</v>
      </c>
      <c r="X16">
        <v>0</v>
      </c>
      <c r="Y16">
        <v>101.7</v>
      </c>
      <c r="Z16">
        <v>101.7</v>
      </c>
      <c r="AA16">
        <v>0</v>
      </c>
      <c r="AB16">
        <v>0</v>
      </c>
      <c r="AC16">
        <v>0</v>
      </c>
      <c r="AD16" s="138"/>
      <c r="AE16">
        <v>0</v>
      </c>
      <c r="AF16" s="138">
        <f>+Purchase[[#This Row],[IGST Total]]+Purchase[[#This Row],[CGST Total]]+Purchase[[#This Row],[SGST Total]]</f>
        <v>203.4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 s="138">
        <f>+Purchase[[#This Row],[IGST RCM Total]]+Purchase[[#This Row],[CGST RCM Total]]+Purchase[[#This Row],[SGST RCM Total]]</f>
        <v>0</v>
      </c>
      <c r="AP16" t="s">
        <v>175</v>
      </c>
    </row>
    <row r="17" spans="1:42" hidden="1" x14ac:dyDescent="0.25">
      <c r="A17" s="138" t="s">
        <v>38</v>
      </c>
      <c r="B17" t="s">
        <v>42</v>
      </c>
      <c r="C17" t="s">
        <v>220</v>
      </c>
      <c r="D17" s="150">
        <v>98</v>
      </c>
      <c r="E17" t="s">
        <v>201</v>
      </c>
      <c r="F17" t="s">
        <v>202</v>
      </c>
      <c r="G17" t="s">
        <v>261</v>
      </c>
      <c r="H17" s="150">
        <v>32954</v>
      </c>
      <c r="I17" s="139" t="s">
        <v>46</v>
      </c>
      <c r="J17">
        <v>104608.18</v>
      </c>
      <c r="K17">
        <v>15957.18</v>
      </c>
      <c r="L17">
        <v>88651</v>
      </c>
      <c r="M17" t="s">
        <v>39</v>
      </c>
      <c r="N17" t="s">
        <v>262</v>
      </c>
      <c r="O17">
        <v>0</v>
      </c>
      <c r="P17">
        <v>0</v>
      </c>
      <c r="Q17">
        <v>0</v>
      </c>
      <c r="R17">
        <v>0</v>
      </c>
      <c r="S17">
        <v>7978.59</v>
      </c>
      <c r="T17">
        <v>7978.59</v>
      </c>
      <c r="U17">
        <v>0</v>
      </c>
      <c r="V17">
        <v>0</v>
      </c>
      <c r="W17">
        <v>0</v>
      </c>
      <c r="X17">
        <v>0</v>
      </c>
      <c r="Y17">
        <v>7978.59</v>
      </c>
      <c r="Z17">
        <v>7978.59</v>
      </c>
      <c r="AA17">
        <v>0</v>
      </c>
      <c r="AB17">
        <v>0</v>
      </c>
      <c r="AC17">
        <v>0</v>
      </c>
      <c r="AD17" s="138"/>
      <c r="AE17">
        <v>0</v>
      </c>
      <c r="AF17" s="138">
        <f>+Purchase[[#This Row],[IGST Total]]+Purchase[[#This Row],[CGST Total]]+Purchase[[#This Row],[SGST Total]]</f>
        <v>15957.18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 s="138">
        <f>+Purchase[[#This Row],[IGST RCM Total]]+Purchase[[#This Row],[CGST RCM Total]]+Purchase[[#This Row],[SGST RCM Total]]</f>
        <v>0</v>
      </c>
      <c r="AP17" t="s">
        <v>175</v>
      </c>
    </row>
    <row r="18" spans="1:42" hidden="1" x14ac:dyDescent="0.25">
      <c r="A18" s="138" t="s">
        <v>38</v>
      </c>
      <c r="B18" t="s">
        <v>42</v>
      </c>
      <c r="C18" t="s">
        <v>238</v>
      </c>
      <c r="D18" s="150">
        <v>101</v>
      </c>
      <c r="E18" t="s">
        <v>201</v>
      </c>
      <c r="F18" t="s">
        <v>202</v>
      </c>
      <c r="G18" t="s">
        <v>263</v>
      </c>
      <c r="H18" s="150">
        <v>32882</v>
      </c>
      <c r="I18" t="s">
        <v>46</v>
      </c>
      <c r="J18">
        <v>154592</v>
      </c>
      <c r="K18">
        <v>0</v>
      </c>
      <c r="L18">
        <v>154592</v>
      </c>
      <c r="M18" t="s">
        <v>39</v>
      </c>
      <c r="N18" t="s">
        <v>264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 s="138"/>
      <c r="AE18">
        <v>0</v>
      </c>
      <c r="AF18" s="138">
        <f>+Purchase[[#This Row],[IGST Total]]+Purchase[[#This Row],[CGST Total]]+Purchase[[#This Row],[SGST Total]]</f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 s="138">
        <f>+Purchase[[#This Row],[IGST RCM Total]]+Purchase[[#This Row],[CGST RCM Total]]+Purchase[[#This Row],[SGST RCM Total]]</f>
        <v>0</v>
      </c>
      <c r="AP18" t="s">
        <v>175</v>
      </c>
    </row>
    <row r="19" spans="1:42" hidden="1" x14ac:dyDescent="0.25">
      <c r="A19" s="138" t="s">
        <v>38</v>
      </c>
      <c r="B19" t="s">
        <v>42</v>
      </c>
      <c r="C19" t="s">
        <v>221</v>
      </c>
      <c r="D19" s="150">
        <v>101</v>
      </c>
      <c r="E19" t="s">
        <v>201</v>
      </c>
      <c r="F19" t="s">
        <v>202</v>
      </c>
      <c r="G19" t="s">
        <v>265</v>
      </c>
      <c r="H19" s="150">
        <v>32875</v>
      </c>
      <c r="I19" t="s">
        <v>46</v>
      </c>
      <c r="J19">
        <v>150096</v>
      </c>
      <c r="K19">
        <v>0</v>
      </c>
      <c r="L19">
        <v>150096</v>
      </c>
      <c r="M19" t="s">
        <v>39</v>
      </c>
      <c r="N19" t="s">
        <v>264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 s="138"/>
      <c r="AE19">
        <v>0</v>
      </c>
      <c r="AF19" s="138">
        <f>+Purchase[[#This Row],[IGST Total]]+Purchase[[#This Row],[CGST Total]]+Purchase[[#This Row],[SGST Total]]</f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 s="138">
        <f>+Purchase[[#This Row],[IGST RCM Total]]+Purchase[[#This Row],[CGST RCM Total]]+Purchase[[#This Row],[SGST RCM Total]]</f>
        <v>0</v>
      </c>
      <c r="AP19" t="s">
        <v>175</v>
      </c>
    </row>
    <row r="20" spans="1:42" hidden="1" x14ac:dyDescent="0.25">
      <c r="A20" s="138" t="s">
        <v>38</v>
      </c>
      <c r="B20" t="s">
        <v>42</v>
      </c>
      <c r="C20" t="s">
        <v>222</v>
      </c>
      <c r="D20" s="150">
        <v>101</v>
      </c>
      <c r="E20" t="s">
        <v>201</v>
      </c>
      <c r="F20" t="s">
        <v>202</v>
      </c>
      <c r="G20" t="s">
        <v>266</v>
      </c>
      <c r="H20" s="150">
        <v>32879</v>
      </c>
      <c r="I20" t="s">
        <v>46</v>
      </c>
      <c r="J20">
        <v>154592</v>
      </c>
      <c r="K20">
        <v>0</v>
      </c>
      <c r="L20">
        <v>154592</v>
      </c>
      <c r="M20" t="s">
        <v>39</v>
      </c>
      <c r="N20" t="s">
        <v>264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 s="138"/>
      <c r="AE20">
        <v>0</v>
      </c>
      <c r="AF20" s="138">
        <f>+Purchase[[#This Row],[IGST Total]]+Purchase[[#This Row],[CGST Total]]+Purchase[[#This Row],[SGST Total]]</f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 s="138">
        <f>+Purchase[[#This Row],[IGST RCM Total]]+Purchase[[#This Row],[CGST RCM Total]]+Purchase[[#This Row],[SGST RCM Total]]</f>
        <v>0</v>
      </c>
      <c r="AP20" t="s">
        <v>175</v>
      </c>
    </row>
    <row r="21" spans="1:42" hidden="1" x14ac:dyDescent="0.25">
      <c r="A21" s="138" t="s">
        <v>38</v>
      </c>
      <c r="B21" t="s">
        <v>42</v>
      </c>
      <c r="C21" t="s">
        <v>223</v>
      </c>
      <c r="D21" s="150">
        <v>101</v>
      </c>
      <c r="E21" t="s">
        <v>201</v>
      </c>
      <c r="F21" t="s">
        <v>202</v>
      </c>
      <c r="G21" t="s">
        <v>267</v>
      </c>
      <c r="H21" s="150">
        <v>32874</v>
      </c>
      <c r="I21" s="139" t="s">
        <v>46</v>
      </c>
      <c r="J21">
        <v>413</v>
      </c>
      <c r="K21">
        <v>63</v>
      </c>
      <c r="L21">
        <v>350</v>
      </c>
      <c r="M21" t="s">
        <v>39</v>
      </c>
      <c r="N21" t="s">
        <v>268</v>
      </c>
      <c r="O21">
        <v>0</v>
      </c>
      <c r="P21">
        <v>0</v>
      </c>
      <c r="Q21">
        <v>0</v>
      </c>
      <c r="R21">
        <v>0</v>
      </c>
      <c r="S21">
        <v>31.5</v>
      </c>
      <c r="T21">
        <v>31.5</v>
      </c>
      <c r="U21">
        <v>0</v>
      </c>
      <c r="V21">
        <v>0</v>
      </c>
      <c r="W21">
        <v>0</v>
      </c>
      <c r="X21">
        <v>0</v>
      </c>
      <c r="Y21">
        <v>31.5</v>
      </c>
      <c r="Z21">
        <v>31.5</v>
      </c>
      <c r="AA21">
        <v>0</v>
      </c>
      <c r="AB21">
        <v>0</v>
      </c>
      <c r="AC21">
        <v>0</v>
      </c>
      <c r="AD21" s="138"/>
      <c r="AE21">
        <v>0</v>
      </c>
      <c r="AF21" s="138">
        <f>+Purchase[[#This Row],[IGST Total]]+Purchase[[#This Row],[CGST Total]]+Purchase[[#This Row],[SGST Total]]</f>
        <v>63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 s="138">
        <f>+Purchase[[#This Row],[IGST RCM Total]]+Purchase[[#This Row],[CGST RCM Total]]+Purchase[[#This Row],[SGST RCM Total]]</f>
        <v>0</v>
      </c>
      <c r="AP21" t="s">
        <v>175</v>
      </c>
    </row>
    <row r="22" spans="1:42" hidden="1" x14ac:dyDescent="0.25">
      <c r="A22" s="138" t="s">
        <v>38</v>
      </c>
      <c r="B22" t="s">
        <v>42</v>
      </c>
      <c r="C22" t="s">
        <v>224</v>
      </c>
      <c r="D22" s="150">
        <v>101</v>
      </c>
      <c r="E22" t="s">
        <v>201</v>
      </c>
      <c r="F22" t="s">
        <v>202</v>
      </c>
      <c r="G22" t="s">
        <v>269</v>
      </c>
      <c r="H22" s="150">
        <v>32874</v>
      </c>
      <c r="I22" s="139" t="s">
        <v>46</v>
      </c>
      <c r="J22">
        <v>767</v>
      </c>
      <c r="K22">
        <v>117</v>
      </c>
      <c r="L22">
        <v>650</v>
      </c>
      <c r="M22" t="s">
        <v>39</v>
      </c>
      <c r="N22" t="s">
        <v>270</v>
      </c>
      <c r="O22">
        <v>0</v>
      </c>
      <c r="P22">
        <v>0</v>
      </c>
      <c r="Q22">
        <v>0</v>
      </c>
      <c r="R22">
        <v>0</v>
      </c>
      <c r="S22">
        <v>58.5</v>
      </c>
      <c r="T22">
        <v>58.5</v>
      </c>
      <c r="U22">
        <v>0</v>
      </c>
      <c r="V22">
        <v>0</v>
      </c>
      <c r="W22">
        <v>0</v>
      </c>
      <c r="X22">
        <v>0</v>
      </c>
      <c r="Y22">
        <v>58.5</v>
      </c>
      <c r="Z22">
        <v>58.5</v>
      </c>
      <c r="AA22">
        <v>0</v>
      </c>
      <c r="AB22">
        <v>0</v>
      </c>
      <c r="AC22">
        <v>0</v>
      </c>
      <c r="AD22" s="138"/>
      <c r="AE22">
        <v>0</v>
      </c>
      <c r="AF22" s="138">
        <f>+Purchase[[#This Row],[IGST Total]]+Purchase[[#This Row],[CGST Total]]+Purchase[[#This Row],[SGST Total]]</f>
        <v>117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 s="138">
        <f>+Purchase[[#This Row],[IGST RCM Total]]+Purchase[[#This Row],[CGST RCM Total]]+Purchase[[#This Row],[SGST RCM Total]]</f>
        <v>0</v>
      </c>
      <c r="AP22" t="s">
        <v>175</v>
      </c>
    </row>
    <row r="23" spans="1:42" hidden="1" x14ac:dyDescent="0.25">
      <c r="A23" s="138" t="s">
        <v>38</v>
      </c>
      <c r="B23" t="s">
        <v>42</v>
      </c>
      <c r="C23" t="s">
        <v>225</v>
      </c>
      <c r="D23" s="150">
        <v>101</v>
      </c>
      <c r="E23" t="s">
        <v>201</v>
      </c>
      <c r="F23" t="s">
        <v>202</v>
      </c>
      <c r="G23" t="s">
        <v>271</v>
      </c>
      <c r="H23" s="150">
        <v>32874</v>
      </c>
      <c r="I23" s="139" t="s">
        <v>46</v>
      </c>
      <c r="J23">
        <v>1180</v>
      </c>
      <c r="K23">
        <v>180</v>
      </c>
      <c r="L23">
        <v>1000</v>
      </c>
      <c r="M23" t="s">
        <v>39</v>
      </c>
      <c r="N23" t="s">
        <v>268</v>
      </c>
      <c r="O23">
        <v>0</v>
      </c>
      <c r="P23">
        <v>0</v>
      </c>
      <c r="Q23">
        <v>0</v>
      </c>
      <c r="R23">
        <v>0</v>
      </c>
      <c r="S23">
        <v>90</v>
      </c>
      <c r="T23">
        <v>90</v>
      </c>
      <c r="U23">
        <v>0</v>
      </c>
      <c r="V23">
        <v>0</v>
      </c>
      <c r="W23">
        <v>0</v>
      </c>
      <c r="X23">
        <v>0</v>
      </c>
      <c r="Y23">
        <v>90</v>
      </c>
      <c r="Z23">
        <v>90</v>
      </c>
      <c r="AA23">
        <v>0</v>
      </c>
      <c r="AB23">
        <v>0</v>
      </c>
      <c r="AC23">
        <v>0</v>
      </c>
      <c r="AD23" s="138"/>
      <c r="AE23">
        <v>0</v>
      </c>
      <c r="AF23" s="138">
        <f>+Purchase[[#This Row],[IGST Total]]+Purchase[[#This Row],[CGST Total]]+Purchase[[#This Row],[SGST Total]]</f>
        <v>180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 s="138">
        <f>+Purchase[[#This Row],[IGST RCM Total]]+Purchase[[#This Row],[CGST RCM Total]]+Purchase[[#This Row],[SGST RCM Total]]</f>
        <v>0</v>
      </c>
      <c r="AP23" t="s">
        <v>175</v>
      </c>
    </row>
    <row r="24" spans="1:42" hidden="1" x14ac:dyDescent="0.25">
      <c r="A24" s="138" t="s">
        <v>38</v>
      </c>
      <c r="B24" t="s">
        <v>42</v>
      </c>
      <c r="C24" t="s">
        <v>226</v>
      </c>
      <c r="D24" s="150">
        <v>101</v>
      </c>
      <c r="E24" t="s">
        <v>201</v>
      </c>
      <c r="F24" t="s">
        <v>202</v>
      </c>
      <c r="G24" t="s">
        <v>272</v>
      </c>
      <c r="H24" s="150">
        <v>32882</v>
      </c>
      <c r="I24" s="139" t="s">
        <v>46</v>
      </c>
      <c r="J24">
        <v>10620</v>
      </c>
      <c r="K24">
        <v>1620</v>
      </c>
      <c r="L24">
        <v>9000</v>
      </c>
      <c r="M24" t="s">
        <v>39</v>
      </c>
      <c r="N24" t="s">
        <v>273</v>
      </c>
      <c r="O24">
        <v>0</v>
      </c>
      <c r="P24">
        <v>0</v>
      </c>
      <c r="Q24">
        <v>0</v>
      </c>
      <c r="R24">
        <v>0</v>
      </c>
      <c r="S24">
        <v>810</v>
      </c>
      <c r="T24">
        <v>810</v>
      </c>
      <c r="U24">
        <v>0</v>
      </c>
      <c r="V24">
        <v>0</v>
      </c>
      <c r="W24">
        <v>0</v>
      </c>
      <c r="X24">
        <v>0</v>
      </c>
      <c r="Y24">
        <v>810</v>
      </c>
      <c r="Z24">
        <v>810</v>
      </c>
      <c r="AA24">
        <v>0</v>
      </c>
      <c r="AB24">
        <v>0</v>
      </c>
      <c r="AC24">
        <v>0</v>
      </c>
      <c r="AD24" s="138"/>
      <c r="AE24">
        <v>0</v>
      </c>
      <c r="AF24" s="138">
        <f>+Purchase[[#This Row],[IGST Total]]+Purchase[[#This Row],[CGST Total]]+Purchase[[#This Row],[SGST Total]]</f>
        <v>1620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 s="138">
        <f>+Purchase[[#This Row],[IGST RCM Total]]+Purchase[[#This Row],[CGST RCM Total]]+Purchase[[#This Row],[SGST RCM Total]]</f>
        <v>0</v>
      </c>
      <c r="AP24" t="s">
        <v>175</v>
      </c>
    </row>
    <row r="25" spans="1:42" hidden="1" x14ac:dyDescent="0.25">
      <c r="A25" s="138" t="s">
        <v>38</v>
      </c>
      <c r="B25" t="s">
        <v>42</v>
      </c>
      <c r="C25" t="s">
        <v>239</v>
      </c>
      <c r="D25" s="150">
        <v>101</v>
      </c>
      <c r="E25" t="s">
        <v>201</v>
      </c>
      <c r="F25" t="s">
        <v>202</v>
      </c>
      <c r="G25" t="s">
        <v>274</v>
      </c>
      <c r="H25" s="150">
        <v>32874</v>
      </c>
      <c r="I25" s="139" t="s">
        <v>46</v>
      </c>
      <c r="J25">
        <v>1004</v>
      </c>
      <c r="K25">
        <v>154</v>
      </c>
      <c r="L25">
        <v>850</v>
      </c>
      <c r="M25" t="s">
        <v>39</v>
      </c>
      <c r="N25" t="s">
        <v>275</v>
      </c>
      <c r="O25">
        <v>0</v>
      </c>
      <c r="P25">
        <v>0</v>
      </c>
      <c r="Q25">
        <v>0</v>
      </c>
      <c r="R25">
        <v>0</v>
      </c>
      <c r="S25">
        <v>77</v>
      </c>
      <c r="T25">
        <v>77</v>
      </c>
      <c r="U25">
        <v>0</v>
      </c>
      <c r="V25">
        <v>0</v>
      </c>
      <c r="W25">
        <v>0</v>
      </c>
      <c r="X25">
        <v>0</v>
      </c>
      <c r="Y25">
        <v>77</v>
      </c>
      <c r="Z25">
        <v>77</v>
      </c>
      <c r="AA25">
        <v>0</v>
      </c>
      <c r="AB25">
        <v>0</v>
      </c>
      <c r="AC25">
        <v>0</v>
      </c>
      <c r="AD25" s="138"/>
      <c r="AE25">
        <v>0</v>
      </c>
      <c r="AF25" s="138">
        <f>+Purchase[[#This Row],[IGST Total]]+Purchase[[#This Row],[CGST Total]]+Purchase[[#This Row],[SGST Total]]</f>
        <v>154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 s="138">
        <f>+Purchase[[#This Row],[IGST RCM Total]]+Purchase[[#This Row],[CGST RCM Total]]+Purchase[[#This Row],[SGST RCM Total]]</f>
        <v>0</v>
      </c>
      <c r="AP25" t="s">
        <v>175</v>
      </c>
    </row>
    <row r="26" spans="1:42" hidden="1" x14ac:dyDescent="0.25">
      <c r="A26" s="138" t="s">
        <v>38</v>
      </c>
      <c r="B26" t="s">
        <v>42</v>
      </c>
      <c r="C26" t="s">
        <v>227</v>
      </c>
      <c r="D26" s="150">
        <v>101</v>
      </c>
      <c r="E26" t="s">
        <v>201</v>
      </c>
      <c r="F26" t="s">
        <v>202</v>
      </c>
      <c r="G26" t="s">
        <v>276</v>
      </c>
      <c r="H26" s="150">
        <v>32874</v>
      </c>
      <c r="I26" s="139" t="s">
        <v>46</v>
      </c>
      <c r="J26">
        <v>1846</v>
      </c>
      <c r="K26">
        <v>282</v>
      </c>
      <c r="L26">
        <v>1564</v>
      </c>
      <c r="M26" t="s">
        <v>39</v>
      </c>
      <c r="N26" t="s">
        <v>275</v>
      </c>
      <c r="O26">
        <v>0</v>
      </c>
      <c r="P26">
        <v>0</v>
      </c>
      <c r="Q26">
        <v>0</v>
      </c>
      <c r="R26">
        <v>0</v>
      </c>
      <c r="S26">
        <v>141</v>
      </c>
      <c r="T26">
        <v>141</v>
      </c>
      <c r="U26">
        <v>0</v>
      </c>
      <c r="V26">
        <v>0</v>
      </c>
      <c r="W26">
        <v>0</v>
      </c>
      <c r="X26">
        <v>0</v>
      </c>
      <c r="Y26">
        <v>141</v>
      </c>
      <c r="Z26">
        <v>141</v>
      </c>
      <c r="AA26">
        <v>0</v>
      </c>
      <c r="AB26">
        <v>0</v>
      </c>
      <c r="AC26">
        <v>0</v>
      </c>
      <c r="AD26" s="138"/>
      <c r="AE26">
        <v>0</v>
      </c>
      <c r="AF26" s="138">
        <f>+Purchase[[#This Row],[IGST Total]]+Purchase[[#This Row],[CGST Total]]+Purchase[[#This Row],[SGST Total]]</f>
        <v>282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 s="138">
        <f>+Purchase[[#This Row],[IGST RCM Total]]+Purchase[[#This Row],[CGST RCM Total]]+Purchase[[#This Row],[SGST RCM Total]]</f>
        <v>0</v>
      </c>
      <c r="AP26" t="s">
        <v>175</v>
      </c>
    </row>
    <row r="27" spans="1:42" hidden="1" x14ac:dyDescent="0.25">
      <c r="A27" s="138" t="s">
        <v>38</v>
      </c>
      <c r="B27" t="s">
        <v>42</v>
      </c>
      <c r="C27" t="s">
        <v>228</v>
      </c>
      <c r="D27" s="150">
        <v>101</v>
      </c>
      <c r="E27" t="s">
        <v>201</v>
      </c>
      <c r="F27" t="s">
        <v>202</v>
      </c>
      <c r="G27" t="s">
        <v>277</v>
      </c>
      <c r="H27" s="150">
        <v>32878</v>
      </c>
      <c r="I27" s="139" t="s">
        <v>46</v>
      </c>
      <c r="J27">
        <v>4306</v>
      </c>
      <c r="K27">
        <v>526</v>
      </c>
      <c r="L27">
        <v>3780</v>
      </c>
      <c r="M27" t="s">
        <v>39</v>
      </c>
      <c r="N27" t="s">
        <v>275</v>
      </c>
      <c r="O27">
        <v>0</v>
      </c>
      <c r="P27">
        <v>0</v>
      </c>
      <c r="Q27">
        <v>30</v>
      </c>
      <c r="R27">
        <v>0</v>
      </c>
      <c r="S27">
        <v>233</v>
      </c>
      <c r="T27">
        <v>263</v>
      </c>
      <c r="U27">
        <v>0</v>
      </c>
      <c r="V27">
        <v>0</v>
      </c>
      <c r="W27">
        <v>30</v>
      </c>
      <c r="X27">
        <v>0</v>
      </c>
      <c r="Y27">
        <v>233</v>
      </c>
      <c r="Z27">
        <v>263</v>
      </c>
      <c r="AA27">
        <v>0</v>
      </c>
      <c r="AB27">
        <v>0</v>
      </c>
      <c r="AC27">
        <v>0</v>
      </c>
      <c r="AD27" s="138"/>
      <c r="AE27">
        <v>0</v>
      </c>
      <c r="AF27" s="138">
        <f>+Purchase[[#This Row],[IGST Total]]+Purchase[[#This Row],[CGST Total]]+Purchase[[#This Row],[SGST Total]]</f>
        <v>526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 s="138">
        <f>+Purchase[[#This Row],[IGST RCM Total]]+Purchase[[#This Row],[CGST RCM Total]]+Purchase[[#This Row],[SGST RCM Total]]</f>
        <v>0</v>
      </c>
      <c r="AP27" t="s">
        <v>175</v>
      </c>
    </row>
    <row r="28" spans="1:42" hidden="1" x14ac:dyDescent="0.25">
      <c r="A28" s="138" t="s">
        <v>38</v>
      </c>
      <c r="B28" t="s">
        <v>42</v>
      </c>
      <c r="C28" t="s">
        <v>229</v>
      </c>
      <c r="D28" s="150">
        <v>101</v>
      </c>
      <c r="E28" t="s">
        <v>201</v>
      </c>
      <c r="F28" t="s">
        <v>202</v>
      </c>
      <c r="G28" t="s">
        <v>278</v>
      </c>
      <c r="H28" s="150">
        <v>32878</v>
      </c>
      <c r="I28" s="139" t="s">
        <v>46</v>
      </c>
      <c r="J28">
        <v>50092</v>
      </c>
      <c r="K28">
        <v>4492</v>
      </c>
      <c r="L28">
        <v>45600</v>
      </c>
      <c r="M28" t="s">
        <v>39</v>
      </c>
      <c r="N28" t="s">
        <v>257</v>
      </c>
      <c r="O28">
        <v>0</v>
      </c>
      <c r="P28">
        <v>0</v>
      </c>
      <c r="Q28">
        <v>350</v>
      </c>
      <c r="R28">
        <v>1896</v>
      </c>
      <c r="S28">
        <v>0</v>
      </c>
      <c r="T28">
        <v>2246</v>
      </c>
      <c r="U28">
        <v>0</v>
      </c>
      <c r="V28">
        <v>0</v>
      </c>
      <c r="W28">
        <v>350</v>
      </c>
      <c r="X28">
        <v>1896</v>
      </c>
      <c r="Y28">
        <v>0</v>
      </c>
      <c r="Z28">
        <v>2246</v>
      </c>
      <c r="AA28">
        <v>0</v>
      </c>
      <c r="AB28">
        <v>0</v>
      </c>
      <c r="AC28">
        <v>0</v>
      </c>
      <c r="AD28" s="138"/>
      <c r="AE28">
        <v>0</v>
      </c>
      <c r="AF28" s="138">
        <f>+Purchase[[#This Row],[IGST Total]]+Purchase[[#This Row],[CGST Total]]+Purchase[[#This Row],[SGST Total]]</f>
        <v>4492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 s="138">
        <f>+Purchase[[#This Row],[IGST RCM Total]]+Purchase[[#This Row],[CGST RCM Total]]+Purchase[[#This Row],[SGST RCM Total]]</f>
        <v>0</v>
      </c>
      <c r="AP28" t="s">
        <v>175</v>
      </c>
    </row>
    <row r="29" spans="1:42" hidden="1" x14ac:dyDescent="0.25">
      <c r="A29" s="138" t="s">
        <v>38</v>
      </c>
      <c r="B29" t="s">
        <v>42</v>
      </c>
      <c r="C29" t="s">
        <v>230</v>
      </c>
      <c r="D29" s="150">
        <v>101</v>
      </c>
      <c r="E29" t="s">
        <v>201</v>
      </c>
      <c r="F29" t="s">
        <v>202</v>
      </c>
      <c r="G29" t="s">
        <v>279</v>
      </c>
      <c r="H29" s="150">
        <v>32878</v>
      </c>
      <c r="I29" s="139" t="s">
        <v>46</v>
      </c>
      <c r="J29">
        <v>1470</v>
      </c>
      <c r="K29">
        <v>70</v>
      </c>
      <c r="L29">
        <v>1400</v>
      </c>
      <c r="M29" t="s">
        <v>39</v>
      </c>
      <c r="N29" t="s">
        <v>257</v>
      </c>
      <c r="O29">
        <v>0</v>
      </c>
      <c r="P29">
        <v>0</v>
      </c>
      <c r="Q29">
        <v>35</v>
      </c>
      <c r="R29">
        <v>0</v>
      </c>
      <c r="S29">
        <v>0</v>
      </c>
      <c r="T29">
        <v>35</v>
      </c>
      <c r="U29">
        <v>0</v>
      </c>
      <c r="V29">
        <v>0</v>
      </c>
      <c r="W29">
        <v>35</v>
      </c>
      <c r="X29">
        <v>0</v>
      </c>
      <c r="Y29">
        <v>0</v>
      </c>
      <c r="Z29">
        <v>35</v>
      </c>
      <c r="AA29">
        <v>0</v>
      </c>
      <c r="AB29">
        <v>0</v>
      </c>
      <c r="AC29">
        <v>0</v>
      </c>
      <c r="AD29" s="138"/>
      <c r="AE29">
        <v>0</v>
      </c>
      <c r="AF29" s="138">
        <f>+Purchase[[#This Row],[IGST Total]]+Purchase[[#This Row],[CGST Total]]+Purchase[[#This Row],[SGST Total]]</f>
        <v>70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 s="138">
        <f>+Purchase[[#This Row],[IGST RCM Total]]+Purchase[[#This Row],[CGST RCM Total]]+Purchase[[#This Row],[SGST RCM Total]]</f>
        <v>0</v>
      </c>
      <c r="AP29" t="s">
        <v>175</v>
      </c>
    </row>
    <row r="30" spans="1:42" hidden="1" x14ac:dyDescent="0.25">
      <c r="A30" s="138" t="s">
        <v>38</v>
      </c>
      <c r="B30" t="s">
        <v>42</v>
      </c>
      <c r="C30" t="s">
        <v>231</v>
      </c>
      <c r="D30" s="150">
        <v>101</v>
      </c>
      <c r="E30" t="s">
        <v>201</v>
      </c>
      <c r="F30" t="s">
        <v>202</v>
      </c>
      <c r="G30" t="s">
        <v>280</v>
      </c>
      <c r="H30" s="150">
        <v>32882</v>
      </c>
      <c r="I30" s="139" t="s">
        <v>46</v>
      </c>
      <c r="J30">
        <v>4149.82</v>
      </c>
      <c r="K30">
        <v>633.02</v>
      </c>
      <c r="L30">
        <v>3516.8</v>
      </c>
      <c r="M30" t="s">
        <v>39</v>
      </c>
      <c r="N30" t="s">
        <v>281</v>
      </c>
      <c r="O30">
        <v>0</v>
      </c>
      <c r="P30">
        <v>0</v>
      </c>
      <c r="Q30">
        <v>0</v>
      </c>
      <c r="R30">
        <v>0</v>
      </c>
      <c r="S30">
        <v>316.51</v>
      </c>
      <c r="T30">
        <v>316.51</v>
      </c>
      <c r="U30">
        <v>0</v>
      </c>
      <c r="V30">
        <v>0</v>
      </c>
      <c r="W30">
        <v>0</v>
      </c>
      <c r="X30">
        <v>0</v>
      </c>
      <c r="Y30">
        <v>316.51</v>
      </c>
      <c r="Z30">
        <v>316.51</v>
      </c>
      <c r="AA30">
        <v>0</v>
      </c>
      <c r="AB30">
        <v>0</v>
      </c>
      <c r="AC30">
        <v>0</v>
      </c>
      <c r="AD30" s="138"/>
      <c r="AE30">
        <v>0</v>
      </c>
      <c r="AF30" s="138">
        <f>+Purchase[[#This Row],[IGST Total]]+Purchase[[#This Row],[CGST Total]]+Purchase[[#This Row],[SGST Total]]</f>
        <v>633.02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 s="138">
        <f>+Purchase[[#This Row],[IGST RCM Total]]+Purchase[[#This Row],[CGST RCM Total]]+Purchase[[#This Row],[SGST RCM Total]]</f>
        <v>0</v>
      </c>
      <c r="AP30" t="s">
        <v>175</v>
      </c>
    </row>
    <row r="31" spans="1:42" hidden="1" x14ac:dyDescent="0.25">
      <c r="A31" s="138" t="s">
        <v>38</v>
      </c>
      <c r="B31" t="s">
        <v>42</v>
      </c>
      <c r="C31" t="s">
        <v>232</v>
      </c>
      <c r="D31" s="150">
        <v>106</v>
      </c>
      <c r="E31" t="s">
        <v>201</v>
      </c>
      <c r="F31" t="s">
        <v>202</v>
      </c>
      <c r="G31" t="s">
        <v>282</v>
      </c>
      <c r="H31" s="150">
        <v>32887</v>
      </c>
      <c r="I31" s="139" t="s">
        <v>46</v>
      </c>
      <c r="J31">
        <v>2892</v>
      </c>
      <c r="K31">
        <v>442</v>
      </c>
      <c r="L31">
        <v>2450</v>
      </c>
      <c r="M31" t="s">
        <v>39</v>
      </c>
      <c r="N31" t="s">
        <v>275</v>
      </c>
      <c r="O31">
        <v>0</v>
      </c>
      <c r="P31">
        <v>0</v>
      </c>
      <c r="Q31">
        <v>0</v>
      </c>
      <c r="R31">
        <v>0</v>
      </c>
      <c r="S31">
        <v>221</v>
      </c>
      <c r="T31">
        <v>221</v>
      </c>
      <c r="U31">
        <v>0</v>
      </c>
      <c r="V31">
        <v>0</v>
      </c>
      <c r="W31">
        <v>0</v>
      </c>
      <c r="X31">
        <v>0</v>
      </c>
      <c r="Y31">
        <v>221</v>
      </c>
      <c r="Z31">
        <v>221</v>
      </c>
      <c r="AA31">
        <v>0</v>
      </c>
      <c r="AB31">
        <v>0</v>
      </c>
      <c r="AC31">
        <v>0</v>
      </c>
      <c r="AD31" s="138"/>
      <c r="AE31">
        <v>0</v>
      </c>
      <c r="AF31" s="138">
        <f>+Purchase[[#This Row],[IGST Total]]+Purchase[[#This Row],[CGST Total]]+Purchase[[#This Row],[SGST Total]]</f>
        <v>442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 s="138">
        <f>+Purchase[[#This Row],[IGST RCM Total]]+Purchase[[#This Row],[CGST RCM Total]]+Purchase[[#This Row],[SGST RCM Total]]</f>
        <v>0</v>
      </c>
      <c r="AP31" t="s">
        <v>175</v>
      </c>
    </row>
    <row r="32" spans="1:42" hidden="1" x14ac:dyDescent="0.25">
      <c r="A32" s="138" t="s">
        <v>38</v>
      </c>
      <c r="B32" t="s">
        <v>42</v>
      </c>
      <c r="C32" t="s">
        <v>233</v>
      </c>
      <c r="D32" s="150">
        <v>106</v>
      </c>
      <c r="E32" t="s">
        <v>201</v>
      </c>
      <c r="F32" t="s">
        <v>202</v>
      </c>
      <c r="G32" t="s">
        <v>283</v>
      </c>
      <c r="H32" s="150">
        <v>32888</v>
      </c>
      <c r="I32" s="139" t="s">
        <v>46</v>
      </c>
      <c r="J32">
        <v>2496.88</v>
      </c>
      <c r="K32">
        <v>380.88</v>
      </c>
      <c r="L32">
        <v>2116</v>
      </c>
      <c r="M32" t="s">
        <v>39</v>
      </c>
      <c r="N32" t="s">
        <v>281</v>
      </c>
      <c r="O32">
        <v>0</v>
      </c>
      <c r="P32">
        <v>0</v>
      </c>
      <c r="Q32">
        <v>0</v>
      </c>
      <c r="R32">
        <v>0</v>
      </c>
      <c r="S32">
        <v>190.44</v>
      </c>
      <c r="T32">
        <v>190.44</v>
      </c>
      <c r="U32">
        <v>0</v>
      </c>
      <c r="V32">
        <v>0</v>
      </c>
      <c r="W32">
        <v>0</v>
      </c>
      <c r="X32">
        <v>0</v>
      </c>
      <c r="Y32">
        <v>190.44</v>
      </c>
      <c r="Z32">
        <v>190.44</v>
      </c>
      <c r="AA32">
        <v>0</v>
      </c>
      <c r="AB32">
        <v>0</v>
      </c>
      <c r="AC32">
        <v>0</v>
      </c>
      <c r="AD32" s="138"/>
      <c r="AE32">
        <v>0</v>
      </c>
      <c r="AF32" s="138">
        <f>+Purchase[[#This Row],[IGST Total]]+Purchase[[#This Row],[CGST Total]]+Purchase[[#This Row],[SGST Total]]</f>
        <v>380.88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 s="138">
        <f>+Purchase[[#This Row],[IGST RCM Total]]+Purchase[[#This Row],[CGST RCM Total]]+Purchase[[#This Row],[SGST RCM Total]]</f>
        <v>0</v>
      </c>
      <c r="AP32" t="s">
        <v>175</v>
      </c>
    </row>
    <row r="33" spans="1:42" hidden="1" x14ac:dyDescent="0.25">
      <c r="A33" s="138" t="s">
        <v>38</v>
      </c>
      <c r="B33" t="s">
        <v>42</v>
      </c>
      <c r="C33" t="s">
        <v>234</v>
      </c>
      <c r="D33" s="150">
        <v>106</v>
      </c>
      <c r="E33" t="s">
        <v>201</v>
      </c>
      <c r="F33" t="s">
        <v>202</v>
      </c>
      <c r="G33" t="s">
        <v>284</v>
      </c>
      <c r="H33" s="150">
        <v>32887</v>
      </c>
      <c r="I33" s="139" t="s">
        <v>46</v>
      </c>
      <c r="J33">
        <v>13180.8</v>
      </c>
      <c r="K33">
        <v>2010</v>
      </c>
      <c r="L33">
        <v>11170.8</v>
      </c>
      <c r="M33" t="s">
        <v>39</v>
      </c>
      <c r="N33" t="s">
        <v>275</v>
      </c>
      <c r="O33">
        <v>0</v>
      </c>
      <c r="P33">
        <v>0</v>
      </c>
      <c r="Q33">
        <v>0</v>
      </c>
      <c r="R33">
        <v>0</v>
      </c>
      <c r="S33">
        <v>1005</v>
      </c>
      <c r="T33">
        <v>1005</v>
      </c>
      <c r="U33">
        <v>0</v>
      </c>
      <c r="V33">
        <v>0</v>
      </c>
      <c r="W33">
        <v>0</v>
      </c>
      <c r="X33">
        <v>0</v>
      </c>
      <c r="Y33">
        <v>1005</v>
      </c>
      <c r="Z33">
        <v>1005</v>
      </c>
      <c r="AA33">
        <v>0</v>
      </c>
      <c r="AB33">
        <v>0</v>
      </c>
      <c r="AC33">
        <v>0</v>
      </c>
      <c r="AD33" s="138"/>
      <c r="AE33">
        <v>0</v>
      </c>
      <c r="AF33" s="138">
        <f>+Purchase[[#This Row],[IGST Total]]+Purchase[[#This Row],[CGST Total]]+Purchase[[#This Row],[SGST Total]]</f>
        <v>2010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 s="138">
        <f>+Purchase[[#This Row],[IGST RCM Total]]+Purchase[[#This Row],[CGST RCM Total]]+Purchase[[#This Row],[SGST RCM Total]]</f>
        <v>0</v>
      </c>
      <c r="AP33" t="s">
        <v>175</v>
      </c>
    </row>
    <row r="34" spans="1:42" hidden="1" x14ac:dyDescent="0.25">
      <c r="A34" s="138" t="s">
        <v>38</v>
      </c>
      <c r="B34" t="s">
        <v>42</v>
      </c>
      <c r="C34" t="s">
        <v>240</v>
      </c>
      <c r="D34" s="150">
        <v>106</v>
      </c>
      <c r="E34" t="s">
        <v>201</v>
      </c>
      <c r="F34" t="s">
        <v>202</v>
      </c>
      <c r="G34" t="s">
        <v>285</v>
      </c>
      <c r="H34" s="150">
        <v>32887</v>
      </c>
      <c r="I34" s="139" t="s">
        <v>46</v>
      </c>
      <c r="J34">
        <v>7929.3</v>
      </c>
      <c r="K34">
        <v>1210</v>
      </c>
      <c r="L34">
        <v>6719.3</v>
      </c>
      <c r="M34" t="s">
        <v>39</v>
      </c>
      <c r="N34" t="s">
        <v>275</v>
      </c>
      <c r="O34">
        <v>0</v>
      </c>
      <c r="P34">
        <v>0</v>
      </c>
      <c r="Q34">
        <v>0</v>
      </c>
      <c r="R34">
        <v>0</v>
      </c>
      <c r="S34">
        <v>605</v>
      </c>
      <c r="T34">
        <v>605</v>
      </c>
      <c r="U34">
        <v>0</v>
      </c>
      <c r="V34">
        <v>0</v>
      </c>
      <c r="W34">
        <v>0</v>
      </c>
      <c r="X34">
        <v>0</v>
      </c>
      <c r="Y34">
        <v>605</v>
      </c>
      <c r="Z34">
        <v>605</v>
      </c>
      <c r="AA34">
        <v>0</v>
      </c>
      <c r="AB34">
        <v>0</v>
      </c>
      <c r="AC34">
        <v>0</v>
      </c>
      <c r="AD34" s="138"/>
      <c r="AE34">
        <v>0</v>
      </c>
      <c r="AF34" s="138">
        <f>+Purchase[[#This Row],[IGST Total]]+Purchase[[#This Row],[CGST Total]]+Purchase[[#This Row],[SGST Total]]</f>
        <v>1210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 s="138">
        <f>+Purchase[[#This Row],[IGST RCM Total]]+Purchase[[#This Row],[CGST RCM Total]]+Purchase[[#This Row],[SGST RCM Total]]</f>
        <v>0</v>
      </c>
      <c r="AP34" t="s">
        <v>175</v>
      </c>
    </row>
    <row r="35" spans="1:42" hidden="1" x14ac:dyDescent="0.25">
      <c r="A35" s="138" t="s">
        <v>38</v>
      </c>
      <c r="B35" t="s">
        <v>42</v>
      </c>
      <c r="C35" t="s">
        <v>235</v>
      </c>
      <c r="D35" s="150">
        <v>117</v>
      </c>
      <c r="E35" t="s">
        <v>201</v>
      </c>
      <c r="F35" t="s">
        <v>202</v>
      </c>
      <c r="G35" t="s">
        <v>286</v>
      </c>
      <c r="H35" s="150">
        <v>32888</v>
      </c>
      <c r="I35" s="139" t="s">
        <v>46</v>
      </c>
      <c r="J35">
        <v>5974.1</v>
      </c>
      <c r="K35">
        <v>911.3</v>
      </c>
      <c r="L35">
        <v>5062.8</v>
      </c>
      <c r="M35" t="s">
        <v>39</v>
      </c>
      <c r="N35" t="s">
        <v>281</v>
      </c>
      <c r="O35">
        <v>0</v>
      </c>
      <c r="P35">
        <v>0</v>
      </c>
      <c r="Q35">
        <v>0</v>
      </c>
      <c r="R35">
        <v>0</v>
      </c>
      <c r="S35">
        <v>455.65</v>
      </c>
      <c r="T35">
        <v>455.65</v>
      </c>
      <c r="U35">
        <v>0</v>
      </c>
      <c r="V35">
        <v>0</v>
      </c>
      <c r="W35">
        <v>0</v>
      </c>
      <c r="X35">
        <v>0</v>
      </c>
      <c r="Y35">
        <v>455.65</v>
      </c>
      <c r="Z35">
        <v>455.65</v>
      </c>
      <c r="AA35">
        <v>0</v>
      </c>
      <c r="AB35">
        <v>0</v>
      </c>
      <c r="AC35">
        <v>0</v>
      </c>
      <c r="AD35" s="138"/>
      <c r="AE35">
        <v>0</v>
      </c>
      <c r="AF35" s="138">
        <f>+Purchase[[#This Row],[IGST Total]]+Purchase[[#This Row],[CGST Total]]+Purchase[[#This Row],[SGST Total]]</f>
        <v>911.3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 s="138">
        <f>+Purchase[[#This Row],[IGST RCM Total]]+Purchase[[#This Row],[CGST RCM Total]]+Purchase[[#This Row],[SGST RCM Total]]</f>
        <v>0</v>
      </c>
      <c r="AP35" t="s">
        <v>175</v>
      </c>
    </row>
    <row r="36" spans="1:42" hidden="1" x14ac:dyDescent="0.25">
      <c r="A36" s="138" t="s">
        <v>38</v>
      </c>
      <c r="B36" t="s">
        <v>42</v>
      </c>
      <c r="C36" t="s">
        <v>287</v>
      </c>
      <c r="D36" s="150">
        <v>106</v>
      </c>
      <c r="E36" t="s">
        <v>201</v>
      </c>
      <c r="F36" t="s">
        <v>202</v>
      </c>
      <c r="G36" t="s">
        <v>288</v>
      </c>
      <c r="H36" s="150">
        <v>32882</v>
      </c>
      <c r="I36" s="139" t="s">
        <v>46</v>
      </c>
      <c r="J36">
        <v>3894</v>
      </c>
      <c r="K36">
        <v>594</v>
      </c>
      <c r="L36">
        <v>3300</v>
      </c>
      <c r="M36" t="s">
        <v>39</v>
      </c>
      <c r="N36" t="s">
        <v>244</v>
      </c>
      <c r="O36">
        <v>0</v>
      </c>
      <c r="P36">
        <v>0</v>
      </c>
      <c r="Q36">
        <v>0</v>
      </c>
      <c r="R36">
        <v>0</v>
      </c>
      <c r="S36">
        <v>297</v>
      </c>
      <c r="T36">
        <v>297</v>
      </c>
      <c r="U36">
        <v>0</v>
      </c>
      <c r="V36">
        <v>0</v>
      </c>
      <c r="W36">
        <v>0</v>
      </c>
      <c r="X36">
        <v>0</v>
      </c>
      <c r="Y36">
        <v>297</v>
      </c>
      <c r="Z36">
        <v>297</v>
      </c>
      <c r="AA36">
        <v>0</v>
      </c>
      <c r="AB36">
        <v>0</v>
      </c>
      <c r="AC36">
        <v>0</v>
      </c>
      <c r="AD36" s="138"/>
      <c r="AE36">
        <v>0</v>
      </c>
      <c r="AF36" s="138">
        <f>+Purchase[[#This Row],[IGST Total]]+Purchase[[#This Row],[CGST Total]]+Purchase[[#This Row],[SGST Total]]</f>
        <v>594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 s="138">
        <f>+Purchase[[#This Row],[IGST RCM Total]]+Purchase[[#This Row],[CGST RCM Total]]+Purchase[[#This Row],[SGST RCM Total]]</f>
        <v>0</v>
      </c>
      <c r="AP36" t="s">
        <v>175</v>
      </c>
    </row>
    <row r="37" spans="1:42" hidden="1" x14ac:dyDescent="0.25">
      <c r="A37" s="138" t="s">
        <v>38</v>
      </c>
      <c r="B37" t="s">
        <v>42</v>
      </c>
      <c r="C37" t="s">
        <v>237</v>
      </c>
      <c r="D37" s="150">
        <v>106</v>
      </c>
      <c r="E37" t="s">
        <v>201</v>
      </c>
      <c r="F37" t="s">
        <v>202</v>
      </c>
      <c r="G37" t="s">
        <v>289</v>
      </c>
      <c r="H37" s="150">
        <v>32884</v>
      </c>
      <c r="I37" s="139" t="s">
        <v>46</v>
      </c>
      <c r="J37">
        <v>3658</v>
      </c>
      <c r="K37">
        <v>558</v>
      </c>
      <c r="L37">
        <v>3100</v>
      </c>
      <c r="M37" t="s">
        <v>39</v>
      </c>
      <c r="N37" t="s">
        <v>290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558</v>
      </c>
      <c r="AD37" s="138"/>
      <c r="AE37">
        <v>558</v>
      </c>
      <c r="AF37" s="138">
        <f>+Purchase[[#This Row],[IGST Total]]+Purchase[[#This Row],[CGST Total]]+Purchase[[#This Row],[SGST Total]]</f>
        <v>558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 s="138">
        <f>+Purchase[[#This Row],[IGST RCM Total]]+Purchase[[#This Row],[CGST RCM Total]]+Purchase[[#This Row],[SGST RCM Total]]</f>
        <v>0</v>
      </c>
      <c r="AP37" t="s">
        <v>177</v>
      </c>
    </row>
    <row r="38" spans="1:42" hidden="1" x14ac:dyDescent="0.25">
      <c r="A38" s="138" t="s">
        <v>38</v>
      </c>
      <c r="B38" t="s">
        <v>42</v>
      </c>
      <c r="C38" t="s">
        <v>291</v>
      </c>
      <c r="D38" s="150">
        <v>106</v>
      </c>
      <c r="E38" t="s">
        <v>201</v>
      </c>
      <c r="F38" t="s">
        <v>202</v>
      </c>
      <c r="G38" t="s">
        <v>292</v>
      </c>
      <c r="H38" s="150">
        <v>32888</v>
      </c>
      <c r="I38" s="139" t="s">
        <v>46</v>
      </c>
      <c r="J38">
        <v>3581.16</v>
      </c>
      <c r="K38">
        <v>546.28</v>
      </c>
      <c r="L38">
        <v>3034.88</v>
      </c>
      <c r="M38" t="s">
        <v>39</v>
      </c>
      <c r="N38" t="s">
        <v>281</v>
      </c>
      <c r="O38">
        <v>0</v>
      </c>
      <c r="P38">
        <v>0</v>
      </c>
      <c r="Q38">
        <v>0</v>
      </c>
      <c r="R38">
        <v>0</v>
      </c>
      <c r="S38">
        <v>273.14</v>
      </c>
      <c r="T38">
        <v>273.14</v>
      </c>
      <c r="U38">
        <v>0</v>
      </c>
      <c r="V38">
        <v>0</v>
      </c>
      <c r="W38">
        <v>0</v>
      </c>
      <c r="X38">
        <v>0</v>
      </c>
      <c r="Y38">
        <v>273.14</v>
      </c>
      <c r="Z38">
        <v>273.14</v>
      </c>
      <c r="AA38">
        <v>0</v>
      </c>
      <c r="AB38">
        <v>0</v>
      </c>
      <c r="AC38">
        <v>0</v>
      </c>
      <c r="AD38" s="138"/>
      <c r="AE38">
        <v>0</v>
      </c>
      <c r="AF38" s="138">
        <f>+Purchase[[#This Row],[IGST Total]]+Purchase[[#This Row],[CGST Total]]+Purchase[[#This Row],[SGST Total]]</f>
        <v>546.28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 s="138">
        <f>+Purchase[[#This Row],[IGST RCM Total]]+Purchase[[#This Row],[CGST RCM Total]]+Purchase[[#This Row],[SGST RCM Total]]</f>
        <v>0</v>
      </c>
      <c r="AP38" t="s">
        <v>175</v>
      </c>
    </row>
    <row r="39" spans="1:42" hidden="1" x14ac:dyDescent="0.25">
      <c r="A39" s="138" t="s">
        <v>38</v>
      </c>
      <c r="B39" t="s">
        <v>42</v>
      </c>
      <c r="C39" t="s">
        <v>241</v>
      </c>
      <c r="D39" s="150">
        <v>106</v>
      </c>
      <c r="E39" t="s">
        <v>201</v>
      </c>
      <c r="F39" t="s">
        <v>202</v>
      </c>
      <c r="G39" t="s">
        <v>293</v>
      </c>
      <c r="H39" s="150">
        <v>32887</v>
      </c>
      <c r="I39" s="139" t="s">
        <v>46</v>
      </c>
      <c r="J39">
        <v>684.4</v>
      </c>
      <c r="K39">
        <v>104.4</v>
      </c>
      <c r="L39">
        <v>580</v>
      </c>
      <c r="M39" t="s">
        <v>39</v>
      </c>
      <c r="N39" t="s">
        <v>244</v>
      </c>
      <c r="O39">
        <v>0</v>
      </c>
      <c r="P39">
        <v>0</v>
      </c>
      <c r="Q39">
        <v>0</v>
      </c>
      <c r="R39">
        <v>0</v>
      </c>
      <c r="S39">
        <v>52.2</v>
      </c>
      <c r="T39">
        <v>52.2</v>
      </c>
      <c r="U39">
        <v>0</v>
      </c>
      <c r="V39">
        <v>0</v>
      </c>
      <c r="W39">
        <v>0</v>
      </c>
      <c r="X39">
        <v>0</v>
      </c>
      <c r="Y39">
        <v>52.2</v>
      </c>
      <c r="Z39">
        <v>52.2</v>
      </c>
      <c r="AA39">
        <v>0</v>
      </c>
      <c r="AB39">
        <v>0</v>
      </c>
      <c r="AC39">
        <v>0</v>
      </c>
      <c r="AD39" s="138"/>
      <c r="AE39">
        <v>0</v>
      </c>
      <c r="AF39" s="138">
        <f>+Purchase[[#This Row],[IGST Total]]+Purchase[[#This Row],[CGST Total]]+Purchase[[#This Row],[SGST Total]]</f>
        <v>104.4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 s="138">
        <f>+Purchase[[#This Row],[IGST RCM Total]]+Purchase[[#This Row],[CGST RCM Total]]+Purchase[[#This Row],[SGST RCM Total]]</f>
        <v>0</v>
      </c>
      <c r="AP39" t="s">
        <v>175</v>
      </c>
    </row>
    <row r="40" spans="1:42" hidden="1" x14ac:dyDescent="0.25">
      <c r="A40" s="138" t="s">
        <v>38</v>
      </c>
      <c r="B40" t="s">
        <v>42</v>
      </c>
      <c r="C40" t="s">
        <v>294</v>
      </c>
      <c r="D40" s="150">
        <v>106</v>
      </c>
      <c r="E40" t="s">
        <v>201</v>
      </c>
      <c r="F40" t="s">
        <v>202</v>
      </c>
      <c r="G40" t="s">
        <v>295</v>
      </c>
      <c r="H40" s="150">
        <v>32884</v>
      </c>
      <c r="I40" s="139" t="s">
        <v>46</v>
      </c>
      <c r="J40">
        <v>8979.7999999999993</v>
      </c>
      <c r="K40">
        <v>1369.8</v>
      </c>
      <c r="L40">
        <v>7610</v>
      </c>
      <c r="M40" t="s">
        <v>39</v>
      </c>
      <c r="N40" t="s">
        <v>296</v>
      </c>
      <c r="O40">
        <v>0</v>
      </c>
      <c r="P40">
        <v>0</v>
      </c>
      <c r="Q40">
        <v>0</v>
      </c>
      <c r="R40">
        <v>0</v>
      </c>
      <c r="S40">
        <v>684.9</v>
      </c>
      <c r="T40">
        <v>684.9</v>
      </c>
      <c r="U40">
        <v>0</v>
      </c>
      <c r="V40">
        <v>0</v>
      </c>
      <c r="W40">
        <v>0</v>
      </c>
      <c r="X40">
        <v>0</v>
      </c>
      <c r="Y40">
        <v>684.9</v>
      </c>
      <c r="Z40">
        <v>684.9</v>
      </c>
      <c r="AA40">
        <v>0</v>
      </c>
      <c r="AB40">
        <v>0</v>
      </c>
      <c r="AC40">
        <v>0</v>
      </c>
      <c r="AD40" s="138"/>
      <c r="AE40">
        <v>0</v>
      </c>
      <c r="AF40" s="138">
        <f>+Purchase[[#This Row],[IGST Total]]+Purchase[[#This Row],[CGST Total]]+Purchase[[#This Row],[SGST Total]]</f>
        <v>1369.8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 s="138">
        <f>+Purchase[[#This Row],[IGST RCM Total]]+Purchase[[#This Row],[CGST RCM Total]]+Purchase[[#This Row],[SGST RCM Total]]</f>
        <v>0</v>
      </c>
      <c r="AP40" t="s">
        <v>175</v>
      </c>
    </row>
    <row r="41" spans="1:42" hidden="1" x14ac:dyDescent="0.25">
      <c r="A41" s="138" t="s">
        <v>38</v>
      </c>
      <c r="B41" t="s">
        <v>42</v>
      </c>
      <c r="C41" t="s">
        <v>297</v>
      </c>
      <c r="D41" s="150">
        <v>106</v>
      </c>
      <c r="E41" t="s">
        <v>201</v>
      </c>
      <c r="F41" t="s">
        <v>202</v>
      </c>
      <c r="G41" t="s">
        <v>298</v>
      </c>
      <c r="H41" s="150">
        <v>32885</v>
      </c>
      <c r="I41" s="139" t="s">
        <v>46</v>
      </c>
      <c r="J41">
        <v>28231.5</v>
      </c>
      <c r="K41">
        <v>4306.5</v>
      </c>
      <c r="L41">
        <v>23925</v>
      </c>
      <c r="M41" t="s">
        <v>39</v>
      </c>
      <c r="N41" t="s">
        <v>257</v>
      </c>
      <c r="O41">
        <v>0</v>
      </c>
      <c r="P41">
        <v>0</v>
      </c>
      <c r="Q41">
        <v>0</v>
      </c>
      <c r="R41">
        <v>0</v>
      </c>
      <c r="S41">
        <v>2153.25</v>
      </c>
      <c r="T41">
        <v>2153.25</v>
      </c>
      <c r="U41">
        <v>0</v>
      </c>
      <c r="V41">
        <v>0</v>
      </c>
      <c r="W41">
        <v>0</v>
      </c>
      <c r="X41">
        <v>0</v>
      </c>
      <c r="Y41">
        <v>2153.25</v>
      </c>
      <c r="Z41">
        <v>2153.25</v>
      </c>
      <c r="AA41">
        <v>0</v>
      </c>
      <c r="AB41">
        <v>0</v>
      </c>
      <c r="AC41">
        <v>0</v>
      </c>
      <c r="AD41" s="138"/>
      <c r="AE41">
        <v>0</v>
      </c>
      <c r="AF41" s="138">
        <f>+Purchase[[#This Row],[IGST Total]]+Purchase[[#This Row],[CGST Total]]+Purchase[[#This Row],[SGST Total]]</f>
        <v>4306.5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 s="138">
        <f>+Purchase[[#This Row],[IGST RCM Total]]+Purchase[[#This Row],[CGST RCM Total]]+Purchase[[#This Row],[SGST RCM Total]]</f>
        <v>0</v>
      </c>
      <c r="AP41" t="s">
        <v>175</v>
      </c>
    </row>
    <row r="42" spans="1:42" hidden="1" x14ac:dyDescent="0.25">
      <c r="A42" s="138" t="s">
        <v>38</v>
      </c>
      <c r="B42" t="s">
        <v>42</v>
      </c>
      <c r="C42" t="s">
        <v>299</v>
      </c>
      <c r="D42" s="150">
        <v>106</v>
      </c>
      <c r="E42" t="s">
        <v>201</v>
      </c>
      <c r="F42" t="s">
        <v>202</v>
      </c>
      <c r="G42" t="s">
        <v>300</v>
      </c>
      <c r="H42" s="150">
        <v>32884</v>
      </c>
      <c r="I42" s="139" t="s">
        <v>46</v>
      </c>
      <c r="J42">
        <v>817.74</v>
      </c>
      <c r="K42">
        <v>124.74</v>
      </c>
      <c r="L42">
        <v>693</v>
      </c>
      <c r="M42" t="s">
        <v>39</v>
      </c>
      <c r="N42" t="s">
        <v>244</v>
      </c>
      <c r="O42">
        <v>0</v>
      </c>
      <c r="P42">
        <v>0</v>
      </c>
      <c r="Q42">
        <v>0</v>
      </c>
      <c r="R42">
        <v>0</v>
      </c>
      <c r="S42">
        <v>62.37</v>
      </c>
      <c r="T42">
        <v>62.37</v>
      </c>
      <c r="U42">
        <v>0</v>
      </c>
      <c r="V42">
        <v>0</v>
      </c>
      <c r="W42">
        <v>0</v>
      </c>
      <c r="X42">
        <v>0</v>
      </c>
      <c r="Y42">
        <v>62.37</v>
      </c>
      <c r="Z42">
        <v>62.37</v>
      </c>
      <c r="AA42">
        <v>0</v>
      </c>
      <c r="AB42">
        <v>0</v>
      </c>
      <c r="AC42">
        <v>0</v>
      </c>
      <c r="AD42" s="138"/>
      <c r="AE42">
        <v>0</v>
      </c>
      <c r="AF42" s="138">
        <f>+Purchase[[#This Row],[IGST Total]]+Purchase[[#This Row],[CGST Total]]+Purchase[[#This Row],[SGST Total]]</f>
        <v>124.74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 s="138">
        <f>+Purchase[[#This Row],[IGST RCM Total]]+Purchase[[#This Row],[CGST RCM Total]]+Purchase[[#This Row],[SGST RCM Total]]</f>
        <v>0</v>
      </c>
      <c r="AP42" t="s">
        <v>175</v>
      </c>
    </row>
    <row r="43" spans="1:42" hidden="1" x14ac:dyDescent="0.25">
      <c r="A43" s="138" t="s">
        <v>38</v>
      </c>
      <c r="B43" t="s">
        <v>42</v>
      </c>
      <c r="C43" t="s">
        <v>301</v>
      </c>
      <c r="D43" s="150">
        <v>106</v>
      </c>
      <c r="E43" t="s">
        <v>201</v>
      </c>
      <c r="F43" t="s">
        <v>202</v>
      </c>
      <c r="G43" t="s">
        <v>302</v>
      </c>
      <c r="H43" s="150">
        <v>32884</v>
      </c>
      <c r="I43" s="139" t="s">
        <v>46</v>
      </c>
      <c r="J43">
        <v>1274.4000000000001</v>
      </c>
      <c r="K43">
        <v>194.4</v>
      </c>
      <c r="L43">
        <v>1080</v>
      </c>
      <c r="M43" t="s">
        <v>39</v>
      </c>
      <c r="N43" t="s">
        <v>244</v>
      </c>
      <c r="O43">
        <v>0</v>
      </c>
      <c r="P43">
        <v>0</v>
      </c>
      <c r="Q43">
        <v>0</v>
      </c>
      <c r="R43">
        <v>0</v>
      </c>
      <c r="S43">
        <v>97.2</v>
      </c>
      <c r="T43">
        <v>97.2</v>
      </c>
      <c r="U43">
        <v>0</v>
      </c>
      <c r="V43">
        <v>0</v>
      </c>
      <c r="W43">
        <v>0</v>
      </c>
      <c r="X43">
        <v>0</v>
      </c>
      <c r="Y43">
        <v>97.2</v>
      </c>
      <c r="Z43">
        <v>97.2</v>
      </c>
      <c r="AA43">
        <v>0</v>
      </c>
      <c r="AB43">
        <v>0</v>
      </c>
      <c r="AC43">
        <v>0</v>
      </c>
      <c r="AD43" s="138"/>
      <c r="AE43">
        <v>0</v>
      </c>
      <c r="AF43" s="138">
        <f>+Purchase[[#This Row],[IGST Total]]+Purchase[[#This Row],[CGST Total]]+Purchase[[#This Row],[SGST Total]]</f>
        <v>194.4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 s="138">
        <f>+Purchase[[#This Row],[IGST RCM Total]]+Purchase[[#This Row],[CGST RCM Total]]+Purchase[[#This Row],[SGST RCM Total]]</f>
        <v>0</v>
      </c>
      <c r="AP43" t="s">
        <v>175</v>
      </c>
    </row>
    <row r="44" spans="1:42" hidden="1" x14ac:dyDescent="0.25">
      <c r="A44" s="138" t="s">
        <v>38</v>
      </c>
      <c r="B44" t="s">
        <v>42</v>
      </c>
      <c r="C44" t="s">
        <v>205</v>
      </c>
      <c r="D44" s="150">
        <v>117</v>
      </c>
      <c r="E44" t="s">
        <v>201</v>
      </c>
      <c r="F44" t="s">
        <v>202</v>
      </c>
      <c r="G44" t="s">
        <v>303</v>
      </c>
      <c r="H44" s="150">
        <v>32884</v>
      </c>
      <c r="I44" s="139" t="s">
        <v>46</v>
      </c>
      <c r="J44">
        <v>7941.4</v>
      </c>
      <c r="K44">
        <v>1211.4000000000001</v>
      </c>
      <c r="L44">
        <v>6730</v>
      </c>
      <c r="M44" t="s">
        <v>39</v>
      </c>
      <c r="N44" t="s">
        <v>304</v>
      </c>
      <c r="O44">
        <v>0</v>
      </c>
      <c r="P44">
        <v>0</v>
      </c>
      <c r="Q44">
        <v>0</v>
      </c>
      <c r="R44">
        <v>0</v>
      </c>
      <c r="S44">
        <v>605.70000000000005</v>
      </c>
      <c r="T44">
        <v>605.70000000000005</v>
      </c>
      <c r="U44">
        <v>0</v>
      </c>
      <c r="V44">
        <v>0</v>
      </c>
      <c r="W44">
        <v>0</v>
      </c>
      <c r="X44">
        <v>0</v>
      </c>
      <c r="Y44">
        <v>605.70000000000005</v>
      </c>
      <c r="Z44">
        <v>605.70000000000005</v>
      </c>
      <c r="AA44">
        <v>0</v>
      </c>
      <c r="AB44">
        <v>0</v>
      </c>
      <c r="AC44">
        <v>0</v>
      </c>
      <c r="AD44" s="138"/>
      <c r="AE44">
        <v>0</v>
      </c>
      <c r="AF44" s="138">
        <f>+Purchase[[#This Row],[IGST Total]]+Purchase[[#This Row],[CGST Total]]+Purchase[[#This Row],[SGST Total]]</f>
        <v>1211.4000000000001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 s="138">
        <f>+Purchase[[#This Row],[IGST RCM Total]]+Purchase[[#This Row],[CGST RCM Total]]+Purchase[[#This Row],[SGST RCM Total]]</f>
        <v>0</v>
      </c>
      <c r="AP44" t="s">
        <v>175</v>
      </c>
    </row>
    <row r="45" spans="1:42" hidden="1" x14ac:dyDescent="0.25">
      <c r="A45" s="138" t="s">
        <v>38</v>
      </c>
      <c r="B45" t="s">
        <v>42</v>
      </c>
      <c r="C45" t="s">
        <v>305</v>
      </c>
      <c r="D45" s="150">
        <v>106</v>
      </c>
      <c r="E45" t="s">
        <v>201</v>
      </c>
      <c r="F45" t="s">
        <v>202</v>
      </c>
      <c r="G45" t="s">
        <v>306</v>
      </c>
      <c r="H45" s="150">
        <v>32884</v>
      </c>
      <c r="I45" s="139" t="s">
        <v>46</v>
      </c>
      <c r="J45">
        <v>2100.4</v>
      </c>
      <c r="K45">
        <v>320.39999999999998</v>
      </c>
      <c r="L45">
        <v>1780</v>
      </c>
      <c r="M45" t="s">
        <v>39</v>
      </c>
      <c r="N45" t="s">
        <v>244</v>
      </c>
      <c r="O45">
        <v>0</v>
      </c>
      <c r="P45">
        <v>0</v>
      </c>
      <c r="Q45">
        <v>0</v>
      </c>
      <c r="R45">
        <v>0</v>
      </c>
      <c r="S45">
        <v>160.19999999999999</v>
      </c>
      <c r="T45">
        <v>160.19999999999999</v>
      </c>
      <c r="U45">
        <v>0</v>
      </c>
      <c r="V45">
        <v>0</v>
      </c>
      <c r="W45">
        <v>0</v>
      </c>
      <c r="X45">
        <v>0</v>
      </c>
      <c r="Y45">
        <v>160.19999999999999</v>
      </c>
      <c r="Z45">
        <v>160.19999999999999</v>
      </c>
      <c r="AA45">
        <v>0</v>
      </c>
      <c r="AB45">
        <v>0</v>
      </c>
      <c r="AC45">
        <v>0</v>
      </c>
      <c r="AD45" s="138"/>
      <c r="AE45">
        <v>0</v>
      </c>
      <c r="AF45" s="138">
        <f>+Purchase[[#This Row],[IGST Total]]+Purchase[[#This Row],[CGST Total]]+Purchase[[#This Row],[SGST Total]]</f>
        <v>320.39999999999998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 s="138">
        <f>+Purchase[[#This Row],[IGST RCM Total]]+Purchase[[#This Row],[CGST RCM Total]]+Purchase[[#This Row],[SGST RCM Total]]</f>
        <v>0</v>
      </c>
      <c r="AP45" t="s">
        <v>175</v>
      </c>
    </row>
    <row r="46" spans="1:42" hidden="1" x14ac:dyDescent="0.25">
      <c r="A46" s="138" t="s">
        <v>38</v>
      </c>
      <c r="B46" t="s">
        <v>42</v>
      </c>
      <c r="C46" t="s">
        <v>307</v>
      </c>
      <c r="D46" s="150">
        <v>106</v>
      </c>
      <c r="E46" t="s">
        <v>201</v>
      </c>
      <c r="F46" t="s">
        <v>202</v>
      </c>
      <c r="G46" t="s">
        <v>308</v>
      </c>
      <c r="H46" s="150">
        <v>32884</v>
      </c>
      <c r="I46" s="139" t="s">
        <v>46</v>
      </c>
      <c r="J46">
        <v>3320</v>
      </c>
      <c r="K46">
        <v>486</v>
      </c>
      <c r="L46">
        <v>2834</v>
      </c>
      <c r="M46" t="s">
        <v>39</v>
      </c>
      <c r="N46" t="s">
        <v>275</v>
      </c>
      <c r="O46">
        <v>0</v>
      </c>
      <c r="P46">
        <v>0</v>
      </c>
      <c r="Q46">
        <v>0</v>
      </c>
      <c r="R46">
        <v>24</v>
      </c>
      <c r="S46">
        <v>219</v>
      </c>
      <c r="T46">
        <v>243</v>
      </c>
      <c r="U46">
        <v>0</v>
      </c>
      <c r="V46">
        <v>0</v>
      </c>
      <c r="W46">
        <v>0</v>
      </c>
      <c r="X46">
        <v>24</v>
      </c>
      <c r="Y46">
        <v>219</v>
      </c>
      <c r="Z46">
        <v>243</v>
      </c>
      <c r="AA46">
        <v>0</v>
      </c>
      <c r="AB46">
        <v>0</v>
      </c>
      <c r="AC46">
        <v>0</v>
      </c>
      <c r="AD46" s="138"/>
      <c r="AE46">
        <v>0</v>
      </c>
      <c r="AF46" s="138">
        <f>+Purchase[[#This Row],[IGST Total]]+Purchase[[#This Row],[CGST Total]]+Purchase[[#This Row],[SGST Total]]</f>
        <v>486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 s="138">
        <f>+Purchase[[#This Row],[IGST RCM Total]]+Purchase[[#This Row],[CGST RCM Total]]+Purchase[[#This Row],[SGST RCM Total]]</f>
        <v>0</v>
      </c>
      <c r="AP46" t="s">
        <v>175</v>
      </c>
    </row>
    <row r="47" spans="1:42" hidden="1" x14ac:dyDescent="0.25">
      <c r="A47" s="138" t="s">
        <v>38</v>
      </c>
      <c r="B47" t="s">
        <v>42</v>
      </c>
      <c r="C47" t="s">
        <v>309</v>
      </c>
      <c r="D47" s="150">
        <v>106</v>
      </c>
      <c r="E47" t="s">
        <v>201</v>
      </c>
      <c r="F47" t="s">
        <v>202</v>
      </c>
      <c r="G47" t="s">
        <v>310</v>
      </c>
      <c r="H47" s="150">
        <v>32882</v>
      </c>
      <c r="I47" s="139" t="s">
        <v>46</v>
      </c>
      <c r="J47">
        <v>1288</v>
      </c>
      <c r="K47">
        <v>198</v>
      </c>
      <c r="L47">
        <v>1090</v>
      </c>
      <c r="M47" t="s">
        <v>39</v>
      </c>
      <c r="N47" t="s">
        <v>275</v>
      </c>
      <c r="O47">
        <v>0</v>
      </c>
      <c r="P47">
        <v>0</v>
      </c>
      <c r="Q47">
        <v>0</v>
      </c>
      <c r="R47">
        <v>0</v>
      </c>
      <c r="S47">
        <v>99</v>
      </c>
      <c r="T47">
        <v>99</v>
      </c>
      <c r="U47">
        <v>0</v>
      </c>
      <c r="V47">
        <v>0</v>
      </c>
      <c r="W47">
        <v>0</v>
      </c>
      <c r="X47">
        <v>0</v>
      </c>
      <c r="Y47">
        <v>99</v>
      </c>
      <c r="Z47">
        <v>99</v>
      </c>
      <c r="AA47">
        <v>0</v>
      </c>
      <c r="AB47">
        <v>0</v>
      </c>
      <c r="AC47">
        <v>0</v>
      </c>
      <c r="AD47" s="138"/>
      <c r="AE47">
        <v>0</v>
      </c>
      <c r="AF47" s="138">
        <f>+Purchase[[#This Row],[IGST Total]]+Purchase[[#This Row],[CGST Total]]+Purchase[[#This Row],[SGST Total]]</f>
        <v>198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38">
        <f>+Purchase[[#This Row],[IGST RCM Total]]+Purchase[[#This Row],[CGST RCM Total]]+Purchase[[#This Row],[SGST RCM Total]]</f>
        <v>0</v>
      </c>
      <c r="AP47" t="s">
        <v>175</v>
      </c>
    </row>
    <row r="48" spans="1:42" hidden="1" x14ac:dyDescent="0.25">
      <c r="A48" s="138" t="s">
        <v>38</v>
      </c>
      <c r="B48" t="s">
        <v>42</v>
      </c>
      <c r="C48" t="s">
        <v>311</v>
      </c>
      <c r="D48" s="150">
        <v>106</v>
      </c>
      <c r="E48" t="s">
        <v>201</v>
      </c>
      <c r="F48" t="s">
        <v>202</v>
      </c>
      <c r="G48" t="s">
        <v>312</v>
      </c>
      <c r="H48" s="150">
        <v>32882</v>
      </c>
      <c r="I48" s="139" t="s">
        <v>46</v>
      </c>
      <c r="J48">
        <v>10180</v>
      </c>
      <c r="K48">
        <v>1522</v>
      </c>
      <c r="L48">
        <v>8662</v>
      </c>
      <c r="M48" t="s">
        <v>39</v>
      </c>
      <c r="N48" t="s">
        <v>275</v>
      </c>
      <c r="O48">
        <v>0</v>
      </c>
      <c r="P48">
        <v>0</v>
      </c>
      <c r="Q48">
        <v>2</v>
      </c>
      <c r="R48">
        <v>30</v>
      </c>
      <c r="S48">
        <v>729</v>
      </c>
      <c r="T48">
        <v>761</v>
      </c>
      <c r="U48">
        <v>0</v>
      </c>
      <c r="V48">
        <v>0</v>
      </c>
      <c r="W48">
        <v>2</v>
      </c>
      <c r="X48">
        <v>30</v>
      </c>
      <c r="Y48">
        <v>729</v>
      </c>
      <c r="Z48">
        <v>761</v>
      </c>
      <c r="AA48">
        <v>0</v>
      </c>
      <c r="AB48">
        <v>0</v>
      </c>
      <c r="AC48">
        <v>0</v>
      </c>
      <c r="AD48" s="138"/>
      <c r="AE48">
        <v>0</v>
      </c>
      <c r="AF48" s="138">
        <f>+Purchase[[#This Row],[IGST Total]]+Purchase[[#This Row],[CGST Total]]+Purchase[[#This Row],[SGST Total]]</f>
        <v>1522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 s="138">
        <f>+Purchase[[#This Row],[IGST RCM Total]]+Purchase[[#This Row],[CGST RCM Total]]+Purchase[[#This Row],[SGST RCM Total]]</f>
        <v>0</v>
      </c>
      <c r="AP48" t="s">
        <v>175</v>
      </c>
    </row>
    <row r="49" spans="1:42" hidden="1" x14ac:dyDescent="0.25">
      <c r="A49" s="138" t="s">
        <v>38</v>
      </c>
      <c r="B49" t="s">
        <v>42</v>
      </c>
      <c r="C49" t="s">
        <v>313</v>
      </c>
      <c r="D49" s="150">
        <v>106</v>
      </c>
      <c r="E49" t="s">
        <v>201</v>
      </c>
      <c r="F49" t="s">
        <v>202</v>
      </c>
      <c r="G49" t="s">
        <v>314</v>
      </c>
      <c r="H49" s="150">
        <v>32874</v>
      </c>
      <c r="I49" s="139" t="s">
        <v>46</v>
      </c>
      <c r="J49">
        <v>1416</v>
      </c>
      <c r="K49">
        <v>216</v>
      </c>
      <c r="L49">
        <v>1200</v>
      </c>
      <c r="M49" t="s">
        <v>39</v>
      </c>
      <c r="N49" t="s">
        <v>268</v>
      </c>
      <c r="O49">
        <v>0</v>
      </c>
      <c r="P49">
        <v>0</v>
      </c>
      <c r="Q49">
        <v>0</v>
      </c>
      <c r="R49">
        <v>0</v>
      </c>
      <c r="S49">
        <v>108</v>
      </c>
      <c r="T49">
        <v>108</v>
      </c>
      <c r="U49">
        <v>0</v>
      </c>
      <c r="V49">
        <v>0</v>
      </c>
      <c r="W49">
        <v>0</v>
      </c>
      <c r="X49">
        <v>0</v>
      </c>
      <c r="Y49">
        <v>108</v>
      </c>
      <c r="Z49">
        <v>108</v>
      </c>
      <c r="AA49">
        <v>0</v>
      </c>
      <c r="AB49">
        <v>0</v>
      </c>
      <c r="AC49">
        <v>0</v>
      </c>
      <c r="AD49" s="138"/>
      <c r="AE49">
        <v>0</v>
      </c>
      <c r="AF49" s="138">
        <f>+Purchase[[#This Row],[IGST Total]]+Purchase[[#This Row],[CGST Total]]+Purchase[[#This Row],[SGST Total]]</f>
        <v>216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 s="138">
        <f>+Purchase[[#This Row],[IGST RCM Total]]+Purchase[[#This Row],[CGST RCM Total]]+Purchase[[#This Row],[SGST RCM Total]]</f>
        <v>0</v>
      </c>
      <c r="AP49" t="s">
        <v>175</v>
      </c>
    </row>
    <row r="50" spans="1:42" hidden="1" x14ac:dyDescent="0.25">
      <c r="A50" s="138" t="s">
        <v>38</v>
      </c>
      <c r="B50" t="s">
        <v>42</v>
      </c>
      <c r="C50" t="s">
        <v>315</v>
      </c>
      <c r="D50" s="150">
        <v>106</v>
      </c>
      <c r="E50" t="s">
        <v>201</v>
      </c>
      <c r="F50" t="s">
        <v>202</v>
      </c>
      <c r="G50" t="s">
        <v>316</v>
      </c>
      <c r="H50" s="150">
        <v>32885</v>
      </c>
      <c r="I50" s="139" t="s">
        <v>46</v>
      </c>
      <c r="J50">
        <v>5380.8</v>
      </c>
      <c r="K50">
        <v>820.8</v>
      </c>
      <c r="L50">
        <v>4560</v>
      </c>
      <c r="M50" t="s">
        <v>39</v>
      </c>
      <c r="N50" t="s">
        <v>317</v>
      </c>
      <c r="O50">
        <v>0</v>
      </c>
      <c r="P50">
        <v>0</v>
      </c>
      <c r="Q50">
        <v>0</v>
      </c>
      <c r="R50">
        <v>0</v>
      </c>
      <c r="S50">
        <v>410.4</v>
      </c>
      <c r="T50">
        <v>410.4</v>
      </c>
      <c r="U50">
        <v>0</v>
      </c>
      <c r="V50">
        <v>0</v>
      </c>
      <c r="W50">
        <v>0</v>
      </c>
      <c r="X50">
        <v>0</v>
      </c>
      <c r="Y50">
        <v>410.4</v>
      </c>
      <c r="Z50">
        <v>410.4</v>
      </c>
      <c r="AA50">
        <v>0</v>
      </c>
      <c r="AB50">
        <v>0</v>
      </c>
      <c r="AC50">
        <v>0</v>
      </c>
      <c r="AD50" s="138"/>
      <c r="AE50">
        <v>0</v>
      </c>
      <c r="AF50" s="138">
        <f>+Purchase[[#This Row],[IGST Total]]+Purchase[[#This Row],[CGST Total]]+Purchase[[#This Row],[SGST Total]]</f>
        <v>820.8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 s="138">
        <f>+Purchase[[#This Row],[IGST RCM Total]]+Purchase[[#This Row],[CGST RCM Total]]+Purchase[[#This Row],[SGST RCM Total]]</f>
        <v>0</v>
      </c>
      <c r="AP50" t="s">
        <v>175</v>
      </c>
    </row>
    <row r="51" spans="1:42" hidden="1" x14ac:dyDescent="0.25">
      <c r="A51" s="138" t="s">
        <v>38</v>
      </c>
      <c r="B51" t="s">
        <v>42</v>
      </c>
      <c r="C51" t="s">
        <v>318</v>
      </c>
      <c r="D51" s="150">
        <v>106</v>
      </c>
      <c r="E51" t="s">
        <v>201</v>
      </c>
      <c r="F51" t="s">
        <v>202</v>
      </c>
      <c r="G51" t="s">
        <v>319</v>
      </c>
      <c r="H51" s="150">
        <v>32886</v>
      </c>
      <c r="I51" t="s">
        <v>46</v>
      </c>
      <c r="J51">
        <v>154592</v>
      </c>
      <c r="K51">
        <v>0</v>
      </c>
      <c r="L51">
        <v>154592</v>
      </c>
      <c r="M51" t="s">
        <v>39</v>
      </c>
      <c r="N51" t="s">
        <v>264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 s="138"/>
      <c r="AE51">
        <v>0</v>
      </c>
      <c r="AF51" s="138">
        <f>+Purchase[[#This Row],[IGST Total]]+Purchase[[#This Row],[CGST Total]]+Purchase[[#This Row],[SGST Total]]</f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 s="138">
        <f>+Purchase[[#This Row],[IGST RCM Total]]+Purchase[[#This Row],[CGST RCM Total]]+Purchase[[#This Row],[SGST RCM Total]]</f>
        <v>0</v>
      </c>
      <c r="AP51" t="s">
        <v>175</v>
      </c>
    </row>
    <row r="52" spans="1:42" hidden="1" x14ac:dyDescent="0.25">
      <c r="A52" s="138" t="s">
        <v>38</v>
      </c>
      <c r="B52" t="s">
        <v>42</v>
      </c>
      <c r="C52" t="s">
        <v>320</v>
      </c>
      <c r="D52" s="150">
        <v>106</v>
      </c>
      <c r="E52" t="s">
        <v>201</v>
      </c>
      <c r="F52" t="s">
        <v>202</v>
      </c>
      <c r="G52" t="s">
        <v>321</v>
      </c>
      <c r="H52" s="150">
        <v>32874</v>
      </c>
      <c r="I52" s="139" t="s">
        <v>46</v>
      </c>
      <c r="J52">
        <v>896.8</v>
      </c>
      <c r="K52">
        <v>136.80000000000001</v>
      </c>
      <c r="L52">
        <v>760</v>
      </c>
      <c r="M52" t="s">
        <v>39</v>
      </c>
      <c r="N52" t="s">
        <v>244</v>
      </c>
      <c r="O52">
        <v>0</v>
      </c>
      <c r="P52">
        <v>0</v>
      </c>
      <c r="Q52">
        <v>0</v>
      </c>
      <c r="R52">
        <v>0</v>
      </c>
      <c r="S52">
        <v>68.400000000000006</v>
      </c>
      <c r="T52">
        <v>68.400000000000006</v>
      </c>
      <c r="U52">
        <v>0</v>
      </c>
      <c r="V52">
        <v>0</v>
      </c>
      <c r="W52">
        <v>0</v>
      </c>
      <c r="X52">
        <v>0</v>
      </c>
      <c r="Y52">
        <v>68.400000000000006</v>
      </c>
      <c r="Z52">
        <v>68.400000000000006</v>
      </c>
      <c r="AA52">
        <v>0</v>
      </c>
      <c r="AB52">
        <v>0</v>
      </c>
      <c r="AC52">
        <v>0</v>
      </c>
      <c r="AD52" s="138"/>
      <c r="AE52">
        <v>0</v>
      </c>
      <c r="AF52" s="138">
        <f>+Purchase[[#This Row],[IGST Total]]+Purchase[[#This Row],[CGST Total]]+Purchase[[#This Row],[SGST Total]]</f>
        <v>136.80000000000001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 s="138">
        <f>+Purchase[[#This Row],[IGST RCM Total]]+Purchase[[#This Row],[CGST RCM Total]]+Purchase[[#This Row],[SGST RCM Total]]</f>
        <v>0</v>
      </c>
      <c r="AP52" t="s">
        <v>175</v>
      </c>
    </row>
    <row r="53" spans="1:42" hidden="1" x14ac:dyDescent="0.25">
      <c r="A53" s="138" t="s">
        <v>38</v>
      </c>
      <c r="B53" t="s">
        <v>42</v>
      </c>
      <c r="C53" t="s">
        <v>322</v>
      </c>
      <c r="D53" s="150">
        <v>106</v>
      </c>
      <c r="E53" t="s">
        <v>201</v>
      </c>
      <c r="F53" t="s">
        <v>202</v>
      </c>
      <c r="G53" t="s">
        <v>323</v>
      </c>
      <c r="H53" s="150">
        <v>32878</v>
      </c>
      <c r="I53" s="139" t="s">
        <v>46</v>
      </c>
      <c r="J53">
        <v>1970.02</v>
      </c>
      <c r="K53">
        <v>300.52</v>
      </c>
      <c r="L53">
        <v>1669.5</v>
      </c>
      <c r="M53" t="s">
        <v>39</v>
      </c>
      <c r="N53" t="s">
        <v>244</v>
      </c>
      <c r="O53">
        <v>0</v>
      </c>
      <c r="P53">
        <v>0</v>
      </c>
      <c r="Q53">
        <v>0</v>
      </c>
      <c r="R53">
        <v>0</v>
      </c>
      <c r="S53">
        <v>150.26</v>
      </c>
      <c r="T53">
        <v>150.26</v>
      </c>
      <c r="U53">
        <v>0</v>
      </c>
      <c r="V53">
        <v>0</v>
      </c>
      <c r="W53">
        <v>0</v>
      </c>
      <c r="X53">
        <v>0</v>
      </c>
      <c r="Y53">
        <v>150.26</v>
      </c>
      <c r="Z53">
        <v>150.26</v>
      </c>
      <c r="AA53">
        <v>0</v>
      </c>
      <c r="AB53">
        <v>0</v>
      </c>
      <c r="AC53">
        <v>0</v>
      </c>
      <c r="AD53" s="138"/>
      <c r="AE53">
        <v>0</v>
      </c>
      <c r="AF53" s="138">
        <f>+Purchase[[#This Row],[IGST Total]]+Purchase[[#This Row],[CGST Total]]+Purchase[[#This Row],[SGST Total]]</f>
        <v>300.52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 s="138">
        <f>+Purchase[[#This Row],[IGST RCM Total]]+Purchase[[#This Row],[CGST RCM Total]]+Purchase[[#This Row],[SGST RCM Total]]</f>
        <v>0</v>
      </c>
      <c r="AP53" t="s">
        <v>175</v>
      </c>
    </row>
    <row r="54" spans="1:42" hidden="1" x14ac:dyDescent="0.25">
      <c r="A54" s="138" t="s">
        <v>38</v>
      </c>
      <c r="B54" t="s">
        <v>42</v>
      </c>
      <c r="C54" t="s">
        <v>324</v>
      </c>
      <c r="D54" s="150">
        <v>106</v>
      </c>
      <c r="E54" t="s">
        <v>201</v>
      </c>
      <c r="F54" t="s">
        <v>202</v>
      </c>
      <c r="G54" t="s">
        <v>310</v>
      </c>
      <c r="H54" s="150">
        <v>32878</v>
      </c>
      <c r="I54" s="139" t="s">
        <v>46</v>
      </c>
      <c r="J54">
        <v>2312.8000000000002</v>
      </c>
      <c r="K54">
        <v>352.8</v>
      </c>
      <c r="L54">
        <v>1960</v>
      </c>
      <c r="M54" t="s">
        <v>39</v>
      </c>
      <c r="N54" t="s">
        <v>244</v>
      </c>
      <c r="O54">
        <v>0</v>
      </c>
      <c r="P54">
        <v>0</v>
      </c>
      <c r="Q54">
        <v>0</v>
      </c>
      <c r="R54">
        <v>0</v>
      </c>
      <c r="S54">
        <v>176.4</v>
      </c>
      <c r="T54">
        <v>176.4</v>
      </c>
      <c r="U54">
        <v>0</v>
      </c>
      <c r="V54">
        <v>0</v>
      </c>
      <c r="W54">
        <v>0</v>
      </c>
      <c r="X54">
        <v>0</v>
      </c>
      <c r="Y54">
        <v>176.4</v>
      </c>
      <c r="Z54">
        <v>176.4</v>
      </c>
      <c r="AA54">
        <v>0</v>
      </c>
      <c r="AB54">
        <v>0</v>
      </c>
      <c r="AC54">
        <v>0</v>
      </c>
      <c r="AD54" s="138"/>
      <c r="AE54">
        <v>0</v>
      </c>
      <c r="AF54" s="138">
        <f>+Purchase[[#This Row],[IGST Total]]+Purchase[[#This Row],[CGST Total]]+Purchase[[#This Row],[SGST Total]]</f>
        <v>352.8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 s="138">
        <f>+Purchase[[#This Row],[IGST RCM Total]]+Purchase[[#This Row],[CGST RCM Total]]+Purchase[[#This Row],[SGST RCM Total]]</f>
        <v>0</v>
      </c>
      <c r="AP54" t="s">
        <v>175</v>
      </c>
    </row>
    <row r="55" spans="1:42" hidden="1" x14ac:dyDescent="0.25">
      <c r="A55" s="138" t="s">
        <v>38</v>
      </c>
      <c r="B55" t="s">
        <v>42</v>
      </c>
      <c r="C55" t="s">
        <v>325</v>
      </c>
      <c r="D55" s="150">
        <v>106</v>
      </c>
      <c r="E55" t="s">
        <v>201</v>
      </c>
      <c r="F55" t="s">
        <v>202</v>
      </c>
      <c r="G55" t="s">
        <v>326</v>
      </c>
      <c r="H55" s="150">
        <v>32879</v>
      </c>
      <c r="I55" s="139" t="s">
        <v>46</v>
      </c>
      <c r="J55">
        <v>3658</v>
      </c>
      <c r="K55">
        <v>558</v>
      </c>
      <c r="L55">
        <v>3100</v>
      </c>
      <c r="M55" t="s">
        <v>39</v>
      </c>
      <c r="N55" t="s">
        <v>244</v>
      </c>
      <c r="O55">
        <v>0</v>
      </c>
      <c r="P55">
        <v>0</v>
      </c>
      <c r="Q55">
        <v>0</v>
      </c>
      <c r="R55">
        <v>0</v>
      </c>
      <c r="S55">
        <v>279</v>
      </c>
      <c r="T55">
        <v>279</v>
      </c>
      <c r="U55">
        <v>0</v>
      </c>
      <c r="V55">
        <v>0</v>
      </c>
      <c r="W55">
        <v>0</v>
      </c>
      <c r="X55">
        <v>0</v>
      </c>
      <c r="Y55">
        <v>279</v>
      </c>
      <c r="Z55">
        <v>279</v>
      </c>
      <c r="AA55">
        <v>0</v>
      </c>
      <c r="AB55">
        <v>0</v>
      </c>
      <c r="AC55">
        <v>0</v>
      </c>
      <c r="AD55" s="138"/>
      <c r="AE55">
        <v>0</v>
      </c>
      <c r="AF55" s="138">
        <f>+Purchase[[#This Row],[IGST Total]]+Purchase[[#This Row],[CGST Total]]+Purchase[[#This Row],[SGST Total]]</f>
        <v>558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 s="138">
        <f>+Purchase[[#This Row],[IGST RCM Total]]+Purchase[[#This Row],[CGST RCM Total]]+Purchase[[#This Row],[SGST RCM Total]]</f>
        <v>0</v>
      </c>
      <c r="AP55" t="s">
        <v>175</v>
      </c>
    </row>
    <row r="56" spans="1:42" hidden="1" x14ac:dyDescent="0.25">
      <c r="A56" s="138" t="s">
        <v>38</v>
      </c>
      <c r="B56" t="s">
        <v>42</v>
      </c>
      <c r="C56" t="s">
        <v>327</v>
      </c>
      <c r="D56" s="150">
        <v>106</v>
      </c>
      <c r="E56" t="s">
        <v>201</v>
      </c>
      <c r="F56" t="s">
        <v>202</v>
      </c>
      <c r="G56" t="s">
        <v>328</v>
      </c>
      <c r="H56" s="150">
        <v>32875</v>
      </c>
      <c r="I56" s="139" t="s">
        <v>46</v>
      </c>
      <c r="J56">
        <v>5132.29</v>
      </c>
      <c r="K56">
        <v>882</v>
      </c>
      <c r="L56">
        <v>4250.29</v>
      </c>
      <c r="M56" t="s">
        <v>39</v>
      </c>
      <c r="N56" t="s">
        <v>329</v>
      </c>
      <c r="O56">
        <v>0</v>
      </c>
      <c r="P56">
        <v>165</v>
      </c>
      <c r="Q56">
        <v>0</v>
      </c>
      <c r="R56">
        <v>0</v>
      </c>
      <c r="S56">
        <v>276</v>
      </c>
      <c r="T56">
        <v>441</v>
      </c>
      <c r="U56">
        <v>0</v>
      </c>
      <c r="V56">
        <v>165</v>
      </c>
      <c r="W56">
        <v>0</v>
      </c>
      <c r="X56">
        <v>0</v>
      </c>
      <c r="Y56">
        <v>276</v>
      </c>
      <c r="Z56">
        <v>441</v>
      </c>
      <c r="AA56">
        <v>0</v>
      </c>
      <c r="AB56">
        <v>0</v>
      </c>
      <c r="AC56">
        <v>0</v>
      </c>
      <c r="AD56" s="138"/>
      <c r="AE56">
        <v>0</v>
      </c>
      <c r="AF56" s="138">
        <f>+Purchase[[#This Row],[IGST Total]]+Purchase[[#This Row],[CGST Total]]+Purchase[[#This Row],[SGST Total]]</f>
        <v>882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 s="138">
        <f>+Purchase[[#This Row],[IGST RCM Total]]+Purchase[[#This Row],[CGST RCM Total]]+Purchase[[#This Row],[SGST RCM Total]]</f>
        <v>0</v>
      </c>
      <c r="AP56" t="s">
        <v>175</v>
      </c>
    </row>
    <row r="57" spans="1:42" hidden="1" x14ac:dyDescent="0.25">
      <c r="A57" s="138" t="s">
        <v>38</v>
      </c>
      <c r="B57" t="s">
        <v>42</v>
      </c>
      <c r="C57" t="s">
        <v>330</v>
      </c>
      <c r="D57" s="150">
        <v>106</v>
      </c>
      <c r="E57" t="s">
        <v>201</v>
      </c>
      <c r="F57" t="s">
        <v>202</v>
      </c>
      <c r="G57" t="s">
        <v>331</v>
      </c>
      <c r="H57" s="150">
        <v>32880</v>
      </c>
      <c r="I57" s="139" t="s">
        <v>46</v>
      </c>
      <c r="J57">
        <v>1593</v>
      </c>
      <c r="K57">
        <v>243</v>
      </c>
      <c r="L57">
        <v>1350</v>
      </c>
      <c r="M57" t="s">
        <v>39</v>
      </c>
      <c r="N57" t="s">
        <v>244</v>
      </c>
      <c r="O57">
        <v>0</v>
      </c>
      <c r="P57">
        <v>0</v>
      </c>
      <c r="Q57">
        <v>0</v>
      </c>
      <c r="R57">
        <v>0</v>
      </c>
      <c r="S57">
        <v>121.5</v>
      </c>
      <c r="T57">
        <v>121.5</v>
      </c>
      <c r="U57">
        <v>0</v>
      </c>
      <c r="V57">
        <v>0</v>
      </c>
      <c r="W57">
        <v>0</v>
      </c>
      <c r="X57">
        <v>0</v>
      </c>
      <c r="Y57">
        <v>121.5</v>
      </c>
      <c r="Z57">
        <v>121.5</v>
      </c>
      <c r="AA57">
        <v>0</v>
      </c>
      <c r="AB57">
        <v>0</v>
      </c>
      <c r="AC57">
        <v>0</v>
      </c>
      <c r="AD57" s="138"/>
      <c r="AE57">
        <v>0</v>
      </c>
      <c r="AF57" s="138">
        <f>+Purchase[[#This Row],[IGST Total]]+Purchase[[#This Row],[CGST Total]]+Purchase[[#This Row],[SGST Total]]</f>
        <v>243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 s="138">
        <f>+Purchase[[#This Row],[IGST RCM Total]]+Purchase[[#This Row],[CGST RCM Total]]+Purchase[[#This Row],[SGST RCM Total]]</f>
        <v>0</v>
      </c>
      <c r="AP57" t="s">
        <v>175</v>
      </c>
    </row>
    <row r="58" spans="1:42" hidden="1" x14ac:dyDescent="0.25">
      <c r="A58" s="138" t="s">
        <v>38</v>
      </c>
      <c r="B58" t="s">
        <v>42</v>
      </c>
      <c r="C58" t="s">
        <v>332</v>
      </c>
      <c r="D58" s="150">
        <v>106</v>
      </c>
      <c r="E58" t="s">
        <v>201</v>
      </c>
      <c r="F58" t="s">
        <v>202</v>
      </c>
      <c r="G58" t="s">
        <v>333</v>
      </c>
      <c r="H58" s="150">
        <v>32874</v>
      </c>
      <c r="I58" s="139" t="s">
        <v>46</v>
      </c>
      <c r="J58">
        <v>3360</v>
      </c>
      <c r="K58">
        <v>360</v>
      </c>
      <c r="L58">
        <v>3000</v>
      </c>
      <c r="M58" t="s">
        <v>39</v>
      </c>
      <c r="N58" t="s">
        <v>334</v>
      </c>
      <c r="O58">
        <v>0</v>
      </c>
      <c r="P58">
        <v>0</v>
      </c>
      <c r="Q58">
        <v>0</v>
      </c>
      <c r="R58">
        <v>180</v>
      </c>
      <c r="S58">
        <v>0</v>
      </c>
      <c r="T58">
        <v>180</v>
      </c>
      <c r="U58">
        <v>0</v>
      </c>
      <c r="V58">
        <v>0</v>
      </c>
      <c r="W58">
        <v>0</v>
      </c>
      <c r="X58">
        <v>180</v>
      </c>
      <c r="Y58">
        <v>0</v>
      </c>
      <c r="Z58">
        <v>180</v>
      </c>
      <c r="AA58">
        <v>0</v>
      </c>
      <c r="AB58">
        <v>0</v>
      </c>
      <c r="AC58">
        <v>0</v>
      </c>
      <c r="AD58" s="138"/>
      <c r="AE58">
        <v>0</v>
      </c>
      <c r="AF58" s="138">
        <f>+Purchase[[#This Row],[IGST Total]]+Purchase[[#This Row],[CGST Total]]+Purchase[[#This Row],[SGST Total]]</f>
        <v>360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 s="138">
        <f>+Purchase[[#This Row],[IGST RCM Total]]+Purchase[[#This Row],[CGST RCM Total]]+Purchase[[#This Row],[SGST RCM Total]]</f>
        <v>0</v>
      </c>
      <c r="AP58" t="s">
        <v>175</v>
      </c>
    </row>
    <row r="59" spans="1:42" hidden="1" x14ac:dyDescent="0.25">
      <c r="A59" s="138" t="s">
        <v>38</v>
      </c>
      <c r="B59" t="s">
        <v>42</v>
      </c>
      <c r="C59" t="s">
        <v>335</v>
      </c>
      <c r="D59" s="150">
        <v>106</v>
      </c>
      <c r="E59" t="s">
        <v>201</v>
      </c>
      <c r="F59" t="s">
        <v>202</v>
      </c>
      <c r="G59" t="s">
        <v>336</v>
      </c>
      <c r="H59" s="150">
        <v>32881</v>
      </c>
      <c r="I59" s="139" t="s">
        <v>46</v>
      </c>
      <c r="J59">
        <v>1711</v>
      </c>
      <c r="K59">
        <v>261</v>
      </c>
      <c r="L59">
        <v>1450</v>
      </c>
      <c r="M59" t="s">
        <v>39</v>
      </c>
      <c r="N59" t="s">
        <v>244</v>
      </c>
      <c r="O59">
        <v>0</v>
      </c>
      <c r="P59">
        <v>0</v>
      </c>
      <c r="Q59">
        <v>0</v>
      </c>
      <c r="R59">
        <v>0</v>
      </c>
      <c r="S59">
        <v>130.5</v>
      </c>
      <c r="T59">
        <v>130.5</v>
      </c>
      <c r="U59">
        <v>0</v>
      </c>
      <c r="V59">
        <v>0</v>
      </c>
      <c r="W59">
        <v>0</v>
      </c>
      <c r="X59">
        <v>0</v>
      </c>
      <c r="Y59">
        <v>130.5</v>
      </c>
      <c r="Z59">
        <v>130.5</v>
      </c>
      <c r="AA59">
        <v>0</v>
      </c>
      <c r="AB59">
        <v>0</v>
      </c>
      <c r="AC59">
        <v>0</v>
      </c>
      <c r="AD59" s="138"/>
      <c r="AE59">
        <v>0</v>
      </c>
      <c r="AF59" s="138">
        <f>+Purchase[[#This Row],[IGST Total]]+Purchase[[#This Row],[CGST Total]]+Purchase[[#This Row],[SGST Total]]</f>
        <v>261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 s="138">
        <f>+Purchase[[#This Row],[IGST RCM Total]]+Purchase[[#This Row],[CGST RCM Total]]+Purchase[[#This Row],[SGST RCM Total]]</f>
        <v>0</v>
      </c>
      <c r="AP59" t="s">
        <v>175</v>
      </c>
    </row>
    <row r="60" spans="1:42" x14ac:dyDescent="0.25">
      <c r="A60" s="138" t="s">
        <v>38</v>
      </c>
      <c r="B60" t="s">
        <v>42</v>
      </c>
      <c r="C60" t="s">
        <v>337</v>
      </c>
      <c r="D60" s="150">
        <v>106</v>
      </c>
      <c r="E60" t="s">
        <v>201</v>
      </c>
      <c r="F60" t="s">
        <v>202</v>
      </c>
      <c r="G60" t="s">
        <v>323</v>
      </c>
      <c r="H60" s="150">
        <v>32878</v>
      </c>
      <c r="I60" s="139" t="s">
        <v>12</v>
      </c>
      <c r="J60">
        <v>3460</v>
      </c>
      <c r="K60">
        <v>0</v>
      </c>
      <c r="L60">
        <v>0</v>
      </c>
      <c r="M60" t="s">
        <v>43</v>
      </c>
      <c r="N60" t="s">
        <v>37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s="138"/>
      <c r="AE60">
        <v>0</v>
      </c>
      <c r="AF60" s="138">
        <f>+Purchase[[#This Row],[IGST Total]]+Purchase[[#This Row],[CGST Total]]+Purchase[[#This Row],[SGST Total]]</f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 s="138">
        <f>+Purchase[[#This Row],[IGST RCM Total]]+Purchase[[#This Row],[CGST RCM Total]]+Purchase[[#This Row],[SGST RCM Total]]</f>
        <v>0</v>
      </c>
      <c r="AP60" t="s">
        <v>175</v>
      </c>
    </row>
    <row r="61" spans="1:42" hidden="1" x14ac:dyDescent="0.25">
      <c r="A61" s="138" t="s">
        <v>38</v>
      </c>
      <c r="B61" t="s">
        <v>42</v>
      </c>
      <c r="C61" t="s">
        <v>338</v>
      </c>
      <c r="D61" s="150">
        <v>116</v>
      </c>
      <c r="E61" t="s">
        <v>201</v>
      </c>
      <c r="F61" t="s">
        <v>202</v>
      </c>
      <c r="G61" t="s">
        <v>339</v>
      </c>
      <c r="H61" s="150">
        <v>32887</v>
      </c>
      <c r="I61" s="139" t="s">
        <v>46</v>
      </c>
      <c r="J61">
        <v>1239</v>
      </c>
      <c r="K61">
        <v>189</v>
      </c>
      <c r="L61">
        <v>1050</v>
      </c>
      <c r="M61" t="s">
        <v>39</v>
      </c>
      <c r="N61" t="s">
        <v>244</v>
      </c>
      <c r="O61">
        <v>0</v>
      </c>
      <c r="P61">
        <v>0</v>
      </c>
      <c r="Q61">
        <v>0</v>
      </c>
      <c r="R61">
        <v>0</v>
      </c>
      <c r="S61">
        <v>94.5</v>
      </c>
      <c r="T61">
        <v>94.5</v>
      </c>
      <c r="U61">
        <v>0</v>
      </c>
      <c r="V61">
        <v>0</v>
      </c>
      <c r="W61">
        <v>0</v>
      </c>
      <c r="X61">
        <v>0</v>
      </c>
      <c r="Y61">
        <v>94.5</v>
      </c>
      <c r="Z61">
        <v>94.5</v>
      </c>
      <c r="AA61">
        <v>0</v>
      </c>
      <c r="AB61">
        <v>0</v>
      </c>
      <c r="AC61">
        <v>0</v>
      </c>
      <c r="AD61" s="138"/>
      <c r="AE61">
        <v>0</v>
      </c>
      <c r="AF61" s="138">
        <f>+Purchase[[#This Row],[IGST Total]]+Purchase[[#This Row],[CGST Total]]+Purchase[[#This Row],[SGST Total]]</f>
        <v>189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 s="138">
        <f>+Purchase[[#This Row],[IGST RCM Total]]+Purchase[[#This Row],[CGST RCM Total]]+Purchase[[#This Row],[SGST RCM Total]]</f>
        <v>0</v>
      </c>
      <c r="AP61" t="s">
        <v>175</v>
      </c>
    </row>
    <row r="62" spans="1:42" hidden="1" x14ac:dyDescent="0.25">
      <c r="A62" s="138" t="s">
        <v>38</v>
      </c>
      <c r="B62" t="s">
        <v>42</v>
      </c>
      <c r="C62" t="s">
        <v>340</v>
      </c>
      <c r="D62" s="150">
        <v>116</v>
      </c>
      <c r="E62" t="s">
        <v>201</v>
      </c>
      <c r="F62" t="s">
        <v>202</v>
      </c>
      <c r="G62" t="s">
        <v>341</v>
      </c>
      <c r="H62" s="150">
        <v>32889</v>
      </c>
      <c r="I62" t="s">
        <v>46</v>
      </c>
      <c r="J62">
        <v>154592</v>
      </c>
      <c r="K62">
        <v>0</v>
      </c>
      <c r="L62">
        <v>154592</v>
      </c>
      <c r="M62" t="s">
        <v>39</v>
      </c>
      <c r="N62" t="s">
        <v>264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 s="138"/>
      <c r="AE62">
        <v>0</v>
      </c>
      <c r="AF62" s="138">
        <f>+Purchase[[#This Row],[IGST Total]]+Purchase[[#This Row],[CGST Total]]+Purchase[[#This Row],[SGST Total]]</f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 s="138">
        <f>+Purchase[[#This Row],[IGST RCM Total]]+Purchase[[#This Row],[CGST RCM Total]]+Purchase[[#This Row],[SGST RCM Total]]</f>
        <v>0</v>
      </c>
      <c r="AP62" t="s">
        <v>175</v>
      </c>
    </row>
    <row r="63" spans="1:42" hidden="1" x14ac:dyDescent="0.25">
      <c r="A63" s="138" t="s">
        <v>38</v>
      </c>
      <c r="B63" t="s">
        <v>42</v>
      </c>
      <c r="C63" t="s">
        <v>342</v>
      </c>
      <c r="D63" s="150">
        <v>116</v>
      </c>
      <c r="E63" t="s">
        <v>201</v>
      </c>
      <c r="F63" t="s">
        <v>202</v>
      </c>
      <c r="G63" t="s">
        <v>343</v>
      </c>
      <c r="H63" s="150">
        <v>32889</v>
      </c>
      <c r="I63" s="139" t="s">
        <v>46</v>
      </c>
      <c r="J63">
        <v>1357</v>
      </c>
      <c r="K63">
        <v>207</v>
      </c>
      <c r="L63">
        <v>1150</v>
      </c>
      <c r="M63" t="s">
        <v>39</v>
      </c>
      <c r="N63" t="s">
        <v>281</v>
      </c>
      <c r="O63">
        <v>0</v>
      </c>
      <c r="P63">
        <v>0</v>
      </c>
      <c r="Q63">
        <v>0</v>
      </c>
      <c r="R63">
        <v>0</v>
      </c>
      <c r="S63">
        <v>103.5</v>
      </c>
      <c r="T63">
        <v>103.5</v>
      </c>
      <c r="U63">
        <v>0</v>
      </c>
      <c r="V63">
        <v>0</v>
      </c>
      <c r="W63">
        <v>0</v>
      </c>
      <c r="X63">
        <v>0</v>
      </c>
      <c r="Y63">
        <v>103.5</v>
      </c>
      <c r="Z63">
        <v>103.5</v>
      </c>
      <c r="AA63">
        <v>0</v>
      </c>
      <c r="AB63">
        <v>0</v>
      </c>
      <c r="AC63">
        <v>0</v>
      </c>
      <c r="AD63" s="138"/>
      <c r="AE63">
        <v>0</v>
      </c>
      <c r="AF63" s="138">
        <f>+Purchase[[#This Row],[IGST Total]]+Purchase[[#This Row],[CGST Total]]+Purchase[[#This Row],[SGST Total]]</f>
        <v>207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 s="138">
        <f>+Purchase[[#This Row],[IGST RCM Total]]+Purchase[[#This Row],[CGST RCM Total]]+Purchase[[#This Row],[SGST RCM Total]]</f>
        <v>0</v>
      </c>
      <c r="AP63" t="s">
        <v>175</v>
      </c>
    </row>
    <row r="64" spans="1:42" hidden="1" x14ac:dyDescent="0.25">
      <c r="A64" s="138" t="s">
        <v>38</v>
      </c>
      <c r="B64" t="s">
        <v>42</v>
      </c>
      <c r="C64" t="s">
        <v>344</v>
      </c>
      <c r="D64" s="150">
        <v>116</v>
      </c>
      <c r="E64" t="s">
        <v>201</v>
      </c>
      <c r="F64" t="s">
        <v>202</v>
      </c>
      <c r="G64" t="s">
        <v>345</v>
      </c>
      <c r="H64" s="150">
        <v>32889</v>
      </c>
      <c r="I64" s="139" t="s">
        <v>46</v>
      </c>
      <c r="J64">
        <v>1260</v>
      </c>
      <c r="K64">
        <v>60</v>
      </c>
      <c r="L64">
        <v>1200</v>
      </c>
      <c r="M64" t="s">
        <v>39</v>
      </c>
      <c r="N64" t="s">
        <v>244</v>
      </c>
      <c r="O64">
        <v>0</v>
      </c>
      <c r="P64">
        <v>0</v>
      </c>
      <c r="Q64">
        <v>30</v>
      </c>
      <c r="R64">
        <v>0</v>
      </c>
      <c r="S64">
        <v>0</v>
      </c>
      <c r="T64">
        <v>30</v>
      </c>
      <c r="U64">
        <v>0</v>
      </c>
      <c r="V64">
        <v>0</v>
      </c>
      <c r="W64">
        <v>30</v>
      </c>
      <c r="X64">
        <v>0</v>
      </c>
      <c r="Y64">
        <v>0</v>
      </c>
      <c r="Z64">
        <v>30</v>
      </c>
      <c r="AA64">
        <v>0</v>
      </c>
      <c r="AB64">
        <v>0</v>
      </c>
      <c r="AC64">
        <v>0</v>
      </c>
      <c r="AD64" s="138"/>
      <c r="AE64">
        <v>0</v>
      </c>
      <c r="AF64" s="138">
        <f>+Purchase[[#This Row],[IGST Total]]+Purchase[[#This Row],[CGST Total]]+Purchase[[#This Row],[SGST Total]]</f>
        <v>60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 s="138">
        <f>+Purchase[[#This Row],[IGST RCM Total]]+Purchase[[#This Row],[CGST RCM Total]]+Purchase[[#This Row],[SGST RCM Total]]</f>
        <v>0</v>
      </c>
      <c r="AP64" t="s">
        <v>175</v>
      </c>
    </row>
    <row r="65" spans="1:42" hidden="1" x14ac:dyDescent="0.25">
      <c r="A65" s="138" t="s">
        <v>38</v>
      </c>
      <c r="B65" t="s">
        <v>42</v>
      </c>
      <c r="C65" t="s">
        <v>346</v>
      </c>
      <c r="D65" s="150">
        <v>116</v>
      </c>
      <c r="E65" t="s">
        <v>201</v>
      </c>
      <c r="F65" t="s">
        <v>202</v>
      </c>
      <c r="G65" t="s">
        <v>347</v>
      </c>
      <c r="H65" s="150">
        <v>32887</v>
      </c>
      <c r="I65" s="139" t="s">
        <v>46</v>
      </c>
      <c r="J65">
        <v>1342.26</v>
      </c>
      <c r="K65">
        <v>204.76</v>
      </c>
      <c r="L65">
        <v>1137.5</v>
      </c>
      <c r="M65" t="s">
        <v>39</v>
      </c>
      <c r="N65" t="s">
        <v>348</v>
      </c>
      <c r="O65">
        <v>0</v>
      </c>
      <c r="P65">
        <v>0</v>
      </c>
      <c r="Q65">
        <v>0</v>
      </c>
      <c r="R65">
        <v>0</v>
      </c>
      <c r="S65">
        <v>102.38</v>
      </c>
      <c r="T65">
        <v>102.38</v>
      </c>
      <c r="U65">
        <v>0</v>
      </c>
      <c r="V65">
        <v>0</v>
      </c>
      <c r="W65">
        <v>0</v>
      </c>
      <c r="X65">
        <v>0</v>
      </c>
      <c r="Y65">
        <v>102.38</v>
      </c>
      <c r="Z65">
        <v>102.38</v>
      </c>
      <c r="AA65">
        <v>0</v>
      </c>
      <c r="AB65">
        <v>0</v>
      </c>
      <c r="AC65">
        <v>0</v>
      </c>
      <c r="AD65" s="138"/>
      <c r="AE65">
        <v>0</v>
      </c>
      <c r="AF65" s="138">
        <f>+Purchase[[#This Row],[IGST Total]]+Purchase[[#This Row],[CGST Total]]+Purchase[[#This Row],[SGST Total]]</f>
        <v>204.76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 s="138">
        <f>+Purchase[[#This Row],[IGST RCM Total]]+Purchase[[#This Row],[CGST RCM Total]]+Purchase[[#This Row],[SGST RCM Total]]</f>
        <v>0</v>
      </c>
      <c r="AP65" t="s">
        <v>175</v>
      </c>
    </row>
    <row r="66" spans="1:42" hidden="1" x14ac:dyDescent="0.25">
      <c r="A66" s="138" t="s">
        <v>38</v>
      </c>
      <c r="B66" t="s">
        <v>42</v>
      </c>
      <c r="C66" t="s">
        <v>349</v>
      </c>
      <c r="D66" s="150">
        <v>116</v>
      </c>
      <c r="E66" t="s">
        <v>201</v>
      </c>
      <c r="F66" t="s">
        <v>202</v>
      </c>
      <c r="G66" t="s">
        <v>350</v>
      </c>
      <c r="H66" s="150">
        <v>32889</v>
      </c>
      <c r="I66" s="139" t="s">
        <v>46</v>
      </c>
      <c r="J66">
        <v>2501.6</v>
      </c>
      <c r="K66">
        <v>381.6</v>
      </c>
      <c r="L66">
        <v>2120</v>
      </c>
      <c r="M66" t="s">
        <v>39</v>
      </c>
      <c r="N66" t="s">
        <v>304</v>
      </c>
      <c r="O66">
        <v>0</v>
      </c>
      <c r="P66">
        <v>0</v>
      </c>
      <c r="Q66">
        <v>0</v>
      </c>
      <c r="R66">
        <v>0</v>
      </c>
      <c r="S66">
        <v>190.8</v>
      </c>
      <c r="T66">
        <v>190.8</v>
      </c>
      <c r="U66">
        <v>0</v>
      </c>
      <c r="V66">
        <v>0</v>
      </c>
      <c r="W66">
        <v>0</v>
      </c>
      <c r="X66">
        <v>0</v>
      </c>
      <c r="Y66">
        <v>190.8</v>
      </c>
      <c r="Z66">
        <v>190.8</v>
      </c>
      <c r="AA66">
        <v>0</v>
      </c>
      <c r="AB66">
        <v>0</v>
      </c>
      <c r="AC66">
        <v>0</v>
      </c>
      <c r="AD66" s="138"/>
      <c r="AE66">
        <v>0</v>
      </c>
      <c r="AF66" s="138">
        <f>+Purchase[[#This Row],[IGST Total]]+Purchase[[#This Row],[CGST Total]]+Purchase[[#This Row],[SGST Total]]</f>
        <v>381.6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 s="138">
        <f>+Purchase[[#This Row],[IGST RCM Total]]+Purchase[[#This Row],[CGST RCM Total]]+Purchase[[#This Row],[SGST RCM Total]]</f>
        <v>0</v>
      </c>
      <c r="AP66" t="s">
        <v>175</v>
      </c>
    </row>
    <row r="67" spans="1:42" hidden="1" x14ac:dyDescent="0.25">
      <c r="A67" s="138" t="s">
        <v>38</v>
      </c>
      <c r="B67" t="s">
        <v>42</v>
      </c>
      <c r="C67" t="s">
        <v>206</v>
      </c>
      <c r="D67" s="150">
        <v>116</v>
      </c>
      <c r="E67" t="s">
        <v>201</v>
      </c>
      <c r="F67" t="s">
        <v>202</v>
      </c>
      <c r="G67" t="s">
        <v>351</v>
      </c>
      <c r="H67" s="150">
        <v>32890</v>
      </c>
      <c r="I67" s="139" t="s">
        <v>46</v>
      </c>
      <c r="J67">
        <v>354</v>
      </c>
      <c r="K67">
        <v>54</v>
      </c>
      <c r="L67">
        <v>300</v>
      </c>
      <c r="M67" t="s">
        <v>39</v>
      </c>
      <c r="N67" t="s">
        <v>244</v>
      </c>
      <c r="O67">
        <v>0</v>
      </c>
      <c r="P67">
        <v>0</v>
      </c>
      <c r="Q67">
        <v>0</v>
      </c>
      <c r="R67">
        <v>0</v>
      </c>
      <c r="S67">
        <v>27</v>
      </c>
      <c r="T67">
        <v>27</v>
      </c>
      <c r="U67">
        <v>0</v>
      </c>
      <c r="V67">
        <v>0</v>
      </c>
      <c r="W67">
        <v>0</v>
      </c>
      <c r="X67">
        <v>0</v>
      </c>
      <c r="Y67">
        <v>27</v>
      </c>
      <c r="Z67">
        <v>27</v>
      </c>
      <c r="AA67">
        <v>0</v>
      </c>
      <c r="AB67">
        <v>0</v>
      </c>
      <c r="AC67">
        <v>0</v>
      </c>
      <c r="AD67" s="138"/>
      <c r="AE67">
        <v>0</v>
      </c>
      <c r="AF67" s="138">
        <f>+Purchase[[#This Row],[IGST Total]]+Purchase[[#This Row],[CGST Total]]+Purchase[[#This Row],[SGST Total]]</f>
        <v>54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 s="138">
        <f>+Purchase[[#This Row],[IGST RCM Total]]+Purchase[[#This Row],[CGST RCM Total]]+Purchase[[#This Row],[SGST RCM Total]]</f>
        <v>0</v>
      </c>
      <c r="AP67" t="s">
        <v>175</v>
      </c>
    </row>
    <row r="68" spans="1:42" hidden="1" x14ac:dyDescent="0.25">
      <c r="A68" s="138" t="s">
        <v>38</v>
      </c>
      <c r="B68" t="s">
        <v>42</v>
      </c>
      <c r="C68" t="s">
        <v>352</v>
      </c>
      <c r="D68" s="150">
        <v>116</v>
      </c>
      <c r="E68" t="s">
        <v>201</v>
      </c>
      <c r="F68" t="s">
        <v>202</v>
      </c>
      <c r="G68" t="s">
        <v>353</v>
      </c>
      <c r="H68" s="150">
        <v>32891</v>
      </c>
      <c r="I68" s="139" t="s">
        <v>46</v>
      </c>
      <c r="J68">
        <v>1344.82</v>
      </c>
      <c r="K68">
        <v>205.14</v>
      </c>
      <c r="L68">
        <v>1139.68</v>
      </c>
      <c r="M68" t="s">
        <v>39</v>
      </c>
      <c r="N68" t="s">
        <v>281</v>
      </c>
      <c r="O68">
        <v>0</v>
      </c>
      <c r="P68">
        <v>0</v>
      </c>
      <c r="Q68">
        <v>0</v>
      </c>
      <c r="R68">
        <v>0</v>
      </c>
      <c r="S68">
        <v>102.57</v>
      </c>
      <c r="T68">
        <v>102.57</v>
      </c>
      <c r="U68">
        <v>0</v>
      </c>
      <c r="V68">
        <v>0</v>
      </c>
      <c r="W68">
        <v>0</v>
      </c>
      <c r="X68">
        <v>0</v>
      </c>
      <c r="Y68">
        <v>102.57</v>
      </c>
      <c r="Z68">
        <v>102.57</v>
      </c>
      <c r="AA68">
        <v>0</v>
      </c>
      <c r="AB68">
        <v>0</v>
      </c>
      <c r="AC68">
        <v>0</v>
      </c>
      <c r="AD68" s="138"/>
      <c r="AE68">
        <v>0</v>
      </c>
      <c r="AF68" s="138">
        <f>+Purchase[[#This Row],[IGST Total]]+Purchase[[#This Row],[CGST Total]]+Purchase[[#This Row],[SGST Total]]</f>
        <v>205.14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 s="138">
        <f>+Purchase[[#This Row],[IGST RCM Total]]+Purchase[[#This Row],[CGST RCM Total]]+Purchase[[#This Row],[SGST RCM Total]]</f>
        <v>0</v>
      </c>
      <c r="AP68" t="s">
        <v>175</v>
      </c>
    </row>
    <row r="69" spans="1:42" hidden="1" x14ac:dyDescent="0.25">
      <c r="A69" s="138" t="s">
        <v>38</v>
      </c>
      <c r="B69" t="s">
        <v>42</v>
      </c>
      <c r="C69" t="s">
        <v>354</v>
      </c>
      <c r="D69" s="150">
        <v>116</v>
      </c>
      <c r="E69" t="s">
        <v>201</v>
      </c>
      <c r="F69" t="s">
        <v>202</v>
      </c>
      <c r="G69" t="s">
        <v>193</v>
      </c>
      <c r="H69" s="150">
        <v>32891</v>
      </c>
      <c r="I69" s="139" t="s">
        <v>46</v>
      </c>
      <c r="J69">
        <v>955.8</v>
      </c>
      <c r="K69">
        <v>145.80000000000001</v>
      </c>
      <c r="L69">
        <v>810</v>
      </c>
      <c r="M69" t="s">
        <v>39</v>
      </c>
      <c r="N69" t="s">
        <v>244</v>
      </c>
      <c r="O69">
        <v>0</v>
      </c>
      <c r="P69">
        <v>0</v>
      </c>
      <c r="Q69">
        <v>0</v>
      </c>
      <c r="R69">
        <v>0</v>
      </c>
      <c r="S69">
        <v>72.900000000000006</v>
      </c>
      <c r="T69">
        <v>72.900000000000006</v>
      </c>
      <c r="U69">
        <v>0</v>
      </c>
      <c r="V69">
        <v>0</v>
      </c>
      <c r="W69">
        <v>0</v>
      </c>
      <c r="X69">
        <v>0</v>
      </c>
      <c r="Y69">
        <v>72.900000000000006</v>
      </c>
      <c r="Z69">
        <v>72.900000000000006</v>
      </c>
      <c r="AA69">
        <v>0</v>
      </c>
      <c r="AB69">
        <v>0</v>
      </c>
      <c r="AC69">
        <v>0</v>
      </c>
      <c r="AD69" s="138"/>
      <c r="AE69">
        <v>0</v>
      </c>
      <c r="AF69" s="138">
        <f>+Purchase[[#This Row],[IGST Total]]+Purchase[[#This Row],[CGST Total]]+Purchase[[#This Row],[SGST Total]]</f>
        <v>145.80000000000001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 s="138">
        <f>+Purchase[[#This Row],[IGST RCM Total]]+Purchase[[#This Row],[CGST RCM Total]]+Purchase[[#This Row],[SGST RCM Total]]</f>
        <v>0</v>
      </c>
      <c r="AP69" t="s">
        <v>175</v>
      </c>
    </row>
    <row r="70" spans="1:42" hidden="1" x14ac:dyDescent="0.25">
      <c r="A70" s="138" t="s">
        <v>38</v>
      </c>
      <c r="B70" t="s">
        <v>42</v>
      </c>
      <c r="C70" t="s">
        <v>355</v>
      </c>
      <c r="D70" s="150">
        <v>116</v>
      </c>
      <c r="E70" t="s">
        <v>201</v>
      </c>
      <c r="F70" t="s">
        <v>202</v>
      </c>
      <c r="G70" t="s">
        <v>356</v>
      </c>
      <c r="H70" s="150">
        <v>32891</v>
      </c>
      <c r="I70" s="139" t="s">
        <v>46</v>
      </c>
      <c r="J70">
        <v>889.7</v>
      </c>
      <c r="K70">
        <v>136</v>
      </c>
      <c r="L70">
        <v>753.7</v>
      </c>
      <c r="M70" t="s">
        <v>39</v>
      </c>
      <c r="N70" t="s">
        <v>262</v>
      </c>
      <c r="O70">
        <v>0</v>
      </c>
      <c r="P70">
        <v>0</v>
      </c>
      <c r="Q70">
        <v>0</v>
      </c>
      <c r="R70">
        <v>0</v>
      </c>
      <c r="S70">
        <v>68</v>
      </c>
      <c r="T70">
        <v>68</v>
      </c>
      <c r="U70">
        <v>0</v>
      </c>
      <c r="V70">
        <v>0</v>
      </c>
      <c r="W70">
        <v>0</v>
      </c>
      <c r="X70">
        <v>0</v>
      </c>
      <c r="Y70">
        <v>68</v>
      </c>
      <c r="Z70">
        <v>68</v>
      </c>
      <c r="AA70">
        <v>0</v>
      </c>
      <c r="AB70">
        <v>0</v>
      </c>
      <c r="AC70">
        <v>0</v>
      </c>
      <c r="AD70" s="138"/>
      <c r="AE70">
        <v>0</v>
      </c>
      <c r="AF70" s="138">
        <f>+Purchase[[#This Row],[IGST Total]]+Purchase[[#This Row],[CGST Total]]+Purchase[[#This Row],[SGST Total]]</f>
        <v>136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 s="138">
        <f>+Purchase[[#This Row],[IGST RCM Total]]+Purchase[[#This Row],[CGST RCM Total]]+Purchase[[#This Row],[SGST RCM Total]]</f>
        <v>0</v>
      </c>
      <c r="AP70" t="s">
        <v>175</v>
      </c>
    </row>
    <row r="71" spans="1:42" hidden="1" x14ac:dyDescent="0.25">
      <c r="A71" s="138" t="s">
        <v>38</v>
      </c>
      <c r="B71" t="s">
        <v>42</v>
      </c>
      <c r="C71" t="s">
        <v>357</v>
      </c>
      <c r="D71" s="150">
        <v>116</v>
      </c>
      <c r="E71" t="s">
        <v>201</v>
      </c>
      <c r="F71" t="s">
        <v>202</v>
      </c>
      <c r="G71" t="s">
        <v>358</v>
      </c>
      <c r="H71" s="150">
        <v>32891</v>
      </c>
      <c r="I71" s="139" t="s">
        <v>46</v>
      </c>
      <c r="J71">
        <v>28231.5</v>
      </c>
      <c r="K71">
        <v>4306.5</v>
      </c>
      <c r="L71">
        <v>23925</v>
      </c>
      <c r="M71" t="s">
        <v>39</v>
      </c>
      <c r="N71" t="s">
        <v>257</v>
      </c>
      <c r="O71">
        <v>0</v>
      </c>
      <c r="P71">
        <v>0</v>
      </c>
      <c r="Q71">
        <v>0</v>
      </c>
      <c r="R71">
        <v>0</v>
      </c>
      <c r="S71">
        <v>2153.25</v>
      </c>
      <c r="T71">
        <v>2153.25</v>
      </c>
      <c r="U71">
        <v>0</v>
      </c>
      <c r="V71">
        <v>0</v>
      </c>
      <c r="W71">
        <v>0</v>
      </c>
      <c r="X71">
        <v>0</v>
      </c>
      <c r="Y71">
        <v>2153.25</v>
      </c>
      <c r="Z71">
        <v>2153.25</v>
      </c>
      <c r="AA71">
        <v>0</v>
      </c>
      <c r="AB71">
        <v>0</v>
      </c>
      <c r="AC71">
        <v>0</v>
      </c>
      <c r="AD71" s="138"/>
      <c r="AE71">
        <v>0</v>
      </c>
      <c r="AF71" s="138">
        <f>+Purchase[[#This Row],[IGST Total]]+Purchase[[#This Row],[CGST Total]]+Purchase[[#This Row],[SGST Total]]</f>
        <v>4306.5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 s="138">
        <f>+Purchase[[#This Row],[IGST RCM Total]]+Purchase[[#This Row],[CGST RCM Total]]+Purchase[[#This Row],[SGST RCM Total]]</f>
        <v>0</v>
      </c>
      <c r="AP71" t="s">
        <v>175</v>
      </c>
    </row>
    <row r="72" spans="1:42" hidden="1" x14ac:dyDescent="0.25">
      <c r="A72" s="138" t="s">
        <v>38</v>
      </c>
      <c r="B72" t="s">
        <v>42</v>
      </c>
      <c r="C72" t="s">
        <v>207</v>
      </c>
      <c r="D72" s="150">
        <v>116</v>
      </c>
      <c r="E72" t="s">
        <v>201</v>
      </c>
      <c r="F72" t="s">
        <v>202</v>
      </c>
      <c r="G72" t="s">
        <v>359</v>
      </c>
      <c r="H72" s="150">
        <v>32879</v>
      </c>
      <c r="I72" s="139" t="s">
        <v>46</v>
      </c>
      <c r="J72">
        <v>53100</v>
      </c>
      <c r="K72">
        <v>8100</v>
      </c>
      <c r="L72">
        <v>45000</v>
      </c>
      <c r="M72" t="s">
        <v>39</v>
      </c>
      <c r="N72" t="s">
        <v>360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8100</v>
      </c>
      <c r="AD72" s="138"/>
      <c r="AE72">
        <v>8100</v>
      </c>
      <c r="AF72" s="138">
        <f>+Purchase[[#This Row],[IGST Total]]+Purchase[[#This Row],[CGST Total]]+Purchase[[#This Row],[SGST Total]]</f>
        <v>8100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 s="138">
        <f>+Purchase[[#This Row],[IGST RCM Total]]+Purchase[[#This Row],[CGST RCM Total]]+Purchase[[#This Row],[SGST RCM Total]]</f>
        <v>0</v>
      </c>
      <c r="AP72" t="s">
        <v>176</v>
      </c>
    </row>
    <row r="73" spans="1:42" hidden="1" x14ac:dyDescent="0.25">
      <c r="A73" s="138" t="s">
        <v>38</v>
      </c>
      <c r="B73" t="s">
        <v>42</v>
      </c>
      <c r="C73" t="s">
        <v>361</v>
      </c>
      <c r="D73" s="150">
        <v>121</v>
      </c>
      <c r="E73" t="s">
        <v>201</v>
      </c>
      <c r="F73" t="s">
        <v>202</v>
      </c>
      <c r="G73" t="s">
        <v>362</v>
      </c>
      <c r="H73" s="150">
        <v>32891</v>
      </c>
      <c r="I73" s="139" t="s">
        <v>46</v>
      </c>
      <c r="J73">
        <v>53100</v>
      </c>
      <c r="K73">
        <v>8100</v>
      </c>
      <c r="L73">
        <v>45000</v>
      </c>
      <c r="M73" t="s">
        <v>39</v>
      </c>
      <c r="N73" t="s">
        <v>360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8100</v>
      </c>
      <c r="AD73" s="138"/>
      <c r="AE73">
        <v>8100</v>
      </c>
      <c r="AF73" s="138">
        <f>+Purchase[[#This Row],[IGST Total]]+Purchase[[#This Row],[CGST Total]]+Purchase[[#This Row],[SGST Total]]</f>
        <v>8100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 s="138">
        <f>+Purchase[[#This Row],[IGST RCM Total]]+Purchase[[#This Row],[CGST RCM Total]]+Purchase[[#This Row],[SGST RCM Total]]</f>
        <v>0</v>
      </c>
      <c r="AP73" t="s">
        <v>176</v>
      </c>
    </row>
    <row r="74" spans="1:42" hidden="1" x14ac:dyDescent="0.25">
      <c r="A74" s="138" t="s">
        <v>38</v>
      </c>
      <c r="B74" t="s">
        <v>42</v>
      </c>
      <c r="C74" t="s">
        <v>363</v>
      </c>
      <c r="D74" s="150">
        <v>121</v>
      </c>
      <c r="E74" t="s">
        <v>201</v>
      </c>
      <c r="F74" t="s">
        <v>202</v>
      </c>
      <c r="G74" t="s">
        <v>364</v>
      </c>
      <c r="H74" s="150">
        <v>32894</v>
      </c>
      <c r="I74" s="139" t="s">
        <v>46</v>
      </c>
      <c r="J74">
        <v>1180</v>
      </c>
      <c r="K74">
        <v>180</v>
      </c>
      <c r="L74">
        <v>1000</v>
      </c>
      <c r="M74" t="s">
        <v>39</v>
      </c>
      <c r="N74" t="s">
        <v>296</v>
      </c>
      <c r="O74">
        <v>0</v>
      </c>
      <c r="P74">
        <v>0</v>
      </c>
      <c r="Q74">
        <v>0</v>
      </c>
      <c r="R74">
        <v>0</v>
      </c>
      <c r="S74">
        <v>90</v>
      </c>
      <c r="T74">
        <v>90</v>
      </c>
      <c r="U74">
        <v>0</v>
      </c>
      <c r="V74">
        <v>0</v>
      </c>
      <c r="W74">
        <v>0</v>
      </c>
      <c r="X74">
        <v>0</v>
      </c>
      <c r="Y74">
        <v>90</v>
      </c>
      <c r="Z74">
        <v>90</v>
      </c>
      <c r="AA74">
        <v>0</v>
      </c>
      <c r="AB74">
        <v>0</v>
      </c>
      <c r="AC74">
        <v>0</v>
      </c>
      <c r="AD74" s="138"/>
      <c r="AE74">
        <v>0</v>
      </c>
      <c r="AF74" s="138">
        <f>+Purchase[[#This Row],[IGST Total]]+Purchase[[#This Row],[CGST Total]]+Purchase[[#This Row],[SGST Total]]</f>
        <v>180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 s="138">
        <f>+Purchase[[#This Row],[IGST RCM Total]]+Purchase[[#This Row],[CGST RCM Total]]+Purchase[[#This Row],[SGST RCM Total]]</f>
        <v>0</v>
      </c>
      <c r="AP74" t="s">
        <v>175</v>
      </c>
    </row>
    <row r="75" spans="1:42" hidden="1" x14ac:dyDescent="0.25">
      <c r="A75" s="138" t="s">
        <v>38</v>
      </c>
      <c r="B75" t="s">
        <v>42</v>
      </c>
      <c r="C75" t="s">
        <v>365</v>
      </c>
      <c r="D75" s="150">
        <v>121</v>
      </c>
      <c r="E75" t="s">
        <v>201</v>
      </c>
      <c r="F75" t="s">
        <v>202</v>
      </c>
      <c r="G75" t="s">
        <v>366</v>
      </c>
      <c r="H75" s="150">
        <v>32894</v>
      </c>
      <c r="I75" s="139" t="s">
        <v>46</v>
      </c>
      <c r="J75">
        <v>5229.8599999999997</v>
      </c>
      <c r="K75">
        <v>797.78</v>
      </c>
      <c r="L75">
        <v>4432.08</v>
      </c>
      <c r="M75" t="s">
        <v>39</v>
      </c>
      <c r="N75" t="s">
        <v>281</v>
      </c>
      <c r="O75">
        <v>0</v>
      </c>
      <c r="P75">
        <v>0</v>
      </c>
      <c r="Q75">
        <v>0</v>
      </c>
      <c r="R75">
        <v>0</v>
      </c>
      <c r="S75">
        <v>398.89</v>
      </c>
      <c r="T75">
        <v>398.89</v>
      </c>
      <c r="U75">
        <v>0</v>
      </c>
      <c r="V75">
        <v>0</v>
      </c>
      <c r="W75">
        <v>0</v>
      </c>
      <c r="X75">
        <v>0</v>
      </c>
      <c r="Y75">
        <v>398.89</v>
      </c>
      <c r="Z75">
        <v>398.89</v>
      </c>
      <c r="AA75">
        <v>0</v>
      </c>
      <c r="AB75">
        <v>0</v>
      </c>
      <c r="AC75">
        <v>0</v>
      </c>
      <c r="AD75" s="138"/>
      <c r="AE75">
        <v>0</v>
      </c>
      <c r="AF75" s="138">
        <f>+Purchase[[#This Row],[IGST Total]]+Purchase[[#This Row],[CGST Total]]+Purchase[[#This Row],[SGST Total]]</f>
        <v>797.78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 s="138">
        <f>+Purchase[[#This Row],[IGST RCM Total]]+Purchase[[#This Row],[CGST RCM Total]]+Purchase[[#This Row],[SGST RCM Total]]</f>
        <v>0</v>
      </c>
      <c r="AP75" t="s">
        <v>175</v>
      </c>
    </row>
    <row r="76" spans="1:42" hidden="1" x14ac:dyDescent="0.25">
      <c r="A76" s="138" t="s">
        <v>38</v>
      </c>
      <c r="B76" t="s">
        <v>42</v>
      </c>
      <c r="C76" t="s">
        <v>367</v>
      </c>
      <c r="D76" s="150">
        <v>121</v>
      </c>
      <c r="E76" t="s">
        <v>201</v>
      </c>
      <c r="F76" t="s">
        <v>202</v>
      </c>
      <c r="G76" t="s">
        <v>368</v>
      </c>
      <c r="H76" s="150">
        <v>32894</v>
      </c>
      <c r="I76" s="139" t="s">
        <v>46</v>
      </c>
      <c r="J76">
        <v>292</v>
      </c>
      <c r="K76">
        <v>32</v>
      </c>
      <c r="L76">
        <v>260</v>
      </c>
      <c r="M76" t="s">
        <v>39</v>
      </c>
      <c r="N76" t="s">
        <v>275</v>
      </c>
      <c r="O76">
        <v>0</v>
      </c>
      <c r="P76">
        <v>0</v>
      </c>
      <c r="Q76">
        <v>0</v>
      </c>
      <c r="R76">
        <v>16</v>
      </c>
      <c r="S76">
        <v>0</v>
      </c>
      <c r="T76">
        <v>16</v>
      </c>
      <c r="U76">
        <v>0</v>
      </c>
      <c r="V76">
        <v>0</v>
      </c>
      <c r="W76">
        <v>0</v>
      </c>
      <c r="X76">
        <v>16</v>
      </c>
      <c r="Y76">
        <v>0</v>
      </c>
      <c r="Z76">
        <v>16</v>
      </c>
      <c r="AA76">
        <v>0</v>
      </c>
      <c r="AB76">
        <v>0</v>
      </c>
      <c r="AC76">
        <v>0</v>
      </c>
      <c r="AD76" s="138"/>
      <c r="AE76">
        <v>0</v>
      </c>
      <c r="AF76" s="138">
        <f>+Purchase[[#This Row],[IGST Total]]+Purchase[[#This Row],[CGST Total]]+Purchase[[#This Row],[SGST Total]]</f>
        <v>32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 s="138">
        <f>+Purchase[[#This Row],[IGST RCM Total]]+Purchase[[#This Row],[CGST RCM Total]]+Purchase[[#This Row],[SGST RCM Total]]</f>
        <v>0</v>
      </c>
      <c r="AP76" t="s">
        <v>175</v>
      </c>
    </row>
    <row r="77" spans="1:42" hidden="1" x14ac:dyDescent="0.25">
      <c r="A77" s="138" t="s">
        <v>38</v>
      </c>
      <c r="B77" t="s">
        <v>42</v>
      </c>
      <c r="C77" t="s">
        <v>369</v>
      </c>
      <c r="D77" s="150">
        <v>121</v>
      </c>
      <c r="E77" t="s">
        <v>201</v>
      </c>
      <c r="F77" t="s">
        <v>202</v>
      </c>
      <c r="G77" t="s">
        <v>370</v>
      </c>
      <c r="H77" s="150">
        <v>32894</v>
      </c>
      <c r="I77" s="139" t="s">
        <v>46</v>
      </c>
      <c r="J77">
        <v>590</v>
      </c>
      <c r="K77">
        <v>90</v>
      </c>
      <c r="L77">
        <v>500</v>
      </c>
      <c r="M77" t="s">
        <v>39</v>
      </c>
      <c r="N77" t="s">
        <v>244</v>
      </c>
      <c r="O77">
        <v>0</v>
      </c>
      <c r="P77">
        <v>0</v>
      </c>
      <c r="Q77">
        <v>0</v>
      </c>
      <c r="R77">
        <v>0</v>
      </c>
      <c r="S77">
        <v>45</v>
      </c>
      <c r="T77">
        <v>45</v>
      </c>
      <c r="U77">
        <v>0</v>
      </c>
      <c r="V77">
        <v>0</v>
      </c>
      <c r="W77">
        <v>0</v>
      </c>
      <c r="X77">
        <v>0</v>
      </c>
      <c r="Y77">
        <v>45</v>
      </c>
      <c r="Z77">
        <v>45</v>
      </c>
      <c r="AA77">
        <v>0</v>
      </c>
      <c r="AB77">
        <v>0</v>
      </c>
      <c r="AC77">
        <v>0</v>
      </c>
      <c r="AD77" s="138"/>
      <c r="AE77">
        <v>0</v>
      </c>
      <c r="AF77" s="138">
        <f>+Purchase[[#This Row],[IGST Total]]+Purchase[[#This Row],[CGST Total]]+Purchase[[#This Row],[SGST Total]]</f>
        <v>90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 s="138">
        <f>+Purchase[[#This Row],[IGST RCM Total]]+Purchase[[#This Row],[CGST RCM Total]]+Purchase[[#This Row],[SGST RCM Total]]</f>
        <v>0</v>
      </c>
      <c r="AP77" t="s">
        <v>175</v>
      </c>
    </row>
    <row r="78" spans="1:42" hidden="1" x14ac:dyDescent="0.25">
      <c r="A78" s="138" t="s">
        <v>38</v>
      </c>
      <c r="B78" t="s">
        <v>42</v>
      </c>
      <c r="C78" t="s">
        <v>371</v>
      </c>
      <c r="D78" s="150">
        <v>121</v>
      </c>
      <c r="E78" t="s">
        <v>201</v>
      </c>
      <c r="F78" t="s">
        <v>202</v>
      </c>
      <c r="G78" t="s">
        <v>372</v>
      </c>
      <c r="H78" s="150">
        <v>32895</v>
      </c>
      <c r="I78" s="139" t="s">
        <v>46</v>
      </c>
      <c r="J78">
        <v>15841.5</v>
      </c>
      <c r="K78">
        <v>2416.5</v>
      </c>
      <c r="L78">
        <v>13425</v>
      </c>
      <c r="M78" t="s">
        <v>39</v>
      </c>
      <c r="N78" t="s">
        <v>257</v>
      </c>
      <c r="O78">
        <v>0</v>
      </c>
      <c r="P78">
        <v>0</v>
      </c>
      <c r="Q78">
        <v>0</v>
      </c>
      <c r="R78">
        <v>0</v>
      </c>
      <c r="S78">
        <v>1208.25</v>
      </c>
      <c r="T78">
        <v>1208.25</v>
      </c>
      <c r="U78">
        <v>0</v>
      </c>
      <c r="V78">
        <v>0</v>
      </c>
      <c r="W78">
        <v>0</v>
      </c>
      <c r="X78">
        <v>0</v>
      </c>
      <c r="Y78">
        <v>1208.25</v>
      </c>
      <c r="Z78">
        <v>1208.25</v>
      </c>
      <c r="AA78">
        <v>0</v>
      </c>
      <c r="AB78">
        <v>0</v>
      </c>
      <c r="AC78">
        <v>0</v>
      </c>
      <c r="AD78" s="138"/>
      <c r="AE78">
        <v>0</v>
      </c>
      <c r="AF78" s="138">
        <f>+Purchase[[#This Row],[IGST Total]]+Purchase[[#This Row],[CGST Total]]+Purchase[[#This Row],[SGST Total]]</f>
        <v>2416.5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 s="138">
        <f>+Purchase[[#This Row],[IGST RCM Total]]+Purchase[[#This Row],[CGST RCM Total]]+Purchase[[#This Row],[SGST RCM Total]]</f>
        <v>0</v>
      </c>
      <c r="AP78" t="s">
        <v>175</v>
      </c>
    </row>
    <row r="79" spans="1:42" hidden="1" x14ac:dyDescent="0.25">
      <c r="A79" s="138" t="s">
        <v>38</v>
      </c>
      <c r="B79" t="s">
        <v>42</v>
      </c>
      <c r="C79" t="s">
        <v>373</v>
      </c>
      <c r="D79" s="150">
        <v>121</v>
      </c>
      <c r="E79" t="s">
        <v>201</v>
      </c>
      <c r="F79" t="s">
        <v>202</v>
      </c>
      <c r="G79" t="s">
        <v>374</v>
      </c>
      <c r="H79" s="150">
        <v>32894</v>
      </c>
      <c r="I79" s="139" t="s">
        <v>46</v>
      </c>
      <c r="J79">
        <v>832</v>
      </c>
      <c r="K79">
        <v>82</v>
      </c>
      <c r="L79">
        <v>750</v>
      </c>
      <c r="M79" t="s">
        <v>39</v>
      </c>
      <c r="N79" t="s">
        <v>275</v>
      </c>
      <c r="O79">
        <v>0</v>
      </c>
      <c r="P79">
        <v>0</v>
      </c>
      <c r="Q79">
        <v>0</v>
      </c>
      <c r="R79">
        <v>0</v>
      </c>
      <c r="S79">
        <v>41</v>
      </c>
      <c r="T79">
        <v>41</v>
      </c>
      <c r="U79">
        <v>0</v>
      </c>
      <c r="V79">
        <v>0</v>
      </c>
      <c r="W79">
        <v>0</v>
      </c>
      <c r="X79">
        <v>0</v>
      </c>
      <c r="Y79">
        <v>41</v>
      </c>
      <c r="Z79">
        <v>41</v>
      </c>
      <c r="AA79">
        <v>0</v>
      </c>
      <c r="AB79">
        <v>0</v>
      </c>
      <c r="AC79">
        <v>0</v>
      </c>
      <c r="AD79" s="138"/>
      <c r="AE79">
        <v>0</v>
      </c>
      <c r="AF79" s="138">
        <f>+Purchase[[#This Row],[IGST Total]]+Purchase[[#This Row],[CGST Total]]+Purchase[[#This Row],[SGST Total]]</f>
        <v>82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 s="138">
        <f>+Purchase[[#This Row],[IGST RCM Total]]+Purchase[[#This Row],[CGST RCM Total]]+Purchase[[#This Row],[SGST RCM Total]]</f>
        <v>0</v>
      </c>
      <c r="AP79" t="s">
        <v>175</v>
      </c>
    </row>
    <row r="80" spans="1:42" hidden="1" x14ac:dyDescent="0.25">
      <c r="A80" s="138" t="s">
        <v>38</v>
      </c>
      <c r="B80" t="s">
        <v>42</v>
      </c>
      <c r="C80" t="s">
        <v>375</v>
      </c>
      <c r="D80" s="150">
        <v>121</v>
      </c>
      <c r="E80" t="s">
        <v>201</v>
      </c>
      <c r="F80" t="s">
        <v>202</v>
      </c>
      <c r="G80" t="s">
        <v>376</v>
      </c>
      <c r="H80" s="150">
        <v>32896</v>
      </c>
      <c r="I80" s="139" t="s">
        <v>46</v>
      </c>
      <c r="J80">
        <v>1123.3599999999999</v>
      </c>
      <c r="K80">
        <v>171.36</v>
      </c>
      <c r="L80">
        <v>952</v>
      </c>
      <c r="M80" t="s">
        <v>39</v>
      </c>
      <c r="N80" t="s">
        <v>244</v>
      </c>
      <c r="O80">
        <v>0</v>
      </c>
      <c r="P80">
        <v>0</v>
      </c>
      <c r="Q80">
        <v>0</v>
      </c>
      <c r="R80">
        <v>0</v>
      </c>
      <c r="S80">
        <v>85.68</v>
      </c>
      <c r="T80">
        <v>85.68</v>
      </c>
      <c r="U80">
        <v>0</v>
      </c>
      <c r="V80">
        <v>0</v>
      </c>
      <c r="W80">
        <v>0</v>
      </c>
      <c r="X80">
        <v>0</v>
      </c>
      <c r="Y80">
        <v>85.68</v>
      </c>
      <c r="Z80">
        <v>85.68</v>
      </c>
      <c r="AA80">
        <v>0</v>
      </c>
      <c r="AB80">
        <v>0</v>
      </c>
      <c r="AC80">
        <v>0</v>
      </c>
      <c r="AD80" s="138"/>
      <c r="AE80">
        <v>0</v>
      </c>
      <c r="AF80" s="138">
        <f>+Purchase[[#This Row],[IGST Total]]+Purchase[[#This Row],[CGST Total]]+Purchase[[#This Row],[SGST Total]]</f>
        <v>171.36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 s="138">
        <f>+Purchase[[#This Row],[IGST RCM Total]]+Purchase[[#This Row],[CGST RCM Total]]+Purchase[[#This Row],[SGST RCM Total]]</f>
        <v>0</v>
      </c>
      <c r="AP80" t="s">
        <v>175</v>
      </c>
    </row>
    <row r="81" spans="1:42" hidden="1" x14ac:dyDescent="0.25">
      <c r="A81" s="138" t="s">
        <v>38</v>
      </c>
      <c r="B81" t="s">
        <v>42</v>
      </c>
      <c r="C81" t="s">
        <v>377</v>
      </c>
      <c r="D81" s="150">
        <v>121</v>
      </c>
      <c r="E81" t="s">
        <v>201</v>
      </c>
      <c r="F81" t="s">
        <v>202</v>
      </c>
      <c r="G81" t="s">
        <v>378</v>
      </c>
      <c r="H81" s="150">
        <v>32899</v>
      </c>
      <c r="I81" s="139" t="s">
        <v>46</v>
      </c>
      <c r="J81">
        <v>1848</v>
      </c>
      <c r="K81">
        <v>198</v>
      </c>
      <c r="L81">
        <v>1650</v>
      </c>
      <c r="M81" t="s">
        <v>39</v>
      </c>
      <c r="N81" t="s">
        <v>275</v>
      </c>
      <c r="O81">
        <v>0</v>
      </c>
      <c r="P81">
        <v>0</v>
      </c>
      <c r="Q81">
        <v>0</v>
      </c>
      <c r="R81">
        <v>99</v>
      </c>
      <c r="S81">
        <v>0</v>
      </c>
      <c r="T81">
        <v>99</v>
      </c>
      <c r="U81">
        <v>0</v>
      </c>
      <c r="V81">
        <v>0</v>
      </c>
      <c r="W81">
        <v>0</v>
      </c>
      <c r="X81">
        <v>99</v>
      </c>
      <c r="Y81">
        <v>0</v>
      </c>
      <c r="Z81">
        <v>99</v>
      </c>
      <c r="AA81">
        <v>0</v>
      </c>
      <c r="AB81">
        <v>0</v>
      </c>
      <c r="AC81">
        <v>0</v>
      </c>
      <c r="AD81" s="138"/>
      <c r="AE81">
        <v>0</v>
      </c>
      <c r="AF81" s="138">
        <f>+Purchase[[#This Row],[IGST Total]]+Purchase[[#This Row],[CGST Total]]+Purchase[[#This Row],[SGST Total]]</f>
        <v>198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 s="138">
        <f>+Purchase[[#This Row],[IGST RCM Total]]+Purchase[[#This Row],[CGST RCM Total]]+Purchase[[#This Row],[SGST RCM Total]]</f>
        <v>0</v>
      </c>
      <c r="AP81" t="s">
        <v>175</v>
      </c>
    </row>
    <row r="82" spans="1:42" hidden="1" x14ac:dyDescent="0.25">
      <c r="A82" s="138" t="s">
        <v>38</v>
      </c>
      <c r="B82" t="s">
        <v>42</v>
      </c>
      <c r="C82" t="s">
        <v>379</v>
      </c>
      <c r="D82" s="150">
        <v>121</v>
      </c>
      <c r="E82" t="s">
        <v>201</v>
      </c>
      <c r="F82" t="s">
        <v>202</v>
      </c>
      <c r="G82" t="s">
        <v>380</v>
      </c>
      <c r="H82" s="150">
        <v>32889</v>
      </c>
      <c r="I82" s="139" t="s">
        <v>46</v>
      </c>
      <c r="J82">
        <v>7139</v>
      </c>
      <c r="K82">
        <v>1089</v>
      </c>
      <c r="L82">
        <v>6050</v>
      </c>
      <c r="M82" t="s">
        <v>39</v>
      </c>
      <c r="N82" t="s">
        <v>296</v>
      </c>
      <c r="O82">
        <v>0</v>
      </c>
      <c r="P82">
        <v>0</v>
      </c>
      <c r="Q82">
        <v>0</v>
      </c>
      <c r="R82">
        <v>0</v>
      </c>
      <c r="S82">
        <v>544.5</v>
      </c>
      <c r="T82">
        <v>544.5</v>
      </c>
      <c r="U82">
        <v>0</v>
      </c>
      <c r="V82">
        <v>0</v>
      </c>
      <c r="W82">
        <v>0</v>
      </c>
      <c r="X82">
        <v>0</v>
      </c>
      <c r="Y82">
        <v>544.5</v>
      </c>
      <c r="Z82">
        <v>544.5</v>
      </c>
      <c r="AA82">
        <v>0</v>
      </c>
      <c r="AB82">
        <v>0</v>
      </c>
      <c r="AC82">
        <v>0</v>
      </c>
      <c r="AD82" s="138"/>
      <c r="AE82">
        <v>0</v>
      </c>
      <c r="AF82" s="138">
        <f>+Purchase[[#This Row],[IGST Total]]+Purchase[[#This Row],[CGST Total]]+Purchase[[#This Row],[SGST Total]]</f>
        <v>1089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 s="138">
        <f>+Purchase[[#This Row],[IGST RCM Total]]+Purchase[[#This Row],[CGST RCM Total]]+Purchase[[#This Row],[SGST RCM Total]]</f>
        <v>0</v>
      </c>
      <c r="AP82" t="s">
        <v>175</v>
      </c>
    </row>
    <row r="83" spans="1:42" hidden="1" x14ac:dyDescent="0.25">
      <c r="A83" s="138" t="s">
        <v>38</v>
      </c>
      <c r="B83" t="s">
        <v>42</v>
      </c>
      <c r="C83" t="s">
        <v>381</v>
      </c>
      <c r="D83" s="150">
        <v>121</v>
      </c>
      <c r="E83" t="s">
        <v>201</v>
      </c>
      <c r="F83" t="s">
        <v>202</v>
      </c>
      <c r="G83" t="s">
        <v>382</v>
      </c>
      <c r="H83" s="150">
        <v>32892</v>
      </c>
      <c r="I83" s="139" t="s">
        <v>46</v>
      </c>
      <c r="J83">
        <v>283.2</v>
      </c>
      <c r="K83">
        <v>43.2</v>
      </c>
      <c r="L83">
        <v>240</v>
      </c>
      <c r="M83" t="s">
        <v>39</v>
      </c>
      <c r="N83" t="s">
        <v>244</v>
      </c>
      <c r="O83">
        <v>0</v>
      </c>
      <c r="P83">
        <v>0</v>
      </c>
      <c r="Q83">
        <v>0</v>
      </c>
      <c r="R83">
        <v>0</v>
      </c>
      <c r="S83">
        <v>21.6</v>
      </c>
      <c r="T83">
        <v>21.6</v>
      </c>
      <c r="U83">
        <v>0</v>
      </c>
      <c r="V83">
        <v>0</v>
      </c>
      <c r="W83">
        <v>0</v>
      </c>
      <c r="X83">
        <v>0</v>
      </c>
      <c r="Y83">
        <v>21.6</v>
      </c>
      <c r="Z83">
        <v>21.6</v>
      </c>
      <c r="AA83">
        <v>0</v>
      </c>
      <c r="AB83">
        <v>0</v>
      </c>
      <c r="AC83">
        <v>0</v>
      </c>
      <c r="AD83" s="138"/>
      <c r="AE83">
        <v>0</v>
      </c>
      <c r="AF83" s="138">
        <f>+Purchase[[#This Row],[IGST Total]]+Purchase[[#This Row],[CGST Total]]+Purchase[[#This Row],[SGST Total]]</f>
        <v>43.2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 s="138">
        <f>+Purchase[[#This Row],[IGST RCM Total]]+Purchase[[#This Row],[CGST RCM Total]]+Purchase[[#This Row],[SGST RCM Total]]</f>
        <v>0</v>
      </c>
      <c r="AP83" t="s">
        <v>175</v>
      </c>
    </row>
    <row r="84" spans="1:42" hidden="1" x14ac:dyDescent="0.25">
      <c r="A84" s="138" t="s">
        <v>38</v>
      </c>
      <c r="B84" t="s">
        <v>42</v>
      </c>
      <c r="C84" t="s">
        <v>383</v>
      </c>
      <c r="D84" s="150">
        <v>121</v>
      </c>
      <c r="E84" t="s">
        <v>201</v>
      </c>
      <c r="F84" t="s">
        <v>202</v>
      </c>
      <c r="G84" t="s">
        <v>384</v>
      </c>
      <c r="H84" s="150">
        <v>32900</v>
      </c>
      <c r="I84" s="139" t="s">
        <v>46</v>
      </c>
      <c r="J84">
        <v>2242</v>
      </c>
      <c r="K84">
        <v>342</v>
      </c>
      <c r="L84">
        <v>1900</v>
      </c>
      <c r="M84" t="s">
        <v>39</v>
      </c>
      <c r="N84" t="s">
        <v>385</v>
      </c>
      <c r="O84">
        <v>0</v>
      </c>
      <c r="P84">
        <v>0</v>
      </c>
      <c r="Q84">
        <v>0</v>
      </c>
      <c r="R84">
        <v>0</v>
      </c>
      <c r="S84">
        <v>171</v>
      </c>
      <c r="T84">
        <v>171</v>
      </c>
      <c r="U84">
        <v>0</v>
      </c>
      <c r="V84">
        <v>0</v>
      </c>
      <c r="W84">
        <v>0</v>
      </c>
      <c r="X84">
        <v>0</v>
      </c>
      <c r="Y84">
        <v>171</v>
      </c>
      <c r="Z84">
        <v>171</v>
      </c>
      <c r="AA84">
        <v>0</v>
      </c>
      <c r="AB84">
        <v>0</v>
      </c>
      <c r="AC84">
        <v>0</v>
      </c>
      <c r="AD84" s="138"/>
      <c r="AE84">
        <v>0</v>
      </c>
      <c r="AF84" s="138">
        <f>+Purchase[[#This Row],[IGST Total]]+Purchase[[#This Row],[CGST Total]]+Purchase[[#This Row],[SGST Total]]</f>
        <v>342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 s="138">
        <f>+Purchase[[#This Row],[IGST RCM Total]]+Purchase[[#This Row],[CGST RCM Total]]+Purchase[[#This Row],[SGST RCM Total]]</f>
        <v>0</v>
      </c>
      <c r="AP84" t="s">
        <v>175</v>
      </c>
    </row>
    <row r="85" spans="1:42" hidden="1" x14ac:dyDescent="0.25">
      <c r="A85" s="138" t="s">
        <v>38</v>
      </c>
      <c r="B85" t="s">
        <v>42</v>
      </c>
      <c r="C85" t="s">
        <v>386</v>
      </c>
      <c r="D85" s="150">
        <v>121</v>
      </c>
      <c r="E85" t="s">
        <v>201</v>
      </c>
      <c r="F85" t="s">
        <v>202</v>
      </c>
      <c r="G85" t="s">
        <v>277</v>
      </c>
      <c r="H85" s="150">
        <v>32893</v>
      </c>
      <c r="I85" s="139" t="s">
        <v>46</v>
      </c>
      <c r="J85">
        <v>1392.4</v>
      </c>
      <c r="K85">
        <v>212.4</v>
      </c>
      <c r="L85">
        <v>1180</v>
      </c>
      <c r="M85" t="s">
        <v>39</v>
      </c>
      <c r="N85" t="s">
        <v>270</v>
      </c>
      <c r="O85">
        <v>0</v>
      </c>
      <c r="P85">
        <v>0</v>
      </c>
      <c r="Q85">
        <v>0</v>
      </c>
      <c r="R85">
        <v>0</v>
      </c>
      <c r="S85">
        <v>106.2</v>
      </c>
      <c r="T85">
        <v>106.2</v>
      </c>
      <c r="U85">
        <v>0</v>
      </c>
      <c r="V85">
        <v>0</v>
      </c>
      <c r="W85">
        <v>0</v>
      </c>
      <c r="X85">
        <v>0</v>
      </c>
      <c r="Y85">
        <v>106.2</v>
      </c>
      <c r="Z85">
        <v>106.2</v>
      </c>
      <c r="AA85">
        <v>0</v>
      </c>
      <c r="AB85">
        <v>0</v>
      </c>
      <c r="AC85">
        <v>0</v>
      </c>
      <c r="AD85" s="138"/>
      <c r="AE85">
        <v>0</v>
      </c>
      <c r="AF85" s="138">
        <f>+Purchase[[#This Row],[IGST Total]]+Purchase[[#This Row],[CGST Total]]+Purchase[[#This Row],[SGST Total]]</f>
        <v>212.4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 s="138">
        <f>+Purchase[[#This Row],[IGST RCM Total]]+Purchase[[#This Row],[CGST RCM Total]]+Purchase[[#This Row],[SGST RCM Total]]</f>
        <v>0</v>
      </c>
      <c r="AP85" t="s">
        <v>175</v>
      </c>
    </row>
    <row r="86" spans="1:42" hidden="1" x14ac:dyDescent="0.25">
      <c r="A86" s="138" t="s">
        <v>38</v>
      </c>
      <c r="B86" t="s">
        <v>42</v>
      </c>
      <c r="C86" t="s">
        <v>387</v>
      </c>
      <c r="D86" s="150">
        <v>121</v>
      </c>
      <c r="E86" t="s">
        <v>201</v>
      </c>
      <c r="F86" t="s">
        <v>202</v>
      </c>
      <c r="G86" t="s">
        <v>388</v>
      </c>
      <c r="H86" s="150">
        <v>32896</v>
      </c>
      <c r="I86" s="139" t="s">
        <v>46</v>
      </c>
      <c r="J86">
        <v>3304</v>
      </c>
      <c r="K86">
        <v>504</v>
      </c>
      <c r="L86">
        <v>2800</v>
      </c>
      <c r="M86" t="s">
        <v>39</v>
      </c>
      <c r="N86" t="s">
        <v>244</v>
      </c>
      <c r="O86">
        <v>0</v>
      </c>
      <c r="P86">
        <v>0</v>
      </c>
      <c r="Q86">
        <v>0</v>
      </c>
      <c r="R86">
        <v>0</v>
      </c>
      <c r="S86">
        <v>252</v>
      </c>
      <c r="T86">
        <v>252</v>
      </c>
      <c r="U86">
        <v>0</v>
      </c>
      <c r="V86">
        <v>0</v>
      </c>
      <c r="W86">
        <v>0</v>
      </c>
      <c r="X86">
        <v>0</v>
      </c>
      <c r="Y86">
        <v>252</v>
      </c>
      <c r="Z86">
        <v>252</v>
      </c>
      <c r="AA86">
        <v>0</v>
      </c>
      <c r="AB86">
        <v>0</v>
      </c>
      <c r="AC86">
        <v>0</v>
      </c>
      <c r="AD86" s="138"/>
      <c r="AE86">
        <v>0</v>
      </c>
      <c r="AF86" s="138">
        <f>+Purchase[[#This Row],[IGST Total]]+Purchase[[#This Row],[CGST Total]]+Purchase[[#This Row],[SGST Total]]</f>
        <v>504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 s="138">
        <f>+Purchase[[#This Row],[IGST RCM Total]]+Purchase[[#This Row],[CGST RCM Total]]+Purchase[[#This Row],[SGST RCM Total]]</f>
        <v>0</v>
      </c>
      <c r="AP86" t="s">
        <v>175</v>
      </c>
    </row>
    <row r="87" spans="1:42" hidden="1" x14ac:dyDescent="0.25">
      <c r="A87" s="138" t="s">
        <v>38</v>
      </c>
      <c r="B87" t="s">
        <v>42</v>
      </c>
      <c r="C87" t="s">
        <v>389</v>
      </c>
      <c r="D87" s="150">
        <v>121</v>
      </c>
      <c r="E87" t="s">
        <v>201</v>
      </c>
      <c r="F87" t="s">
        <v>202</v>
      </c>
      <c r="G87" t="s">
        <v>390</v>
      </c>
      <c r="H87" s="150">
        <v>32963</v>
      </c>
      <c r="I87" s="139" t="s">
        <v>46</v>
      </c>
      <c r="J87">
        <v>31860</v>
      </c>
      <c r="K87">
        <v>4860</v>
      </c>
      <c r="L87">
        <v>27000</v>
      </c>
      <c r="M87" t="s">
        <v>39</v>
      </c>
      <c r="N87" t="s">
        <v>273</v>
      </c>
      <c r="O87">
        <v>0</v>
      </c>
      <c r="P87">
        <v>0</v>
      </c>
      <c r="Q87">
        <v>0</v>
      </c>
      <c r="R87">
        <v>0</v>
      </c>
      <c r="S87">
        <v>2430</v>
      </c>
      <c r="T87">
        <v>2430</v>
      </c>
      <c r="U87">
        <v>0</v>
      </c>
      <c r="V87">
        <v>0</v>
      </c>
      <c r="W87">
        <v>0</v>
      </c>
      <c r="X87">
        <v>0</v>
      </c>
      <c r="Y87">
        <v>2430</v>
      </c>
      <c r="Z87">
        <v>2430</v>
      </c>
      <c r="AA87">
        <v>0</v>
      </c>
      <c r="AB87">
        <v>0</v>
      </c>
      <c r="AC87">
        <v>0</v>
      </c>
      <c r="AD87" s="138"/>
      <c r="AE87">
        <v>0</v>
      </c>
      <c r="AF87" s="138">
        <f>+Purchase[[#This Row],[IGST Total]]+Purchase[[#This Row],[CGST Total]]+Purchase[[#This Row],[SGST Total]]</f>
        <v>4860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 s="138">
        <f>+Purchase[[#This Row],[IGST RCM Total]]+Purchase[[#This Row],[CGST RCM Total]]+Purchase[[#This Row],[SGST RCM Total]]</f>
        <v>0</v>
      </c>
      <c r="AP87" t="s">
        <v>175</v>
      </c>
    </row>
    <row r="88" spans="1:42" hidden="1" x14ac:dyDescent="0.25">
      <c r="A88" s="138" t="s">
        <v>38</v>
      </c>
      <c r="B88" t="s">
        <v>42</v>
      </c>
      <c r="C88" t="s">
        <v>391</v>
      </c>
      <c r="D88" s="150">
        <v>121</v>
      </c>
      <c r="E88" t="s">
        <v>201</v>
      </c>
      <c r="F88" t="s">
        <v>202</v>
      </c>
      <c r="G88" t="s">
        <v>392</v>
      </c>
      <c r="H88" s="150">
        <v>32885</v>
      </c>
      <c r="I88" s="139" t="s">
        <v>46</v>
      </c>
      <c r="J88">
        <v>67452.27</v>
      </c>
      <c r="K88">
        <v>10289.32</v>
      </c>
      <c r="L88">
        <v>57162.95</v>
      </c>
      <c r="M88" t="s">
        <v>39</v>
      </c>
      <c r="N88" t="s">
        <v>348</v>
      </c>
      <c r="O88">
        <v>0</v>
      </c>
      <c r="P88">
        <v>0</v>
      </c>
      <c r="Q88">
        <v>0</v>
      </c>
      <c r="R88">
        <v>0</v>
      </c>
      <c r="S88">
        <v>5144.66</v>
      </c>
      <c r="T88">
        <v>5144.66</v>
      </c>
      <c r="U88">
        <v>0</v>
      </c>
      <c r="V88">
        <v>0</v>
      </c>
      <c r="W88">
        <v>0</v>
      </c>
      <c r="X88">
        <v>0</v>
      </c>
      <c r="Y88">
        <v>5144.66</v>
      </c>
      <c r="Z88">
        <v>5144.66</v>
      </c>
      <c r="AA88">
        <v>0</v>
      </c>
      <c r="AB88">
        <v>0</v>
      </c>
      <c r="AC88">
        <v>0</v>
      </c>
      <c r="AD88" s="138"/>
      <c r="AE88">
        <v>0</v>
      </c>
      <c r="AF88" s="138">
        <f>+Purchase[[#This Row],[IGST Total]]+Purchase[[#This Row],[CGST Total]]+Purchase[[#This Row],[SGST Total]]</f>
        <v>10289.32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 s="138">
        <f>+Purchase[[#This Row],[IGST RCM Total]]+Purchase[[#This Row],[CGST RCM Total]]+Purchase[[#This Row],[SGST RCM Total]]</f>
        <v>0</v>
      </c>
      <c r="AP88" t="s">
        <v>175</v>
      </c>
    </row>
    <row r="89" spans="1:42" hidden="1" x14ac:dyDescent="0.25">
      <c r="A89" s="138" t="s">
        <v>38</v>
      </c>
      <c r="B89" t="s">
        <v>42</v>
      </c>
      <c r="C89" t="s">
        <v>393</v>
      </c>
      <c r="D89" s="150">
        <v>121</v>
      </c>
      <c r="E89" t="s">
        <v>201</v>
      </c>
      <c r="F89" t="s">
        <v>202</v>
      </c>
      <c r="G89" t="s">
        <v>394</v>
      </c>
      <c r="H89" s="150">
        <v>32899</v>
      </c>
      <c r="I89" s="139" t="s">
        <v>46</v>
      </c>
      <c r="J89">
        <v>61579.48</v>
      </c>
      <c r="K89">
        <v>9393.48</v>
      </c>
      <c r="L89">
        <v>52186</v>
      </c>
      <c r="M89" t="s">
        <v>39</v>
      </c>
      <c r="N89" t="s">
        <v>348</v>
      </c>
      <c r="O89">
        <v>0</v>
      </c>
      <c r="P89">
        <v>0</v>
      </c>
      <c r="Q89">
        <v>0</v>
      </c>
      <c r="R89">
        <v>0</v>
      </c>
      <c r="S89">
        <v>4696.74</v>
      </c>
      <c r="T89">
        <v>4696.74</v>
      </c>
      <c r="U89">
        <v>0</v>
      </c>
      <c r="V89">
        <v>0</v>
      </c>
      <c r="W89">
        <v>0</v>
      </c>
      <c r="X89">
        <v>0</v>
      </c>
      <c r="Y89">
        <v>4696.74</v>
      </c>
      <c r="Z89">
        <v>4696.74</v>
      </c>
      <c r="AA89">
        <v>0</v>
      </c>
      <c r="AB89">
        <v>0</v>
      </c>
      <c r="AC89">
        <v>0</v>
      </c>
      <c r="AD89" s="138"/>
      <c r="AE89">
        <v>0</v>
      </c>
      <c r="AF89" s="138">
        <f>+Purchase[[#This Row],[IGST Total]]+Purchase[[#This Row],[CGST Total]]+Purchase[[#This Row],[SGST Total]]</f>
        <v>9393.48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 s="138">
        <f>+Purchase[[#This Row],[IGST RCM Total]]+Purchase[[#This Row],[CGST RCM Total]]+Purchase[[#This Row],[SGST RCM Total]]</f>
        <v>0</v>
      </c>
      <c r="AP89" t="s">
        <v>175</v>
      </c>
    </row>
    <row r="90" spans="1:42" hidden="1" x14ac:dyDescent="0.25">
      <c r="A90" s="138" t="s">
        <v>38</v>
      </c>
      <c r="B90" t="s">
        <v>42</v>
      </c>
      <c r="C90" t="s">
        <v>395</v>
      </c>
      <c r="D90" s="150">
        <v>121</v>
      </c>
      <c r="E90" t="s">
        <v>201</v>
      </c>
      <c r="F90" t="s">
        <v>202</v>
      </c>
      <c r="G90" t="s">
        <v>396</v>
      </c>
      <c r="H90" s="150">
        <v>32899</v>
      </c>
      <c r="I90" s="139" t="s">
        <v>46</v>
      </c>
      <c r="J90">
        <v>295</v>
      </c>
      <c r="K90">
        <v>45</v>
      </c>
      <c r="L90">
        <v>250</v>
      </c>
      <c r="M90" t="s">
        <v>39</v>
      </c>
      <c r="N90" t="s">
        <v>348</v>
      </c>
      <c r="O90">
        <v>0</v>
      </c>
      <c r="P90">
        <v>0</v>
      </c>
      <c r="Q90">
        <v>0</v>
      </c>
      <c r="R90">
        <v>0</v>
      </c>
      <c r="S90">
        <v>22.5</v>
      </c>
      <c r="T90">
        <v>22.5</v>
      </c>
      <c r="U90">
        <v>0</v>
      </c>
      <c r="V90">
        <v>0</v>
      </c>
      <c r="W90">
        <v>0</v>
      </c>
      <c r="X90">
        <v>0</v>
      </c>
      <c r="Y90">
        <v>22.5</v>
      </c>
      <c r="Z90">
        <v>22.5</v>
      </c>
      <c r="AA90">
        <v>0</v>
      </c>
      <c r="AB90">
        <v>0</v>
      </c>
      <c r="AC90">
        <v>0</v>
      </c>
      <c r="AD90" s="138"/>
      <c r="AE90">
        <v>0</v>
      </c>
      <c r="AF90" s="138">
        <f>+Purchase[[#This Row],[IGST Total]]+Purchase[[#This Row],[CGST Total]]+Purchase[[#This Row],[SGST Total]]</f>
        <v>45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 s="138">
        <f>+Purchase[[#This Row],[IGST RCM Total]]+Purchase[[#This Row],[CGST RCM Total]]+Purchase[[#This Row],[SGST RCM Total]]</f>
        <v>0</v>
      </c>
      <c r="AP90" t="s">
        <v>175</v>
      </c>
    </row>
    <row r="91" spans="1:42" hidden="1" x14ac:dyDescent="0.25">
      <c r="A91" s="138" t="s">
        <v>38</v>
      </c>
      <c r="B91" t="s">
        <v>42</v>
      </c>
      <c r="C91" t="s">
        <v>397</v>
      </c>
      <c r="D91" s="150">
        <v>121</v>
      </c>
      <c r="E91" t="s">
        <v>201</v>
      </c>
      <c r="F91" t="s">
        <v>202</v>
      </c>
      <c r="G91" t="s">
        <v>398</v>
      </c>
      <c r="H91" s="150">
        <v>32899</v>
      </c>
      <c r="I91" s="139" t="s">
        <v>46</v>
      </c>
      <c r="J91">
        <v>32025</v>
      </c>
      <c r="K91">
        <v>2775</v>
      </c>
      <c r="L91">
        <v>29250</v>
      </c>
      <c r="M91" t="s">
        <v>39</v>
      </c>
      <c r="N91" t="s">
        <v>257</v>
      </c>
      <c r="O91">
        <v>0</v>
      </c>
      <c r="P91">
        <v>0</v>
      </c>
      <c r="Q91">
        <v>262.5</v>
      </c>
      <c r="R91">
        <v>1125</v>
      </c>
      <c r="S91">
        <v>0</v>
      </c>
      <c r="T91">
        <v>1387.5</v>
      </c>
      <c r="U91">
        <v>0</v>
      </c>
      <c r="V91">
        <v>0</v>
      </c>
      <c r="W91">
        <v>262.5</v>
      </c>
      <c r="X91">
        <v>1125</v>
      </c>
      <c r="Y91">
        <v>0</v>
      </c>
      <c r="Z91">
        <v>1387.5</v>
      </c>
      <c r="AA91">
        <v>0</v>
      </c>
      <c r="AB91">
        <v>0</v>
      </c>
      <c r="AC91">
        <v>0</v>
      </c>
      <c r="AD91" s="138"/>
      <c r="AE91">
        <v>0</v>
      </c>
      <c r="AF91" s="138">
        <f>+Purchase[[#This Row],[IGST Total]]+Purchase[[#This Row],[CGST Total]]+Purchase[[#This Row],[SGST Total]]</f>
        <v>2775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 s="138">
        <f>+Purchase[[#This Row],[IGST RCM Total]]+Purchase[[#This Row],[CGST RCM Total]]+Purchase[[#This Row],[SGST RCM Total]]</f>
        <v>0</v>
      </c>
      <c r="AP91" t="s">
        <v>175</v>
      </c>
    </row>
    <row r="92" spans="1:42" hidden="1" x14ac:dyDescent="0.25">
      <c r="A92" s="138" t="s">
        <v>38</v>
      </c>
      <c r="B92" t="s">
        <v>42</v>
      </c>
      <c r="C92" t="s">
        <v>399</v>
      </c>
      <c r="D92" s="150">
        <v>121</v>
      </c>
      <c r="E92" t="s">
        <v>201</v>
      </c>
      <c r="F92" t="s">
        <v>202</v>
      </c>
      <c r="G92" t="s">
        <v>400</v>
      </c>
      <c r="H92" s="150">
        <v>32881</v>
      </c>
      <c r="I92" s="139" t="s">
        <v>46</v>
      </c>
      <c r="J92">
        <v>35400</v>
      </c>
      <c r="K92">
        <v>5400</v>
      </c>
      <c r="L92">
        <v>30000</v>
      </c>
      <c r="M92" t="s">
        <v>39</v>
      </c>
      <c r="N92" t="s">
        <v>401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5400</v>
      </c>
      <c r="AD92" s="138"/>
      <c r="AE92">
        <v>5400</v>
      </c>
      <c r="AF92" s="138">
        <f>+Purchase[[#This Row],[IGST Total]]+Purchase[[#This Row],[CGST Total]]+Purchase[[#This Row],[SGST Total]]</f>
        <v>5400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 s="138">
        <f>+Purchase[[#This Row],[IGST RCM Total]]+Purchase[[#This Row],[CGST RCM Total]]+Purchase[[#This Row],[SGST RCM Total]]</f>
        <v>0</v>
      </c>
      <c r="AP92" t="s">
        <v>176</v>
      </c>
    </row>
    <row r="93" spans="1:42" hidden="1" x14ac:dyDescent="0.25">
      <c r="A93" s="138" t="s">
        <v>38</v>
      </c>
      <c r="B93" t="s">
        <v>42</v>
      </c>
      <c r="C93" t="s">
        <v>208</v>
      </c>
      <c r="D93" s="150">
        <v>121</v>
      </c>
      <c r="E93" t="s">
        <v>201</v>
      </c>
      <c r="F93" t="s">
        <v>202</v>
      </c>
      <c r="G93" t="s">
        <v>402</v>
      </c>
      <c r="H93" s="150">
        <v>32878</v>
      </c>
      <c r="I93" s="139" t="s">
        <v>46</v>
      </c>
      <c r="J93">
        <v>9445.32</v>
      </c>
      <c r="K93">
        <v>1440.82</v>
      </c>
      <c r="L93">
        <v>8004.5</v>
      </c>
      <c r="M93" t="s">
        <v>39</v>
      </c>
      <c r="N93" t="s">
        <v>403</v>
      </c>
      <c r="O93">
        <v>0</v>
      </c>
      <c r="P93">
        <v>0</v>
      </c>
      <c r="Q93">
        <v>0</v>
      </c>
      <c r="R93">
        <v>0</v>
      </c>
      <c r="S93">
        <v>720.41</v>
      </c>
      <c r="T93">
        <v>720.41</v>
      </c>
      <c r="U93">
        <v>0</v>
      </c>
      <c r="V93">
        <v>0</v>
      </c>
      <c r="W93">
        <v>0</v>
      </c>
      <c r="X93">
        <v>0</v>
      </c>
      <c r="Y93">
        <v>720.41</v>
      </c>
      <c r="Z93">
        <v>720.41</v>
      </c>
      <c r="AA93">
        <v>0</v>
      </c>
      <c r="AB93">
        <v>0</v>
      </c>
      <c r="AC93">
        <v>0</v>
      </c>
      <c r="AD93" s="138"/>
      <c r="AE93">
        <v>0</v>
      </c>
      <c r="AF93" s="138">
        <f>+Purchase[[#This Row],[IGST Total]]+Purchase[[#This Row],[CGST Total]]+Purchase[[#This Row],[SGST Total]]</f>
        <v>1440.82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 s="138">
        <f>+Purchase[[#This Row],[IGST RCM Total]]+Purchase[[#This Row],[CGST RCM Total]]+Purchase[[#This Row],[SGST RCM Total]]</f>
        <v>0</v>
      </c>
      <c r="AP93" t="s">
        <v>175</v>
      </c>
    </row>
    <row r="94" spans="1:42" hidden="1" x14ac:dyDescent="0.25">
      <c r="A94" s="138" t="s">
        <v>38</v>
      </c>
      <c r="B94" t="s">
        <v>42</v>
      </c>
      <c r="C94" t="s">
        <v>209</v>
      </c>
      <c r="D94" s="150">
        <v>121</v>
      </c>
      <c r="E94" t="s">
        <v>201</v>
      </c>
      <c r="F94" t="s">
        <v>202</v>
      </c>
      <c r="G94" t="s">
        <v>404</v>
      </c>
      <c r="H94" s="150">
        <v>32901</v>
      </c>
      <c r="I94" s="139" t="s">
        <v>46</v>
      </c>
      <c r="J94">
        <v>37760</v>
      </c>
      <c r="K94">
        <v>5760</v>
      </c>
      <c r="L94">
        <v>32000</v>
      </c>
      <c r="M94" t="s">
        <v>39</v>
      </c>
      <c r="N94" t="s">
        <v>296</v>
      </c>
      <c r="O94">
        <v>0</v>
      </c>
      <c r="P94">
        <v>0</v>
      </c>
      <c r="Q94">
        <v>0</v>
      </c>
      <c r="R94">
        <v>0</v>
      </c>
      <c r="S94">
        <v>2880</v>
      </c>
      <c r="T94">
        <v>2880</v>
      </c>
      <c r="U94">
        <v>0</v>
      </c>
      <c r="V94">
        <v>0</v>
      </c>
      <c r="W94">
        <v>0</v>
      </c>
      <c r="X94">
        <v>0</v>
      </c>
      <c r="Y94">
        <v>2880</v>
      </c>
      <c r="Z94">
        <v>2880</v>
      </c>
      <c r="AA94">
        <v>0</v>
      </c>
      <c r="AB94">
        <v>0</v>
      </c>
      <c r="AC94">
        <v>0</v>
      </c>
      <c r="AD94" s="138"/>
      <c r="AE94">
        <v>0</v>
      </c>
      <c r="AF94" s="138">
        <f>+Purchase[[#This Row],[IGST Total]]+Purchase[[#This Row],[CGST Total]]+Purchase[[#This Row],[SGST Total]]</f>
        <v>5760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 s="138">
        <f>+Purchase[[#This Row],[IGST RCM Total]]+Purchase[[#This Row],[CGST RCM Total]]+Purchase[[#This Row],[SGST RCM Total]]</f>
        <v>0</v>
      </c>
      <c r="AP94" t="s">
        <v>175</v>
      </c>
    </row>
    <row r="95" spans="1:42" hidden="1" x14ac:dyDescent="0.25">
      <c r="A95" s="138" t="s">
        <v>38</v>
      </c>
      <c r="B95" t="s">
        <v>42</v>
      </c>
      <c r="C95" t="s">
        <v>210</v>
      </c>
      <c r="D95" s="150">
        <v>121</v>
      </c>
      <c r="E95" t="s">
        <v>201</v>
      </c>
      <c r="F95" t="s">
        <v>202</v>
      </c>
      <c r="G95" t="s">
        <v>405</v>
      </c>
      <c r="H95" s="150">
        <v>32901</v>
      </c>
      <c r="I95" s="139" t="s">
        <v>46</v>
      </c>
      <c r="J95">
        <v>37760</v>
      </c>
      <c r="K95">
        <v>5760</v>
      </c>
      <c r="L95">
        <v>32000</v>
      </c>
      <c r="M95" t="s">
        <v>39</v>
      </c>
      <c r="N95" t="s">
        <v>296</v>
      </c>
      <c r="O95">
        <v>0</v>
      </c>
      <c r="P95">
        <v>0</v>
      </c>
      <c r="Q95">
        <v>0</v>
      </c>
      <c r="R95">
        <v>0</v>
      </c>
      <c r="S95">
        <v>2880</v>
      </c>
      <c r="T95">
        <v>2880</v>
      </c>
      <c r="U95">
        <v>0</v>
      </c>
      <c r="V95">
        <v>0</v>
      </c>
      <c r="W95">
        <v>0</v>
      </c>
      <c r="X95">
        <v>0</v>
      </c>
      <c r="Y95">
        <v>2880</v>
      </c>
      <c r="Z95">
        <v>2880</v>
      </c>
      <c r="AA95">
        <v>0</v>
      </c>
      <c r="AB95">
        <v>0</v>
      </c>
      <c r="AC95">
        <v>0</v>
      </c>
      <c r="AD95" s="138"/>
      <c r="AE95">
        <v>0</v>
      </c>
      <c r="AF95" s="138">
        <f>+Purchase[[#This Row],[IGST Total]]+Purchase[[#This Row],[CGST Total]]+Purchase[[#This Row],[SGST Total]]</f>
        <v>5760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 s="138">
        <f>+Purchase[[#This Row],[IGST RCM Total]]+Purchase[[#This Row],[CGST RCM Total]]+Purchase[[#This Row],[SGST RCM Total]]</f>
        <v>0</v>
      </c>
      <c r="AP95" t="s">
        <v>175</v>
      </c>
    </row>
    <row r="96" spans="1:42" hidden="1" x14ac:dyDescent="0.25">
      <c r="A96" s="138" t="s">
        <v>38</v>
      </c>
      <c r="B96" t="s">
        <v>42</v>
      </c>
      <c r="C96" t="s">
        <v>211</v>
      </c>
      <c r="D96" s="150">
        <v>121</v>
      </c>
      <c r="E96" t="s">
        <v>201</v>
      </c>
      <c r="F96" t="s">
        <v>202</v>
      </c>
      <c r="G96" t="s">
        <v>260</v>
      </c>
      <c r="H96" s="150">
        <v>32901</v>
      </c>
      <c r="I96" s="139" t="s">
        <v>46</v>
      </c>
      <c r="J96">
        <v>590</v>
      </c>
      <c r="K96">
        <v>90</v>
      </c>
      <c r="L96">
        <v>500</v>
      </c>
      <c r="M96" t="s">
        <v>39</v>
      </c>
      <c r="N96" t="s">
        <v>268</v>
      </c>
      <c r="O96">
        <v>0</v>
      </c>
      <c r="P96">
        <v>0</v>
      </c>
      <c r="Q96">
        <v>0</v>
      </c>
      <c r="R96">
        <v>0</v>
      </c>
      <c r="S96">
        <v>45</v>
      </c>
      <c r="T96">
        <v>45</v>
      </c>
      <c r="U96">
        <v>0</v>
      </c>
      <c r="V96">
        <v>0</v>
      </c>
      <c r="W96">
        <v>0</v>
      </c>
      <c r="X96">
        <v>0</v>
      </c>
      <c r="Y96">
        <v>45</v>
      </c>
      <c r="Z96">
        <v>45</v>
      </c>
      <c r="AA96">
        <v>0</v>
      </c>
      <c r="AB96">
        <v>0</v>
      </c>
      <c r="AC96">
        <v>0</v>
      </c>
      <c r="AD96" s="138"/>
      <c r="AE96">
        <v>0</v>
      </c>
      <c r="AF96" s="138">
        <f>+Purchase[[#This Row],[IGST Total]]+Purchase[[#This Row],[CGST Total]]+Purchase[[#This Row],[SGST Total]]</f>
        <v>90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 s="138">
        <f>+Purchase[[#This Row],[IGST RCM Total]]+Purchase[[#This Row],[CGST RCM Total]]+Purchase[[#This Row],[SGST RCM Total]]</f>
        <v>0</v>
      </c>
      <c r="AP96" t="s">
        <v>175</v>
      </c>
    </row>
    <row r="97" spans="1:42" hidden="1" x14ac:dyDescent="0.25">
      <c r="A97" s="138" t="s">
        <v>38</v>
      </c>
      <c r="B97" t="s">
        <v>42</v>
      </c>
      <c r="C97" t="s">
        <v>406</v>
      </c>
      <c r="D97" s="150">
        <v>121</v>
      </c>
      <c r="E97" t="s">
        <v>201</v>
      </c>
      <c r="F97" t="s">
        <v>202</v>
      </c>
      <c r="G97" t="s">
        <v>407</v>
      </c>
      <c r="H97" s="150">
        <v>32894</v>
      </c>
      <c r="I97" s="139" t="s">
        <v>46</v>
      </c>
      <c r="J97">
        <v>1817.2</v>
      </c>
      <c r="K97">
        <v>277.2</v>
      </c>
      <c r="L97">
        <v>1540</v>
      </c>
      <c r="M97" t="s">
        <v>39</v>
      </c>
      <c r="N97" t="s">
        <v>408</v>
      </c>
      <c r="O97">
        <v>0</v>
      </c>
      <c r="P97">
        <v>0</v>
      </c>
      <c r="Q97">
        <v>0</v>
      </c>
      <c r="R97">
        <v>0</v>
      </c>
      <c r="S97">
        <v>138.6</v>
      </c>
      <c r="T97">
        <v>138.6</v>
      </c>
      <c r="U97">
        <v>0</v>
      </c>
      <c r="V97">
        <v>0</v>
      </c>
      <c r="W97">
        <v>0</v>
      </c>
      <c r="X97">
        <v>0</v>
      </c>
      <c r="Y97">
        <v>138.6</v>
      </c>
      <c r="Z97">
        <v>138.6</v>
      </c>
      <c r="AA97">
        <v>0</v>
      </c>
      <c r="AB97">
        <v>0</v>
      </c>
      <c r="AC97">
        <v>0</v>
      </c>
      <c r="AD97" s="138"/>
      <c r="AE97">
        <v>0</v>
      </c>
      <c r="AF97" s="138">
        <f>+Purchase[[#This Row],[IGST Total]]+Purchase[[#This Row],[CGST Total]]+Purchase[[#This Row],[SGST Total]]</f>
        <v>277.2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 s="138">
        <f>+Purchase[[#This Row],[IGST RCM Total]]+Purchase[[#This Row],[CGST RCM Total]]+Purchase[[#This Row],[SGST RCM Total]]</f>
        <v>0</v>
      </c>
      <c r="AP97" t="s">
        <v>175</v>
      </c>
    </row>
    <row r="98" spans="1:42" x14ac:dyDescent="0.25">
      <c r="A98" s="138" t="s">
        <v>38</v>
      </c>
      <c r="B98" t="s">
        <v>42</v>
      </c>
      <c r="C98" t="s">
        <v>212</v>
      </c>
      <c r="D98" s="150">
        <v>121</v>
      </c>
      <c r="E98" t="s">
        <v>201</v>
      </c>
      <c r="F98" t="s">
        <v>202</v>
      </c>
      <c r="G98" t="s">
        <v>199</v>
      </c>
      <c r="H98" s="150">
        <v>32899</v>
      </c>
      <c r="I98" s="139" t="s">
        <v>12</v>
      </c>
      <c r="J98">
        <v>4000</v>
      </c>
      <c r="K98">
        <v>0</v>
      </c>
      <c r="L98">
        <v>0</v>
      </c>
      <c r="M98" t="s">
        <v>43</v>
      </c>
      <c r="N98" t="s">
        <v>37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 s="138"/>
      <c r="AE98">
        <v>0</v>
      </c>
      <c r="AF98" s="138">
        <f>+Purchase[[#This Row],[IGST Total]]+Purchase[[#This Row],[CGST Total]]+Purchase[[#This Row],[SGST Total]]</f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 s="138">
        <f>+Purchase[[#This Row],[IGST RCM Total]]+Purchase[[#This Row],[CGST RCM Total]]+Purchase[[#This Row],[SGST RCM Total]]</f>
        <v>0</v>
      </c>
      <c r="AP98" t="s">
        <v>175</v>
      </c>
    </row>
    <row r="99" spans="1:42" hidden="1" x14ac:dyDescent="0.25">
      <c r="A99" s="138" t="s">
        <v>38</v>
      </c>
      <c r="B99" t="s">
        <v>42</v>
      </c>
      <c r="C99" t="s">
        <v>409</v>
      </c>
      <c r="D99" s="150">
        <v>121</v>
      </c>
      <c r="E99" t="s">
        <v>201</v>
      </c>
      <c r="F99" t="s">
        <v>202</v>
      </c>
      <c r="G99" t="s">
        <v>314</v>
      </c>
      <c r="H99" s="150">
        <v>32893</v>
      </c>
      <c r="I99" s="139" t="s">
        <v>46</v>
      </c>
      <c r="J99">
        <v>5900</v>
      </c>
      <c r="K99">
        <v>900</v>
      </c>
      <c r="L99">
        <v>5000</v>
      </c>
      <c r="M99" t="s">
        <v>39</v>
      </c>
      <c r="N99" t="s">
        <v>268</v>
      </c>
      <c r="O99">
        <v>0</v>
      </c>
      <c r="P99">
        <v>0</v>
      </c>
      <c r="Q99">
        <v>0</v>
      </c>
      <c r="R99">
        <v>0</v>
      </c>
      <c r="S99">
        <v>450</v>
      </c>
      <c r="T99">
        <v>450</v>
      </c>
      <c r="U99">
        <v>0</v>
      </c>
      <c r="V99">
        <v>0</v>
      </c>
      <c r="W99">
        <v>0</v>
      </c>
      <c r="X99">
        <v>0</v>
      </c>
      <c r="Y99">
        <v>450</v>
      </c>
      <c r="Z99">
        <v>450</v>
      </c>
      <c r="AA99">
        <v>0</v>
      </c>
      <c r="AB99">
        <v>0</v>
      </c>
      <c r="AC99">
        <v>0</v>
      </c>
      <c r="AD99" s="138"/>
      <c r="AE99">
        <v>0</v>
      </c>
      <c r="AF99" s="138">
        <f>+Purchase[[#This Row],[IGST Total]]+Purchase[[#This Row],[CGST Total]]+Purchase[[#This Row],[SGST Total]]</f>
        <v>900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 s="138">
        <f>+Purchase[[#This Row],[IGST RCM Total]]+Purchase[[#This Row],[CGST RCM Total]]+Purchase[[#This Row],[SGST RCM Total]]</f>
        <v>0</v>
      </c>
      <c r="AP99" t="s">
        <v>175</v>
      </c>
    </row>
    <row r="100" spans="1:42" hidden="1" x14ac:dyDescent="0.25">
      <c r="A100" s="138" t="s">
        <v>38</v>
      </c>
      <c r="B100" t="s">
        <v>42</v>
      </c>
      <c r="C100" t="s">
        <v>213</v>
      </c>
      <c r="D100" s="150">
        <v>121</v>
      </c>
      <c r="E100" t="s">
        <v>201</v>
      </c>
      <c r="F100" t="s">
        <v>202</v>
      </c>
      <c r="G100" t="s">
        <v>410</v>
      </c>
      <c r="H100" s="150">
        <v>32885</v>
      </c>
      <c r="I100" s="139" t="s">
        <v>46</v>
      </c>
      <c r="J100">
        <v>8024</v>
      </c>
      <c r="K100">
        <v>1224</v>
      </c>
      <c r="L100">
        <v>6800</v>
      </c>
      <c r="M100" t="s">
        <v>39</v>
      </c>
      <c r="N100" t="s">
        <v>317</v>
      </c>
      <c r="O100">
        <v>0</v>
      </c>
      <c r="P100">
        <v>0</v>
      </c>
      <c r="Q100">
        <v>0</v>
      </c>
      <c r="R100">
        <v>0</v>
      </c>
      <c r="S100">
        <v>612</v>
      </c>
      <c r="T100">
        <v>612</v>
      </c>
      <c r="U100">
        <v>0</v>
      </c>
      <c r="V100">
        <v>0</v>
      </c>
      <c r="W100">
        <v>0</v>
      </c>
      <c r="X100">
        <v>0</v>
      </c>
      <c r="Y100">
        <v>612</v>
      </c>
      <c r="Z100">
        <v>612</v>
      </c>
      <c r="AA100">
        <v>0</v>
      </c>
      <c r="AB100">
        <v>0</v>
      </c>
      <c r="AC100">
        <v>0</v>
      </c>
      <c r="AD100" s="138"/>
      <c r="AE100">
        <v>0</v>
      </c>
      <c r="AF100" s="138">
        <f>+Purchase[[#This Row],[IGST Total]]+Purchase[[#This Row],[CGST Total]]+Purchase[[#This Row],[SGST Total]]</f>
        <v>1224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 s="138">
        <f>+Purchase[[#This Row],[IGST RCM Total]]+Purchase[[#This Row],[CGST RCM Total]]+Purchase[[#This Row],[SGST RCM Total]]</f>
        <v>0</v>
      </c>
      <c r="AP100" t="s">
        <v>175</v>
      </c>
    </row>
    <row r="101" spans="1:42" hidden="1" x14ac:dyDescent="0.25">
      <c r="A101" s="138" t="s">
        <v>38</v>
      </c>
      <c r="B101" t="s">
        <v>42</v>
      </c>
      <c r="C101" t="s">
        <v>214</v>
      </c>
      <c r="D101" s="150">
        <v>121</v>
      </c>
      <c r="E101" t="s">
        <v>201</v>
      </c>
      <c r="F101" t="s">
        <v>202</v>
      </c>
      <c r="G101" t="s">
        <v>411</v>
      </c>
      <c r="H101" s="150">
        <v>32893</v>
      </c>
      <c r="I101" s="139" t="s">
        <v>46</v>
      </c>
      <c r="J101">
        <v>9450</v>
      </c>
      <c r="K101">
        <v>1442</v>
      </c>
      <c r="L101">
        <v>8008</v>
      </c>
      <c r="M101" t="s">
        <v>39</v>
      </c>
      <c r="N101" t="s">
        <v>262</v>
      </c>
      <c r="O101">
        <v>0</v>
      </c>
      <c r="P101">
        <v>0</v>
      </c>
      <c r="Q101">
        <v>0</v>
      </c>
      <c r="R101">
        <v>0</v>
      </c>
      <c r="S101">
        <v>721</v>
      </c>
      <c r="T101">
        <v>721</v>
      </c>
      <c r="U101">
        <v>0</v>
      </c>
      <c r="V101">
        <v>0</v>
      </c>
      <c r="W101">
        <v>0</v>
      </c>
      <c r="X101">
        <v>0</v>
      </c>
      <c r="Y101">
        <v>721</v>
      </c>
      <c r="Z101">
        <v>721</v>
      </c>
      <c r="AA101">
        <v>0</v>
      </c>
      <c r="AB101">
        <v>0</v>
      </c>
      <c r="AC101">
        <v>0</v>
      </c>
      <c r="AD101" s="138"/>
      <c r="AE101">
        <v>0</v>
      </c>
      <c r="AF101" s="138">
        <f>+Purchase[[#This Row],[IGST Total]]+Purchase[[#This Row],[CGST Total]]+Purchase[[#This Row],[SGST Total]]</f>
        <v>1442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 s="138">
        <f>+Purchase[[#This Row],[IGST RCM Total]]+Purchase[[#This Row],[CGST RCM Total]]+Purchase[[#This Row],[SGST RCM Total]]</f>
        <v>0</v>
      </c>
      <c r="AP101" t="s">
        <v>175</v>
      </c>
    </row>
    <row r="102" spans="1:42" hidden="1" x14ac:dyDescent="0.25">
      <c r="A102" s="138" t="s">
        <v>38</v>
      </c>
      <c r="B102" t="s">
        <v>42</v>
      </c>
      <c r="C102" t="s">
        <v>215</v>
      </c>
      <c r="D102" s="150">
        <v>121</v>
      </c>
      <c r="E102" t="s">
        <v>201</v>
      </c>
      <c r="F102" t="s">
        <v>202</v>
      </c>
      <c r="G102" t="s">
        <v>412</v>
      </c>
      <c r="H102" s="150">
        <v>32888</v>
      </c>
      <c r="I102" s="139" t="s">
        <v>12</v>
      </c>
      <c r="J102">
        <v>16348.5</v>
      </c>
      <c r="K102">
        <v>778.5</v>
      </c>
      <c r="L102">
        <v>15570</v>
      </c>
      <c r="M102" t="s">
        <v>43</v>
      </c>
      <c r="N102" t="s">
        <v>413</v>
      </c>
      <c r="O102">
        <v>0</v>
      </c>
      <c r="P102">
        <v>0</v>
      </c>
      <c r="Q102">
        <v>389.25</v>
      </c>
      <c r="R102">
        <v>0</v>
      </c>
      <c r="S102">
        <v>0</v>
      </c>
      <c r="T102">
        <v>389.25</v>
      </c>
      <c r="U102">
        <v>0</v>
      </c>
      <c r="V102">
        <v>0</v>
      </c>
      <c r="W102">
        <v>389.25</v>
      </c>
      <c r="X102">
        <v>0</v>
      </c>
      <c r="Y102">
        <v>0</v>
      </c>
      <c r="Z102">
        <v>389.25</v>
      </c>
      <c r="AA102">
        <v>0</v>
      </c>
      <c r="AB102">
        <v>0</v>
      </c>
      <c r="AC102">
        <v>0</v>
      </c>
      <c r="AD102" s="138"/>
      <c r="AE102">
        <v>0</v>
      </c>
      <c r="AF102" s="138">
        <f>+Purchase[[#This Row],[IGST Total]]+Purchase[[#This Row],[CGST Total]]+Purchase[[#This Row],[SGST Total]]</f>
        <v>778.5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 s="138">
        <f>+Purchase[[#This Row],[IGST RCM Total]]+Purchase[[#This Row],[CGST RCM Total]]+Purchase[[#This Row],[SGST RCM Total]]</f>
        <v>0</v>
      </c>
      <c r="AP102" t="s">
        <v>175</v>
      </c>
    </row>
    <row r="103" spans="1:42" hidden="1" x14ac:dyDescent="0.25">
      <c r="A103" s="138" t="s">
        <v>38</v>
      </c>
      <c r="B103" t="s">
        <v>42</v>
      </c>
      <c r="C103" t="s">
        <v>216</v>
      </c>
      <c r="D103" s="150">
        <v>121</v>
      </c>
      <c r="E103" t="s">
        <v>201</v>
      </c>
      <c r="F103" t="s">
        <v>202</v>
      </c>
      <c r="G103" t="s">
        <v>414</v>
      </c>
      <c r="H103" s="150">
        <v>32886</v>
      </c>
      <c r="I103" s="139" t="s">
        <v>46</v>
      </c>
      <c r="J103">
        <v>42714</v>
      </c>
      <c r="K103">
        <v>3614</v>
      </c>
      <c r="L103">
        <v>39100</v>
      </c>
      <c r="M103" t="s">
        <v>39</v>
      </c>
      <c r="N103" t="s">
        <v>257</v>
      </c>
      <c r="O103">
        <v>0</v>
      </c>
      <c r="P103">
        <v>0</v>
      </c>
      <c r="Q103">
        <v>385</v>
      </c>
      <c r="R103">
        <v>1422</v>
      </c>
      <c r="S103">
        <v>0</v>
      </c>
      <c r="T103">
        <v>1807</v>
      </c>
      <c r="U103">
        <v>0</v>
      </c>
      <c r="V103">
        <v>0</v>
      </c>
      <c r="W103">
        <v>385</v>
      </c>
      <c r="X103">
        <v>1422</v>
      </c>
      <c r="Y103">
        <v>0</v>
      </c>
      <c r="Z103">
        <v>1807</v>
      </c>
      <c r="AA103">
        <v>0</v>
      </c>
      <c r="AB103">
        <v>0</v>
      </c>
      <c r="AC103">
        <v>0</v>
      </c>
      <c r="AD103" s="138"/>
      <c r="AE103">
        <v>0</v>
      </c>
      <c r="AF103" s="138">
        <f>+Purchase[[#This Row],[IGST Total]]+Purchase[[#This Row],[CGST Total]]+Purchase[[#This Row],[SGST Total]]</f>
        <v>3614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 s="138">
        <f>+Purchase[[#This Row],[IGST RCM Total]]+Purchase[[#This Row],[CGST RCM Total]]+Purchase[[#This Row],[SGST RCM Total]]</f>
        <v>0</v>
      </c>
      <c r="AP103" t="s">
        <v>175</v>
      </c>
    </row>
    <row r="104" spans="1:42" hidden="1" x14ac:dyDescent="0.25">
      <c r="A104" s="138" t="s">
        <v>38</v>
      </c>
      <c r="B104" t="s">
        <v>42</v>
      </c>
      <c r="C104" t="s">
        <v>217</v>
      </c>
      <c r="D104" s="150">
        <v>121</v>
      </c>
      <c r="E104" t="s">
        <v>201</v>
      </c>
      <c r="F104" t="s">
        <v>202</v>
      </c>
      <c r="G104" t="s">
        <v>415</v>
      </c>
      <c r="H104" s="150">
        <v>32901</v>
      </c>
      <c r="I104" s="139" t="s">
        <v>46</v>
      </c>
      <c r="J104">
        <v>1470</v>
      </c>
      <c r="K104">
        <v>70</v>
      </c>
      <c r="L104">
        <v>1400</v>
      </c>
      <c r="M104" t="s">
        <v>39</v>
      </c>
      <c r="N104" t="s">
        <v>257</v>
      </c>
      <c r="O104">
        <v>0</v>
      </c>
      <c r="P104">
        <v>0</v>
      </c>
      <c r="Q104">
        <v>35</v>
      </c>
      <c r="R104">
        <v>0</v>
      </c>
      <c r="S104">
        <v>0</v>
      </c>
      <c r="T104">
        <v>35</v>
      </c>
      <c r="U104">
        <v>0</v>
      </c>
      <c r="V104">
        <v>0</v>
      </c>
      <c r="W104">
        <v>35</v>
      </c>
      <c r="X104">
        <v>0</v>
      </c>
      <c r="Y104">
        <v>0</v>
      </c>
      <c r="Z104">
        <v>35</v>
      </c>
      <c r="AA104">
        <v>0</v>
      </c>
      <c r="AB104">
        <v>0</v>
      </c>
      <c r="AC104">
        <v>0</v>
      </c>
      <c r="AD104" s="138"/>
      <c r="AE104">
        <v>0</v>
      </c>
      <c r="AF104" s="138">
        <f>+Purchase[[#This Row],[IGST Total]]+Purchase[[#This Row],[CGST Total]]+Purchase[[#This Row],[SGST Total]]</f>
        <v>70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 s="138">
        <f>+Purchase[[#This Row],[IGST RCM Total]]+Purchase[[#This Row],[CGST RCM Total]]+Purchase[[#This Row],[SGST RCM Total]]</f>
        <v>0</v>
      </c>
      <c r="AP104" t="s">
        <v>175</v>
      </c>
    </row>
    <row r="105" spans="1:42" hidden="1" x14ac:dyDescent="0.25">
      <c r="A105" s="138" t="s">
        <v>38</v>
      </c>
      <c r="B105" t="s">
        <v>42</v>
      </c>
      <c r="C105" t="s">
        <v>218</v>
      </c>
      <c r="D105" s="150">
        <v>121</v>
      </c>
      <c r="E105" t="s">
        <v>201</v>
      </c>
      <c r="F105" t="s">
        <v>202</v>
      </c>
      <c r="G105" t="s">
        <v>416</v>
      </c>
      <c r="H105" s="150">
        <v>32884</v>
      </c>
      <c r="I105" s="139" t="s">
        <v>46</v>
      </c>
      <c r="J105">
        <v>23340.400000000001</v>
      </c>
      <c r="K105">
        <v>3560.4</v>
      </c>
      <c r="L105">
        <v>19780</v>
      </c>
      <c r="M105" t="s">
        <v>39</v>
      </c>
      <c r="N105" t="s">
        <v>296</v>
      </c>
      <c r="O105">
        <v>0</v>
      </c>
      <c r="P105">
        <v>0</v>
      </c>
      <c r="Q105">
        <v>0</v>
      </c>
      <c r="R105">
        <v>0</v>
      </c>
      <c r="S105">
        <v>1780.2</v>
      </c>
      <c r="T105">
        <v>1780.2</v>
      </c>
      <c r="U105">
        <v>0</v>
      </c>
      <c r="V105">
        <v>0</v>
      </c>
      <c r="W105">
        <v>0</v>
      </c>
      <c r="X105">
        <v>0</v>
      </c>
      <c r="Y105">
        <v>1780.2</v>
      </c>
      <c r="Z105">
        <v>1780.2</v>
      </c>
      <c r="AA105">
        <v>0</v>
      </c>
      <c r="AB105">
        <v>0</v>
      </c>
      <c r="AC105">
        <v>0</v>
      </c>
      <c r="AD105" s="138"/>
      <c r="AE105">
        <v>0</v>
      </c>
      <c r="AF105" s="138">
        <f>+Purchase[[#This Row],[IGST Total]]+Purchase[[#This Row],[CGST Total]]+Purchase[[#This Row],[SGST Total]]</f>
        <v>3560.4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 s="138">
        <f>+Purchase[[#This Row],[IGST RCM Total]]+Purchase[[#This Row],[CGST RCM Total]]+Purchase[[#This Row],[SGST RCM Total]]</f>
        <v>0</v>
      </c>
      <c r="AP105" t="s">
        <v>175</v>
      </c>
    </row>
    <row r="106" spans="1:42" hidden="1" x14ac:dyDescent="0.25">
      <c r="A106" s="138" t="s">
        <v>38</v>
      </c>
      <c r="B106" t="s">
        <v>42</v>
      </c>
      <c r="C106" t="s">
        <v>417</v>
      </c>
      <c r="D106" s="150">
        <v>121</v>
      </c>
      <c r="E106" t="s">
        <v>201</v>
      </c>
      <c r="F106" t="s">
        <v>202</v>
      </c>
      <c r="G106" t="s">
        <v>418</v>
      </c>
      <c r="H106" s="150">
        <v>32882</v>
      </c>
      <c r="I106" s="139" t="s">
        <v>46</v>
      </c>
      <c r="J106">
        <v>7694</v>
      </c>
      <c r="K106">
        <v>1174</v>
      </c>
      <c r="L106">
        <v>6520</v>
      </c>
      <c r="M106" t="s">
        <v>39</v>
      </c>
      <c r="N106" t="s">
        <v>275</v>
      </c>
      <c r="O106">
        <v>0</v>
      </c>
      <c r="P106">
        <v>0</v>
      </c>
      <c r="Q106">
        <v>0</v>
      </c>
      <c r="R106">
        <v>0</v>
      </c>
      <c r="S106">
        <v>587</v>
      </c>
      <c r="T106">
        <v>587</v>
      </c>
      <c r="U106">
        <v>0</v>
      </c>
      <c r="V106">
        <v>0</v>
      </c>
      <c r="W106">
        <v>0</v>
      </c>
      <c r="X106">
        <v>0</v>
      </c>
      <c r="Y106">
        <v>587</v>
      </c>
      <c r="Z106">
        <v>587</v>
      </c>
      <c r="AA106">
        <v>0</v>
      </c>
      <c r="AB106">
        <v>0</v>
      </c>
      <c r="AC106">
        <v>0</v>
      </c>
      <c r="AD106" s="138"/>
      <c r="AE106">
        <v>0</v>
      </c>
      <c r="AF106" s="138">
        <f>+Purchase[[#This Row],[IGST Total]]+Purchase[[#This Row],[CGST Total]]+Purchase[[#This Row],[SGST Total]]</f>
        <v>1174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 s="138">
        <f>+Purchase[[#This Row],[IGST RCM Total]]+Purchase[[#This Row],[CGST RCM Total]]+Purchase[[#This Row],[SGST RCM Total]]</f>
        <v>0</v>
      </c>
      <c r="AP106" t="s">
        <v>175</v>
      </c>
    </row>
    <row r="107" spans="1:42" hidden="1" x14ac:dyDescent="0.25">
      <c r="A107" s="138" t="s">
        <v>38</v>
      </c>
      <c r="B107" t="s">
        <v>42</v>
      </c>
      <c r="C107" t="s">
        <v>419</v>
      </c>
      <c r="D107" s="150">
        <v>121</v>
      </c>
      <c r="E107" t="s">
        <v>201</v>
      </c>
      <c r="F107" t="s">
        <v>202</v>
      </c>
      <c r="G107" t="s">
        <v>420</v>
      </c>
      <c r="H107" s="150">
        <v>32886</v>
      </c>
      <c r="I107" s="139" t="s">
        <v>46</v>
      </c>
      <c r="J107">
        <v>6440.44</v>
      </c>
      <c r="K107">
        <v>982.44</v>
      </c>
      <c r="L107">
        <v>5458</v>
      </c>
      <c r="M107" t="s">
        <v>39</v>
      </c>
      <c r="N107" t="s">
        <v>244</v>
      </c>
      <c r="O107">
        <v>0</v>
      </c>
      <c r="P107">
        <v>0</v>
      </c>
      <c r="Q107">
        <v>0</v>
      </c>
      <c r="R107">
        <v>0</v>
      </c>
      <c r="S107">
        <v>491.22</v>
      </c>
      <c r="T107">
        <v>491.22</v>
      </c>
      <c r="U107">
        <v>0</v>
      </c>
      <c r="V107">
        <v>0</v>
      </c>
      <c r="W107">
        <v>0</v>
      </c>
      <c r="X107">
        <v>0</v>
      </c>
      <c r="Y107">
        <v>491.22</v>
      </c>
      <c r="Z107">
        <v>491.22</v>
      </c>
      <c r="AA107">
        <v>0</v>
      </c>
      <c r="AB107">
        <v>0</v>
      </c>
      <c r="AC107">
        <v>0</v>
      </c>
      <c r="AD107" s="138"/>
      <c r="AE107">
        <v>0</v>
      </c>
      <c r="AF107" s="138">
        <f>+Purchase[[#This Row],[IGST Total]]+Purchase[[#This Row],[CGST Total]]+Purchase[[#This Row],[SGST Total]]</f>
        <v>982.44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 s="138">
        <f>+Purchase[[#This Row],[IGST RCM Total]]+Purchase[[#This Row],[CGST RCM Total]]+Purchase[[#This Row],[SGST RCM Total]]</f>
        <v>0</v>
      </c>
      <c r="AP107" t="s">
        <v>175</v>
      </c>
    </row>
    <row r="108" spans="1:42" hidden="1" x14ac:dyDescent="0.25">
      <c r="A108" s="138" t="s">
        <v>38</v>
      </c>
      <c r="B108" t="s">
        <v>42</v>
      </c>
      <c r="C108" t="s">
        <v>421</v>
      </c>
      <c r="D108" s="150">
        <v>121</v>
      </c>
      <c r="E108" t="s">
        <v>201</v>
      </c>
      <c r="F108" t="s">
        <v>202</v>
      </c>
      <c r="G108" t="s">
        <v>422</v>
      </c>
      <c r="H108" s="150">
        <v>32895</v>
      </c>
      <c r="I108" s="139" t="s">
        <v>46</v>
      </c>
      <c r="J108">
        <v>13125</v>
      </c>
      <c r="K108">
        <v>1125</v>
      </c>
      <c r="L108">
        <v>12000</v>
      </c>
      <c r="M108" t="s">
        <v>39</v>
      </c>
      <c r="N108" t="s">
        <v>257</v>
      </c>
      <c r="O108">
        <v>0</v>
      </c>
      <c r="P108">
        <v>0</v>
      </c>
      <c r="Q108">
        <v>112.5</v>
      </c>
      <c r="R108">
        <v>450</v>
      </c>
      <c r="S108">
        <v>0</v>
      </c>
      <c r="T108">
        <v>562.5</v>
      </c>
      <c r="U108">
        <v>0</v>
      </c>
      <c r="V108">
        <v>0</v>
      </c>
      <c r="W108">
        <v>112.5</v>
      </c>
      <c r="X108">
        <v>450</v>
      </c>
      <c r="Y108">
        <v>0</v>
      </c>
      <c r="Z108">
        <v>562.5</v>
      </c>
      <c r="AA108">
        <v>0</v>
      </c>
      <c r="AB108">
        <v>0</v>
      </c>
      <c r="AC108">
        <v>0</v>
      </c>
      <c r="AD108" s="138"/>
      <c r="AE108">
        <v>0</v>
      </c>
      <c r="AF108" s="138">
        <f>+Purchase[[#This Row],[IGST Total]]+Purchase[[#This Row],[CGST Total]]+Purchase[[#This Row],[SGST Total]]</f>
        <v>1125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 s="138">
        <f>+Purchase[[#This Row],[IGST RCM Total]]+Purchase[[#This Row],[CGST RCM Total]]+Purchase[[#This Row],[SGST RCM Total]]</f>
        <v>0</v>
      </c>
      <c r="AP108" t="s">
        <v>175</v>
      </c>
    </row>
    <row r="109" spans="1:42" hidden="1" x14ac:dyDescent="0.25">
      <c r="A109" s="138" t="s">
        <v>38</v>
      </c>
      <c r="B109" t="s">
        <v>42</v>
      </c>
      <c r="C109" t="s">
        <v>423</v>
      </c>
      <c r="D109" s="150">
        <v>121</v>
      </c>
      <c r="E109" t="s">
        <v>201</v>
      </c>
      <c r="F109" t="s">
        <v>202</v>
      </c>
      <c r="G109" t="s">
        <v>424</v>
      </c>
      <c r="H109" s="150">
        <v>32881</v>
      </c>
      <c r="I109" s="139" t="s">
        <v>46</v>
      </c>
      <c r="J109">
        <v>5540.14</v>
      </c>
      <c r="K109">
        <v>845.1</v>
      </c>
      <c r="L109">
        <v>4695.04</v>
      </c>
      <c r="M109" t="s">
        <v>39</v>
      </c>
      <c r="N109" t="s">
        <v>281</v>
      </c>
      <c r="O109">
        <v>0</v>
      </c>
      <c r="P109">
        <v>0</v>
      </c>
      <c r="Q109">
        <v>0</v>
      </c>
      <c r="R109">
        <v>0</v>
      </c>
      <c r="S109">
        <v>422.55</v>
      </c>
      <c r="T109">
        <v>422.55</v>
      </c>
      <c r="U109">
        <v>0</v>
      </c>
      <c r="V109">
        <v>0</v>
      </c>
      <c r="W109">
        <v>0</v>
      </c>
      <c r="X109">
        <v>0</v>
      </c>
      <c r="Y109">
        <v>422.55</v>
      </c>
      <c r="Z109">
        <v>422.55</v>
      </c>
      <c r="AA109">
        <v>0</v>
      </c>
      <c r="AB109">
        <v>0</v>
      </c>
      <c r="AC109">
        <v>0</v>
      </c>
      <c r="AD109" s="138"/>
      <c r="AE109">
        <v>0</v>
      </c>
      <c r="AF109" s="138">
        <f>+Purchase[[#This Row],[IGST Total]]+Purchase[[#This Row],[CGST Total]]+Purchase[[#This Row],[SGST Total]]</f>
        <v>845.1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 s="138">
        <f>+Purchase[[#This Row],[IGST RCM Total]]+Purchase[[#This Row],[CGST RCM Total]]+Purchase[[#This Row],[SGST RCM Total]]</f>
        <v>0</v>
      </c>
      <c r="AP109" t="s">
        <v>175</v>
      </c>
    </row>
    <row r="110" spans="1:42" hidden="1" x14ac:dyDescent="0.25">
      <c r="A110" s="138" t="s">
        <v>38</v>
      </c>
      <c r="B110" t="s">
        <v>42</v>
      </c>
      <c r="C110" t="s">
        <v>425</v>
      </c>
      <c r="D110" s="150">
        <v>121</v>
      </c>
      <c r="E110" t="s">
        <v>201</v>
      </c>
      <c r="F110" t="s">
        <v>202</v>
      </c>
      <c r="G110" t="s">
        <v>426</v>
      </c>
      <c r="H110" s="150">
        <v>32884</v>
      </c>
      <c r="I110" s="139" t="s">
        <v>46</v>
      </c>
      <c r="J110">
        <v>7316</v>
      </c>
      <c r="K110">
        <v>1116</v>
      </c>
      <c r="L110">
        <v>6200</v>
      </c>
      <c r="M110" t="s">
        <v>39</v>
      </c>
      <c r="N110" t="s">
        <v>427</v>
      </c>
      <c r="O110">
        <v>0</v>
      </c>
      <c r="P110">
        <v>0</v>
      </c>
      <c r="Q110">
        <v>0</v>
      </c>
      <c r="R110">
        <v>0</v>
      </c>
      <c r="S110">
        <v>558</v>
      </c>
      <c r="T110">
        <v>558</v>
      </c>
      <c r="U110">
        <v>0</v>
      </c>
      <c r="V110">
        <v>0</v>
      </c>
      <c r="W110">
        <v>0</v>
      </c>
      <c r="X110">
        <v>0</v>
      </c>
      <c r="Y110">
        <v>558</v>
      </c>
      <c r="Z110">
        <v>558</v>
      </c>
      <c r="AA110">
        <v>0</v>
      </c>
      <c r="AB110">
        <v>0</v>
      </c>
      <c r="AC110">
        <v>0</v>
      </c>
      <c r="AD110" s="138"/>
      <c r="AE110">
        <v>0</v>
      </c>
      <c r="AF110" s="138">
        <f>+Purchase[[#This Row],[IGST Total]]+Purchase[[#This Row],[CGST Total]]+Purchase[[#This Row],[SGST Total]]</f>
        <v>1116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 s="138">
        <f>+Purchase[[#This Row],[IGST RCM Total]]+Purchase[[#This Row],[CGST RCM Total]]+Purchase[[#This Row],[SGST RCM Total]]</f>
        <v>0</v>
      </c>
      <c r="AP110" t="s">
        <v>175</v>
      </c>
    </row>
    <row r="111" spans="1:42" hidden="1" x14ac:dyDescent="0.25">
      <c r="A111" s="138" t="s">
        <v>38</v>
      </c>
      <c r="B111" t="s">
        <v>42</v>
      </c>
      <c r="C111" t="s">
        <v>428</v>
      </c>
      <c r="D111" s="150">
        <v>121</v>
      </c>
      <c r="E111" t="s">
        <v>201</v>
      </c>
      <c r="F111" t="s">
        <v>202</v>
      </c>
      <c r="G111" t="s">
        <v>429</v>
      </c>
      <c r="H111" s="150">
        <v>32891</v>
      </c>
      <c r="I111" s="139" t="s">
        <v>46</v>
      </c>
      <c r="J111">
        <v>5546</v>
      </c>
      <c r="K111">
        <v>846</v>
      </c>
      <c r="L111">
        <v>4700</v>
      </c>
      <c r="M111" t="s">
        <v>39</v>
      </c>
      <c r="N111" t="s">
        <v>385</v>
      </c>
      <c r="O111">
        <v>0</v>
      </c>
      <c r="P111">
        <v>0</v>
      </c>
      <c r="Q111">
        <v>0</v>
      </c>
      <c r="R111">
        <v>0</v>
      </c>
      <c r="S111">
        <v>423</v>
      </c>
      <c r="T111">
        <v>423</v>
      </c>
      <c r="U111">
        <v>0</v>
      </c>
      <c r="V111">
        <v>0</v>
      </c>
      <c r="W111">
        <v>0</v>
      </c>
      <c r="X111">
        <v>0</v>
      </c>
      <c r="Y111">
        <v>423</v>
      </c>
      <c r="Z111">
        <v>423</v>
      </c>
      <c r="AA111">
        <v>0</v>
      </c>
      <c r="AB111">
        <v>0</v>
      </c>
      <c r="AC111">
        <v>0</v>
      </c>
      <c r="AD111" s="138"/>
      <c r="AE111">
        <v>0</v>
      </c>
      <c r="AF111" s="138">
        <f>+Purchase[[#This Row],[IGST Total]]+Purchase[[#This Row],[CGST Total]]+Purchase[[#This Row],[SGST Total]]</f>
        <v>846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 s="138">
        <f>+Purchase[[#This Row],[IGST RCM Total]]+Purchase[[#This Row],[CGST RCM Total]]+Purchase[[#This Row],[SGST RCM Total]]</f>
        <v>0</v>
      </c>
      <c r="AP111" t="s">
        <v>175</v>
      </c>
    </row>
    <row r="112" spans="1:42" hidden="1" x14ac:dyDescent="0.25">
      <c r="A112" s="138" t="s">
        <v>38</v>
      </c>
      <c r="B112" t="s">
        <v>42</v>
      </c>
      <c r="C112" t="s">
        <v>430</v>
      </c>
      <c r="D112" s="150">
        <v>121</v>
      </c>
      <c r="E112" t="s">
        <v>201</v>
      </c>
      <c r="F112" t="s">
        <v>202</v>
      </c>
      <c r="G112" t="s">
        <v>431</v>
      </c>
      <c r="H112" s="150">
        <v>32899</v>
      </c>
      <c r="I112" s="139" t="s">
        <v>46</v>
      </c>
      <c r="J112">
        <v>26505.759999999998</v>
      </c>
      <c r="K112">
        <v>4043.26</v>
      </c>
      <c r="L112">
        <v>22462.5</v>
      </c>
      <c r="M112" t="s">
        <v>39</v>
      </c>
      <c r="N112" t="s">
        <v>257</v>
      </c>
      <c r="O112">
        <v>0</v>
      </c>
      <c r="P112">
        <v>0</v>
      </c>
      <c r="Q112">
        <v>0</v>
      </c>
      <c r="R112">
        <v>0</v>
      </c>
      <c r="S112">
        <v>2021.63</v>
      </c>
      <c r="T112">
        <v>2021.63</v>
      </c>
      <c r="U112">
        <v>0</v>
      </c>
      <c r="V112">
        <v>0</v>
      </c>
      <c r="W112">
        <v>0</v>
      </c>
      <c r="X112">
        <v>0</v>
      </c>
      <c r="Y112">
        <v>2021.63</v>
      </c>
      <c r="Z112">
        <v>2021.63</v>
      </c>
      <c r="AA112">
        <v>0</v>
      </c>
      <c r="AB112">
        <v>0</v>
      </c>
      <c r="AC112">
        <v>0</v>
      </c>
      <c r="AD112" s="138"/>
      <c r="AE112">
        <v>0</v>
      </c>
      <c r="AF112" s="138">
        <f>+Purchase[[#This Row],[IGST Total]]+Purchase[[#This Row],[CGST Total]]+Purchase[[#This Row],[SGST Total]]</f>
        <v>4043.26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 s="138">
        <f>+Purchase[[#This Row],[IGST RCM Total]]+Purchase[[#This Row],[CGST RCM Total]]+Purchase[[#This Row],[SGST RCM Total]]</f>
        <v>0</v>
      </c>
      <c r="AP112" t="s">
        <v>175</v>
      </c>
    </row>
    <row r="113" spans="1:42" hidden="1" x14ac:dyDescent="0.25">
      <c r="A113" s="138" t="s">
        <v>38</v>
      </c>
      <c r="B113" t="s">
        <v>42</v>
      </c>
      <c r="C113" t="s">
        <v>432</v>
      </c>
      <c r="D113" s="150">
        <v>121</v>
      </c>
      <c r="E113" t="s">
        <v>201</v>
      </c>
      <c r="F113" t="s">
        <v>202</v>
      </c>
      <c r="G113" t="s">
        <v>433</v>
      </c>
      <c r="H113" s="150">
        <v>32887</v>
      </c>
      <c r="I113" s="139" t="s">
        <v>46</v>
      </c>
      <c r="J113">
        <v>9283.66</v>
      </c>
      <c r="K113">
        <v>1416.16</v>
      </c>
      <c r="L113">
        <v>7867.5</v>
      </c>
      <c r="M113" t="s">
        <v>39</v>
      </c>
      <c r="N113" t="s">
        <v>403</v>
      </c>
      <c r="O113">
        <v>0</v>
      </c>
      <c r="P113">
        <v>0</v>
      </c>
      <c r="Q113">
        <v>0</v>
      </c>
      <c r="R113">
        <v>0</v>
      </c>
      <c r="S113">
        <v>708.08</v>
      </c>
      <c r="T113">
        <v>708.08</v>
      </c>
      <c r="U113">
        <v>0</v>
      </c>
      <c r="V113">
        <v>0</v>
      </c>
      <c r="W113">
        <v>0</v>
      </c>
      <c r="X113">
        <v>0</v>
      </c>
      <c r="Y113">
        <v>708.08</v>
      </c>
      <c r="Z113">
        <v>708.08</v>
      </c>
      <c r="AA113">
        <v>0</v>
      </c>
      <c r="AB113">
        <v>0</v>
      </c>
      <c r="AC113">
        <v>0</v>
      </c>
      <c r="AD113" s="138"/>
      <c r="AE113">
        <v>0</v>
      </c>
      <c r="AF113" s="138">
        <f>+Purchase[[#This Row],[IGST Total]]+Purchase[[#This Row],[CGST Total]]+Purchase[[#This Row],[SGST Total]]</f>
        <v>1416.16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 s="138">
        <f>+Purchase[[#This Row],[IGST RCM Total]]+Purchase[[#This Row],[CGST RCM Total]]+Purchase[[#This Row],[SGST RCM Total]]</f>
        <v>0</v>
      </c>
      <c r="AP113" t="s">
        <v>175</v>
      </c>
    </row>
    <row r="114" spans="1:42" hidden="1" x14ac:dyDescent="0.25">
      <c r="A114" s="138" t="s">
        <v>38</v>
      </c>
      <c r="B114" t="s">
        <v>42</v>
      </c>
      <c r="C114" t="s">
        <v>434</v>
      </c>
      <c r="D114" s="150">
        <v>121</v>
      </c>
      <c r="E114" t="s">
        <v>201</v>
      </c>
      <c r="F114" t="s">
        <v>202</v>
      </c>
      <c r="G114" t="s">
        <v>435</v>
      </c>
      <c r="H114" s="150">
        <v>32901</v>
      </c>
      <c r="I114" t="s">
        <v>46</v>
      </c>
      <c r="J114">
        <v>154592</v>
      </c>
      <c r="K114">
        <v>0</v>
      </c>
      <c r="L114">
        <v>154592</v>
      </c>
      <c r="M114" t="s">
        <v>39</v>
      </c>
      <c r="N114" t="s">
        <v>264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 s="138"/>
      <c r="AE114">
        <v>0</v>
      </c>
      <c r="AF114" s="138">
        <f>+Purchase[[#This Row],[IGST Total]]+Purchase[[#This Row],[CGST Total]]+Purchase[[#This Row],[SGST Total]]</f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 s="138">
        <f>+Purchase[[#This Row],[IGST RCM Total]]+Purchase[[#This Row],[CGST RCM Total]]+Purchase[[#This Row],[SGST RCM Total]]</f>
        <v>0</v>
      </c>
      <c r="AP114" t="s">
        <v>175</v>
      </c>
    </row>
    <row r="115" spans="1:42" hidden="1" x14ac:dyDescent="0.25">
      <c r="A115" s="138" t="s">
        <v>38</v>
      </c>
      <c r="B115" t="s">
        <v>42</v>
      </c>
      <c r="C115" t="s">
        <v>436</v>
      </c>
      <c r="D115" s="150">
        <v>121</v>
      </c>
      <c r="E115" t="s">
        <v>201</v>
      </c>
      <c r="F115" t="s">
        <v>202</v>
      </c>
      <c r="G115" t="s">
        <v>437</v>
      </c>
      <c r="H115" s="150">
        <v>32895</v>
      </c>
      <c r="I115" t="s">
        <v>46</v>
      </c>
      <c r="J115">
        <v>154592</v>
      </c>
      <c r="K115">
        <v>0</v>
      </c>
      <c r="L115">
        <v>154592</v>
      </c>
      <c r="M115" t="s">
        <v>39</v>
      </c>
      <c r="N115" t="s">
        <v>264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 s="138"/>
      <c r="AE115">
        <v>0</v>
      </c>
      <c r="AF115" s="138">
        <f>+Purchase[[#This Row],[IGST Total]]+Purchase[[#This Row],[CGST Total]]+Purchase[[#This Row],[SGST Total]]</f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 s="138">
        <f>+Purchase[[#This Row],[IGST RCM Total]]+Purchase[[#This Row],[CGST RCM Total]]+Purchase[[#This Row],[SGST RCM Total]]</f>
        <v>0</v>
      </c>
      <c r="AP115" t="s">
        <v>175</v>
      </c>
    </row>
    <row r="116" spans="1:42" hidden="1" x14ac:dyDescent="0.25">
      <c r="A116" s="138" t="s">
        <v>38</v>
      </c>
      <c r="B116" t="s">
        <v>42</v>
      </c>
      <c r="C116" t="s">
        <v>438</v>
      </c>
      <c r="D116" s="150">
        <v>121</v>
      </c>
      <c r="E116" t="s">
        <v>201</v>
      </c>
      <c r="F116" t="s">
        <v>202</v>
      </c>
      <c r="G116" t="s">
        <v>439</v>
      </c>
      <c r="H116" s="150">
        <v>32900</v>
      </c>
      <c r="I116" s="139" t="s">
        <v>46</v>
      </c>
      <c r="J116">
        <v>10030</v>
      </c>
      <c r="K116">
        <v>1530</v>
      </c>
      <c r="L116">
        <v>8500</v>
      </c>
      <c r="M116" t="s">
        <v>39</v>
      </c>
      <c r="N116" t="s">
        <v>440</v>
      </c>
      <c r="O116">
        <v>0</v>
      </c>
      <c r="P116">
        <v>0</v>
      </c>
      <c r="Q116">
        <v>0</v>
      </c>
      <c r="R116">
        <v>0</v>
      </c>
      <c r="S116">
        <v>765</v>
      </c>
      <c r="T116">
        <v>765</v>
      </c>
      <c r="U116">
        <v>0</v>
      </c>
      <c r="V116">
        <v>0</v>
      </c>
      <c r="W116">
        <v>0</v>
      </c>
      <c r="X116">
        <v>0</v>
      </c>
      <c r="Y116">
        <v>765</v>
      </c>
      <c r="Z116">
        <v>765</v>
      </c>
      <c r="AA116">
        <v>0</v>
      </c>
      <c r="AB116">
        <v>0</v>
      </c>
      <c r="AC116">
        <v>0</v>
      </c>
      <c r="AD116" s="138"/>
      <c r="AE116">
        <v>0</v>
      </c>
      <c r="AF116" s="138">
        <f>+Purchase[[#This Row],[IGST Total]]+Purchase[[#This Row],[CGST Total]]+Purchase[[#This Row],[SGST Total]]</f>
        <v>1530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 s="138">
        <f>+Purchase[[#This Row],[IGST RCM Total]]+Purchase[[#This Row],[CGST RCM Total]]+Purchase[[#This Row],[SGST RCM Total]]</f>
        <v>0</v>
      </c>
      <c r="AP116" t="s">
        <v>175</v>
      </c>
    </row>
    <row r="117" spans="1:42" hidden="1" x14ac:dyDescent="0.25">
      <c r="A117" s="138" t="s">
        <v>38</v>
      </c>
      <c r="B117" t="s">
        <v>42</v>
      </c>
      <c r="C117" t="s">
        <v>441</v>
      </c>
      <c r="D117" s="150">
        <v>121</v>
      </c>
      <c r="E117" t="s">
        <v>201</v>
      </c>
      <c r="F117" t="s">
        <v>202</v>
      </c>
      <c r="G117" t="s">
        <v>442</v>
      </c>
      <c r="H117" s="150">
        <v>32901</v>
      </c>
      <c r="I117" s="139" t="s">
        <v>46</v>
      </c>
      <c r="J117">
        <v>1824</v>
      </c>
      <c r="K117">
        <v>278.24</v>
      </c>
      <c r="L117">
        <v>1545.76</v>
      </c>
      <c r="M117" t="s">
        <v>39</v>
      </c>
      <c r="N117" t="s">
        <v>268</v>
      </c>
      <c r="O117">
        <v>0</v>
      </c>
      <c r="P117">
        <v>0</v>
      </c>
      <c r="Q117">
        <v>0</v>
      </c>
      <c r="R117">
        <v>0</v>
      </c>
      <c r="S117">
        <v>139.12</v>
      </c>
      <c r="T117">
        <v>139.12</v>
      </c>
      <c r="U117">
        <v>0</v>
      </c>
      <c r="V117">
        <v>0</v>
      </c>
      <c r="W117">
        <v>0</v>
      </c>
      <c r="X117">
        <v>0</v>
      </c>
      <c r="Y117">
        <v>139.12</v>
      </c>
      <c r="Z117">
        <v>139.12</v>
      </c>
      <c r="AA117">
        <v>0</v>
      </c>
      <c r="AB117">
        <v>0</v>
      </c>
      <c r="AC117">
        <v>0</v>
      </c>
      <c r="AD117" s="138"/>
      <c r="AE117">
        <v>0</v>
      </c>
      <c r="AF117" s="138">
        <f>+Purchase[[#This Row],[IGST Total]]+Purchase[[#This Row],[CGST Total]]+Purchase[[#This Row],[SGST Total]]</f>
        <v>278.24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 s="138">
        <f>+Purchase[[#This Row],[IGST RCM Total]]+Purchase[[#This Row],[CGST RCM Total]]+Purchase[[#This Row],[SGST RCM Total]]</f>
        <v>0</v>
      </c>
      <c r="AP117" t="s">
        <v>175</v>
      </c>
    </row>
    <row r="118" spans="1:42" hidden="1" x14ac:dyDescent="0.25">
      <c r="A118" s="138" t="s">
        <v>38</v>
      </c>
      <c r="B118" t="s">
        <v>42</v>
      </c>
      <c r="C118" t="s">
        <v>443</v>
      </c>
      <c r="D118" s="150">
        <v>121</v>
      </c>
      <c r="E118" t="s">
        <v>201</v>
      </c>
      <c r="F118" t="s">
        <v>202</v>
      </c>
      <c r="G118" t="s">
        <v>444</v>
      </c>
      <c r="H118" s="150">
        <v>32885</v>
      </c>
      <c r="I118" s="139" t="s">
        <v>46</v>
      </c>
      <c r="J118">
        <v>38426.46</v>
      </c>
      <c r="K118">
        <v>5861.66</v>
      </c>
      <c r="L118">
        <v>32564.799999999999</v>
      </c>
      <c r="M118" t="s">
        <v>39</v>
      </c>
      <c r="N118" t="s">
        <v>445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5861.66</v>
      </c>
      <c r="AD118" s="138"/>
      <c r="AE118">
        <v>5861.66</v>
      </c>
      <c r="AF118" s="138">
        <f>+Purchase[[#This Row],[IGST Total]]+Purchase[[#This Row],[CGST Total]]+Purchase[[#This Row],[SGST Total]]</f>
        <v>5861.66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 s="138">
        <f>+Purchase[[#This Row],[IGST RCM Total]]+Purchase[[#This Row],[CGST RCM Total]]+Purchase[[#This Row],[SGST RCM Total]]</f>
        <v>0</v>
      </c>
      <c r="AP118" t="s">
        <v>176</v>
      </c>
    </row>
    <row r="119" spans="1:42" hidden="1" x14ac:dyDescent="0.25">
      <c r="A119" s="138" t="s">
        <v>38</v>
      </c>
      <c r="B119" t="s">
        <v>42</v>
      </c>
      <c r="C119" t="s">
        <v>446</v>
      </c>
      <c r="D119" s="150">
        <v>121</v>
      </c>
      <c r="E119" t="s">
        <v>201</v>
      </c>
      <c r="F119" t="s">
        <v>202</v>
      </c>
      <c r="G119" t="s">
        <v>447</v>
      </c>
      <c r="H119" s="150">
        <v>32885</v>
      </c>
      <c r="I119" s="139" t="s">
        <v>46</v>
      </c>
      <c r="J119">
        <v>14445.8</v>
      </c>
      <c r="K119">
        <v>2203.6</v>
      </c>
      <c r="L119">
        <v>12242.2</v>
      </c>
      <c r="M119" t="s">
        <v>39</v>
      </c>
      <c r="N119" t="s">
        <v>445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2203.6</v>
      </c>
      <c r="AD119" s="138"/>
      <c r="AE119">
        <v>2203.6</v>
      </c>
      <c r="AF119" s="138">
        <f>+Purchase[[#This Row],[IGST Total]]+Purchase[[#This Row],[CGST Total]]+Purchase[[#This Row],[SGST Total]]</f>
        <v>2203.6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 s="138">
        <f>+Purchase[[#This Row],[IGST RCM Total]]+Purchase[[#This Row],[CGST RCM Total]]+Purchase[[#This Row],[SGST RCM Total]]</f>
        <v>0</v>
      </c>
      <c r="AP119" t="s">
        <v>176</v>
      </c>
    </row>
    <row r="120" spans="1:42" hidden="1" x14ac:dyDescent="0.25">
      <c r="A120" s="138" t="s">
        <v>38</v>
      </c>
      <c r="B120" t="s">
        <v>42</v>
      </c>
      <c r="C120" t="s">
        <v>448</v>
      </c>
      <c r="D120" s="150">
        <v>121</v>
      </c>
      <c r="E120" t="s">
        <v>201</v>
      </c>
      <c r="F120" t="s">
        <v>202</v>
      </c>
      <c r="G120" t="s">
        <v>350</v>
      </c>
      <c r="H120" s="150">
        <v>32895</v>
      </c>
      <c r="I120" s="139" t="s">
        <v>46</v>
      </c>
      <c r="J120">
        <v>3721.22</v>
      </c>
      <c r="K120">
        <v>567.72</v>
      </c>
      <c r="L120">
        <v>3153.5</v>
      </c>
      <c r="M120" t="s">
        <v>39</v>
      </c>
      <c r="N120" t="s">
        <v>244</v>
      </c>
      <c r="O120">
        <v>0</v>
      </c>
      <c r="P120">
        <v>0</v>
      </c>
      <c r="Q120">
        <v>0</v>
      </c>
      <c r="R120">
        <v>0</v>
      </c>
      <c r="S120">
        <v>283.86</v>
      </c>
      <c r="T120">
        <v>283.86</v>
      </c>
      <c r="U120">
        <v>0</v>
      </c>
      <c r="V120">
        <v>0</v>
      </c>
      <c r="W120">
        <v>0</v>
      </c>
      <c r="X120">
        <v>0</v>
      </c>
      <c r="Y120">
        <v>283.86</v>
      </c>
      <c r="Z120">
        <v>283.86</v>
      </c>
      <c r="AA120">
        <v>0</v>
      </c>
      <c r="AB120">
        <v>0</v>
      </c>
      <c r="AC120">
        <v>0</v>
      </c>
      <c r="AD120" s="138"/>
      <c r="AE120">
        <v>0</v>
      </c>
      <c r="AF120" s="138">
        <f>+Purchase[[#This Row],[IGST Total]]+Purchase[[#This Row],[CGST Total]]+Purchase[[#This Row],[SGST Total]]</f>
        <v>567.72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 s="138">
        <f>+Purchase[[#This Row],[IGST RCM Total]]+Purchase[[#This Row],[CGST RCM Total]]+Purchase[[#This Row],[SGST RCM Total]]</f>
        <v>0</v>
      </c>
      <c r="AP120" t="s">
        <v>175</v>
      </c>
    </row>
    <row r="121" spans="1:42" hidden="1" x14ac:dyDescent="0.25">
      <c r="A121" s="138" t="s">
        <v>38</v>
      </c>
      <c r="B121" t="s">
        <v>42</v>
      </c>
      <c r="C121" t="s">
        <v>449</v>
      </c>
      <c r="D121" s="150">
        <v>121</v>
      </c>
      <c r="E121" t="s">
        <v>201</v>
      </c>
      <c r="F121" t="s">
        <v>202</v>
      </c>
      <c r="G121" t="s">
        <v>450</v>
      </c>
      <c r="H121" s="150">
        <v>32900</v>
      </c>
      <c r="I121" s="139" t="s">
        <v>46</v>
      </c>
      <c r="J121">
        <v>1956.44</v>
      </c>
      <c r="K121">
        <v>298.44</v>
      </c>
      <c r="L121">
        <v>1658</v>
      </c>
      <c r="M121" t="s">
        <v>39</v>
      </c>
      <c r="N121" t="s">
        <v>244</v>
      </c>
      <c r="O121">
        <v>0</v>
      </c>
      <c r="P121">
        <v>0</v>
      </c>
      <c r="Q121">
        <v>0</v>
      </c>
      <c r="R121">
        <v>0</v>
      </c>
      <c r="S121">
        <v>149.22</v>
      </c>
      <c r="T121">
        <v>149.22</v>
      </c>
      <c r="U121">
        <v>0</v>
      </c>
      <c r="V121">
        <v>0</v>
      </c>
      <c r="W121">
        <v>0</v>
      </c>
      <c r="X121">
        <v>0</v>
      </c>
      <c r="Y121">
        <v>149.22</v>
      </c>
      <c r="Z121">
        <v>149.22</v>
      </c>
      <c r="AA121">
        <v>0</v>
      </c>
      <c r="AB121">
        <v>0</v>
      </c>
      <c r="AC121">
        <v>0</v>
      </c>
      <c r="AD121" s="138"/>
      <c r="AE121">
        <v>0</v>
      </c>
      <c r="AF121" s="138">
        <f>+Purchase[[#This Row],[IGST Total]]+Purchase[[#This Row],[CGST Total]]+Purchase[[#This Row],[SGST Total]]</f>
        <v>298.44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 s="138">
        <f>+Purchase[[#This Row],[IGST RCM Total]]+Purchase[[#This Row],[CGST RCM Total]]+Purchase[[#This Row],[SGST RCM Total]]</f>
        <v>0</v>
      </c>
      <c r="AP121" t="s">
        <v>175</v>
      </c>
    </row>
    <row r="122" spans="1:42" hidden="1" x14ac:dyDescent="0.25">
      <c r="A122" s="138" t="s">
        <v>38</v>
      </c>
      <c r="B122" t="s">
        <v>42</v>
      </c>
      <c r="C122" t="s">
        <v>451</v>
      </c>
      <c r="D122" s="150">
        <v>121</v>
      </c>
      <c r="E122" t="s">
        <v>201</v>
      </c>
      <c r="F122" t="s">
        <v>202</v>
      </c>
      <c r="G122" t="s">
        <v>452</v>
      </c>
      <c r="H122" s="150">
        <v>32901</v>
      </c>
      <c r="I122" s="139" t="s">
        <v>46</v>
      </c>
      <c r="J122">
        <v>509.76</v>
      </c>
      <c r="K122">
        <v>77.760000000000005</v>
      </c>
      <c r="L122">
        <v>432</v>
      </c>
      <c r="M122" t="s">
        <v>39</v>
      </c>
      <c r="N122" t="s">
        <v>244</v>
      </c>
      <c r="O122">
        <v>0</v>
      </c>
      <c r="P122">
        <v>0</v>
      </c>
      <c r="Q122">
        <v>0</v>
      </c>
      <c r="R122">
        <v>0</v>
      </c>
      <c r="S122">
        <v>38.880000000000003</v>
      </c>
      <c r="T122">
        <v>38.880000000000003</v>
      </c>
      <c r="U122">
        <v>0</v>
      </c>
      <c r="V122">
        <v>0</v>
      </c>
      <c r="W122">
        <v>0</v>
      </c>
      <c r="X122">
        <v>0</v>
      </c>
      <c r="Y122">
        <v>38.880000000000003</v>
      </c>
      <c r="Z122">
        <v>38.880000000000003</v>
      </c>
      <c r="AA122">
        <v>0</v>
      </c>
      <c r="AB122">
        <v>0</v>
      </c>
      <c r="AC122">
        <v>0</v>
      </c>
      <c r="AD122" s="138"/>
      <c r="AE122">
        <v>0</v>
      </c>
      <c r="AF122" s="138">
        <f>+Purchase[[#This Row],[IGST Total]]+Purchase[[#This Row],[CGST Total]]+Purchase[[#This Row],[SGST Total]]</f>
        <v>77.760000000000005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 s="138">
        <f>+Purchase[[#This Row],[IGST RCM Total]]+Purchase[[#This Row],[CGST RCM Total]]+Purchase[[#This Row],[SGST RCM Total]]</f>
        <v>0</v>
      </c>
      <c r="AP122" t="s">
        <v>175</v>
      </c>
    </row>
    <row r="123" spans="1:42" hidden="1" x14ac:dyDescent="0.25">
      <c r="A123" s="138" t="s">
        <v>38</v>
      </c>
      <c r="B123" t="s">
        <v>42</v>
      </c>
      <c r="C123" t="s">
        <v>453</v>
      </c>
      <c r="D123" s="150">
        <v>121</v>
      </c>
      <c r="E123" t="s">
        <v>201</v>
      </c>
      <c r="F123" t="s">
        <v>202</v>
      </c>
      <c r="G123" t="s">
        <v>454</v>
      </c>
      <c r="H123" s="150">
        <v>32902</v>
      </c>
      <c r="I123" s="139" t="s">
        <v>46</v>
      </c>
      <c r="J123">
        <v>731.6</v>
      </c>
      <c r="K123">
        <v>111.6</v>
      </c>
      <c r="L123">
        <v>620</v>
      </c>
      <c r="M123" t="s">
        <v>39</v>
      </c>
      <c r="N123" t="s">
        <v>244</v>
      </c>
      <c r="O123">
        <v>0</v>
      </c>
      <c r="P123">
        <v>0</v>
      </c>
      <c r="Q123">
        <v>0</v>
      </c>
      <c r="R123">
        <v>0</v>
      </c>
      <c r="S123">
        <v>55.8</v>
      </c>
      <c r="T123">
        <v>55.8</v>
      </c>
      <c r="U123">
        <v>0</v>
      </c>
      <c r="V123">
        <v>0</v>
      </c>
      <c r="W123">
        <v>0</v>
      </c>
      <c r="X123">
        <v>0</v>
      </c>
      <c r="Y123">
        <v>55.8</v>
      </c>
      <c r="Z123">
        <v>55.8</v>
      </c>
      <c r="AA123">
        <v>0</v>
      </c>
      <c r="AB123">
        <v>0</v>
      </c>
      <c r="AC123">
        <v>0</v>
      </c>
      <c r="AD123" s="138"/>
      <c r="AE123">
        <v>0</v>
      </c>
      <c r="AF123" s="138">
        <f>+Purchase[[#This Row],[IGST Total]]+Purchase[[#This Row],[CGST Total]]+Purchase[[#This Row],[SGST Total]]</f>
        <v>111.6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 s="138">
        <f>+Purchase[[#This Row],[IGST RCM Total]]+Purchase[[#This Row],[CGST RCM Total]]+Purchase[[#This Row],[SGST RCM Total]]</f>
        <v>0</v>
      </c>
      <c r="AP123" t="s">
        <v>175</v>
      </c>
    </row>
    <row r="124" spans="1:42" hidden="1" x14ac:dyDescent="0.25">
      <c r="A124" s="138" t="s">
        <v>38</v>
      </c>
      <c r="B124" t="s">
        <v>42</v>
      </c>
      <c r="C124" t="s">
        <v>455</v>
      </c>
      <c r="D124" s="150">
        <v>121</v>
      </c>
      <c r="E124" t="s">
        <v>201</v>
      </c>
      <c r="F124" t="s">
        <v>202</v>
      </c>
      <c r="G124" t="s">
        <v>456</v>
      </c>
      <c r="H124" s="150">
        <v>32956</v>
      </c>
      <c r="I124" s="139" t="s">
        <v>46</v>
      </c>
      <c r="J124">
        <v>23600</v>
      </c>
      <c r="K124">
        <v>3600</v>
      </c>
      <c r="L124">
        <v>20000</v>
      </c>
      <c r="M124" t="s">
        <v>39</v>
      </c>
      <c r="N124" t="s">
        <v>457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3600</v>
      </c>
      <c r="AD124" s="138"/>
      <c r="AE124">
        <v>3600</v>
      </c>
      <c r="AF124" s="138">
        <f>+Purchase[[#This Row],[IGST Total]]+Purchase[[#This Row],[CGST Total]]+Purchase[[#This Row],[SGST Total]]</f>
        <v>3600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 s="138">
        <f>+Purchase[[#This Row],[IGST RCM Total]]+Purchase[[#This Row],[CGST RCM Total]]+Purchase[[#This Row],[SGST RCM Total]]</f>
        <v>0</v>
      </c>
      <c r="AP124" t="s">
        <v>176</v>
      </c>
    </row>
    <row r="125" spans="1:42" hidden="1" x14ac:dyDescent="0.25">
      <c r="A125" s="138" t="s">
        <v>38</v>
      </c>
      <c r="B125" t="s">
        <v>42</v>
      </c>
      <c r="C125" t="s">
        <v>458</v>
      </c>
      <c r="D125" s="150">
        <v>121</v>
      </c>
      <c r="E125" t="s">
        <v>201</v>
      </c>
      <c r="F125" t="s">
        <v>202</v>
      </c>
      <c r="G125" t="s">
        <v>756</v>
      </c>
      <c r="H125" s="150">
        <v>32888</v>
      </c>
      <c r="I125" s="139" t="s">
        <v>46</v>
      </c>
      <c r="J125">
        <v>4541.82</v>
      </c>
      <c r="K125">
        <v>692.82</v>
      </c>
      <c r="L125">
        <v>3849</v>
      </c>
      <c r="M125" t="s">
        <v>39</v>
      </c>
      <c r="N125" t="s">
        <v>281</v>
      </c>
      <c r="O125">
        <v>0</v>
      </c>
      <c r="P125">
        <v>0</v>
      </c>
      <c r="Q125">
        <v>0</v>
      </c>
      <c r="R125">
        <v>0</v>
      </c>
      <c r="S125">
        <v>346.41</v>
      </c>
      <c r="T125">
        <v>346.41</v>
      </c>
      <c r="U125">
        <v>0</v>
      </c>
      <c r="V125">
        <v>0</v>
      </c>
      <c r="W125">
        <v>0</v>
      </c>
      <c r="X125">
        <v>0</v>
      </c>
      <c r="Y125">
        <v>346.41</v>
      </c>
      <c r="Z125">
        <v>346.41</v>
      </c>
      <c r="AA125">
        <v>0</v>
      </c>
      <c r="AB125">
        <v>0</v>
      </c>
      <c r="AC125">
        <v>0</v>
      </c>
      <c r="AD125" s="138"/>
      <c r="AE125">
        <v>0</v>
      </c>
      <c r="AF125" s="138">
        <f>+Purchase[[#This Row],[IGST Total]]+Purchase[[#This Row],[CGST Total]]+Purchase[[#This Row],[SGST Total]]</f>
        <v>692.82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 s="138">
        <f>+Purchase[[#This Row],[IGST RCM Total]]+Purchase[[#This Row],[CGST RCM Total]]+Purchase[[#This Row],[SGST RCM Total]]</f>
        <v>0</v>
      </c>
      <c r="AP125" t="s">
        <v>175</v>
      </c>
    </row>
    <row r="126" spans="1:42" hidden="1" x14ac:dyDescent="0.25">
      <c r="A126" s="138" t="s">
        <v>38</v>
      </c>
      <c r="B126" t="s">
        <v>42</v>
      </c>
      <c r="C126" t="s">
        <v>459</v>
      </c>
      <c r="D126" s="150">
        <v>121</v>
      </c>
      <c r="E126" t="s">
        <v>201</v>
      </c>
      <c r="F126" t="s">
        <v>202</v>
      </c>
      <c r="G126" t="s">
        <v>757</v>
      </c>
      <c r="H126" s="150">
        <v>32894</v>
      </c>
      <c r="I126" t="s">
        <v>46</v>
      </c>
      <c r="J126">
        <v>154592</v>
      </c>
      <c r="K126">
        <v>0</v>
      </c>
      <c r="L126">
        <v>154592</v>
      </c>
      <c r="M126" t="s">
        <v>39</v>
      </c>
      <c r="N126" t="s">
        <v>264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 s="138"/>
      <c r="AE126">
        <v>0</v>
      </c>
      <c r="AF126" s="138">
        <f>+Purchase[[#This Row],[IGST Total]]+Purchase[[#This Row],[CGST Total]]+Purchase[[#This Row],[SGST Total]]</f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 s="138">
        <f>+Purchase[[#This Row],[IGST RCM Total]]+Purchase[[#This Row],[CGST RCM Total]]+Purchase[[#This Row],[SGST RCM Total]]</f>
        <v>0</v>
      </c>
      <c r="AP126" t="s">
        <v>175</v>
      </c>
    </row>
    <row r="127" spans="1:42" hidden="1" x14ac:dyDescent="0.25">
      <c r="A127" s="138" t="s">
        <v>38</v>
      </c>
      <c r="B127" t="s">
        <v>44</v>
      </c>
      <c r="C127" t="s">
        <v>200</v>
      </c>
      <c r="D127" s="150">
        <v>92</v>
      </c>
      <c r="E127" t="s">
        <v>201</v>
      </c>
      <c r="F127" t="s">
        <v>202</v>
      </c>
      <c r="G127" t="s">
        <v>255</v>
      </c>
      <c r="H127" s="150">
        <v>32953</v>
      </c>
      <c r="I127" s="139" t="s">
        <v>46</v>
      </c>
      <c r="J127">
        <v>3121460.61</v>
      </c>
      <c r="K127">
        <v>476155.01</v>
      </c>
      <c r="L127">
        <v>2645305.6</v>
      </c>
      <c r="M127" t="s">
        <v>39</v>
      </c>
      <c r="N127" t="s">
        <v>461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476155.01</v>
      </c>
      <c r="AD127" s="138"/>
      <c r="AE127">
        <v>476155.01</v>
      </c>
      <c r="AF127" s="138">
        <f>+Purchase[[#This Row],[IGST Total]]+Purchase[[#This Row],[CGST Total]]+Purchase[[#This Row],[SGST Total]]</f>
        <v>476155.01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 s="138">
        <f>+Purchase[[#This Row],[IGST RCM Total]]+Purchase[[#This Row],[CGST RCM Total]]+Purchase[[#This Row],[SGST RCM Total]]</f>
        <v>0</v>
      </c>
      <c r="AP127" t="s">
        <v>176</v>
      </c>
    </row>
    <row r="128" spans="1:42" hidden="1" x14ac:dyDescent="0.25">
      <c r="A128" s="138" t="s">
        <v>38</v>
      </c>
      <c r="B128" t="s">
        <v>44</v>
      </c>
      <c r="C128" t="s">
        <v>203</v>
      </c>
      <c r="D128" s="150">
        <v>92</v>
      </c>
      <c r="E128" t="s">
        <v>201</v>
      </c>
      <c r="F128" t="s">
        <v>202</v>
      </c>
      <c r="G128" t="s">
        <v>462</v>
      </c>
      <c r="H128" s="150">
        <v>32957</v>
      </c>
      <c r="I128" s="139" t="s">
        <v>46</v>
      </c>
      <c r="J128">
        <v>876740</v>
      </c>
      <c r="K128">
        <v>133740</v>
      </c>
      <c r="L128">
        <v>743000</v>
      </c>
      <c r="M128" t="s">
        <v>39</v>
      </c>
      <c r="N128" t="s">
        <v>463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133740</v>
      </c>
      <c r="AD128" s="138"/>
      <c r="AE128">
        <v>133740</v>
      </c>
      <c r="AF128" s="138">
        <f>+Purchase[[#This Row],[IGST Total]]+Purchase[[#This Row],[CGST Total]]+Purchase[[#This Row],[SGST Total]]</f>
        <v>133740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 s="138">
        <f>+Purchase[[#This Row],[IGST RCM Total]]+Purchase[[#This Row],[CGST RCM Total]]+Purchase[[#This Row],[SGST RCM Total]]</f>
        <v>0</v>
      </c>
      <c r="AP128" t="s">
        <v>176</v>
      </c>
    </row>
    <row r="129" spans="1:42" hidden="1" x14ac:dyDescent="0.25">
      <c r="A129" s="138" t="s">
        <v>38</v>
      </c>
      <c r="B129" t="s">
        <v>44</v>
      </c>
      <c r="C129" t="s">
        <v>204</v>
      </c>
      <c r="D129" s="150">
        <v>92</v>
      </c>
      <c r="E129" t="s">
        <v>201</v>
      </c>
      <c r="F129" t="s">
        <v>202</v>
      </c>
      <c r="G129" t="s">
        <v>464</v>
      </c>
      <c r="H129" s="150">
        <v>32956</v>
      </c>
      <c r="I129" s="139" t="s">
        <v>46</v>
      </c>
      <c r="J129">
        <v>173755</v>
      </c>
      <c r="K129">
        <v>26505</v>
      </c>
      <c r="L129">
        <v>147250</v>
      </c>
      <c r="M129" t="s">
        <v>39</v>
      </c>
      <c r="N129" t="s">
        <v>465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26505</v>
      </c>
      <c r="AD129" s="138"/>
      <c r="AE129">
        <v>26505</v>
      </c>
      <c r="AF129" s="138">
        <f>+Purchase[[#This Row],[IGST Total]]+Purchase[[#This Row],[CGST Total]]+Purchase[[#This Row],[SGST Total]]</f>
        <v>26505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 s="138">
        <f>+Purchase[[#This Row],[IGST RCM Total]]+Purchase[[#This Row],[CGST RCM Total]]+Purchase[[#This Row],[SGST RCM Total]]</f>
        <v>0</v>
      </c>
      <c r="AP129" t="s">
        <v>176</v>
      </c>
    </row>
    <row r="130" spans="1:42" hidden="1" x14ac:dyDescent="0.25">
      <c r="A130" s="138" t="s">
        <v>38</v>
      </c>
      <c r="B130" t="s">
        <v>44</v>
      </c>
      <c r="C130" t="s">
        <v>219</v>
      </c>
      <c r="D130" s="150">
        <v>92</v>
      </c>
      <c r="E130" t="s">
        <v>201</v>
      </c>
      <c r="F130" t="s">
        <v>202</v>
      </c>
      <c r="G130" t="s">
        <v>466</v>
      </c>
      <c r="H130" s="150">
        <v>32953</v>
      </c>
      <c r="I130" s="139" t="s">
        <v>46</v>
      </c>
      <c r="J130">
        <v>1177640</v>
      </c>
      <c r="K130">
        <v>179640</v>
      </c>
      <c r="L130">
        <v>998000</v>
      </c>
      <c r="M130" t="s">
        <v>39</v>
      </c>
      <c r="N130" t="s">
        <v>463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179640</v>
      </c>
      <c r="AD130" s="138"/>
      <c r="AE130">
        <v>179640</v>
      </c>
      <c r="AF130" s="138">
        <f>+Purchase[[#This Row],[IGST Total]]+Purchase[[#This Row],[CGST Total]]+Purchase[[#This Row],[SGST Total]]</f>
        <v>179640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 s="138">
        <f>+Purchase[[#This Row],[IGST RCM Total]]+Purchase[[#This Row],[CGST RCM Total]]+Purchase[[#This Row],[SGST RCM Total]]</f>
        <v>0</v>
      </c>
      <c r="AP130" t="s">
        <v>176</v>
      </c>
    </row>
    <row r="131" spans="1:42" hidden="1" x14ac:dyDescent="0.25">
      <c r="A131" s="138" t="s">
        <v>38</v>
      </c>
      <c r="B131" t="s">
        <v>44</v>
      </c>
      <c r="C131" t="s">
        <v>220</v>
      </c>
      <c r="D131" s="150">
        <v>92</v>
      </c>
      <c r="E131" t="s">
        <v>201</v>
      </c>
      <c r="F131" t="s">
        <v>202</v>
      </c>
      <c r="G131" t="s">
        <v>467</v>
      </c>
      <c r="H131" s="150">
        <v>32963</v>
      </c>
      <c r="I131" s="139" t="s">
        <v>46</v>
      </c>
      <c r="J131">
        <v>231138.4</v>
      </c>
      <c r="K131">
        <v>35258.400000000001</v>
      </c>
      <c r="L131">
        <v>195880</v>
      </c>
      <c r="M131" t="s">
        <v>39</v>
      </c>
      <c r="N131" t="s">
        <v>468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35258.400000000001</v>
      </c>
      <c r="AD131" s="138"/>
      <c r="AE131">
        <v>35258.400000000001</v>
      </c>
      <c r="AF131" s="138">
        <f>+Purchase[[#This Row],[IGST Total]]+Purchase[[#This Row],[CGST Total]]+Purchase[[#This Row],[SGST Total]]</f>
        <v>35258.400000000001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 s="138">
        <f>+Purchase[[#This Row],[IGST RCM Total]]+Purchase[[#This Row],[CGST RCM Total]]+Purchase[[#This Row],[SGST RCM Total]]</f>
        <v>0</v>
      </c>
      <c r="AP131" t="s">
        <v>176</v>
      </c>
    </row>
    <row r="132" spans="1:42" hidden="1" x14ac:dyDescent="0.25">
      <c r="A132" s="138" t="s">
        <v>38</v>
      </c>
      <c r="B132" t="s">
        <v>44</v>
      </c>
      <c r="C132" t="s">
        <v>238</v>
      </c>
      <c r="D132" s="150">
        <v>92</v>
      </c>
      <c r="E132" t="s">
        <v>201</v>
      </c>
      <c r="F132" t="s">
        <v>202</v>
      </c>
      <c r="G132" t="s">
        <v>469</v>
      </c>
      <c r="H132" s="150">
        <v>32963</v>
      </c>
      <c r="I132" s="139" t="s">
        <v>46</v>
      </c>
      <c r="J132">
        <v>161400</v>
      </c>
      <c r="K132">
        <v>24620</v>
      </c>
      <c r="L132">
        <v>136780</v>
      </c>
      <c r="M132" t="s">
        <v>39</v>
      </c>
      <c r="N132" t="s">
        <v>304</v>
      </c>
      <c r="O132">
        <v>0</v>
      </c>
      <c r="P132">
        <v>0</v>
      </c>
      <c r="Q132">
        <v>0</v>
      </c>
      <c r="R132">
        <v>0</v>
      </c>
      <c r="S132">
        <v>12310</v>
      </c>
      <c r="T132">
        <v>12310</v>
      </c>
      <c r="U132">
        <v>0</v>
      </c>
      <c r="V132">
        <v>0</v>
      </c>
      <c r="W132">
        <v>0</v>
      </c>
      <c r="X132">
        <v>0</v>
      </c>
      <c r="Y132">
        <v>12310</v>
      </c>
      <c r="Z132">
        <v>12310</v>
      </c>
      <c r="AA132">
        <v>0</v>
      </c>
      <c r="AB132">
        <v>0</v>
      </c>
      <c r="AC132">
        <v>0</v>
      </c>
      <c r="AD132" s="138"/>
      <c r="AE132">
        <v>0</v>
      </c>
      <c r="AF132" s="138">
        <f>+Purchase[[#This Row],[IGST Total]]+Purchase[[#This Row],[CGST Total]]+Purchase[[#This Row],[SGST Total]]</f>
        <v>24620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 s="138">
        <f>+Purchase[[#This Row],[IGST RCM Total]]+Purchase[[#This Row],[CGST RCM Total]]+Purchase[[#This Row],[SGST RCM Total]]</f>
        <v>0</v>
      </c>
      <c r="AP132" t="s">
        <v>175</v>
      </c>
    </row>
    <row r="133" spans="1:42" hidden="1" x14ac:dyDescent="0.25">
      <c r="A133" s="138" t="s">
        <v>38</v>
      </c>
      <c r="B133" t="s">
        <v>44</v>
      </c>
      <c r="C133" t="s">
        <v>221</v>
      </c>
      <c r="D133" s="150">
        <v>92</v>
      </c>
      <c r="E133" t="s">
        <v>201</v>
      </c>
      <c r="F133" t="s">
        <v>202</v>
      </c>
      <c r="G133" t="s">
        <v>470</v>
      </c>
      <c r="H133" s="150">
        <v>32961</v>
      </c>
      <c r="I133" s="139" t="s">
        <v>46</v>
      </c>
      <c r="J133">
        <v>1224170.04</v>
      </c>
      <c r="K133">
        <v>186738</v>
      </c>
      <c r="L133">
        <v>1037432.036</v>
      </c>
      <c r="M133" t="s">
        <v>39</v>
      </c>
      <c r="N133" t="s">
        <v>249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186738</v>
      </c>
      <c r="AD133" s="138"/>
      <c r="AE133">
        <v>186738</v>
      </c>
      <c r="AF133" s="138">
        <f>+Purchase[[#This Row],[IGST Total]]+Purchase[[#This Row],[CGST Total]]+Purchase[[#This Row],[SGST Total]]</f>
        <v>186738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 s="138">
        <f>+Purchase[[#This Row],[IGST RCM Total]]+Purchase[[#This Row],[CGST RCM Total]]+Purchase[[#This Row],[SGST RCM Total]]</f>
        <v>0</v>
      </c>
      <c r="AP133" t="s">
        <v>176</v>
      </c>
    </row>
    <row r="134" spans="1:42" hidden="1" x14ac:dyDescent="0.25">
      <c r="A134" s="138" t="s">
        <v>38</v>
      </c>
      <c r="B134" t="s">
        <v>44</v>
      </c>
      <c r="C134" t="s">
        <v>222</v>
      </c>
      <c r="D134" s="150">
        <v>92</v>
      </c>
      <c r="E134" t="s">
        <v>201</v>
      </c>
      <c r="F134" t="s">
        <v>202</v>
      </c>
      <c r="G134" t="s">
        <v>471</v>
      </c>
      <c r="H134" s="150">
        <v>32962</v>
      </c>
      <c r="I134" s="139" t="s">
        <v>46</v>
      </c>
      <c r="J134">
        <v>409665.09</v>
      </c>
      <c r="K134">
        <v>62491.28</v>
      </c>
      <c r="L134">
        <v>347173.80900000001</v>
      </c>
      <c r="M134" t="s">
        <v>39</v>
      </c>
      <c r="N134" t="s">
        <v>252</v>
      </c>
      <c r="O134">
        <v>0</v>
      </c>
      <c r="P134">
        <v>0</v>
      </c>
      <c r="Q134">
        <v>0</v>
      </c>
      <c r="R134">
        <v>0</v>
      </c>
      <c r="S134">
        <v>31245.64</v>
      </c>
      <c r="T134">
        <v>31245.64</v>
      </c>
      <c r="U134">
        <v>0</v>
      </c>
      <c r="V134">
        <v>0</v>
      </c>
      <c r="W134">
        <v>0</v>
      </c>
      <c r="X134">
        <v>0</v>
      </c>
      <c r="Y134">
        <v>31245.64</v>
      </c>
      <c r="Z134">
        <v>31245.64</v>
      </c>
      <c r="AA134">
        <v>0</v>
      </c>
      <c r="AB134">
        <v>0</v>
      </c>
      <c r="AC134">
        <v>0</v>
      </c>
      <c r="AD134" s="138"/>
      <c r="AE134">
        <v>0</v>
      </c>
      <c r="AF134" s="138">
        <f>+Purchase[[#This Row],[IGST Total]]+Purchase[[#This Row],[CGST Total]]+Purchase[[#This Row],[SGST Total]]</f>
        <v>62491.28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 s="138">
        <f>+Purchase[[#This Row],[IGST RCM Total]]+Purchase[[#This Row],[CGST RCM Total]]+Purchase[[#This Row],[SGST RCM Total]]</f>
        <v>0</v>
      </c>
      <c r="AP134" t="s">
        <v>175</v>
      </c>
    </row>
    <row r="135" spans="1:42" hidden="1" x14ac:dyDescent="0.25">
      <c r="A135" s="138" t="s">
        <v>38</v>
      </c>
      <c r="B135" t="s">
        <v>44</v>
      </c>
      <c r="C135" t="s">
        <v>223</v>
      </c>
      <c r="D135" s="150">
        <v>93</v>
      </c>
      <c r="E135" t="s">
        <v>201</v>
      </c>
      <c r="F135" t="s">
        <v>202</v>
      </c>
      <c r="G135" t="s">
        <v>472</v>
      </c>
      <c r="H135" s="150">
        <v>32874</v>
      </c>
      <c r="I135" s="139" t="s">
        <v>46</v>
      </c>
      <c r="J135">
        <v>17980.939999999999</v>
      </c>
      <c r="K135">
        <v>2742.86</v>
      </c>
      <c r="L135">
        <v>15238.08</v>
      </c>
      <c r="M135" t="s">
        <v>39</v>
      </c>
      <c r="N135" t="s">
        <v>473</v>
      </c>
      <c r="O135">
        <v>0</v>
      </c>
      <c r="P135">
        <v>0</v>
      </c>
      <c r="Q135">
        <v>0</v>
      </c>
      <c r="R135">
        <v>0</v>
      </c>
      <c r="S135">
        <v>1371.43</v>
      </c>
      <c r="T135">
        <v>1371.43</v>
      </c>
      <c r="U135">
        <v>0</v>
      </c>
      <c r="V135">
        <v>0</v>
      </c>
      <c r="W135">
        <v>0</v>
      </c>
      <c r="X135">
        <v>0</v>
      </c>
      <c r="Y135">
        <v>1371.43</v>
      </c>
      <c r="Z135">
        <v>1371.43</v>
      </c>
      <c r="AA135">
        <v>0</v>
      </c>
      <c r="AB135">
        <v>0</v>
      </c>
      <c r="AC135">
        <v>0</v>
      </c>
      <c r="AD135" s="138"/>
      <c r="AE135">
        <v>0</v>
      </c>
      <c r="AF135" s="138">
        <f>+Purchase[[#This Row],[IGST Total]]+Purchase[[#This Row],[CGST Total]]+Purchase[[#This Row],[SGST Total]]</f>
        <v>2742.86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 s="138">
        <f>+Purchase[[#This Row],[IGST RCM Total]]+Purchase[[#This Row],[CGST RCM Total]]+Purchase[[#This Row],[SGST RCM Total]]</f>
        <v>0</v>
      </c>
      <c r="AP135" t="s">
        <v>175</v>
      </c>
    </row>
    <row r="136" spans="1:42" hidden="1" x14ac:dyDescent="0.25">
      <c r="A136" s="138" t="s">
        <v>38</v>
      </c>
      <c r="B136" t="s">
        <v>44</v>
      </c>
      <c r="C136" t="s">
        <v>224</v>
      </c>
      <c r="D136" s="150">
        <v>93</v>
      </c>
      <c r="E136" t="s">
        <v>201</v>
      </c>
      <c r="F136" t="s">
        <v>202</v>
      </c>
      <c r="G136" t="s">
        <v>474</v>
      </c>
      <c r="H136" s="150">
        <v>32962</v>
      </c>
      <c r="I136" s="139" t="s">
        <v>46</v>
      </c>
      <c r="J136">
        <v>1208076.67</v>
      </c>
      <c r="K136">
        <v>184283</v>
      </c>
      <c r="L136">
        <v>1023793.673</v>
      </c>
      <c r="M136" t="s">
        <v>39</v>
      </c>
      <c r="N136" t="s">
        <v>249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184283</v>
      </c>
      <c r="AD136" s="138"/>
      <c r="AE136">
        <v>184283</v>
      </c>
      <c r="AF136" s="138">
        <f>+Purchase[[#This Row],[IGST Total]]+Purchase[[#This Row],[CGST Total]]+Purchase[[#This Row],[SGST Total]]</f>
        <v>184283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 s="138">
        <f>+Purchase[[#This Row],[IGST RCM Total]]+Purchase[[#This Row],[CGST RCM Total]]+Purchase[[#This Row],[SGST RCM Total]]</f>
        <v>0</v>
      </c>
      <c r="AP136" t="s">
        <v>176</v>
      </c>
    </row>
    <row r="137" spans="1:42" hidden="1" x14ac:dyDescent="0.25">
      <c r="A137" s="138" t="s">
        <v>38</v>
      </c>
      <c r="B137" t="s">
        <v>44</v>
      </c>
      <c r="C137" t="s">
        <v>225</v>
      </c>
      <c r="D137" s="150">
        <v>93</v>
      </c>
      <c r="E137" t="s">
        <v>201</v>
      </c>
      <c r="F137" t="s">
        <v>202</v>
      </c>
      <c r="G137" t="s">
        <v>475</v>
      </c>
      <c r="H137" s="150">
        <v>32963</v>
      </c>
      <c r="I137" s="139" t="s">
        <v>46</v>
      </c>
      <c r="J137">
        <v>1444367.28</v>
      </c>
      <c r="K137">
        <v>220327</v>
      </c>
      <c r="L137">
        <v>1224040.281</v>
      </c>
      <c r="M137" t="s">
        <v>39</v>
      </c>
      <c r="N137" t="s">
        <v>249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220327</v>
      </c>
      <c r="AD137" s="138"/>
      <c r="AE137">
        <v>220327</v>
      </c>
      <c r="AF137" s="138">
        <f>+Purchase[[#This Row],[IGST Total]]+Purchase[[#This Row],[CGST Total]]+Purchase[[#This Row],[SGST Total]]</f>
        <v>220327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 s="138">
        <f>+Purchase[[#This Row],[IGST RCM Total]]+Purchase[[#This Row],[CGST RCM Total]]+Purchase[[#This Row],[SGST RCM Total]]</f>
        <v>0</v>
      </c>
      <c r="AP137" t="s">
        <v>176</v>
      </c>
    </row>
    <row r="138" spans="1:42" hidden="1" x14ac:dyDescent="0.25">
      <c r="A138" s="138" t="s">
        <v>38</v>
      </c>
      <c r="B138" t="s">
        <v>44</v>
      </c>
      <c r="C138" t="s">
        <v>226</v>
      </c>
      <c r="D138" s="150">
        <v>93</v>
      </c>
      <c r="E138" t="s">
        <v>201</v>
      </c>
      <c r="F138" t="s">
        <v>202</v>
      </c>
      <c r="G138" t="s">
        <v>476</v>
      </c>
      <c r="H138" s="150">
        <v>32961</v>
      </c>
      <c r="I138" s="139" t="s">
        <v>46</v>
      </c>
      <c r="J138">
        <v>339371.18</v>
      </c>
      <c r="K138">
        <v>51768.480000000003</v>
      </c>
      <c r="L138">
        <v>287602.7</v>
      </c>
      <c r="M138" t="s">
        <v>39</v>
      </c>
      <c r="N138" t="s">
        <v>403</v>
      </c>
      <c r="O138">
        <v>0</v>
      </c>
      <c r="P138">
        <v>0</v>
      </c>
      <c r="Q138">
        <v>0</v>
      </c>
      <c r="R138">
        <v>0</v>
      </c>
      <c r="S138">
        <v>25884.240000000002</v>
      </c>
      <c r="T138">
        <v>25884.240000000002</v>
      </c>
      <c r="U138">
        <v>0</v>
      </c>
      <c r="V138">
        <v>0</v>
      </c>
      <c r="W138">
        <v>0</v>
      </c>
      <c r="X138">
        <v>0</v>
      </c>
      <c r="Y138">
        <v>25884.240000000002</v>
      </c>
      <c r="Z138">
        <v>25884.240000000002</v>
      </c>
      <c r="AA138">
        <v>0</v>
      </c>
      <c r="AB138">
        <v>0</v>
      </c>
      <c r="AC138">
        <v>0</v>
      </c>
      <c r="AD138" s="138"/>
      <c r="AE138">
        <v>0</v>
      </c>
      <c r="AF138" s="138">
        <f>+Purchase[[#This Row],[IGST Total]]+Purchase[[#This Row],[CGST Total]]+Purchase[[#This Row],[SGST Total]]</f>
        <v>51768.480000000003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 s="138">
        <f>+Purchase[[#This Row],[IGST RCM Total]]+Purchase[[#This Row],[CGST RCM Total]]+Purchase[[#This Row],[SGST RCM Total]]</f>
        <v>0</v>
      </c>
      <c r="AP138" t="s">
        <v>175</v>
      </c>
    </row>
    <row r="139" spans="1:42" hidden="1" x14ac:dyDescent="0.25">
      <c r="A139" s="138" t="s">
        <v>38</v>
      </c>
      <c r="B139" t="s">
        <v>44</v>
      </c>
      <c r="C139" t="s">
        <v>239</v>
      </c>
      <c r="D139" s="150">
        <v>93</v>
      </c>
      <c r="E139" t="s">
        <v>201</v>
      </c>
      <c r="F139" t="s">
        <v>202</v>
      </c>
      <c r="G139" t="s">
        <v>477</v>
      </c>
      <c r="H139" s="150">
        <v>32963</v>
      </c>
      <c r="I139" s="139" t="s">
        <v>46</v>
      </c>
      <c r="J139">
        <v>2080856.08</v>
      </c>
      <c r="K139">
        <v>317418</v>
      </c>
      <c r="L139">
        <v>1763438.08</v>
      </c>
      <c r="M139" t="s">
        <v>39</v>
      </c>
      <c r="N139" t="s">
        <v>334</v>
      </c>
      <c r="O139">
        <v>0</v>
      </c>
      <c r="P139">
        <v>0</v>
      </c>
      <c r="Q139">
        <v>0</v>
      </c>
      <c r="R139">
        <v>0</v>
      </c>
      <c r="S139">
        <v>158709</v>
      </c>
      <c r="T139">
        <v>158709</v>
      </c>
      <c r="U139">
        <v>0</v>
      </c>
      <c r="V139">
        <v>0</v>
      </c>
      <c r="W139">
        <v>0</v>
      </c>
      <c r="X139">
        <v>0</v>
      </c>
      <c r="Y139">
        <v>158709</v>
      </c>
      <c r="Z139">
        <v>158709</v>
      </c>
      <c r="AA139">
        <v>0</v>
      </c>
      <c r="AB139">
        <v>0</v>
      </c>
      <c r="AC139">
        <v>0</v>
      </c>
      <c r="AD139" s="138"/>
      <c r="AE139">
        <v>0</v>
      </c>
      <c r="AF139" s="138">
        <f>+Purchase[[#This Row],[IGST Total]]+Purchase[[#This Row],[CGST Total]]+Purchase[[#This Row],[SGST Total]]</f>
        <v>317418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 s="138">
        <f>+Purchase[[#This Row],[IGST RCM Total]]+Purchase[[#This Row],[CGST RCM Total]]+Purchase[[#This Row],[SGST RCM Total]]</f>
        <v>0</v>
      </c>
      <c r="AP139" t="s">
        <v>175</v>
      </c>
    </row>
    <row r="140" spans="1:42" hidden="1" x14ac:dyDescent="0.25">
      <c r="A140" s="138" t="s">
        <v>38</v>
      </c>
      <c r="B140" t="s">
        <v>44</v>
      </c>
      <c r="C140" t="s">
        <v>227</v>
      </c>
      <c r="D140" s="150">
        <v>93</v>
      </c>
      <c r="E140" t="s">
        <v>201</v>
      </c>
      <c r="F140" t="s">
        <v>202</v>
      </c>
      <c r="G140" t="s">
        <v>478</v>
      </c>
      <c r="H140" s="150">
        <v>32875</v>
      </c>
      <c r="I140" s="139" t="s">
        <v>46</v>
      </c>
      <c r="J140">
        <v>62446</v>
      </c>
      <c r="K140">
        <v>9526</v>
      </c>
      <c r="L140">
        <v>52920</v>
      </c>
      <c r="M140" t="s">
        <v>39</v>
      </c>
      <c r="N140" t="s">
        <v>270</v>
      </c>
      <c r="O140">
        <v>0</v>
      </c>
      <c r="P140">
        <v>0</v>
      </c>
      <c r="Q140">
        <v>0</v>
      </c>
      <c r="R140">
        <v>0</v>
      </c>
      <c r="S140">
        <v>4763</v>
      </c>
      <c r="T140">
        <v>4763</v>
      </c>
      <c r="U140">
        <v>0</v>
      </c>
      <c r="V140">
        <v>0</v>
      </c>
      <c r="W140">
        <v>0</v>
      </c>
      <c r="X140">
        <v>0</v>
      </c>
      <c r="Y140">
        <v>4763</v>
      </c>
      <c r="Z140">
        <v>4763</v>
      </c>
      <c r="AA140">
        <v>0</v>
      </c>
      <c r="AB140">
        <v>0</v>
      </c>
      <c r="AC140">
        <v>0</v>
      </c>
      <c r="AD140" s="138"/>
      <c r="AE140">
        <v>0</v>
      </c>
      <c r="AF140" s="138">
        <f>+Purchase[[#This Row],[IGST Total]]+Purchase[[#This Row],[CGST Total]]+Purchase[[#This Row],[SGST Total]]</f>
        <v>9526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 s="138">
        <f>+Purchase[[#This Row],[IGST RCM Total]]+Purchase[[#This Row],[CGST RCM Total]]+Purchase[[#This Row],[SGST RCM Total]]</f>
        <v>0</v>
      </c>
      <c r="AP140" t="s">
        <v>175</v>
      </c>
    </row>
    <row r="141" spans="1:42" hidden="1" x14ac:dyDescent="0.25">
      <c r="A141" s="138" t="s">
        <v>38</v>
      </c>
      <c r="B141" t="s">
        <v>44</v>
      </c>
      <c r="C141" t="s">
        <v>228</v>
      </c>
      <c r="D141" s="150">
        <v>93</v>
      </c>
      <c r="E141" t="s">
        <v>201</v>
      </c>
      <c r="F141" t="s">
        <v>202</v>
      </c>
      <c r="G141" t="s">
        <v>479</v>
      </c>
      <c r="H141" s="150">
        <v>32875</v>
      </c>
      <c r="I141" s="139" t="s">
        <v>46</v>
      </c>
      <c r="J141">
        <v>223763.4</v>
      </c>
      <c r="K141">
        <v>34133.4</v>
      </c>
      <c r="L141">
        <v>189630</v>
      </c>
      <c r="M141" t="s">
        <v>39</v>
      </c>
      <c r="N141" t="s">
        <v>403</v>
      </c>
      <c r="O141">
        <v>0</v>
      </c>
      <c r="P141">
        <v>0</v>
      </c>
      <c r="Q141">
        <v>0</v>
      </c>
      <c r="R141">
        <v>0</v>
      </c>
      <c r="S141">
        <v>17066.7</v>
      </c>
      <c r="T141">
        <v>17066.7</v>
      </c>
      <c r="U141">
        <v>0</v>
      </c>
      <c r="V141">
        <v>0</v>
      </c>
      <c r="W141">
        <v>0</v>
      </c>
      <c r="X141">
        <v>0</v>
      </c>
      <c r="Y141">
        <v>17066.7</v>
      </c>
      <c r="Z141">
        <v>17066.7</v>
      </c>
      <c r="AA141">
        <v>0</v>
      </c>
      <c r="AB141">
        <v>0</v>
      </c>
      <c r="AC141">
        <v>0</v>
      </c>
      <c r="AD141" s="138"/>
      <c r="AE141">
        <v>0</v>
      </c>
      <c r="AF141" s="138">
        <f>+Purchase[[#This Row],[IGST Total]]+Purchase[[#This Row],[CGST Total]]+Purchase[[#This Row],[SGST Total]]</f>
        <v>34133.4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 s="138">
        <f>+Purchase[[#This Row],[IGST RCM Total]]+Purchase[[#This Row],[CGST RCM Total]]+Purchase[[#This Row],[SGST RCM Total]]</f>
        <v>0</v>
      </c>
      <c r="AP141" t="s">
        <v>175</v>
      </c>
    </row>
    <row r="142" spans="1:42" hidden="1" x14ac:dyDescent="0.25">
      <c r="A142" s="138" t="s">
        <v>38</v>
      </c>
      <c r="B142" t="s">
        <v>44</v>
      </c>
      <c r="C142" t="s">
        <v>229</v>
      </c>
      <c r="D142" s="150">
        <v>93</v>
      </c>
      <c r="E142" t="s">
        <v>201</v>
      </c>
      <c r="F142" t="s">
        <v>202</v>
      </c>
      <c r="G142" t="s">
        <v>480</v>
      </c>
      <c r="H142" s="150">
        <v>32875</v>
      </c>
      <c r="I142" s="139" t="s">
        <v>46</v>
      </c>
      <c r="J142">
        <v>1476</v>
      </c>
      <c r="K142">
        <v>226</v>
      </c>
      <c r="L142">
        <v>1250</v>
      </c>
      <c r="M142" t="s">
        <v>39</v>
      </c>
      <c r="N142" t="s">
        <v>481</v>
      </c>
      <c r="O142">
        <v>0</v>
      </c>
      <c r="P142">
        <v>0</v>
      </c>
      <c r="Q142">
        <v>0</v>
      </c>
      <c r="R142">
        <v>0</v>
      </c>
      <c r="S142">
        <v>113</v>
      </c>
      <c r="T142">
        <v>113</v>
      </c>
      <c r="U142">
        <v>0</v>
      </c>
      <c r="V142">
        <v>0</v>
      </c>
      <c r="W142">
        <v>0</v>
      </c>
      <c r="X142">
        <v>0</v>
      </c>
      <c r="Y142">
        <v>113</v>
      </c>
      <c r="Z142">
        <v>113</v>
      </c>
      <c r="AA142">
        <v>0</v>
      </c>
      <c r="AB142">
        <v>0</v>
      </c>
      <c r="AC142">
        <v>0</v>
      </c>
      <c r="AD142" s="138"/>
      <c r="AE142">
        <v>0</v>
      </c>
      <c r="AF142" s="138">
        <f>+Purchase[[#This Row],[IGST Total]]+Purchase[[#This Row],[CGST Total]]+Purchase[[#This Row],[SGST Total]]</f>
        <v>226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 s="138">
        <f>+Purchase[[#This Row],[IGST RCM Total]]+Purchase[[#This Row],[CGST RCM Total]]+Purchase[[#This Row],[SGST RCM Total]]</f>
        <v>0</v>
      </c>
      <c r="AP142" t="s">
        <v>175</v>
      </c>
    </row>
    <row r="143" spans="1:42" hidden="1" x14ac:dyDescent="0.25">
      <c r="A143" s="138" t="s">
        <v>38</v>
      </c>
      <c r="B143" t="s">
        <v>44</v>
      </c>
      <c r="C143" t="s">
        <v>230</v>
      </c>
      <c r="D143" s="150">
        <v>94</v>
      </c>
      <c r="E143" t="s">
        <v>201</v>
      </c>
      <c r="F143" t="s">
        <v>202</v>
      </c>
      <c r="G143" t="s">
        <v>482</v>
      </c>
      <c r="H143" s="150">
        <v>32963</v>
      </c>
      <c r="I143" s="139" t="s">
        <v>46</v>
      </c>
      <c r="J143">
        <v>1056525.1200000001</v>
      </c>
      <c r="K143">
        <v>161164</v>
      </c>
      <c r="L143">
        <v>895361.12</v>
      </c>
      <c r="M143" t="s">
        <v>39</v>
      </c>
      <c r="N143" t="s">
        <v>334</v>
      </c>
      <c r="O143">
        <v>0</v>
      </c>
      <c r="P143">
        <v>0</v>
      </c>
      <c r="Q143">
        <v>0</v>
      </c>
      <c r="R143">
        <v>0</v>
      </c>
      <c r="S143">
        <v>80582</v>
      </c>
      <c r="T143">
        <v>80582</v>
      </c>
      <c r="U143">
        <v>0</v>
      </c>
      <c r="V143">
        <v>0</v>
      </c>
      <c r="W143">
        <v>0</v>
      </c>
      <c r="X143">
        <v>0</v>
      </c>
      <c r="Y143">
        <v>80582</v>
      </c>
      <c r="Z143">
        <v>80582</v>
      </c>
      <c r="AA143">
        <v>0</v>
      </c>
      <c r="AB143">
        <v>0</v>
      </c>
      <c r="AC143">
        <v>0</v>
      </c>
      <c r="AD143" s="138"/>
      <c r="AE143">
        <v>0</v>
      </c>
      <c r="AF143" s="138">
        <f>+Purchase[[#This Row],[IGST Total]]+Purchase[[#This Row],[CGST Total]]+Purchase[[#This Row],[SGST Total]]</f>
        <v>161164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 s="138">
        <f>+Purchase[[#This Row],[IGST RCM Total]]+Purchase[[#This Row],[CGST RCM Total]]+Purchase[[#This Row],[SGST RCM Total]]</f>
        <v>0</v>
      </c>
      <c r="AP143" t="s">
        <v>175</v>
      </c>
    </row>
    <row r="144" spans="1:42" hidden="1" x14ac:dyDescent="0.25">
      <c r="A144" s="138" t="s">
        <v>38</v>
      </c>
      <c r="B144" t="s">
        <v>44</v>
      </c>
      <c r="C144" t="s">
        <v>231</v>
      </c>
      <c r="D144" s="150">
        <v>107</v>
      </c>
      <c r="E144" t="s">
        <v>201</v>
      </c>
      <c r="F144" t="s">
        <v>202</v>
      </c>
      <c r="G144" t="s">
        <v>483</v>
      </c>
      <c r="H144" s="150">
        <v>32963</v>
      </c>
      <c r="I144" s="139" t="s">
        <v>46</v>
      </c>
      <c r="J144">
        <v>255729.6</v>
      </c>
      <c r="K144">
        <v>39009.599999999999</v>
      </c>
      <c r="L144">
        <v>216720</v>
      </c>
      <c r="M144" t="s">
        <v>39</v>
      </c>
      <c r="N144" t="s">
        <v>403</v>
      </c>
      <c r="O144">
        <v>0</v>
      </c>
      <c r="P144">
        <v>0</v>
      </c>
      <c r="Q144">
        <v>0</v>
      </c>
      <c r="R144">
        <v>0</v>
      </c>
      <c r="S144">
        <v>19504.8</v>
      </c>
      <c r="T144">
        <v>19504.8</v>
      </c>
      <c r="U144">
        <v>0</v>
      </c>
      <c r="V144">
        <v>0</v>
      </c>
      <c r="W144">
        <v>0</v>
      </c>
      <c r="X144">
        <v>0</v>
      </c>
      <c r="Y144">
        <v>19504.8</v>
      </c>
      <c r="Z144">
        <v>19504.8</v>
      </c>
      <c r="AA144">
        <v>0</v>
      </c>
      <c r="AB144">
        <v>0</v>
      </c>
      <c r="AC144">
        <v>0</v>
      </c>
      <c r="AD144" s="138"/>
      <c r="AE144">
        <v>0</v>
      </c>
      <c r="AF144" s="138">
        <f>+Purchase[[#This Row],[IGST Total]]+Purchase[[#This Row],[CGST Total]]+Purchase[[#This Row],[SGST Total]]</f>
        <v>39009.599999999999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 s="138">
        <f>+Purchase[[#This Row],[IGST RCM Total]]+Purchase[[#This Row],[CGST RCM Total]]+Purchase[[#This Row],[SGST RCM Total]]</f>
        <v>0</v>
      </c>
      <c r="AP144" t="s">
        <v>175</v>
      </c>
    </row>
    <row r="145" spans="1:42" x14ac:dyDescent="0.25">
      <c r="A145" s="138" t="s">
        <v>38</v>
      </c>
      <c r="B145" t="s">
        <v>44</v>
      </c>
      <c r="C145" t="s">
        <v>232</v>
      </c>
      <c r="D145" s="150">
        <v>107</v>
      </c>
      <c r="E145" t="s">
        <v>201</v>
      </c>
      <c r="F145" t="s">
        <v>202</v>
      </c>
      <c r="G145" t="s">
        <v>267</v>
      </c>
      <c r="H145" s="150">
        <v>32874</v>
      </c>
      <c r="I145" t="s">
        <v>46</v>
      </c>
      <c r="J145">
        <v>368000</v>
      </c>
      <c r="K145">
        <v>0</v>
      </c>
      <c r="L145">
        <v>368000</v>
      </c>
      <c r="M145" t="s">
        <v>39</v>
      </c>
      <c r="N145" t="s">
        <v>37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 s="138"/>
      <c r="AE145">
        <v>0</v>
      </c>
      <c r="AF145" s="138">
        <f>+Purchase[[#This Row],[IGST Total]]+Purchase[[#This Row],[CGST Total]]+Purchase[[#This Row],[SGST Total]]</f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 s="138">
        <f>+Purchase[[#This Row],[IGST RCM Total]]+Purchase[[#This Row],[CGST RCM Total]]+Purchase[[#This Row],[SGST RCM Total]]</f>
        <v>0</v>
      </c>
      <c r="AP145" t="s">
        <v>175</v>
      </c>
    </row>
    <row r="146" spans="1:42" hidden="1" x14ac:dyDescent="0.25">
      <c r="A146" s="138" t="s">
        <v>38</v>
      </c>
      <c r="B146" t="s">
        <v>44</v>
      </c>
      <c r="C146" t="s">
        <v>233</v>
      </c>
      <c r="D146" s="150">
        <v>107</v>
      </c>
      <c r="E146" t="s">
        <v>201</v>
      </c>
      <c r="F146" t="s">
        <v>202</v>
      </c>
      <c r="G146" t="s">
        <v>484</v>
      </c>
      <c r="H146" s="150">
        <v>32956</v>
      </c>
      <c r="I146" s="139" t="s">
        <v>46</v>
      </c>
      <c r="J146">
        <v>708000</v>
      </c>
      <c r="K146">
        <v>108000</v>
      </c>
      <c r="L146">
        <v>600000</v>
      </c>
      <c r="M146" t="s">
        <v>39</v>
      </c>
      <c r="N146" t="s">
        <v>485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108000</v>
      </c>
      <c r="AD146" s="138"/>
      <c r="AE146">
        <v>108000</v>
      </c>
      <c r="AF146" s="138">
        <f>+Purchase[[#This Row],[IGST Total]]+Purchase[[#This Row],[CGST Total]]+Purchase[[#This Row],[SGST Total]]</f>
        <v>108000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 s="138">
        <f>+Purchase[[#This Row],[IGST RCM Total]]+Purchase[[#This Row],[CGST RCM Total]]+Purchase[[#This Row],[SGST RCM Total]]</f>
        <v>0</v>
      </c>
      <c r="AP146" t="s">
        <v>176</v>
      </c>
    </row>
    <row r="147" spans="1:42" hidden="1" x14ac:dyDescent="0.25">
      <c r="A147" s="138" t="s">
        <v>38</v>
      </c>
      <c r="B147" t="s">
        <v>44</v>
      </c>
      <c r="C147" t="s">
        <v>234</v>
      </c>
      <c r="D147" s="150">
        <v>107</v>
      </c>
      <c r="E147" t="s">
        <v>201</v>
      </c>
      <c r="F147" t="s">
        <v>202</v>
      </c>
      <c r="G147" t="s">
        <v>486</v>
      </c>
      <c r="H147" s="150">
        <v>32956</v>
      </c>
      <c r="I147" s="139" t="s">
        <v>46</v>
      </c>
      <c r="J147">
        <v>575604</v>
      </c>
      <c r="K147">
        <v>87804</v>
      </c>
      <c r="L147">
        <v>487800</v>
      </c>
      <c r="M147" t="s">
        <v>39</v>
      </c>
      <c r="N147" t="s">
        <v>487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87804</v>
      </c>
      <c r="AD147" s="138"/>
      <c r="AE147">
        <v>87804</v>
      </c>
      <c r="AF147" s="138">
        <f>+Purchase[[#This Row],[IGST Total]]+Purchase[[#This Row],[CGST Total]]+Purchase[[#This Row],[SGST Total]]</f>
        <v>87804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 s="138">
        <f>+Purchase[[#This Row],[IGST RCM Total]]+Purchase[[#This Row],[CGST RCM Total]]+Purchase[[#This Row],[SGST RCM Total]]</f>
        <v>0</v>
      </c>
      <c r="AP147" t="s">
        <v>176</v>
      </c>
    </row>
    <row r="148" spans="1:42" hidden="1" x14ac:dyDescent="0.25">
      <c r="A148" s="138" t="s">
        <v>38</v>
      </c>
      <c r="B148" t="s">
        <v>44</v>
      </c>
      <c r="C148" t="s">
        <v>240</v>
      </c>
      <c r="D148" s="150">
        <v>107</v>
      </c>
      <c r="E148" t="s">
        <v>201</v>
      </c>
      <c r="F148" t="s">
        <v>202</v>
      </c>
      <c r="G148" t="s">
        <v>488</v>
      </c>
      <c r="H148" s="150">
        <v>32958</v>
      </c>
      <c r="I148" s="139" t="s">
        <v>46</v>
      </c>
      <c r="J148">
        <v>4358528.24</v>
      </c>
      <c r="K148">
        <v>664860.24</v>
      </c>
      <c r="L148">
        <v>3693668</v>
      </c>
      <c r="M148" t="s">
        <v>39</v>
      </c>
      <c r="N148" t="s">
        <v>489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664860.24</v>
      </c>
      <c r="AD148" s="138"/>
      <c r="AE148">
        <v>664860.24</v>
      </c>
      <c r="AF148" s="138">
        <f>+Purchase[[#This Row],[IGST Total]]+Purchase[[#This Row],[CGST Total]]+Purchase[[#This Row],[SGST Total]]</f>
        <v>664860.24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 s="138">
        <f>+Purchase[[#This Row],[IGST RCM Total]]+Purchase[[#This Row],[CGST RCM Total]]+Purchase[[#This Row],[SGST RCM Total]]</f>
        <v>0</v>
      </c>
      <c r="AP148" t="s">
        <v>176</v>
      </c>
    </row>
    <row r="149" spans="1:42" hidden="1" x14ac:dyDescent="0.25">
      <c r="A149" s="138" t="s">
        <v>38</v>
      </c>
      <c r="B149" t="s">
        <v>44</v>
      </c>
      <c r="C149" t="s">
        <v>235</v>
      </c>
      <c r="D149" s="150">
        <v>107</v>
      </c>
      <c r="E149" t="s">
        <v>201</v>
      </c>
      <c r="F149" t="s">
        <v>202</v>
      </c>
      <c r="G149" t="s">
        <v>490</v>
      </c>
      <c r="H149" s="150">
        <v>32956</v>
      </c>
      <c r="I149" s="139" t="s">
        <v>46</v>
      </c>
      <c r="J149">
        <v>44250</v>
      </c>
      <c r="K149">
        <v>6750</v>
      </c>
      <c r="L149">
        <v>37500</v>
      </c>
      <c r="M149" t="s">
        <v>39</v>
      </c>
      <c r="N149" t="s">
        <v>492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6750</v>
      </c>
      <c r="AD149" s="138"/>
      <c r="AE149">
        <v>6750</v>
      </c>
      <c r="AF149" s="138">
        <f>+Purchase[[#This Row],[IGST Total]]+Purchase[[#This Row],[CGST Total]]+Purchase[[#This Row],[SGST Total]]</f>
        <v>6750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 s="138">
        <f>+Purchase[[#This Row],[IGST RCM Total]]+Purchase[[#This Row],[CGST RCM Total]]+Purchase[[#This Row],[SGST RCM Total]]</f>
        <v>0</v>
      </c>
      <c r="AP149" t="s">
        <v>176</v>
      </c>
    </row>
    <row r="150" spans="1:42" hidden="1" x14ac:dyDescent="0.25">
      <c r="A150" s="138" t="s">
        <v>38</v>
      </c>
      <c r="B150" t="s">
        <v>44</v>
      </c>
      <c r="C150" t="s">
        <v>236</v>
      </c>
      <c r="D150" s="150">
        <v>107</v>
      </c>
      <c r="E150" t="s">
        <v>201</v>
      </c>
      <c r="F150" t="s">
        <v>202</v>
      </c>
      <c r="G150" t="s">
        <v>493</v>
      </c>
      <c r="H150" s="150">
        <v>32953</v>
      </c>
      <c r="I150" s="139" t="s">
        <v>46</v>
      </c>
      <c r="J150">
        <v>1040760</v>
      </c>
      <c r="K150">
        <v>158760</v>
      </c>
      <c r="L150">
        <v>882000</v>
      </c>
      <c r="M150" t="s">
        <v>39</v>
      </c>
      <c r="N150" t="s">
        <v>487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158760</v>
      </c>
      <c r="AD150" s="138"/>
      <c r="AE150">
        <v>158760</v>
      </c>
      <c r="AF150" s="138">
        <f>+Purchase[[#This Row],[IGST Total]]+Purchase[[#This Row],[CGST Total]]+Purchase[[#This Row],[SGST Total]]</f>
        <v>158760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 s="138">
        <f>+Purchase[[#This Row],[IGST RCM Total]]+Purchase[[#This Row],[CGST RCM Total]]+Purchase[[#This Row],[SGST RCM Total]]</f>
        <v>0</v>
      </c>
      <c r="AP150" t="s">
        <v>176</v>
      </c>
    </row>
    <row r="151" spans="1:42" hidden="1" x14ac:dyDescent="0.25">
      <c r="A151" s="138" t="s">
        <v>38</v>
      </c>
      <c r="B151" t="s">
        <v>44</v>
      </c>
      <c r="C151" t="s">
        <v>287</v>
      </c>
      <c r="D151" s="150">
        <v>107</v>
      </c>
      <c r="E151" t="s">
        <v>201</v>
      </c>
      <c r="F151" t="s">
        <v>202</v>
      </c>
      <c r="G151" t="s">
        <v>494</v>
      </c>
      <c r="H151" s="150">
        <v>32962</v>
      </c>
      <c r="I151" s="139" t="s">
        <v>46</v>
      </c>
      <c r="J151">
        <v>1275249.6000000001</v>
      </c>
      <c r="K151">
        <v>194529.6</v>
      </c>
      <c r="L151">
        <v>1080720</v>
      </c>
      <c r="M151" t="s">
        <v>39</v>
      </c>
      <c r="N151" t="s">
        <v>489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194529.6</v>
      </c>
      <c r="AD151" s="138"/>
      <c r="AE151">
        <v>194529.6</v>
      </c>
      <c r="AF151" s="138">
        <f>+Purchase[[#This Row],[IGST Total]]+Purchase[[#This Row],[CGST Total]]+Purchase[[#This Row],[SGST Total]]</f>
        <v>194529.6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 s="138">
        <f>+Purchase[[#This Row],[IGST RCM Total]]+Purchase[[#This Row],[CGST RCM Total]]+Purchase[[#This Row],[SGST RCM Total]]</f>
        <v>0</v>
      </c>
      <c r="AP151" t="s">
        <v>176</v>
      </c>
    </row>
    <row r="152" spans="1:42" hidden="1" x14ac:dyDescent="0.25">
      <c r="A152" s="138" t="s">
        <v>38</v>
      </c>
      <c r="B152" t="s">
        <v>44</v>
      </c>
      <c r="C152" t="s">
        <v>237</v>
      </c>
      <c r="D152" s="150">
        <v>107</v>
      </c>
      <c r="E152" t="s">
        <v>201</v>
      </c>
      <c r="F152" t="s">
        <v>202</v>
      </c>
      <c r="G152" t="s">
        <v>495</v>
      </c>
      <c r="H152" s="150">
        <v>32956</v>
      </c>
      <c r="I152" s="139" t="s">
        <v>46</v>
      </c>
      <c r="J152">
        <v>970540.56</v>
      </c>
      <c r="K152">
        <v>148048.56</v>
      </c>
      <c r="L152">
        <v>822492</v>
      </c>
      <c r="M152" t="s">
        <v>39</v>
      </c>
      <c r="N152" t="s">
        <v>496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148048.56</v>
      </c>
      <c r="AD152" s="138"/>
      <c r="AE152">
        <v>148048.56</v>
      </c>
      <c r="AF152" s="138">
        <f>+Purchase[[#This Row],[IGST Total]]+Purchase[[#This Row],[CGST Total]]+Purchase[[#This Row],[SGST Total]]</f>
        <v>148048.56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 s="138">
        <f>+Purchase[[#This Row],[IGST RCM Total]]+Purchase[[#This Row],[CGST RCM Total]]+Purchase[[#This Row],[SGST RCM Total]]</f>
        <v>0</v>
      </c>
      <c r="AP152" t="s">
        <v>176</v>
      </c>
    </row>
    <row r="153" spans="1:42" hidden="1" x14ac:dyDescent="0.25">
      <c r="A153" s="138" t="s">
        <v>38</v>
      </c>
      <c r="B153" t="s">
        <v>44</v>
      </c>
      <c r="C153" t="s">
        <v>291</v>
      </c>
      <c r="D153" s="150">
        <v>107</v>
      </c>
      <c r="E153" t="s">
        <v>201</v>
      </c>
      <c r="F153" t="s">
        <v>202</v>
      </c>
      <c r="G153" t="s">
        <v>497</v>
      </c>
      <c r="H153" s="150">
        <v>32963</v>
      </c>
      <c r="I153" s="139" t="s">
        <v>46</v>
      </c>
      <c r="J153">
        <v>1342368</v>
      </c>
      <c r="K153">
        <v>204768</v>
      </c>
      <c r="L153">
        <v>1137600</v>
      </c>
      <c r="M153" t="s">
        <v>39</v>
      </c>
      <c r="N153" t="s">
        <v>489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204768</v>
      </c>
      <c r="AD153" s="138"/>
      <c r="AE153">
        <v>204768</v>
      </c>
      <c r="AF153" s="138">
        <f>+Purchase[[#This Row],[IGST Total]]+Purchase[[#This Row],[CGST Total]]+Purchase[[#This Row],[SGST Total]]</f>
        <v>204768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 s="138">
        <f>+Purchase[[#This Row],[IGST RCM Total]]+Purchase[[#This Row],[CGST RCM Total]]+Purchase[[#This Row],[SGST RCM Total]]</f>
        <v>0</v>
      </c>
      <c r="AP153" t="s">
        <v>176</v>
      </c>
    </row>
    <row r="154" spans="1:42" hidden="1" x14ac:dyDescent="0.25">
      <c r="A154" s="138" t="s">
        <v>38</v>
      </c>
      <c r="B154" t="s">
        <v>44</v>
      </c>
      <c r="C154" t="s">
        <v>241</v>
      </c>
      <c r="D154" s="150">
        <v>107</v>
      </c>
      <c r="E154" t="s">
        <v>201</v>
      </c>
      <c r="F154" t="s">
        <v>202</v>
      </c>
      <c r="G154" t="s">
        <v>410</v>
      </c>
      <c r="H154" s="150">
        <v>32874</v>
      </c>
      <c r="I154" s="139" t="s">
        <v>46</v>
      </c>
      <c r="J154">
        <v>34998.230000000003</v>
      </c>
      <c r="K154">
        <v>5338.72</v>
      </c>
      <c r="L154">
        <v>29659.51</v>
      </c>
      <c r="M154" t="s">
        <v>39</v>
      </c>
      <c r="N154" t="s">
        <v>473</v>
      </c>
      <c r="O154">
        <v>0</v>
      </c>
      <c r="P154">
        <v>0</v>
      </c>
      <c r="Q154">
        <v>0</v>
      </c>
      <c r="R154">
        <v>0</v>
      </c>
      <c r="S154">
        <v>2669.36</v>
      </c>
      <c r="T154">
        <v>2669.36</v>
      </c>
      <c r="U154">
        <v>0</v>
      </c>
      <c r="V154">
        <v>0</v>
      </c>
      <c r="W154">
        <v>0</v>
      </c>
      <c r="X154">
        <v>0</v>
      </c>
      <c r="Y154">
        <v>2669.36</v>
      </c>
      <c r="Z154">
        <v>2669.36</v>
      </c>
      <c r="AA154">
        <v>0</v>
      </c>
      <c r="AB154">
        <v>0</v>
      </c>
      <c r="AC154">
        <v>0</v>
      </c>
      <c r="AD154" s="138"/>
      <c r="AE154">
        <v>0</v>
      </c>
      <c r="AF154" s="138">
        <f>+Purchase[[#This Row],[IGST Total]]+Purchase[[#This Row],[CGST Total]]+Purchase[[#This Row],[SGST Total]]</f>
        <v>5338.72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 s="138">
        <f>+Purchase[[#This Row],[IGST RCM Total]]+Purchase[[#This Row],[CGST RCM Total]]+Purchase[[#This Row],[SGST RCM Total]]</f>
        <v>0</v>
      </c>
      <c r="AP154" t="s">
        <v>175</v>
      </c>
    </row>
    <row r="155" spans="1:42" hidden="1" x14ac:dyDescent="0.25">
      <c r="A155" s="138" t="s">
        <v>38</v>
      </c>
      <c r="B155" t="s">
        <v>44</v>
      </c>
      <c r="C155" t="s">
        <v>294</v>
      </c>
      <c r="D155" s="150">
        <v>109</v>
      </c>
      <c r="E155" t="s">
        <v>201</v>
      </c>
      <c r="F155" t="s">
        <v>202</v>
      </c>
      <c r="G155" t="s">
        <v>442</v>
      </c>
      <c r="H155" s="150">
        <v>32874</v>
      </c>
      <c r="I155" s="139" t="s">
        <v>46</v>
      </c>
      <c r="J155">
        <v>35837.33</v>
      </c>
      <c r="K155">
        <v>5466.72</v>
      </c>
      <c r="L155">
        <v>30370.61</v>
      </c>
      <c r="M155" t="s">
        <v>39</v>
      </c>
      <c r="N155" t="s">
        <v>473</v>
      </c>
      <c r="O155">
        <v>0</v>
      </c>
      <c r="P155">
        <v>0</v>
      </c>
      <c r="Q155">
        <v>0</v>
      </c>
      <c r="R155">
        <v>0</v>
      </c>
      <c r="S155">
        <v>2733.36</v>
      </c>
      <c r="T155">
        <v>2733.36</v>
      </c>
      <c r="U155">
        <v>0</v>
      </c>
      <c r="V155">
        <v>0</v>
      </c>
      <c r="W155">
        <v>0</v>
      </c>
      <c r="X155">
        <v>0</v>
      </c>
      <c r="Y155">
        <v>2733.36</v>
      </c>
      <c r="Z155">
        <v>2733.36</v>
      </c>
      <c r="AA155">
        <v>0</v>
      </c>
      <c r="AB155">
        <v>0</v>
      </c>
      <c r="AC155">
        <v>0</v>
      </c>
      <c r="AD155" s="138"/>
      <c r="AE155">
        <v>0</v>
      </c>
      <c r="AF155" s="138">
        <f>+Purchase[[#This Row],[IGST Total]]+Purchase[[#This Row],[CGST Total]]+Purchase[[#This Row],[SGST Total]]</f>
        <v>5466.72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 s="138">
        <f>+Purchase[[#This Row],[IGST RCM Total]]+Purchase[[#This Row],[CGST RCM Total]]+Purchase[[#This Row],[SGST RCM Total]]</f>
        <v>0</v>
      </c>
      <c r="AP155" t="s">
        <v>175</v>
      </c>
    </row>
    <row r="156" spans="1:42" hidden="1" x14ac:dyDescent="0.25">
      <c r="A156" s="138" t="s">
        <v>38</v>
      </c>
      <c r="B156" t="s">
        <v>44</v>
      </c>
      <c r="C156" t="s">
        <v>297</v>
      </c>
      <c r="D156" s="150">
        <v>109</v>
      </c>
      <c r="E156" t="s">
        <v>201</v>
      </c>
      <c r="F156" t="s">
        <v>202</v>
      </c>
      <c r="G156" t="s">
        <v>498</v>
      </c>
      <c r="H156" s="150">
        <v>32878</v>
      </c>
      <c r="I156" s="139" t="s">
        <v>46</v>
      </c>
      <c r="J156">
        <v>25933.759999999998</v>
      </c>
      <c r="K156">
        <v>3956</v>
      </c>
      <c r="L156">
        <v>21977.759999999998</v>
      </c>
      <c r="M156" t="s">
        <v>39</v>
      </c>
      <c r="N156" t="s">
        <v>473</v>
      </c>
      <c r="O156">
        <v>0</v>
      </c>
      <c r="P156">
        <v>0</v>
      </c>
      <c r="Q156">
        <v>0</v>
      </c>
      <c r="R156">
        <v>0</v>
      </c>
      <c r="S156">
        <v>1978</v>
      </c>
      <c r="T156">
        <v>1978</v>
      </c>
      <c r="U156">
        <v>0</v>
      </c>
      <c r="V156">
        <v>0</v>
      </c>
      <c r="W156">
        <v>0</v>
      </c>
      <c r="X156">
        <v>0</v>
      </c>
      <c r="Y156">
        <v>1978</v>
      </c>
      <c r="Z156">
        <v>1978</v>
      </c>
      <c r="AA156">
        <v>0</v>
      </c>
      <c r="AB156">
        <v>0</v>
      </c>
      <c r="AC156">
        <v>0</v>
      </c>
      <c r="AD156" s="138"/>
      <c r="AE156">
        <v>0</v>
      </c>
      <c r="AF156" s="138">
        <f>+Purchase[[#This Row],[IGST Total]]+Purchase[[#This Row],[CGST Total]]+Purchase[[#This Row],[SGST Total]]</f>
        <v>3956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 s="138">
        <f>+Purchase[[#This Row],[IGST RCM Total]]+Purchase[[#This Row],[CGST RCM Total]]+Purchase[[#This Row],[SGST RCM Total]]</f>
        <v>0</v>
      </c>
      <c r="AP156" t="s">
        <v>175</v>
      </c>
    </row>
    <row r="157" spans="1:42" hidden="1" x14ac:dyDescent="0.25">
      <c r="A157" s="138" t="s">
        <v>38</v>
      </c>
      <c r="B157" t="s">
        <v>44</v>
      </c>
      <c r="C157" t="s">
        <v>299</v>
      </c>
      <c r="D157" s="150">
        <v>109</v>
      </c>
      <c r="E157" t="s">
        <v>201</v>
      </c>
      <c r="F157" t="s">
        <v>202</v>
      </c>
      <c r="G157" t="s">
        <v>499</v>
      </c>
      <c r="H157" s="150">
        <v>32878</v>
      </c>
      <c r="I157" s="139" t="s">
        <v>46</v>
      </c>
      <c r="J157">
        <v>338618.7</v>
      </c>
      <c r="K157">
        <v>51653.7</v>
      </c>
      <c r="L157">
        <v>286965</v>
      </c>
      <c r="M157" t="s">
        <v>39</v>
      </c>
      <c r="N157" t="s">
        <v>403</v>
      </c>
      <c r="O157">
        <v>0</v>
      </c>
      <c r="P157">
        <v>0</v>
      </c>
      <c r="Q157">
        <v>0</v>
      </c>
      <c r="R157">
        <v>0</v>
      </c>
      <c r="S157">
        <v>25826.85</v>
      </c>
      <c r="T157">
        <v>25826.85</v>
      </c>
      <c r="U157">
        <v>0</v>
      </c>
      <c r="V157">
        <v>0</v>
      </c>
      <c r="W157">
        <v>0</v>
      </c>
      <c r="X157">
        <v>0</v>
      </c>
      <c r="Y157">
        <v>25826.85</v>
      </c>
      <c r="Z157">
        <v>25826.85</v>
      </c>
      <c r="AA157">
        <v>0</v>
      </c>
      <c r="AB157">
        <v>0</v>
      </c>
      <c r="AC157">
        <v>0</v>
      </c>
      <c r="AD157" s="138"/>
      <c r="AE157">
        <v>0</v>
      </c>
      <c r="AF157" s="138">
        <f>+Purchase[[#This Row],[IGST Total]]+Purchase[[#This Row],[CGST Total]]+Purchase[[#This Row],[SGST Total]]</f>
        <v>51653.7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 s="138">
        <f>+Purchase[[#This Row],[IGST RCM Total]]+Purchase[[#This Row],[CGST RCM Total]]+Purchase[[#This Row],[SGST RCM Total]]</f>
        <v>0</v>
      </c>
      <c r="AP157" t="s">
        <v>175</v>
      </c>
    </row>
    <row r="158" spans="1:42" hidden="1" x14ac:dyDescent="0.25">
      <c r="A158" s="138" t="s">
        <v>38</v>
      </c>
      <c r="B158" t="s">
        <v>44</v>
      </c>
      <c r="C158" t="s">
        <v>301</v>
      </c>
      <c r="D158" s="150">
        <v>109</v>
      </c>
      <c r="E158" t="s">
        <v>201</v>
      </c>
      <c r="F158" t="s">
        <v>202</v>
      </c>
      <c r="G158" t="s">
        <v>500</v>
      </c>
      <c r="H158" s="150">
        <v>32878</v>
      </c>
      <c r="I158" s="139" t="s">
        <v>46</v>
      </c>
      <c r="J158">
        <v>1327</v>
      </c>
      <c r="K158">
        <v>202</v>
      </c>
      <c r="L158">
        <v>1125</v>
      </c>
      <c r="M158" t="s">
        <v>39</v>
      </c>
      <c r="N158" t="s">
        <v>481</v>
      </c>
      <c r="O158">
        <v>0</v>
      </c>
      <c r="P158">
        <v>0</v>
      </c>
      <c r="Q158">
        <v>0</v>
      </c>
      <c r="R158">
        <v>0</v>
      </c>
      <c r="S158">
        <v>101</v>
      </c>
      <c r="T158">
        <v>101</v>
      </c>
      <c r="U158">
        <v>0</v>
      </c>
      <c r="V158">
        <v>0</v>
      </c>
      <c r="W158">
        <v>0</v>
      </c>
      <c r="X158">
        <v>0</v>
      </c>
      <c r="Y158">
        <v>101</v>
      </c>
      <c r="Z158">
        <v>101</v>
      </c>
      <c r="AA158">
        <v>0</v>
      </c>
      <c r="AB158">
        <v>0</v>
      </c>
      <c r="AC158">
        <v>0</v>
      </c>
      <c r="AD158" s="138"/>
      <c r="AE158">
        <v>0</v>
      </c>
      <c r="AF158" s="138">
        <f>+Purchase[[#This Row],[IGST Total]]+Purchase[[#This Row],[CGST Total]]+Purchase[[#This Row],[SGST Total]]</f>
        <v>202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 s="138">
        <f>+Purchase[[#This Row],[IGST RCM Total]]+Purchase[[#This Row],[CGST RCM Total]]+Purchase[[#This Row],[SGST RCM Total]]</f>
        <v>0</v>
      </c>
      <c r="AP158" t="s">
        <v>175</v>
      </c>
    </row>
    <row r="159" spans="1:42" hidden="1" x14ac:dyDescent="0.25">
      <c r="A159" s="138" t="s">
        <v>38</v>
      </c>
      <c r="B159" t="s">
        <v>44</v>
      </c>
      <c r="C159" t="s">
        <v>305</v>
      </c>
      <c r="D159" s="150">
        <v>109</v>
      </c>
      <c r="E159" t="s">
        <v>201</v>
      </c>
      <c r="F159" t="s">
        <v>202</v>
      </c>
      <c r="G159" t="s">
        <v>501</v>
      </c>
      <c r="H159" s="150">
        <v>32961</v>
      </c>
      <c r="I159" s="139" t="s">
        <v>46</v>
      </c>
      <c r="J159">
        <v>204730</v>
      </c>
      <c r="K159">
        <v>31230</v>
      </c>
      <c r="L159">
        <v>173500</v>
      </c>
      <c r="M159" t="s">
        <v>39</v>
      </c>
      <c r="N159" t="s">
        <v>502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31230</v>
      </c>
      <c r="AD159" s="138"/>
      <c r="AE159">
        <v>31230</v>
      </c>
      <c r="AF159" s="138">
        <f>+Purchase[[#This Row],[IGST Total]]+Purchase[[#This Row],[CGST Total]]+Purchase[[#This Row],[SGST Total]]</f>
        <v>31230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 s="138">
        <f>+Purchase[[#This Row],[IGST RCM Total]]+Purchase[[#This Row],[CGST RCM Total]]+Purchase[[#This Row],[SGST RCM Total]]</f>
        <v>0</v>
      </c>
      <c r="AP159" t="s">
        <v>176</v>
      </c>
    </row>
    <row r="160" spans="1:42" hidden="1" x14ac:dyDescent="0.25">
      <c r="A160" s="138" t="s">
        <v>38</v>
      </c>
      <c r="B160" t="s">
        <v>44</v>
      </c>
      <c r="C160" t="s">
        <v>307</v>
      </c>
      <c r="D160" s="150">
        <v>109</v>
      </c>
      <c r="E160" t="s">
        <v>201</v>
      </c>
      <c r="F160" t="s">
        <v>202</v>
      </c>
      <c r="G160" t="s">
        <v>503</v>
      </c>
      <c r="H160" s="150">
        <v>32962</v>
      </c>
      <c r="I160" s="139" t="s">
        <v>46</v>
      </c>
      <c r="J160">
        <v>99828</v>
      </c>
      <c r="K160">
        <v>15228</v>
      </c>
      <c r="L160">
        <v>84600</v>
      </c>
      <c r="M160" t="s">
        <v>39</v>
      </c>
      <c r="N160" t="s">
        <v>504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15228</v>
      </c>
      <c r="AD160" s="138"/>
      <c r="AE160">
        <v>15228</v>
      </c>
      <c r="AF160" s="138">
        <f>+Purchase[[#This Row],[IGST Total]]+Purchase[[#This Row],[CGST Total]]+Purchase[[#This Row],[SGST Total]]</f>
        <v>15228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 s="138">
        <f>+Purchase[[#This Row],[IGST RCM Total]]+Purchase[[#This Row],[CGST RCM Total]]+Purchase[[#This Row],[SGST RCM Total]]</f>
        <v>0</v>
      </c>
      <c r="AP160" t="s">
        <v>176</v>
      </c>
    </row>
    <row r="161" spans="1:42" hidden="1" x14ac:dyDescent="0.25">
      <c r="A161" s="138" t="s">
        <v>38</v>
      </c>
      <c r="B161" t="s">
        <v>44</v>
      </c>
      <c r="C161" t="s">
        <v>309</v>
      </c>
      <c r="D161" s="150">
        <v>109</v>
      </c>
      <c r="E161" t="s">
        <v>201</v>
      </c>
      <c r="F161" t="s">
        <v>202</v>
      </c>
      <c r="G161" t="s">
        <v>505</v>
      </c>
      <c r="H161" s="150">
        <v>32960</v>
      </c>
      <c r="I161" s="139" t="s">
        <v>46</v>
      </c>
      <c r="J161">
        <v>154344</v>
      </c>
      <c r="K161">
        <v>23544</v>
      </c>
      <c r="L161">
        <v>130800</v>
      </c>
      <c r="M161" t="s">
        <v>39</v>
      </c>
      <c r="N161" t="s">
        <v>506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23544</v>
      </c>
      <c r="AD161" s="138"/>
      <c r="AE161">
        <v>23544</v>
      </c>
      <c r="AF161" s="138">
        <f>+Purchase[[#This Row],[IGST Total]]+Purchase[[#This Row],[CGST Total]]+Purchase[[#This Row],[SGST Total]]</f>
        <v>23544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 s="138">
        <f>+Purchase[[#This Row],[IGST RCM Total]]+Purchase[[#This Row],[CGST RCM Total]]+Purchase[[#This Row],[SGST RCM Total]]</f>
        <v>0</v>
      </c>
      <c r="AP161" t="s">
        <v>176</v>
      </c>
    </row>
    <row r="162" spans="1:42" hidden="1" x14ac:dyDescent="0.25">
      <c r="A162" s="138" t="s">
        <v>38</v>
      </c>
      <c r="B162" t="s">
        <v>44</v>
      </c>
      <c r="C162" t="s">
        <v>311</v>
      </c>
      <c r="D162" s="150">
        <v>110</v>
      </c>
      <c r="E162" t="s">
        <v>201</v>
      </c>
      <c r="F162" t="s">
        <v>202</v>
      </c>
      <c r="G162" t="s">
        <v>507</v>
      </c>
      <c r="H162" s="150">
        <v>32875</v>
      </c>
      <c r="I162" s="139" t="s">
        <v>46</v>
      </c>
      <c r="J162">
        <v>151830.6</v>
      </c>
      <c r="K162">
        <v>23160.6</v>
      </c>
      <c r="L162">
        <v>128670</v>
      </c>
      <c r="M162" t="s">
        <v>39</v>
      </c>
      <c r="N162" t="s">
        <v>468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23160.6</v>
      </c>
      <c r="AD162" s="138"/>
      <c r="AE162">
        <v>23160.6</v>
      </c>
      <c r="AF162" s="138">
        <f>+Purchase[[#This Row],[IGST Total]]+Purchase[[#This Row],[CGST Total]]+Purchase[[#This Row],[SGST Total]]</f>
        <v>23160.6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 s="138">
        <f>+Purchase[[#This Row],[IGST RCM Total]]+Purchase[[#This Row],[CGST RCM Total]]+Purchase[[#This Row],[SGST RCM Total]]</f>
        <v>0</v>
      </c>
      <c r="AP162" t="s">
        <v>176</v>
      </c>
    </row>
    <row r="163" spans="1:42" hidden="1" x14ac:dyDescent="0.25">
      <c r="A163" s="138" t="s">
        <v>38</v>
      </c>
      <c r="B163" t="s">
        <v>44</v>
      </c>
      <c r="C163" t="s">
        <v>313</v>
      </c>
      <c r="D163" s="150">
        <v>110</v>
      </c>
      <c r="E163" t="s">
        <v>201</v>
      </c>
      <c r="F163" t="s">
        <v>202</v>
      </c>
      <c r="G163" t="s">
        <v>508</v>
      </c>
      <c r="H163" s="150">
        <v>32878</v>
      </c>
      <c r="I163" s="139" t="s">
        <v>46</v>
      </c>
      <c r="J163">
        <v>245074.2</v>
      </c>
      <c r="K163">
        <v>37384.199999999997</v>
      </c>
      <c r="L163">
        <v>207690</v>
      </c>
      <c r="M163" t="s">
        <v>39</v>
      </c>
      <c r="N163" t="s">
        <v>403</v>
      </c>
      <c r="O163">
        <v>0</v>
      </c>
      <c r="P163">
        <v>0</v>
      </c>
      <c r="Q163">
        <v>0</v>
      </c>
      <c r="R163">
        <v>0</v>
      </c>
      <c r="S163">
        <v>18692.099999999999</v>
      </c>
      <c r="T163">
        <v>18692.099999999999</v>
      </c>
      <c r="U163">
        <v>0</v>
      </c>
      <c r="V163">
        <v>0</v>
      </c>
      <c r="W163">
        <v>0</v>
      </c>
      <c r="X163">
        <v>0</v>
      </c>
      <c r="Y163">
        <v>18692.099999999999</v>
      </c>
      <c r="Z163">
        <v>18692.099999999999</v>
      </c>
      <c r="AA163">
        <v>0</v>
      </c>
      <c r="AB163">
        <v>0</v>
      </c>
      <c r="AC163">
        <v>0</v>
      </c>
      <c r="AD163" s="138"/>
      <c r="AE163">
        <v>0</v>
      </c>
      <c r="AF163" s="138">
        <f>+Purchase[[#This Row],[IGST Total]]+Purchase[[#This Row],[CGST Total]]+Purchase[[#This Row],[SGST Total]]</f>
        <v>37384.199999999997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 s="138">
        <f>+Purchase[[#This Row],[IGST RCM Total]]+Purchase[[#This Row],[CGST RCM Total]]+Purchase[[#This Row],[SGST RCM Total]]</f>
        <v>0</v>
      </c>
      <c r="AP163" t="s">
        <v>175</v>
      </c>
    </row>
    <row r="164" spans="1:42" hidden="1" x14ac:dyDescent="0.25">
      <c r="A164" s="138" t="s">
        <v>38</v>
      </c>
      <c r="B164" t="s">
        <v>44</v>
      </c>
      <c r="C164" t="s">
        <v>315</v>
      </c>
      <c r="D164" s="150">
        <v>110</v>
      </c>
      <c r="E164" t="s">
        <v>201</v>
      </c>
      <c r="F164" t="s">
        <v>202</v>
      </c>
      <c r="G164" t="s">
        <v>509</v>
      </c>
      <c r="H164" s="150">
        <v>32878</v>
      </c>
      <c r="I164" s="139" t="s">
        <v>46</v>
      </c>
      <c r="J164">
        <v>551686.14</v>
      </c>
      <c r="K164">
        <v>84156</v>
      </c>
      <c r="L164">
        <v>467530.14399999997</v>
      </c>
      <c r="M164" t="s">
        <v>39</v>
      </c>
      <c r="N164" t="s">
        <v>334</v>
      </c>
      <c r="O164">
        <v>0</v>
      </c>
      <c r="P164">
        <v>0</v>
      </c>
      <c r="Q164">
        <v>0</v>
      </c>
      <c r="R164">
        <v>0</v>
      </c>
      <c r="S164">
        <v>42078</v>
      </c>
      <c r="T164">
        <v>42078</v>
      </c>
      <c r="U164">
        <v>0</v>
      </c>
      <c r="V164">
        <v>0</v>
      </c>
      <c r="W164">
        <v>0</v>
      </c>
      <c r="X164">
        <v>0</v>
      </c>
      <c r="Y164">
        <v>42078</v>
      </c>
      <c r="Z164">
        <v>42078</v>
      </c>
      <c r="AA164">
        <v>0</v>
      </c>
      <c r="AB164">
        <v>0</v>
      </c>
      <c r="AC164">
        <v>0</v>
      </c>
      <c r="AD164" s="138"/>
      <c r="AE164">
        <v>0</v>
      </c>
      <c r="AF164" s="138">
        <f>+Purchase[[#This Row],[IGST Total]]+Purchase[[#This Row],[CGST Total]]+Purchase[[#This Row],[SGST Total]]</f>
        <v>84156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 s="138">
        <f>+Purchase[[#This Row],[IGST RCM Total]]+Purchase[[#This Row],[CGST RCM Total]]+Purchase[[#This Row],[SGST RCM Total]]</f>
        <v>0</v>
      </c>
      <c r="AP164" t="s">
        <v>175</v>
      </c>
    </row>
    <row r="165" spans="1:42" hidden="1" x14ac:dyDescent="0.25">
      <c r="A165" s="138" t="s">
        <v>38</v>
      </c>
      <c r="B165" t="s">
        <v>44</v>
      </c>
      <c r="C165" t="s">
        <v>318</v>
      </c>
      <c r="D165" s="150">
        <v>110</v>
      </c>
      <c r="E165" t="s">
        <v>201</v>
      </c>
      <c r="F165" t="s">
        <v>202</v>
      </c>
      <c r="G165" t="s">
        <v>510</v>
      </c>
      <c r="H165" s="150">
        <v>32961</v>
      </c>
      <c r="I165" s="139" t="s">
        <v>46</v>
      </c>
      <c r="J165">
        <v>1753480</v>
      </c>
      <c r="K165">
        <v>267480</v>
      </c>
      <c r="L165">
        <v>1486000</v>
      </c>
      <c r="M165" t="s">
        <v>39</v>
      </c>
      <c r="N165" t="s">
        <v>463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267480</v>
      </c>
      <c r="AD165" s="138"/>
      <c r="AE165">
        <v>267480</v>
      </c>
      <c r="AF165" s="138">
        <f>+Purchase[[#This Row],[IGST Total]]+Purchase[[#This Row],[CGST Total]]+Purchase[[#This Row],[SGST Total]]</f>
        <v>267480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 s="138">
        <f>+Purchase[[#This Row],[IGST RCM Total]]+Purchase[[#This Row],[CGST RCM Total]]+Purchase[[#This Row],[SGST RCM Total]]</f>
        <v>0</v>
      </c>
      <c r="AP165" t="s">
        <v>176</v>
      </c>
    </row>
    <row r="166" spans="1:42" hidden="1" x14ac:dyDescent="0.25">
      <c r="A166" s="138" t="s">
        <v>38</v>
      </c>
      <c r="B166" t="s">
        <v>44</v>
      </c>
      <c r="C166" t="s">
        <v>320</v>
      </c>
      <c r="D166" s="150">
        <v>110</v>
      </c>
      <c r="E166" t="s">
        <v>201</v>
      </c>
      <c r="F166" t="s">
        <v>202</v>
      </c>
      <c r="G166" t="s">
        <v>511</v>
      </c>
      <c r="H166" s="150">
        <v>32958</v>
      </c>
      <c r="I166" s="139" t="s">
        <v>46</v>
      </c>
      <c r="J166">
        <v>406746</v>
      </c>
      <c r="K166">
        <v>62046</v>
      </c>
      <c r="L166">
        <v>344700</v>
      </c>
      <c r="M166" t="s">
        <v>39</v>
      </c>
      <c r="N166" t="s">
        <v>512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62046</v>
      </c>
      <c r="AD166" s="138"/>
      <c r="AE166">
        <v>62046</v>
      </c>
      <c r="AF166" s="138">
        <f>+Purchase[[#This Row],[IGST Total]]+Purchase[[#This Row],[CGST Total]]+Purchase[[#This Row],[SGST Total]]</f>
        <v>62046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 s="138">
        <f>+Purchase[[#This Row],[IGST RCM Total]]+Purchase[[#This Row],[CGST RCM Total]]+Purchase[[#This Row],[SGST RCM Total]]</f>
        <v>0</v>
      </c>
      <c r="AP166" t="s">
        <v>176</v>
      </c>
    </row>
    <row r="167" spans="1:42" hidden="1" x14ac:dyDescent="0.25">
      <c r="A167" s="138" t="s">
        <v>38</v>
      </c>
      <c r="B167" t="s">
        <v>44</v>
      </c>
      <c r="C167" t="s">
        <v>322</v>
      </c>
      <c r="D167" s="150">
        <v>110</v>
      </c>
      <c r="E167" t="s">
        <v>201</v>
      </c>
      <c r="F167" t="s">
        <v>202</v>
      </c>
      <c r="G167" t="s">
        <v>513</v>
      </c>
      <c r="H167" s="150">
        <v>32878</v>
      </c>
      <c r="I167" s="139" t="s">
        <v>46</v>
      </c>
      <c r="J167">
        <v>284337.44</v>
      </c>
      <c r="K167">
        <v>30984</v>
      </c>
      <c r="L167">
        <v>253353.44</v>
      </c>
      <c r="M167" t="s">
        <v>39</v>
      </c>
      <c r="N167" t="s">
        <v>514</v>
      </c>
      <c r="O167">
        <v>0</v>
      </c>
      <c r="P167">
        <v>0</v>
      </c>
      <c r="Q167">
        <v>0</v>
      </c>
      <c r="R167">
        <v>14619</v>
      </c>
      <c r="S167">
        <v>873</v>
      </c>
      <c r="T167">
        <v>15492</v>
      </c>
      <c r="U167">
        <v>0</v>
      </c>
      <c r="V167">
        <v>0</v>
      </c>
      <c r="W167">
        <v>0</v>
      </c>
      <c r="X167">
        <v>14619</v>
      </c>
      <c r="Y167">
        <v>873</v>
      </c>
      <c r="Z167">
        <v>15492</v>
      </c>
      <c r="AA167">
        <v>0</v>
      </c>
      <c r="AB167">
        <v>0</v>
      </c>
      <c r="AC167">
        <v>0</v>
      </c>
      <c r="AD167" s="138"/>
      <c r="AE167">
        <v>0</v>
      </c>
      <c r="AF167" s="138">
        <f>+Purchase[[#This Row],[IGST Total]]+Purchase[[#This Row],[CGST Total]]+Purchase[[#This Row],[SGST Total]]</f>
        <v>30984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 s="138">
        <f>+Purchase[[#This Row],[IGST RCM Total]]+Purchase[[#This Row],[CGST RCM Total]]+Purchase[[#This Row],[SGST RCM Total]]</f>
        <v>0</v>
      </c>
      <c r="AP167" t="s">
        <v>175</v>
      </c>
    </row>
    <row r="168" spans="1:42" hidden="1" x14ac:dyDescent="0.25">
      <c r="A168" s="138" t="s">
        <v>38</v>
      </c>
      <c r="B168" t="s">
        <v>44</v>
      </c>
      <c r="C168" t="s">
        <v>324</v>
      </c>
      <c r="D168" s="150">
        <v>110</v>
      </c>
      <c r="E168" t="s">
        <v>201</v>
      </c>
      <c r="F168" t="s">
        <v>202</v>
      </c>
      <c r="G168" t="s">
        <v>515</v>
      </c>
      <c r="H168" s="150">
        <v>32963</v>
      </c>
      <c r="I168" s="139" t="s">
        <v>46</v>
      </c>
      <c r="J168">
        <v>272137.5</v>
      </c>
      <c r="K168">
        <v>41512.5</v>
      </c>
      <c r="L168">
        <v>230625</v>
      </c>
      <c r="M168" t="s">
        <v>39</v>
      </c>
      <c r="N168" t="s">
        <v>516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41512.5</v>
      </c>
      <c r="AD168" s="138"/>
      <c r="AE168">
        <v>41512.5</v>
      </c>
      <c r="AF168" s="138">
        <f>+Purchase[[#This Row],[IGST Total]]+Purchase[[#This Row],[CGST Total]]+Purchase[[#This Row],[SGST Total]]</f>
        <v>41512.5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 s="138">
        <f>+Purchase[[#This Row],[IGST RCM Total]]+Purchase[[#This Row],[CGST RCM Total]]+Purchase[[#This Row],[SGST RCM Total]]</f>
        <v>0</v>
      </c>
      <c r="AP168" t="s">
        <v>176</v>
      </c>
    </row>
    <row r="169" spans="1:42" hidden="1" x14ac:dyDescent="0.25">
      <c r="A169" s="138" t="s">
        <v>38</v>
      </c>
      <c r="B169" t="s">
        <v>44</v>
      </c>
      <c r="C169" t="s">
        <v>325</v>
      </c>
      <c r="D169" s="150">
        <v>110</v>
      </c>
      <c r="E169" t="s">
        <v>201</v>
      </c>
      <c r="F169" t="s">
        <v>202</v>
      </c>
      <c r="G169" t="s">
        <v>517</v>
      </c>
      <c r="H169" s="150">
        <v>32961</v>
      </c>
      <c r="I169" s="139" t="s">
        <v>46</v>
      </c>
      <c r="J169">
        <v>1049020</v>
      </c>
      <c r="K169">
        <v>160020</v>
      </c>
      <c r="L169">
        <v>889000</v>
      </c>
      <c r="M169" t="s">
        <v>39</v>
      </c>
      <c r="N169" t="s">
        <v>518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160020</v>
      </c>
      <c r="AD169" s="138"/>
      <c r="AE169">
        <v>160020</v>
      </c>
      <c r="AF169" s="138">
        <f>+Purchase[[#This Row],[IGST Total]]+Purchase[[#This Row],[CGST Total]]+Purchase[[#This Row],[SGST Total]]</f>
        <v>160020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 s="138">
        <f>+Purchase[[#This Row],[IGST RCM Total]]+Purchase[[#This Row],[CGST RCM Total]]+Purchase[[#This Row],[SGST RCM Total]]</f>
        <v>0</v>
      </c>
      <c r="AP169" t="s">
        <v>176</v>
      </c>
    </row>
    <row r="170" spans="1:42" hidden="1" x14ac:dyDescent="0.25">
      <c r="A170" s="138" t="s">
        <v>38</v>
      </c>
      <c r="B170" t="s">
        <v>44</v>
      </c>
      <c r="C170" t="s">
        <v>327</v>
      </c>
      <c r="D170" s="150">
        <v>110</v>
      </c>
      <c r="E170" t="s">
        <v>201</v>
      </c>
      <c r="F170" t="s">
        <v>202</v>
      </c>
      <c r="G170" t="s">
        <v>519</v>
      </c>
      <c r="H170" s="150">
        <v>32878</v>
      </c>
      <c r="I170" s="139" t="s">
        <v>46</v>
      </c>
      <c r="J170">
        <v>146842.96</v>
      </c>
      <c r="K170">
        <v>22400</v>
      </c>
      <c r="L170">
        <v>124442.96</v>
      </c>
      <c r="M170" t="s">
        <v>39</v>
      </c>
      <c r="N170" t="s">
        <v>334</v>
      </c>
      <c r="O170">
        <v>0</v>
      </c>
      <c r="P170">
        <v>0</v>
      </c>
      <c r="Q170">
        <v>0</v>
      </c>
      <c r="R170">
        <v>0</v>
      </c>
      <c r="S170">
        <v>11200</v>
      </c>
      <c r="T170">
        <v>11200</v>
      </c>
      <c r="U170">
        <v>0</v>
      </c>
      <c r="V170">
        <v>0</v>
      </c>
      <c r="W170">
        <v>0</v>
      </c>
      <c r="X170">
        <v>0</v>
      </c>
      <c r="Y170">
        <v>11200</v>
      </c>
      <c r="Z170">
        <v>11200</v>
      </c>
      <c r="AA170">
        <v>0</v>
      </c>
      <c r="AB170">
        <v>0</v>
      </c>
      <c r="AC170">
        <v>0</v>
      </c>
      <c r="AD170" s="138"/>
      <c r="AE170">
        <v>0</v>
      </c>
      <c r="AF170" s="138">
        <f>+Purchase[[#This Row],[IGST Total]]+Purchase[[#This Row],[CGST Total]]+Purchase[[#This Row],[SGST Total]]</f>
        <v>22400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 s="138">
        <f>+Purchase[[#This Row],[IGST RCM Total]]+Purchase[[#This Row],[CGST RCM Total]]+Purchase[[#This Row],[SGST RCM Total]]</f>
        <v>0</v>
      </c>
      <c r="AP170" t="s">
        <v>175</v>
      </c>
    </row>
    <row r="171" spans="1:42" hidden="1" x14ac:dyDescent="0.25">
      <c r="A171" s="138" t="s">
        <v>38</v>
      </c>
      <c r="B171" t="s">
        <v>44</v>
      </c>
      <c r="C171" t="s">
        <v>330</v>
      </c>
      <c r="D171" s="150">
        <v>110</v>
      </c>
      <c r="E171" t="s">
        <v>201</v>
      </c>
      <c r="F171" t="s">
        <v>202</v>
      </c>
      <c r="G171" t="s">
        <v>520</v>
      </c>
      <c r="H171" s="150">
        <v>32879</v>
      </c>
      <c r="I171" s="139" t="s">
        <v>46</v>
      </c>
      <c r="J171">
        <v>300769.26</v>
      </c>
      <c r="K171">
        <v>45880.06</v>
      </c>
      <c r="L171">
        <v>254889.2</v>
      </c>
      <c r="M171" t="s">
        <v>39</v>
      </c>
      <c r="N171" t="s">
        <v>403</v>
      </c>
      <c r="O171">
        <v>0</v>
      </c>
      <c r="P171">
        <v>0</v>
      </c>
      <c r="Q171">
        <v>0</v>
      </c>
      <c r="R171">
        <v>0</v>
      </c>
      <c r="S171">
        <v>22940.03</v>
      </c>
      <c r="T171">
        <v>22940.03</v>
      </c>
      <c r="U171">
        <v>0</v>
      </c>
      <c r="V171">
        <v>0</v>
      </c>
      <c r="W171">
        <v>0</v>
      </c>
      <c r="X171">
        <v>0</v>
      </c>
      <c r="Y171">
        <v>22940.03</v>
      </c>
      <c r="Z171">
        <v>22940.03</v>
      </c>
      <c r="AA171">
        <v>0</v>
      </c>
      <c r="AB171">
        <v>0</v>
      </c>
      <c r="AC171">
        <v>0</v>
      </c>
      <c r="AD171" s="138"/>
      <c r="AE171">
        <v>0</v>
      </c>
      <c r="AF171" s="138">
        <f>+Purchase[[#This Row],[IGST Total]]+Purchase[[#This Row],[CGST Total]]+Purchase[[#This Row],[SGST Total]]</f>
        <v>45880.06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 s="138">
        <f>+Purchase[[#This Row],[IGST RCM Total]]+Purchase[[#This Row],[CGST RCM Total]]+Purchase[[#This Row],[SGST RCM Total]]</f>
        <v>0</v>
      </c>
      <c r="AP171" t="s">
        <v>175</v>
      </c>
    </row>
    <row r="172" spans="1:42" hidden="1" x14ac:dyDescent="0.25">
      <c r="A172" s="138" t="s">
        <v>38</v>
      </c>
      <c r="B172" t="s">
        <v>44</v>
      </c>
      <c r="C172" t="s">
        <v>332</v>
      </c>
      <c r="D172" s="150">
        <v>110</v>
      </c>
      <c r="E172" t="s">
        <v>201</v>
      </c>
      <c r="F172" t="s">
        <v>202</v>
      </c>
      <c r="G172" t="s">
        <v>521</v>
      </c>
      <c r="H172" s="150">
        <v>32880</v>
      </c>
      <c r="I172" s="139" t="s">
        <v>46</v>
      </c>
      <c r="J172">
        <v>90860</v>
      </c>
      <c r="K172">
        <v>13860</v>
      </c>
      <c r="L172">
        <v>77000</v>
      </c>
      <c r="M172" t="s">
        <v>39</v>
      </c>
      <c r="N172" t="s">
        <v>334</v>
      </c>
      <c r="O172">
        <v>0</v>
      </c>
      <c r="P172">
        <v>0</v>
      </c>
      <c r="Q172">
        <v>0</v>
      </c>
      <c r="R172">
        <v>0</v>
      </c>
      <c r="S172">
        <v>6930</v>
      </c>
      <c r="T172">
        <v>6930</v>
      </c>
      <c r="U172">
        <v>0</v>
      </c>
      <c r="V172">
        <v>0</v>
      </c>
      <c r="W172">
        <v>0</v>
      </c>
      <c r="X172">
        <v>0</v>
      </c>
      <c r="Y172">
        <v>6930</v>
      </c>
      <c r="Z172">
        <v>6930</v>
      </c>
      <c r="AA172">
        <v>0</v>
      </c>
      <c r="AB172">
        <v>0</v>
      </c>
      <c r="AC172">
        <v>0</v>
      </c>
      <c r="AD172" s="138"/>
      <c r="AE172">
        <v>0</v>
      </c>
      <c r="AF172" s="138">
        <f>+Purchase[[#This Row],[IGST Total]]+Purchase[[#This Row],[CGST Total]]+Purchase[[#This Row],[SGST Total]]</f>
        <v>13860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 s="138">
        <f>+Purchase[[#This Row],[IGST RCM Total]]+Purchase[[#This Row],[CGST RCM Total]]+Purchase[[#This Row],[SGST RCM Total]]</f>
        <v>0</v>
      </c>
      <c r="AP172" t="s">
        <v>8</v>
      </c>
    </row>
    <row r="173" spans="1:42" hidden="1" x14ac:dyDescent="0.25">
      <c r="A173" s="138" t="s">
        <v>38</v>
      </c>
      <c r="B173" t="s">
        <v>44</v>
      </c>
      <c r="C173" t="s">
        <v>335</v>
      </c>
      <c r="D173" s="150">
        <v>110</v>
      </c>
      <c r="E173" t="s">
        <v>201</v>
      </c>
      <c r="F173" t="s">
        <v>202</v>
      </c>
      <c r="G173" t="s">
        <v>522</v>
      </c>
      <c r="H173" s="150">
        <v>32879</v>
      </c>
      <c r="I173" s="139" t="s">
        <v>46</v>
      </c>
      <c r="J173">
        <v>313890.02</v>
      </c>
      <c r="K173">
        <v>47882</v>
      </c>
      <c r="L173">
        <v>266008.02399999998</v>
      </c>
      <c r="M173" t="s">
        <v>39</v>
      </c>
      <c r="N173" t="s">
        <v>334</v>
      </c>
      <c r="O173">
        <v>0</v>
      </c>
      <c r="P173">
        <v>0</v>
      </c>
      <c r="Q173">
        <v>0</v>
      </c>
      <c r="R173">
        <v>0</v>
      </c>
      <c r="S173">
        <v>23941</v>
      </c>
      <c r="T173">
        <v>23941</v>
      </c>
      <c r="U173">
        <v>0</v>
      </c>
      <c r="V173">
        <v>0</v>
      </c>
      <c r="W173">
        <v>0</v>
      </c>
      <c r="X173">
        <v>0</v>
      </c>
      <c r="Y173">
        <v>23941</v>
      </c>
      <c r="Z173">
        <v>23941</v>
      </c>
      <c r="AA173">
        <v>0</v>
      </c>
      <c r="AB173">
        <v>0</v>
      </c>
      <c r="AC173">
        <v>0</v>
      </c>
      <c r="AD173" s="138"/>
      <c r="AE173">
        <v>0</v>
      </c>
      <c r="AF173" s="138">
        <f>+Purchase[[#This Row],[IGST Total]]+Purchase[[#This Row],[CGST Total]]+Purchase[[#This Row],[SGST Total]]</f>
        <v>47882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 s="138">
        <f>+Purchase[[#This Row],[IGST RCM Total]]+Purchase[[#This Row],[CGST RCM Total]]+Purchase[[#This Row],[SGST RCM Total]]</f>
        <v>0</v>
      </c>
      <c r="AP173" t="s">
        <v>175</v>
      </c>
    </row>
    <row r="174" spans="1:42" hidden="1" x14ac:dyDescent="0.25">
      <c r="A174" s="138" t="s">
        <v>38</v>
      </c>
      <c r="B174" t="s">
        <v>44</v>
      </c>
      <c r="C174" t="s">
        <v>337</v>
      </c>
      <c r="D174" s="150">
        <v>110</v>
      </c>
      <c r="E174" t="s">
        <v>201</v>
      </c>
      <c r="F174" t="s">
        <v>202</v>
      </c>
      <c r="G174" t="s">
        <v>274</v>
      </c>
      <c r="H174" s="150">
        <v>32880</v>
      </c>
      <c r="I174" s="139" t="s">
        <v>46</v>
      </c>
      <c r="J174">
        <v>346802</v>
      </c>
      <c r="K174">
        <v>52902</v>
      </c>
      <c r="L174">
        <v>293900</v>
      </c>
      <c r="M174" t="s">
        <v>39</v>
      </c>
      <c r="N174" t="s">
        <v>304</v>
      </c>
      <c r="O174">
        <v>0</v>
      </c>
      <c r="P174">
        <v>0</v>
      </c>
      <c r="Q174">
        <v>0</v>
      </c>
      <c r="R174">
        <v>0</v>
      </c>
      <c r="S174">
        <v>26451</v>
      </c>
      <c r="T174">
        <v>26451</v>
      </c>
      <c r="U174">
        <v>0</v>
      </c>
      <c r="V174">
        <v>0</v>
      </c>
      <c r="W174">
        <v>0</v>
      </c>
      <c r="X174">
        <v>0</v>
      </c>
      <c r="Y174">
        <v>26451</v>
      </c>
      <c r="Z174">
        <v>26451</v>
      </c>
      <c r="AA174">
        <v>0</v>
      </c>
      <c r="AB174">
        <v>0</v>
      </c>
      <c r="AC174">
        <v>0</v>
      </c>
      <c r="AD174" s="138"/>
      <c r="AE174">
        <v>0</v>
      </c>
      <c r="AF174" s="138">
        <f>+Purchase[[#This Row],[IGST Total]]+Purchase[[#This Row],[CGST Total]]+Purchase[[#This Row],[SGST Total]]</f>
        <v>52902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 s="138">
        <f>+Purchase[[#This Row],[IGST RCM Total]]+Purchase[[#This Row],[CGST RCM Total]]+Purchase[[#This Row],[SGST RCM Total]]</f>
        <v>0</v>
      </c>
      <c r="AP174" t="s">
        <v>175</v>
      </c>
    </row>
    <row r="175" spans="1:42" hidden="1" x14ac:dyDescent="0.25">
      <c r="A175" s="138" t="s">
        <v>38</v>
      </c>
      <c r="B175" t="s">
        <v>44</v>
      </c>
      <c r="C175" t="s">
        <v>523</v>
      </c>
      <c r="D175" s="150">
        <v>111</v>
      </c>
      <c r="E175" t="s">
        <v>201</v>
      </c>
      <c r="F175" t="s">
        <v>202</v>
      </c>
      <c r="G175" t="s">
        <v>260</v>
      </c>
      <c r="H175" s="150">
        <v>32880</v>
      </c>
      <c r="I175" s="139" t="s">
        <v>46</v>
      </c>
      <c r="J175">
        <v>368603</v>
      </c>
      <c r="K175">
        <v>56228</v>
      </c>
      <c r="L175">
        <v>312375</v>
      </c>
      <c r="M175" t="s">
        <v>39</v>
      </c>
      <c r="N175" t="s">
        <v>270</v>
      </c>
      <c r="O175">
        <v>0</v>
      </c>
      <c r="P175">
        <v>0</v>
      </c>
      <c r="Q175">
        <v>0</v>
      </c>
      <c r="R175">
        <v>0</v>
      </c>
      <c r="S175">
        <v>28114</v>
      </c>
      <c r="T175">
        <v>28114</v>
      </c>
      <c r="U175">
        <v>0</v>
      </c>
      <c r="V175">
        <v>0</v>
      </c>
      <c r="W175">
        <v>0</v>
      </c>
      <c r="X175">
        <v>0</v>
      </c>
      <c r="Y175">
        <v>28114</v>
      </c>
      <c r="Z175">
        <v>28114</v>
      </c>
      <c r="AA175">
        <v>0</v>
      </c>
      <c r="AB175">
        <v>0</v>
      </c>
      <c r="AC175">
        <v>0</v>
      </c>
      <c r="AD175" s="138"/>
      <c r="AE175">
        <v>0</v>
      </c>
      <c r="AF175" s="138">
        <f>+Purchase[[#This Row],[IGST Total]]+Purchase[[#This Row],[CGST Total]]+Purchase[[#This Row],[SGST Total]]</f>
        <v>56228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 s="138">
        <f>+Purchase[[#This Row],[IGST RCM Total]]+Purchase[[#This Row],[CGST RCM Total]]+Purchase[[#This Row],[SGST RCM Total]]</f>
        <v>0</v>
      </c>
      <c r="AP175" t="s">
        <v>175</v>
      </c>
    </row>
    <row r="176" spans="1:42" hidden="1" x14ac:dyDescent="0.25">
      <c r="A176" s="138" t="s">
        <v>38</v>
      </c>
      <c r="B176" t="s">
        <v>44</v>
      </c>
      <c r="C176" t="s">
        <v>338</v>
      </c>
      <c r="D176" s="150">
        <v>111</v>
      </c>
      <c r="E176" t="s">
        <v>201</v>
      </c>
      <c r="F176" t="s">
        <v>202</v>
      </c>
      <c r="G176" t="s">
        <v>524</v>
      </c>
      <c r="H176" s="150">
        <v>32880</v>
      </c>
      <c r="I176" s="139" t="s">
        <v>46</v>
      </c>
      <c r="J176">
        <v>5490.78</v>
      </c>
      <c r="K176">
        <v>837.58</v>
      </c>
      <c r="L176">
        <v>4653.2</v>
      </c>
      <c r="M176" t="s">
        <v>39</v>
      </c>
      <c r="N176" t="s">
        <v>473</v>
      </c>
      <c r="O176">
        <v>0</v>
      </c>
      <c r="P176">
        <v>0</v>
      </c>
      <c r="Q176">
        <v>0</v>
      </c>
      <c r="R176">
        <v>0</v>
      </c>
      <c r="S176">
        <v>418.79</v>
      </c>
      <c r="T176">
        <v>418.79</v>
      </c>
      <c r="U176">
        <v>0</v>
      </c>
      <c r="V176">
        <v>0</v>
      </c>
      <c r="W176">
        <v>0</v>
      </c>
      <c r="X176">
        <v>0</v>
      </c>
      <c r="Y176">
        <v>418.79</v>
      </c>
      <c r="Z176">
        <v>418.79</v>
      </c>
      <c r="AA176">
        <v>0</v>
      </c>
      <c r="AB176">
        <v>0</v>
      </c>
      <c r="AC176">
        <v>0</v>
      </c>
      <c r="AD176" s="138"/>
      <c r="AE176">
        <v>0</v>
      </c>
      <c r="AF176" s="138">
        <f>+Purchase[[#This Row],[IGST Total]]+Purchase[[#This Row],[CGST Total]]+Purchase[[#This Row],[SGST Total]]</f>
        <v>837.58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 s="138">
        <f>+Purchase[[#This Row],[IGST RCM Total]]+Purchase[[#This Row],[CGST RCM Total]]+Purchase[[#This Row],[SGST RCM Total]]</f>
        <v>0</v>
      </c>
      <c r="AP176" t="s">
        <v>175</v>
      </c>
    </row>
    <row r="177" spans="1:42" hidden="1" x14ac:dyDescent="0.25">
      <c r="A177" s="138" t="s">
        <v>38</v>
      </c>
      <c r="B177" t="s">
        <v>44</v>
      </c>
      <c r="C177" t="s">
        <v>340</v>
      </c>
      <c r="D177" s="150">
        <v>111</v>
      </c>
      <c r="E177" t="s">
        <v>201</v>
      </c>
      <c r="F177" t="s">
        <v>202</v>
      </c>
      <c r="G177" t="s">
        <v>525</v>
      </c>
      <c r="H177" s="150">
        <v>32880</v>
      </c>
      <c r="I177" s="139" t="s">
        <v>46</v>
      </c>
      <c r="J177">
        <v>579318.68999999994</v>
      </c>
      <c r="K177">
        <v>88371</v>
      </c>
      <c r="L177">
        <v>490947.69500000001</v>
      </c>
      <c r="M177" t="s">
        <v>39</v>
      </c>
      <c r="N177" t="s">
        <v>249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88371</v>
      </c>
      <c r="AD177" s="138"/>
      <c r="AE177">
        <v>88371</v>
      </c>
      <c r="AF177" s="138">
        <f>+Purchase[[#This Row],[IGST Total]]+Purchase[[#This Row],[CGST Total]]+Purchase[[#This Row],[SGST Total]]</f>
        <v>88371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 s="138">
        <f>+Purchase[[#This Row],[IGST RCM Total]]+Purchase[[#This Row],[CGST RCM Total]]+Purchase[[#This Row],[SGST RCM Total]]</f>
        <v>0</v>
      </c>
      <c r="AP177" t="s">
        <v>176</v>
      </c>
    </row>
    <row r="178" spans="1:42" hidden="1" x14ac:dyDescent="0.25">
      <c r="A178" s="138" t="s">
        <v>38</v>
      </c>
      <c r="B178" t="s">
        <v>44</v>
      </c>
      <c r="C178" t="s">
        <v>342</v>
      </c>
      <c r="D178" s="150">
        <v>111</v>
      </c>
      <c r="E178" t="s">
        <v>201</v>
      </c>
      <c r="F178" t="s">
        <v>202</v>
      </c>
      <c r="G178" t="s">
        <v>526</v>
      </c>
      <c r="H178" s="150">
        <v>32881</v>
      </c>
      <c r="I178" s="139" t="s">
        <v>46</v>
      </c>
      <c r="J178">
        <v>571854.31999999995</v>
      </c>
      <c r="K178">
        <v>87232.02</v>
      </c>
      <c r="L178">
        <v>484622.3</v>
      </c>
      <c r="M178" t="s">
        <v>39</v>
      </c>
      <c r="N178" t="s">
        <v>252</v>
      </c>
      <c r="O178">
        <v>0</v>
      </c>
      <c r="P178">
        <v>0</v>
      </c>
      <c r="Q178">
        <v>0</v>
      </c>
      <c r="R178">
        <v>0</v>
      </c>
      <c r="S178">
        <v>43616.01</v>
      </c>
      <c r="T178">
        <v>43616.01</v>
      </c>
      <c r="U178">
        <v>0</v>
      </c>
      <c r="V178">
        <v>0</v>
      </c>
      <c r="W178">
        <v>0</v>
      </c>
      <c r="X178">
        <v>0</v>
      </c>
      <c r="Y178">
        <v>43616.01</v>
      </c>
      <c r="Z178">
        <v>43616.01</v>
      </c>
      <c r="AA178">
        <v>0</v>
      </c>
      <c r="AB178">
        <v>0</v>
      </c>
      <c r="AC178">
        <v>0</v>
      </c>
      <c r="AD178" s="138"/>
      <c r="AE178">
        <v>0</v>
      </c>
      <c r="AF178" s="138">
        <f>+Purchase[[#This Row],[IGST Total]]+Purchase[[#This Row],[CGST Total]]+Purchase[[#This Row],[SGST Total]]</f>
        <v>87232.02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 s="138">
        <f>+Purchase[[#This Row],[IGST RCM Total]]+Purchase[[#This Row],[CGST RCM Total]]+Purchase[[#This Row],[SGST RCM Total]]</f>
        <v>0</v>
      </c>
      <c r="AP178" t="s">
        <v>175</v>
      </c>
    </row>
    <row r="179" spans="1:42" hidden="1" x14ac:dyDescent="0.25">
      <c r="A179" s="138" t="s">
        <v>38</v>
      </c>
      <c r="B179" t="s">
        <v>44</v>
      </c>
      <c r="C179" t="s">
        <v>344</v>
      </c>
      <c r="D179" s="150">
        <v>111</v>
      </c>
      <c r="E179" t="s">
        <v>201</v>
      </c>
      <c r="F179" t="s">
        <v>202</v>
      </c>
      <c r="G179" t="s">
        <v>527</v>
      </c>
      <c r="H179" s="150">
        <v>32881</v>
      </c>
      <c r="I179" s="139" t="s">
        <v>46</v>
      </c>
      <c r="J179">
        <v>57613.5</v>
      </c>
      <c r="K179">
        <v>8788.5</v>
      </c>
      <c r="L179">
        <v>48825</v>
      </c>
      <c r="M179" t="s">
        <v>39</v>
      </c>
      <c r="N179" t="s">
        <v>334</v>
      </c>
      <c r="O179">
        <v>0</v>
      </c>
      <c r="P179">
        <v>0</v>
      </c>
      <c r="Q179">
        <v>0</v>
      </c>
      <c r="R179">
        <v>0</v>
      </c>
      <c r="S179">
        <v>4394.25</v>
      </c>
      <c r="T179">
        <v>4394.25</v>
      </c>
      <c r="U179">
        <v>0</v>
      </c>
      <c r="V179">
        <v>0</v>
      </c>
      <c r="W179">
        <v>0</v>
      </c>
      <c r="X179">
        <v>0</v>
      </c>
      <c r="Y179">
        <v>4394.25</v>
      </c>
      <c r="Z179">
        <v>4394.25</v>
      </c>
      <c r="AA179">
        <v>0</v>
      </c>
      <c r="AB179">
        <v>0</v>
      </c>
      <c r="AC179">
        <v>0</v>
      </c>
      <c r="AD179" s="138"/>
      <c r="AE179">
        <v>0</v>
      </c>
      <c r="AF179" s="138">
        <f>+Purchase[[#This Row],[IGST Total]]+Purchase[[#This Row],[CGST Total]]+Purchase[[#This Row],[SGST Total]]</f>
        <v>8788.5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 s="138">
        <f>+Purchase[[#This Row],[IGST RCM Total]]+Purchase[[#This Row],[CGST RCM Total]]+Purchase[[#This Row],[SGST RCM Total]]</f>
        <v>0</v>
      </c>
      <c r="AP179" t="s">
        <v>8</v>
      </c>
    </row>
    <row r="180" spans="1:42" hidden="1" x14ac:dyDescent="0.25">
      <c r="A180" s="138" t="s">
        <v>38</v>
      </c>
      <c r="B180" t="s">
        <v>44</v>
      </c>
      <c r="C180" t="s">
        <v>346</v>
      </c>
      <c r="D180" s="150">
        <v>111</v>
      </c>
      <c r="E180" t="s">
        <v>201</v>
      </c>
      <c r="F180" t="s">
        <v>202</v>
      </c>
      <c r="G180" t="s">
        <v>528</v>
      </c>
      <c r="H180" s="150">
        <v>32881</v>
      </c>
      <c r="I180" s="139" t="s">
        <v>46</v>
      </c>
      <c r="J180">
        <v>306198.34000000003</v>
      </c>
      <c r="K180">
        <v>46708.22</v>
      </c>
      <c r="L180">
        <v>259490.12</v>
      </c>
      <c r="M180" t="s">
        <v>39</v>
      </c>
      <c r="N180" t="s">
        <v>529</v>
      </c>
      <c r="O180">
        <v>0</v>
      </c>
      <c r="P180">
        <v>0</v>
      </c>
      <c r="Q180">
        <v>0</v>
      </c>
      <c r="R180">
        <v>0</v>
      </c>
      <c r="S180">
        <v>23354.11</v>
      </c>
      <c r="T180">
        <v>23354.11</v>
      </c>
      <c r="U180">
        <v>0</v>
      </c>
      <c r="V180">
        <v>0</v>
      </c>
      <c r="W180">
        <v>0</v>
      </c>
      <c r="X180">
        <v>0</v>
      </c>
      <c r="Y180">
        <v>23354.11</v>
      </c>
      <c r="Z180">
        <v>23354.11</v>
      </c>
      <c r="AA180">
        <v>0</v>
      </c>
      <c r="AB180">
        <v>0</v>
      </c>
      <c r="AC180">
        <v>0</v>
      </c>
      <c r="AD180" s="138"/>
      <c r="AE180">
        <v>0</v>
      </c>
      <c r="AF180" s="138">
        <f>+Purchase[[#This Row],[IGST Total]]+Purchase[[#This Row],[CGST Total]]+Purchase[[#This Row],[SGST Total]]</f>
        <v>46708.22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 s="138">
        <f>+Purchase[[#This Row],[IGST RCM Total]]+Purchase[[#This Row],[CGST RCM Total]]+Purchase[[#This Row],[SGST RCM Total]]</f>
        <v>0</v>
      </c>
      <c r="AP180" t="s">
        <v>8</v>
      </c>
    </row>
    <row r="181" spans="1:42" hidden="1" x14ac:dyDescent="0.25">
      <c r="A181" s="138" t="s">
        <v>38</v>
      </c>
      <c r="B181" t="s">
        <v>44</v>
      </c>
      <c r="C181" t="s">
        <v>349</v>
      </c>
      <c r="D181" s="150">
        <v>111</v>
      </c>
      <c r="E181" t="s">
        <v>201</v>
      </c>
      <c r="F181" t="s">
        <v>202</v>
      </c>
      <c r="G181" t="s">
        <v>530</v>
      </c>
      <c r="H181" s="150">
        <v>32881</v>
      </c>
      <c r="I181" s="139" t="s">
        <v>46</v>
      </c>
      <c r="J181">
        <v>232601.60000000001</v>
      </c>
      <c r="K181">
        <v>35481.599999999999</v>
      </c>
      <c r="L181">
        <v>197120</v>
      </c>
      <c r="M181" t="s">
        <v>39</v>
      </c>
      <c r="N181" t="s">
        <v>403</v>
      </c>
      <c r="O181">
        <v>0</v>
      </c>
      <c r="P181">
        <v>0</v>
      </c>
      <c r="Q181">
        <v>0</v>
      </c>
      <c r="R181">
        <v>0</v>
      </c>
      <c r="S181">
        <v>17740.8</v>
      </c>
      <c r="T181">
        <v>17740.8</v>
      </c>
      <c r="U181">
        <v>0</v>
      </c>
      <c r="V181">
        <v>0</v>
      </c>
      <c r="W181">
        <v>0</v>
      </c>
      <c r="X181">
        <v>0</v>
      </c>
      <c r="Y181">
        <v>17740.8</v>
      </c>
      <c r="Z181">
        <v>17740.8</v>
      </c>
      <c r="AA181">
        <v>0</v>
      </c>
      <c r="AB181">
        <v>0</v>
      </c>
      <c r="AC181">
        <v>0</v>
      </c>
      <c r="AD181" s="138"/>
      <c r="AE181">
        <v>0</v>
      </c>
      <c r="AF181" s="138">
        <f>+Purchase[[#This Row],[IGST Total]]+Purchase[[#This Row],[CGST Total]]+Purchase[[#This Row],[SGST Total]]</f>
        <v>35481.599999999999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 s="138">
        <f>+Purchase[[#This Row],[IGST RCM Total]]+Purchase[[#This Row],[CGST RCM Total]]+Purchase[[#This Row],[SGST RCM Total]]</f>
        <v>0</v>
      </c>
      <c r="AP181" t="s">
        <v>175</v>
      </c>
    </row>
    <row r="182" spans="1:42" hidden="1" x14ac:dyDescent="0.25">
      <c r="A182" s="138" t="s">
        <v>38</v>
      </c>
      <c r="B182" t="s">
        <v>44</v>
      </c>
      <c r="C182" t="s">
        <v>206</v>
      </c>
      <c r="D182" s="150">
        <v>111</v>
      </c>
      <c r="E182" t="s">
        <v>201</v>
      </c>
      <c r="F182" t="s">
        <v>202</v>
      </c>
      <c r="G182" t="s">
        <v>531</v>
      </c>
      <c r="H182" s="150">
        <v>32882</v>
      </c>
      <c r="I182" s="139" t="s">
        <v>46</v>
      </c>
      <c r="J182">
        <v>968153.18</v>
      </c>
      <c r="K182">
        <v>147684.38</v>
      </c>
      <c r="L182">
        <v>820468.8</v>
      </c>
      <c r="M182" t="s">
        <v>39</v>
      </c>
      <c r="N182" t="s">
        <v>252</v>
      </c>
      <c r="O182">
        <v>0</v>
      </c>
      <c r="P182">
        <v>0</v>
      </c>
      <c r="Q182">
        <v>0</v>
      </c>
      <c r="R182">
        <v>0</v>
      </c>
      <c r="S182">
        <v>73842.19</v>
      </c>
      <c r="T182">
        <v>73842.19</v>
      </c>
      <c r="U182">
        <v>0</v>
      </c>
      <c r="V182">
        <v>0</v>
      </c>
      <c r="W182">
        <v>0</v>
      </c>
      <c r="X182">
        <v>0</v>
      </c>
      <c r="Y182">
        <v>73842.19</v>
      </c>
      <c r="Z182">
        <v>73842.19</v>
      </c>
      <c r="AA182">
        <v>0</v>
      </c>
      <c r="AB182">
        <v>0</v>
      </c>
      <c r="AC182">
        <v>0</v>
      </c>
      <c r="AD182" s="138"/>
      <c r="AE182">
        <v>0</v>
      </c>
      <c r="AF182" s="138">
        <f>+Purchase[[#This Row],[IGST Total]]+Purchase[[#This Row],[CGST Total]]+Purchase[[#This Row],[SGST Total]]</f>
        <v>147684.38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 s="138">
        <f>+Purchase[[#This Row],[IGST RCM Total]]+Purchase[[#This Row],[CGST RCM Total]]+Purchase[[#This Row],[SGST RCM Total]]</f>
        <v>0</v>
      </c>
      <c r="AP182" t="s">
        <v>175</v>
      </c>
    </row>
    <row r="183" spans="1:42" hidden="1" x14ac:dyDescent="0.25">
      <c r="A183" s="138" t="s">
        <v>38</v>
      </c>
      <c r="B183" t="s">
        <v>44</v>
      </c>
      <c r="C183" t="s">
        <v>352</v>
      </c>
      <c r="D183" s="150">
        <v>111</v>
      </c>
      <c r="E183" t="s">
        <v>201</v>
      </c>
      <c r="F183" t="s">
        <v>202</v>
      </c>
      <c r="G183" t="s">
        <v>532</v>
      </c>
      <c r="H183" s="150">
        <v>32882</v>
      </c>
      <c r="I183" s="139" t="s">
        <v>46</v>
      </c>
      <c r="J183">
        <v>40768.269999999997</v>
      </c>
      <c r="K183">
        <v>6218.9</v>
      </c>
      <c r="L183">
        <v>34549.370000000003</v>
      </c>
      <c r="M183" t="s">
        <v>39</v>
      </c>
      <c r="N183" t="s">
        <v>473</v>
      </c>
      <c r="O183">
        <v>0</v>
      </c>
      <c r="P183">
        <v>0</v>
      </c>
      <c r="Q183">
        <v>0</v>
      </c>
      <c r="R183">
        <v>0</v>
      </c>
      <c r="S183">
        <v>3109.45</v>
      </c>
      <c r="T183">
        <v>3109.45</v>
      </c>
      <c r="U183">
        <v>0</v>
      </c>
      <c r="V183">
        <v>0</v>
      </c>
      <c r="W183">
        <v>0</v>
      </c>
      <c r="X183">
        <v>0</v>
      </c>
      <c r="Y183">
        <v>3109.45</v>
      </c>
      <c r="Z183">
        <v>3109.45</v>
      </c>
      <c r="AA183">
        <v>0</v>
      </c>
      <c r="AB183">
        <v>0</v>
      </c>
      <c r="AC183">
        <v>0</v>
      </c>
      <c r="AD183" s="138"/>
      <c r="AE183">
        <v>0</v>
      </c>
      <c r="AF183" s="138">
        <f>+Purchase[[#This Row],[IGST Total]]+Purchase[[#This Row],[CGST Total]]+Purchase[[#This Row],[SGST Total]]</f>
        <v>6218.9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 s="138">
        <f>+Purchase[[#This Row],[IGST RCM Total]]+Purchase[[#This Row],[CGST RCM Total]]+Purchase[[#This Row],[SGST RCM Total]]</f>
        <v>0</v>
      </c>
      <c r="AP183" t="s">
        <v>175</v>
      </c>
    </row>
    <row r="184" spans="1:42" hidden="1" x14ac:dyDescent="0.25">
      <c r="A184" s="138" t="s">
        <v>38</v>
      </c>
      <c r="B184" t="s">
        <v>44</v>
      </c>
      <c r="C184" t="s">
        <v>354</v>
      </c>
      <c r="D184" s="150">
        <v>111</v>
      </c>
      <c r="E184" t="s">
        <v>201</v>
      </c>
      <c r="F184" t="s">
        <v>202</v>
      </c>
      <c r="G184" t="s">
        <v>533</v>
      </c>
      <c r="H184" s="150">
        <v>32882</v>
      </c>
      <c r="I184" s="139" t="s">
        <v>46</v>
      </c>
      <c r="J184">
        <v>18571.73</v>
      </c>
      <c r="K184">
        <v>2832.98</v>
      </c>
      <c r="L184">
        <v>15738.75</v>
      </c>
      <c r="M184" t="s">
        <v>39</v>
      </c>
      <c r="N184" t="s">
        <v>473</v>
      </c>
      <c r="O184">
        <v>0</v>
      </c>
      <c r="P184">
        <v>0</v>
      </c>
      <c r="Q184">
        <v>0</v>
      </c>
      <c r="R184">
        <v>0</v>
      </c>
      <c r="S184">
        <v>1416.49</v>
      </c>
      <c r="T184">
        <v>1416.49</v>
      </c>
      <c r="U184">
        <v>0</v>
      </c>
      <c r="V184">
        <v>0</v>
      </c>
      <c r="W184">
        <v>0</v>
      </c>
      <c r="X184">
        <v>0</v>
      </c>
      <c r="Y184">
        <v>1416.49</v>
      </c>
      <c r="Z184">
        <v>1416.49</v>
      </c>
      <c r="AA184">
        <v>0</v>
      </c>
      <c r="AB184">
        <v>0</v>
      </c>
      <c r="AC184">
        <v>0</v>
      </c>
      <c r="AD184" s="138"/>
      <c r="AE184">
        <v>0</v>
      </c>
      <c r="AF184" s="138">
        <f>+Purchase[[#This Row],[IGST Total]]+Purchase[[#This Row],[CGST Total]]+Purchase[[#This Row],[SGST Total]]</f>
        <v>2832.98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 s="138">
        <f>+Purchase[[#This Row],[IGST RCM Total]]+Purchase[[#This Row],[CGST RCM Total]]+Purchase[[#This Row],[SGST RCM Total]]</f>
        <v>0</v>
      </c>
      <c r="AP184" t="s">
        <v>175</v>
      </c>
    </row>
    <row r="185" spans="1:42" hidden="1" x14ac:dyDescent="0.25">
      <c r="A185" s="138" t="s">
        <v>38</v>
      </c>
      <c r="B185" t="s">
        <v>44</v>
      </c>
      <c r="C185" t="s">
        <v>355</v>
      </c>
      <c r="D185" s="150">
        <v>111</v>
      </c>
      <c r="E185" t="s">
        <v>201</v>
      </c>
      <c r="F185" t="s">
        <v>202</v>
      </c>
      <c r="G185" t="s">
        <v>534</v>
      </c>
      <c r="H185" s="150">
        <v>32881</v>
      </c>
      <c r="I185" s="139" t="s">
        <v>46</v>
      </c>
      <c r="J185">
        <v>1091230.05</v>
      </c>
      <c r="K185">
        <v>166459</v>
      </c>
      <c r="L185">
        <v>924771.04599999997</v>
      </c>
      <c r="M185" t="s">
        <v>39</v>
      </c>
      <c r="N185" t="s">
        <v>249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166459</v>
      </c>
      <c r="AD185" s="138"/>
      <c r="AE185">
        <v>166459</v>
      </c>
      <c r="AF185" s="138">
        <f>+Purchase[[#This Row],[IGST Total]]+Purchase[[#This Row],[CGST Total]]+Purchase[[#This Row],[SGST Total]]</f>
        <v>166459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 s="138">
        <f>+Purchase[[#This Row],[IGST RCM Total]]+Purchase[[#This Row],[CGST RCM Total]]+Purchase[[#This Row],[SGST RCM Total]]</f>
        <v>0</v>
      </c>
      <c r="AP185" t="s">
        <v>176</v>
      </c>
    </row>
    <row r="186" spans="1:42" hidden="1" x14ac:dyDescent="0.25">
      <c r="A186" s="138" t="s">
        <v>38</v>
      </c>
      <c r="B186" t="s">
        <v>44</v>
      </c>
      <c r="C186" t="s">
        <v>357</v>
      </c>
      <c r="D186" s="150">
        <v>111</v>
      </c>
      <c r="E186" t="s">
        <v>201</v>
      </c>
      <c r="F186" t="s">
        <v>202</v>
      </c>
      <c r="G186" t="s">
        <v>196</v>
      </c>
      <c r="H186" s="150">
        <v>32882</v>
      </c>
      <c r="I186" s="139" t="s">
        <v>46</v>
      </c>
      <c r="J186">
        <v>25853.94</v>
      </c>
      <c r="K186">
        <v>3943.82</v>
      </c>
      <c r="L186">
        <v>21910.12</v>
      </c>
      <c r="M186" t="s">
        <v>39</v>
      </c>
      <c r="N186" t="s">
        <v>473</v>
      </c>
      <c r="O186">
        <v>0</v>
      </c>
      <c r="P186">
        <v>0</v>
      </c>
      <c r="Q186">
        <v>0</v>
      </c>
      <c r="R186">
        <v>0</v>
      </c>
      <c r="S186">
        <v>1971.91</v>
      </c>
      <c r="T186">
        <v>1971.91</v>
      </c>
      <c r="U186">
        <v>0</v>
      </c>
      <c r="V186">
        <v>0</v>
      </c>
      <c r="W186">
        <v>0</v>
      </c>
      <c r="X186">
        <v>0</v>
      </c>
      <c r="Y186">
        <v>1971.91</v>
      </c>
      <c r="Z186">
        <v>1971.91</v>
      </c>
      <c r="AA186">
        <v>0</v>
      </c>
      <c r="AB186">
        <v>0</v>
      </c>
      <c r="AC186">
        <v>0</v>
      </c>
      <c r="AD186" s="138"/>
      <c r="AE186">
        <v>0</v>
      </c>
      <c r="AF186" s="138">
        <f>+Purchase[[#This Row],[IGST Total]]+Purchase[[#This Row],[CGST Total]]+Purchase[[#This Row],[SGST Total]]</f>
        <v>3943.82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 s="138">
        <f>+Purchase[[#This Row],[IGST RCM Total]]+Purchase[[#This Row],[CGST RCM Total]]+Purchase[[#This Row],[SGST RCM Total]]</f>
        <v>0</v>
      </c>
      <c r="AP186" t="s">
        <v>175</v>
      </c>
    </row>
    <row r="187" spans="1:42" hidden="1" x14ac:dyDescent="0.25">
      <c r="A187" s="138" t="s">
        <v>38</v>
      </c>
      <c r="B187" t="s">
        <v>44</v>
      </c>
      <c r="C187" t="s">
        <v>207</v>
      </c>
      <c r="D187" s="150">
        <v>111</v>
      </c>
      <c r="E187" t="s">
        <v>201</v>
      </c>
      <c r="F187" t="s">
        <v>202</v>
      </c>
      <c r="G187" t="s">
        <v>535</v>
      </c>
      <c r="H187" s="150">
        <v>32884</v>
      </c>
      <c r="I187" s="139" t="s">
        <v>46</v>
      </c>
      <c r="J187">
        <v>172255.34</v>
      </c>
      <c r="K187">
        <v>26276.240000000002</v>
      </c>
      <c r="L187">
        <v>145979.1</v>
      </c>
      <c r="M187" t="s">
        <v>39</v>
      </c>
      <c r="N187" t="s">
        <v>254</v>
      </c>
      <c r="O187">
        <v>0</v>
      </c>
      <c r="P187">
        <v>0</v>
      </c>
      <c r="Q187">
        <v>0</v>
      </c>
      <c r="R187">
        <v>0</v>
      </c>
      <c r="S187">
        <v>13138.12</v>
      </c>
      <c r="T187">
        <v>13138.12</v>
      </c>
      <c r="U187">
        <v>0</v>
      </c>
      <c r="V187">
        <v>0</v>
      </c>
      <c r="W187">
        <v>0</v>
      </c>
      <c r="X187">
        <v>0</v>
      </c>
      <c r="Y187">
        <v>13138.12</v>
      </c>
      <c r="Z187">
        <v>13138.12</v>
      </c>
      <c r="AA187">
        <v>0</v>
      </c>
      <c r="AB187">
        <v>0</v>
      </c>
      <c r="AC187">
        <v>0</v>
      </c>
      <c r="AD187" s="138"/>
      <c r="AE187">
        <v>0</v>
      </c>
      <c r="AF187" s="138">
        <f>+Purchase[[#This Row],[IGST Total]]+Purchase[[#This Row],[CGST Total]]+Purchase[[#This Row],[SGST Total]]</f>
        <v>26276.240000000002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 s="138">
        <f>+Purchase[[#This Row],[IGST RCM Total]]+Purchase[[#This Row],[CGST RCM Total]]+Purchase[[#This Row],[SGST RCM Total]]</f>
        <v>0</v>
      </c>
      <c r="AP187" t="s">
        <v>8</v>
      </c>
    </row>
    <row r="188" spans="1:42" hidden="1" x14ac:dyDescent="0.25">
      <c r="A188" s="138" t="s">
        <v>38</v>
      </c>
      <c r="B188" t="s">
        <v>44</v>
      </c>
      <c r="C188" t="s">
        <v>361</v>
      </c>
      <c r="D188" s="150">
        <v>111</v>
      </c>
      <c r="E188" t="s">
        <v>201</v>
      </c>
      <c r="F188" t="s">
        <v>202</v>
      </c>
      <c r="G188" t="s">
        <v>536</v>
      </c>
      <c r="H188" s="150">
        <v>32884</v>
      </c>
      <c r="I188" s="139" t="s">
        <v>46</v>
      </c>
      <c r="J188">
        <v>13053.9</v>
      </c>
      <c r="K188">
        <v>1991.28</v>
      </c>
      <c r="L188">
        <v>11062.62</v>
      </c>
      <c r="M188" t="s">
        <v>39</v>
      </c>
      <c r="N188" t="s">
        <v>473</v>
      </c>
      <c r="O188">
        <v>0</v>
      </c>
      <c r="P188">
        <v>0</v>
      </c>
      <c r="Q188">
        <v>0</v>
      </c>
      <c r="R188">
        <v>0</v>
      </c>
      <c r="S188">
        <v>995.64</v>
      </c>
      <c r="T188">
        <v>995.64</v>
      </c>
      <c r="U188">
        <v>0</v>
      </c>
      <c r="V188">
        <v>0</v>
      </c>
      <c r="W188">
        <v>0</v>
      </c>
      <c r="X188">
        <v>0</v>
      </c>
      <c r="Y188">
        <v>995.64</v>
      </c>
      <c r="Z188">
        <v>995.64</v>
      </c>
      <c r="AA188">
        <v>0</v>
      </c>
      <c r="AB188">
        <v>0</v>
      </c>
      <c r="AC188">
        <v>0</v>
      </c>
      <c r="AD188" s="138"/>
      <c r="AE188">
        <v>0</v>
      </c>
      <c r="AF188" s="138">
        <f>+Purchase[[#This Row],[IGST Total]]+Purchase[[#This Row],[CGST Total]]+Purchase[[#This Row],[SGST Total]]</f>
        <v>1991.28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 s="138">
        <f>+Purchase[[#This Row],[IGST RCM Total]]+Purchase[[#This Row],[CGST RCM Total]]+Purchase[[#This Row],[SGST RCM Total]]</f>
        <v>0</v>
      </c>
      <c r="AP188" t="s">
        <v>175</v>
      </c>
    </row>
    <row r="189" spans="1:42" hidden="1" x14ac:dyDescent="0.25">
      <c r="A189" s="138" t="s">
        <v>38</v>
      </c>
      <c r="B189" t="s">
        <v>44</v>
      </c>
      <c r="C189" t="s">
        <v>363</v>
      </c>
      <c r="D189" s="150">
        <v>111</v>
      </c>
      <c r="E189" t="s">
        <v>201</v>
      </c>
      <c r="F189" t="s">
        <v>202</v>
      </c>
      <c r="G189" t="s">
        <v>537</v>
      </c>
      <c r="H189" s="150">
        <v>32884</v>
      </c>
      <c r="I189" s="139" t="s">
        <v>46</v>
      </c>
      <c r="J189">
        <v>987010.52</v>
      </c>
      <c r="K189">
        <v>150560.92000000001</v>
      </c>
      <c r="L189">
        <v>836449.6</v>
      </c>
      <c r="M189" t="s">
        <v>39</v>
      </c>
      <c r="N189" t="s">
        <v>252</v>
      </c>
      <c r="O189">
        <v>0</v>
      </c>
      <c r="P189">
        <v>0</v>
      </c>
      <c r="Q189">
        <v>0</v>
      </c>
      <c r="R189">
        <v>0</v>
      </c>
      <c r="S189">
        <v>75280.460000000006</v>
      </c>
      <c r="T189">
        <v>75280.460000000006</v>
      </c>
      <c r="U189">
        <v>0</v>
      </c>
      <c r="V189">
        <v>0</v>
      </c>
      <c r="W189">
        <v>0</v>
      </c>
      <c r="X189">
        <v>0</v>
      </c>
      <c r="Y189">
        <v>75280.460000000006</v>
      </c>
      <c r="Z189">
        <v>75280.460000000006</v>
      </c>
      <c r="AA189">
        <v>0</v>
      </c>
      <c r="AB189">
        <v>0</v>
      </c>
      <c r="AC189">
        <v>0</v>
      </c>
      <c r="AD189" s="138"/>
      <c r="AE189">
        <v>0</v>
      </c>
      <c r="AF189" s="138">
        <f>+Purchase[[#This Row],[IGST Total]]+Purchase[[#This Row],[CGST Total]]+Purchase[[#This Row],[SGST Total]]</f>
        <v>150560.92000000001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 s="138">
        <f>+Purchase[[#This Row],[IGST RCM Total]]+Purchase[[#This Row],[CGST RCM Total]]+Purchase[[#This Row],[SGST RCM Total]]</f>
        <v>0</v>
      </c>
      <c r="AP189" t="s">
        <v>175</v>
      </c>
    </row>
    <row r="190" spans="1:42" hidden="1" x14ac:dyDescent="0.25">
      <c r="A190" s="138" t="s">
        <v>38</v>
      </c>
      <c r="B190" t="s">
        <v>44</v>
      </c>
      <c r="C190" t="s">
        <v>365</v>
      </c>
      <c r="D190" s="150">
        <v>111</v>
      </c>
      <c r="E190" t="s">
        <v>201</v>
      </c>
      <c r="F190" t="s">
        <v>202</v>
      </c>
      <c r="G190" t="s">
        <v>538</v>
      </c>
      <c r="H190" s="150">
        <v>32881</v>
      </c>
      <c r="I190" s="139" t="s">
        <v>46</v>
      </c>
      <c r="J190">
        <v>236478.14</v>
      </c>
      <c r="K190">
        <v>36072.94</v>
      </c>
      <c r="L190">
        <v>200405.2</v>
      </c>
      <c r="M190" t="s">
        <v>39</v>
      </c>
      <c r="N190" t="s">
        <v>403</v>
      </c>
      <c r="O190">
        <v>0</v>
      </c>
      <c r="P190">
        <v>0</v>
      </c>
      <c r="Q190">
        <v>0</v>
      </c>
      <c r="R190">
        <v>0</v>
      </c>
      <c r="S190">
        <v>18036.47</v>
      </c>
      <c r="T190">
        <v>18036.47</v>
      </c>
      <c r="U190">
        <v>0</v>
      </c>
      <c r="V190">
        <v>0</v>
      </c>
      <c r="W190">
        <v>0</v>
      </c>
      <c r="X190">
        <v>0</v>
      </c>
      <c r="Y190">
        <v>18036.47</v>
      </c>
      <c r="Z190">
        <v>18036.47</v>
      </c>
      <c r="AA190">
        <v>0</v>
      </c>
      <c r="AB190">
        <v>0</v>
      </c>
      <c r="AC190">
        <v>0</v>
      </c>
      <c r="AD190" s="138"/>
      <c r="AE190">
        <v>0</v>
      </c>
      <c r="AF190" s="138">
        <f>+Purchase[[#This Row],[IGST Total]]+Purchase[[#This Row],[CGST Total]]+Purchase[[#This Row],[SGST Total]]</f>
        <v>36072.94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 s="138">
        <f>+Purchase[[#This Row],[IGST RCM Total]]+Purchase[[#This Row],[CGST RCM Total]]+Purchase[[#This Row],[SGST RCM Total]]</f>
        <v>0</v>
      </c>
      <c r="AP190" t="s">
        <v>175</v>
      </c>
    </row>
    <row r="191" spans="1:42" hidden="1" x14ac:dyDescent="0.25">
      <c r="A191" s="138" t="s">
        <v>38</v>
      </c>
      <c r="B191" t="s">
        <v>44</v>
      </c>
      <c r="C191" t="s">
        <v>367</v>
      </c>
      <c r="D191" s="150">
        <v>111</v>
      </c>
      <c r="E191" t="s">
        <v>201</v>
      </c>
      <c r="F191" t="s">
        <v>202</v>
      </c>
      <c r="G191" t="s">
        <v>248</v>
      </c>
      <c r="H191" s="150">
        <v>32882</v>
      </c>
      <c r="I191" s="139" t="s">
        <v>46</v>
      </c>
      <c r="J191">
        <v>1420790.74</v>
      </c>
      <c r="K191">
        <v>216731</v>
      </c>
      <c r="L191">
        <v>1204059.737</v>
      </c>
      <c r="M191" t="s">
        <v>39</v>
      </c>
      <c r="N191" t="s">
        <v>249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216731</v>
      </c>
      <c r="AD191" s="138"/>
      <c r="AE191">
        <v>216731</v>
      </c>
      <c r="AF191" s="138">
        <f>+Purchase[[#This Row],[IGST Total]]+Purchase[[#This Row],[CGST Total]]+Purchase[[#This Row],[SGST Total]]</f>
        <v>216731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 s="138">
        <f>+Purchase[[#This Row],[IGST RCM Total]]+Purchase[[#This Row],[CGST RCM Total]]+Purchase[[#This Row],[SGST RCM Total]]</f>
        <v>0</v>
      </c>
      <c r="AP191" t="s">
        <v>176</v>
      </c>
    </row>
    <row r="192" spans="1:42" hidden="1" x14ac:dyDescent="0.25">
      <c r="A192" s="138" t="s">
        <v>38</v>
      </c>
      <c r="B192" t="s">
        <v>44</v>
      </c>
      <c r="C192" t="s">
        <v>369</v>
      </c>
      <c r="D192" s="150">
        <v>111</v>
      </c>
      <c r="E192" t="s">
        <v>201</v>
      </c>
      <c r="F192" t="s">
        <v>202</v>
      </c>
      <c r="G192" t="s">
        <v>539</v>
      </c>
      <c r="H192" s="150">
        <v>32884</v>
      </c>
      <c r="I192" s="139" t="s">
        <v>46</v>
      </c>
      <c r="J192">
        <v>1608774.85</v>
      </c>
      <c r="K192">
        <v>245406</v>
      </c>
      <c r="L192">
        <v>1363368.848</v>
      </c>
      <c r="M192" t="s">
        <v>39</v>
      </c>
      <c r="N192" t="s">
        <v>334</v>
      </c>
      <c r="O192">
        <v>0</v>
      </c>
      <c r="P192">
        <v>0</v>
      </c>
      <c r="Q192">
        <v>0</v>
      </c>
      <c r="R192">
        <v>0</v>
      </c>
      <c r="S192">
        <v>122703</v>
      </c>
      <c r="T192">
        <v>122703</v>
      </c>
      <c r="U192">
        <v>0</v>
      </c>
      <c r="V192">
        <v>0</v>
      </c>
      <c r="W192">
        <v>0</v>
      </c>
      <c r="X192">
        <v>0</v>
      </c>
      <c r="Y192">
        <v>122703</v>
      </c>
      <c r="Z192">
        <v>122703</v>
      </c>
      <c r="AA192">
        <v>0</v>
      </c>
      <c r="AB192">
        <v>0</v>
      </c>
      <c r="AC192">
        <v>0</v>
      </c>
      <c r="AD192" s="138"/>
      <c r="AE192">
        <v>0</v>
      </c>
      <c r="AF192" s="138">
        <f>+Purchase[[#This Row],[IGST Total]]+Purchase[[#This Row],[CGST Total]]+Purchase[[#This Row],[SGST Total]]</f>
        <v>245406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 s="138">
        <f>+Purchase[[#This Row],[IGST RCM Total]]+Purchase[[#This Row],[CGST RCM Total]]+Purchase[[#This Row],[SGST RCM Total]]</f>
        <v>0</v>
      </c>
      <c r="AP192" t="s">
        <v>175</v>
      </c>
    </row>
    <row r="193" spans="1:42" hidden="1" x14ac:dyDescent="0.25">
      <c r="A193" s="138" t="s">
        <v>38</v>
      </c>
      <c r="B193" t="s">
        <v>44</v>
      </c>
      <c r="C193" t="s">
        <v>371</v>
      </c>
      <c r="D193" s="150">
        <v>111</v>
      </c>
      <c r="E193" t="s">
        <v>201</v>
      </c>
      <c r="F193" t="s">
        <v>202</v>
      </c>
      <c r="G193" t="s">
        <v>199</v>
      </c>
      <c r="H193" s="150">
        <v>32885</v>
      </c>
      <c r="I193" s="139" t="s">
        <v>46</v>
      </c>
      <c r="J193">
        <v>14977.96</v>
      </c>
      <c r="K193">
        <v>2284.7600000000002</v>
      </c>
      <c r="L193">
        <v>12693.2</v>
      </c>
      <c r="M193" t="s">
        <v>39</v>
      </c>
      <c r="N193" t="s">
        <v>473</v>
      </c>
      <c r="O193">
        <v>0</v>
      </c>
      <c r="P193">
        <v>0</v>
      </c>
      <c r="Q193">
        <v>0</v>
      </c>
      <c r="R193">
        <v>0</v>
      </c>
      <c r="S193">
        <v>1142.3800000000001</v>
      </c>
      <c r="T193">
        <v>1142.3800000000001</v>
      </c>
      <c r="U193">
        <v>0</v>
      </c>
      <c r="V193">
        <v>0</v>
      </c>
      <c r="W193">
        <v>0</v>
      </c>
      <c r="X193">
        <v>0</v>
      </c>
      <c r="Y193">
        <v>1142.3800000000001</v>
      </c>
      <c r="Z193">
        <v>1142.3800000000001</v>
      </c>
      <c r="AA193">
        <v>0</v>
      </c>
      <c r="AB193">
        <v>0</v>
      </c>
      <c r="AC193">
        <v>0</v>
      </c>
      <c r="AD193" s="138"/>
      <c r="AE193">
        <v>0</v>
      </c>
      <c r="AF193" s="138">
        <f>+Purchase[[#This Row],[IGST Total]]+Purchase[[#This Row],[CGST Total]]+Purchase[[#This Row],[SGST Total]]</f>
        <v>2284.7600000000002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 s="138">
        <f>+Purchase[[#This Row],[IGST RCM Total]]+Purchase[[#This Row],[CGST RCM Total]]+Purchase[[#This Row],[SGST RCM Total]]</f>
        <v>0</v>
      </c>
      <c r="AP193" t="s">
        <v>175</v>
      </c>
    </row>
    <row r="194" spans="1:42" hidden="1" x14ac:dyDescent="0.25">
      <c r="A194" s="138" t="s">
        <v>38</v>
      </c>
      <c r="B194" t="s">
        <v>44</v>
      </c>
      <c r="C194" t="s">
        <v>373</v>
      </c>
      <c r="D194" s="150">
        <v>111</v>
      </c>
      <c r="E194" t="s">
        <v>201</v>
      </c>
      <c r="F194" t="s">
        <v>202</v>
      </c>
      <c r="G194" t="s">
        <v>540</v>
      </c>
      <c r="H194" s="150">
        <v>32885</v>
      </c>
      <c r="I194" s="139" t="s">
        <v>46</v>
      </c>
      <c r="J194">
        <v>245074.2</v>
      </c>
      <c r="K194">
        <v>37384.199999999997</v>
      </c>
      <c r="L194">
        <v>207690</v>
      </c>
      <c r="M194" t="s">
        <v>39</v>
      </c>
      <c r="N194" t="s">
        <v>403</v>
      </c>
      <c r="O194">
        <v>0</v>
      </c>
      <c r="P194">
        <v>0</v>
      </c>
      <c r="Q194">
        <v>0</v>
      </c>
      <c r="R194">
        <v>0</v>
      </c>
      <c r="S194">
        <v>18692.099999999999</v>
      </c>
      <c r="T194">
        <v>18692.099999999999</v>
      </c>
      <c r="U194">
        <v>0</v>
      </c>
      <c r="V194">
        <v>0</v>
      </c>
      <c r="W194">
        <v>0</v>
      </c>
      <c r="X194">
        <v>0</v>
      </c>
      <c r="Y194">
        <v>18692.099999999999</v>
      </c>
      <c r="Z194">
        <v>18692.099999999999</v>
      </c>
      <c r="AA194">
        <v>0</v>
      </c>
      <c r="AB194">
        <v>0</v>
      </c>
      <c r="AC194">
        <v>0</v>
      </c>
      <c r="AD194" s="138"/>
      <c r="AE194">
        <v>0</v>
      </c>
      <c r="AF194" s="138">
        <f>+Purchase[[#This Row],[IGST Total]]+Purchase[[#This Row],[CGST Total]]+Purchase[[#This Row],[SGST Total]]</f>
        <v>37384.199999999997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 s="138">
        <f>+Purchase[[#This Row],[IGST RCM Total]]+Purchase[[#This Row],[CGST RCM Total]]+Purchase[[#This Row],[SGST RCM Total]]</f>
        <v>0</v>
      </c>
      <c r="AP194" t="s">
        <v>175</v>
      </c>
    </row>
    <row r="195" spans="1:42" hidden="1" x14ac:dyDescent="0.25">
      <c r="A195" s="138" t="s">
        <v>38</v>
      </c>
      <c r="B195" t="s">
        <v>44</v>
      </c>
      <c r="C195" t="s">
        <v>375</v>
      </c>
      <c r="D195" s="150">
        <v>112</v>
      </c>
      <c r="E195" t="s">
        <v>201</v>
      </c>
      <c r="F195" t="s">
        <v>202</v>
      </c>
      <c r="G195" t="s">
        <v>541</v>
      </c>
      <c r="H195" s="150">
        <v>32885</v>
      </c>
      <c r="I195" s="139" t="s">
        <v>46</v>
      </c>
      <c r="J195">
        <v>149544.48000000001</v>
      </c>
      <c r="K195">
        <v>22962.720000000001</v>
      </c>
      <c r="L195">
        <v>127570.68</v>
      </c>
      <c r="M195" t="s">
        <v>39</v>
      </c>
      <c r="N195" t="s">
        <v>542</v>
      </c>
      <c r="O195">
        <v>0</v>
      </c>
      <c r="P195">
        <v>0</v>
      </c>
      <c r="Q195">
        <v>0</v>
      </c>
      <c r="R195">
        <v>0</v>
      </c>
      <c r="S195">
        <v>11481.36</v>
      </c>
      <c r="T195">
        <v>11481.36</v>
      </c>
      <c r="U195">
        <v>0</v>
      </c>
      <c r="V195">
        <v>0</v>
      </c>
      <c r="W195">
        <v>0</v>
      </c>
      <c r="X195">
        <v>0</v>
      </c>
      <c r="Y195">
        <v>11481.36</v>
      </c>
      <c r="Z195">
        <v>11481.36</v>
      </c>
      <c r="AA195">
        <v>0</v>
      </c>
      <c r="AB195">
        <v>0</v>
      </c>
      <c r="AC195">
        <v>0</v>
      </c>
      <c r="AD195" s="138"/>
      <c r="AE195">
        <v>0</v>
      </c>
      <c r="AF195" s="138">
        <f>+Purchase[[#This Row],[IGST Total]]+Purchase[[#This Row],[CGST Total]]+Purchase[[#This Row],[SGST Total]]</f>
        <v>22962.720000000001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 s="138">
        <f>+Purchase[[#This Row],[IGST RCM Total]]+Purchase[[#This Row],[CGST RCM Total]]+Purchase[[#This Row],[SGST RCM Total]]</f>
        <v>0</v>
      </c>
      <c r="AP195" t="s">
        <v>175</v>
      </c>
    </row>
    <row r="196" spans="1:42" hidden="1" x14ac:dyDescent="0.25">
      <c r="A196" s="138" t="s">
        <v>38</v>
      </c>
      <c r="B196" t="s">
        <v>44</v>
      </c>
      <c r="C196" t="s">
        <v>377</v>
      </c>
      <c r="D196" s="150">
        <v>112</v>
      </c>
      <c r="E196" t="s">
        <v>201</v>
      </c>
      <c r="F196" t="s">
        <v>202</v>
      </c>
      <c r="G196" t="s">
        <v>543</v>
      </c>
      <c r="H196" s="150">
        <v>32885</v>
      </c>
      <c r="I196" s="139" t="s">
        <v>46</v>
      </c>
      <c r="J196">
        <v>1397731.15</v>
      </c>
      <c r="K196">
        <v>213213</v>
      </c>
      <c r="L196">
        <v>1184518.1459999999</v>
      </c>
      <c r="M196" t="s">
        <v>39</v>
      </c>
      <c r="N196" t="s">
        <v>249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213213</v>
      </c>
      <c r="AD196" s="138"/>
      <c r="AE196">
        <v>213213</v>
      </c>
      <c r="AF196" s="138">
        <f>+Purchase[[#This Row],[IGST Total]]+Purchase[[#This Row],[CGST Total]]+Purchase[[#This Row],[SGST Total]]</f>
        <v>213213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 s="138">
        <f>+Purchase[[#This Row],[IGST RCM Total]]+Purchase[[#This Row],[CGST RCM Total]]+Purchase[[#This Row],[SGST RCM Total]]</f>
        <v>0</v>
      </c>
      <c r="AP196" t="s">
        <v>176</v>
      </c>
    </row>
    <row r="197" spans="1:42" hidden="1" x14ac:dyDescent="0.25">
      <c r="A197" s="138" t="s">
        <v>38</v>
      </c>
      <c r="B197" t="s">
        <v>44</v>
      </c>
      <c r="C197" t="s">
        <v>379</v>
      </c>
      <c r="D197" s="150">
        <v>112</v>
      </c>
      <c r="E197" t="s">
        <v>201</v>
      </c>
      <c r="F197" t="s">
        <v>202</v>
      </c>
      <c r="G197" t="s">
        <v>544</v>
      </c>
      <c r="H197" s="150">
        <v>32884</v>
      </c>
      <c r="I197" s="139" t="s">
        <v>46</v>
      </c>
      <c r="J197">
        <v>984038.75</v>
      </c>
      <c r="K197">
        <v>150108</v>
      </c>
      <c r="L197">
        <v>833930.75</v>
      </c>
      <c r="M197" t="s">
        <v>39</v>
      </c>
      <c r="N197" t="s">
        <v>334</v>
      </c>
      <c r="O197">
        <v>0</v>
      </c>
      <c r="P197">
        <v>0</v>
      </c>
      <c r="Q197">
        <v>0</v>
      </c>
      <c r="R197">
        <v>0</v>
      </c>
      <c r="S197">
        <v>75054</v>
      </c>
      <c r="T197">
        <v>75054</v>
      </c>
      <c r="U197">
        <v>0</v>
      </c>
      <c r="V197">
        <v>0</v>
      </c>
      <c r="W197">
        <v>0</v>
      </c>
      <c r="X197">
        <v>0</v>
      </c>
      <c r="Y197">
        <v>75054</v>
      </c>
      <c r="Z197">
        <v>75054</v>
      </c>
      <c r="AA197">
        <v>0</v>
      </c>
      <c r="AB197">
        <v>0</v>
      </c>
      <c r="AC197">
        <v>0</v>
      </c>
      <c r="AD197" s="138"/>
      <c r="AE197">
        <v>0</v>
      </c>
      <c r="AF197" s="138">
        <f>+Purchase[[#This Row],[IGST Total]]+Purchase[[#This Row],[CGST Total]]+Purchase[[#This Row],[SGST Total]]</f>
        <v>150108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 s="138">
        <f>+Purchase[[#This Row],[IGST RCM Total]]+Purchase[[#This Row],[CGST RCM Total]]+Purchase[[#This Row],[SGST RCM Total]]</f>
        <v>0</v>
      </c>
      <c r="AP197" t="s">
        <v>175</v>
      </c>
    </row>
    <row r="198" spans="1:42" hidden="1" x14ac:dyDescent="0.25">
      <c r="A198" s="138" t="s">
        <v>38</v>
      </c>
      <c r="B198" t="s">
        <v>44</v>
      </c>
      <c r="C198" t="s">
        <v>381</v>
      </c>
      <c r="D198" s="150">
        <v>112</v>
      </c>
      <c r="E198" t="s">
        <v>201</v>
      </c>
      <c r="F198" t="s">
        <v>202</v>
      </c>
      <c r="G198" t="s">
        <v>545</v>
      </c>
      <c r="H198" s="150">
        <v>32885</v>
      </c>
      <c r="I198" s="139" t="s">
        <v>46</v>
      </c>
      <c r="J198">
        <v>238319.88</v>
      </c>
      <c r="K198">
        <v>36353.879999999997</v>
      </c>
      <c r="L198">
        <v>201966</v>
      </c>
      <c r="M198" t="s">
        <v>39</v>
      </c>
      <c r="N198" t="s">
        <v>529</v>
      </c>
      <c r="O198">
        <v>0</v>
      </c>
      <c r="P198">
        <v>0</v>
      </c>
      <c r="Q198">
        <v>0</v>
      </c>
      <c r="R198">
        <v>0</v>
      </c>
      <c r="S198">
        <v>18176.939999999999</v>
      </c>
      <c r="T198">
        <v>18176.939999999999</v>
      </c>
      <c r="U198">
        <v>0</v>
      </c>
      <c r="V198">
        <v>0</v>
      </c>
      <c r="W198">
        <v>0</v>
      </c>
      <c r="X198">
        <v>0</v>
      </c>
      <c r="Y198">
        <v>18176.939999999999</v>
      </c>
      <c r="Z198">
        <v>18176.939999999999</v>
      </c>
      <c r="AA198">
        <v>0</v>
      </c>
      <c r="AB198">
        <v>0</v>
      </c>
      <c r="AC198">
        <v>0</v>
      </c>
      <c r="AD198" s="138"/>
      <c r="AE198">
        <v>0</v>
      </c>
      <c r="AF198" s="138">
        <f>+Purchase[[#This Row],[IGST Total]]+Purchase[[#This Row],[CGST Total]]+Purchase[[#This Row],[SGST Total]]</f>
        <v>36353.879999999997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 s="138">
        <f>+Purchase[[#This Row],[IGST RCM Total]]+Purchase[[#This Row],[CGST RCM Total]]+Purchase[[#This Row],[SGST RCM Total]]</f>
        <v>0</v>
      </c>
      <c r="AP198" t="s">
        <v>8</v>
      </c>
    </row>
    <row r="199" spans="1:42" hidden="1" x14ac:dyDescent="0.25">
      <c r="A199" s="138" t="s">
        <v>38</v>
      </c>
      <c r="B199" t="s">
        <v>44</v>
      </c>
      <c r="C199" t="s">
        <v>383</v>
      </c>
      <c r="D199" s="150">
        <v>112</v>
      </c>
      <c r="E199" t="s">
        <v>201</v>
      </c>
      <c r="F199" t="s">
        <v>202</v>
      </c>
      <c r="G199" t="s">
        <v>546</v>
      </c>
      <c r="H199" s="150">
        <v>32886</v>
      </c>
      <c r="I199" s="139" t="s">
        <v>46</v>
      </c>
      <c r="J199">
        <v>1031998.06</v>
      </c>
      <c r="K199">
        <v>157423.44</v>
      </c>
      <c r="L199">
        <v>874574.62</v>
      </c>
      <c r="M199" t="s">
        <v>39</v>
      </c>
      <c r="N199" t="s">
        <v>252</v>
      </c>
      <c r="O199">
        <v>0</v>
      </c>
      <c r="P199">
        <v>0</v>
      </c>
      <c r="Q199">
        <v>0</v>
      </c>
      <c r="R199">
        <v>0</v>
      </c>
      <c r="S199">
        <v>78711.72</v>
      </c>
      <c r="T199">
        <v>78711.72</v>
      </c>
      <c r="U199">
        <v>0</v>
      </c>
      <c r="V199">
        <v>0</v>
      </c>
      <c r="W199">
        <v>0</v>
      </c>
      <c r="X199">
        <v>0</v>
      </c>
      <c r="Y199">
        <v>78711.72</v>
      </c>
      <c r="Z199">
        <v>78711.72</v>
      </c>
      <c r="AA199">
        <v>0</v>
      </c>
      <c r="AB199">
        <v>0</v>
      </c>
      <c r="AC199">
        <v>0</v>
      </c>
      <c r="AD199" s="138"/>
      <c r="AE199">
        <v>0</v>
      </c>
      <c r="AF199" s="138">
        <f>+Purchase[[#This Row],[IGST Total]]+Purchase[[#This Row],[CGST Total]]+Purchase[[#This Row],[SGST Total]]</f>
        <v>157423.44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 s="138">
        <f>+Purchase[[#This Row],[IGST RCM Total]]+Purchase[[#This Row],[CGST RCM Total]]+Purchase[[#This Row],[SGST RCM Total]]</f>
        <v>0</v>
      </c>
      <c r="AP199" t="s">
        <v>175</v>
      </c>
    </row>
    <row r="200" spans="1:42" hidden="1" x14ac:dyDescent="0.25">
      <c r="A200" s="138" t="s">
        <v>38</v>
      </c>
      <c r="B200" t="s">
        <v>44</v>
      </c>
      <c r="C200" t="s">
        <v>386</v>
      </c>
      <c r="D200" s="150">
        <v>112</v>
      </c>
      <c r="E200" t="s">
        <v>201</v>
      </c>
      <c r="F200" t="s">
        <v>202</v>
      </c>
      <c r="G200" t="s">
        <v>547</v>
      </c>
      <c r="H200" s="150">
        <v>32885</v>
      </c>
      <c r="I200" s="139" t="s">
        <v>46</v>
      </c>
      <c r="J200">
        <v>211077</v>
      </c>
      <c r="K200">
        <v>32197</v>
      </c>
      <c r="L200">
        <v>178880</v>
      </c>
      <c r="M200" t="s">
        <v>39</v>
      </c>
      <c r="N200" t="s">
        <v>548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32197</v>
      </c>
      <c r="AD200" s="138"/>
      <c r="AE200">
        <v>32197</v>
      </c>
      <c r="AF200" s="138">
        <f>+Purchase[[#This Row],[IGST Total]]+Purchase[[#This Row],[CGST Total]]+Purchase[[#This Row],[SGST Total]]</f>
        <v>32197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 s="138">
        <f>+Purchase[[#This Row],[IGST RCM Total]]+Purchase[[#This Row],[CGST RCM Total]]+Purchase[[#This Row],[SGST RCM Total]]</f>
        <v>0</v>
      </c>
      <c r="AP200" t="s">
        <v>176</v>
      </c>
    </row>
    <row r="201" spans="1:42" hidden="1" x14ac:dyDescent="0.25">
      <c r="A201" s="138" t="s">
        <v>38</v>
      </c>
      <c r="B201" t="s">
        <v>44</v>
      </c>
      <c r="C201" t="s">
        <v>389</v>
      </c>
      <c r="D201" s="150">
        <v>112</v>
      </c>
      <c r="E201" t="s">
        <v>201</v>
      </c>
      <c r="F201" t="s">
        <v>202</v>
      </c>
      <c r="G201" t="s">
        <v>549</v>
      </c>
      <c r="H201" s="150">
        <v>32887</v>
      </c>
      <c r="I201" s="139" t="s">
        <v>46</v>
      </c>
      <c r="J201">
        <v>1083440.1200000001</v>
      </c>
      <c r="K201">
        <v>165270.51999999999</v>
      </c>
      <c r="L201">
        <v>918169.59999999998</v>
      </c>
      <c r="M201" t="s">
        <v>39</v>
      </c>
      <c r="N201" t="s">
        <v>252</v>
      </c>
      <c r="O201">
        <v>0</v>
      </c>
      <c r="P201">
        <v>0</v>
      </c>
      <c r="Q201">
        <v>0</v>
      </c>
      <c r="R201">
        <v>0</v>
      </c>
      <c r="S201">
        <v>82635.259999999995</v>
      </c>
      <c r="T201">
        <v>82635.259999999995</v>
      </c>
      <c r="U201">
        <v>0</v>
      </c>
      <c r="V201">
        <v>0</v>
      </c>
      <c r="W201">
        <v>0</v>
      </c>
      <c r="X201">
        <v>0</v>
      </c>
      <c r="Y201">
        <v>82635.259999999995</v>
      </c>
      <c r="Z201">
        <v>82635.259999999995</v>
      </c>
      <c r="AA201">
        <v>0</v>
      </c>
      <c r="AB201">
        <v>0</v>
      </c>
      <c r="AC201">
        <v>0</v>
      </c>
      <c r="AD201" s="138"/>
      <c r="AE201">
        <v>0</v>
      </c>
      <c r="AF201" s="138">
        <f>+Purchase[[#This Row],[IGST Total]]+Purchase[[#This Row],[CGST Total]]+Purchase[[#This Row],[SGST Total]]</f>
        <v>165270.51999999999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 s="138">
        <f>+Purchase[[#This Row],[IGST RCM Total]]+Purchase[[#This Row],[CGST RCM Total]]+Purchase[[#This Row],[SGST RCM Total]]</f>
        <v>0</v>
      </c>
      <c r="AP201" t="s">
        <v>175</v>
      </c>
    </row>
    <row r="202" spans="1:42" hidden="1" x14ac:dyDescent="0.25">
      <c r="A202" s="138" t="s">
        <v>38</v>
      </c>
      <c r="B202" t="s">
        <v>44</v>
      </c>
      <c r="C202" t="s">
        <v>391</v>
      </c>
      <c r="D202" s="150">
        <v>112</v>
      </c>
      <c r="E202" t="s">
        <v>201</v>
      </c>
      <c r="F202" t="s">
        <v>202</v>
      </c>
      <c r="G202" t="s">
        <v>550</v>
      </c>
      <c r="H202" s="150">
        <v>32887</v>
      </c>
      <c r="I202" s="139" t="s">
        <v>46</v>
      </c>
      <c r="J202">
        <v>126324.9</v>
      </c>
      <c r="K202">
        <v>19269.900000000001</v>
      </c>
      <c r="L202">
        <v>107055</v>
      </c>
      <c r="M202" t="s">
        <v>39</v>
      </c>
      <c r="N202" t="s">
        <v>254</v>
      </c>
      <c r="O202">
        <v>0</v>
      </c>
      <c r="P202">
        <v>0</v>
      </c>
      <c r="Q202">
        <v>0</v>
      </c>
      <c r="R202">
        <v>0</v>
      </c>
      <c r="S202">
        <v>9634.9500000000007</v>
      </c>
      <c r="T202">
        <v>9634.9500000000007</v>
      </c>
      <c r="U202">
        <v>0</v>
      </c>
      <c r="V202">
        <v>0</v>
      </c>
      <c r="W202">
        <v>0</v>
      </c>
      <c r="X202">
        <v>0</v>
      </c>
      <c r="Y202">
        <v>9634.9500000000007</v>
      </c>
      <c r="Z202">
        <v>9634.9500000000007</v>
      </c>
      <c r="AA202">
        <v>0</v>
      </c>
      <c r="AB202">
        <v>0</v>
      </c>
      <c r="AC202">
        <v>0</v>
      </c>
      <c r="AD202" s="138"/>
      <c r="AE202">
        <v>0</v>
      </c>
      <c r="AF202" s="138">
        <f>+Purchase[[#This Row],[IGST Total]]+Purchase[[#This Row],[CGST Total]]+Purchase[[#This Row],[SGST Total]]</f>
        <v>19269.900000000001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 s="138">
        <f>+Purchase[[#This Row],[IGST RCM Total]]+Purchase[[#This Row],[CGST RCM Total]]+Purchase[[#This Row],[SGST RCM Total]]</f>
        <v>0</v>
      </c>
      <c r="AP202" t="s">
        <v>8</v>
      </c>
    </row>
    <row r="203" spans="1:42" hidden="1" x14ac:dyDescent="0.25">
      <c r="A203" s="138" t="s">
        <v>38</v>
      </c>
      <c r="B203" t="s">
        <v>44</v>
      </c>
      <c r="C203" t="s">
        <v>393</v>
      </c>
      <c r="D203" s="150">
        <v>112</v>
      </c>
      <c r="E203" t="s">
        <v>201</v>
      </c>
      <c r="F203" t="s">
        <v>202</v>
      </c>
      <c r="G203" t="s">
        <v>551</v>
      </c>
      <c r="H203" s="150">
        <v>32886</v>
      </c>
      <c r="I203" s="139" t="s">
        <v>46</v>
      </c>
      <c r="J203">
        <v>236090.62</v>
      </c>
      <c r="K203">
        <v>36013.82</v>
      </c>
      <c r="L203">
        <v>200076.79999999999</v>
      </c>
      <c r="M203" t="s">
        <v>39</v>
      </c>
      <c r="N203" t="s">
        <v>403</v>
      </c>
      <c r="O203">
        <v>0</v>
      </c>
      <c r="P203">
        <v>0</v>
      </c>
      <c r="Q203">
        <v>0</v>
      </c>
      <c r="R203">
        <v>0</v>
      </c>
      <c r="S203">
        <v>18006.91</v>
      </c>
      <c r="T203">
        <v>18006.91</v>
      </c>
      <c r="U203">
        <v>0</v>
      </c>
      <c r="V203">
        <v>0</v>
      </c>
      <c r="W203">
        <v>0</v>
      </c>
      <c r="X203">
        <v>0</v>
      </c>
      <c r="Y203">
        <v>18006.91</v>
      </c>
      <c r="Z203">
        <v>18006.91</v>
      </c>
      <c r="AA203">
        <v>0</v>
      </c>
      <c r="AB203">
        <v>0</v>
      </c>
      <c r="AC203">
        <v>0</v>
      </c>
      <c r="AD203" s="138"/>
      <c r="AE203">
        <v>0</v>
      </c>
      <c r="AF203" s="138">
        <f>+Purchase[[#This Row],[IGST Total]]+Purchase[[#This Row],[CGST Total]]+Purchase[[#This Row],[SGST Total]]</f>
        <v>36013.82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 s="138">
        <f>+Purchase[[#This Row],[IGST RCM Total]]+Purchase[[#This Row],[CGST RCM Total]]+Purchase[[#This Row],[SGST RCM Total]]</f>
        <v>0</v>
      </c>
      <c r="AP203" t="s">
        <v>175</v>
      </c>
    </row>
    <row r="204" spans="1:42" hidden="1" x14ac:dyDescent="0.25">
      <c r="A204" s="138" t="s">
        <v>38</v>
      </c>
      <c r="B204" t="s">
        <v>44</v>
      </c>
      <c r="C204" t="s">
        <v>395</v>
      </c>
      <c r="D204" s="150">
        <v>112</v>
      </c>
      <c r="E204" t="s">
        <v>201</v>
      </c>
      <c r="F204" t="s">
        <v>202</v>
      </c>
      <c r="G204" t="s">
        <v>552</v>
      </c>
      <c r="H204" s="150">
        <v>32888</v>
      </c>
      <c r="I204" s="139" t="s">
        <v>46</v>
      </c>
      <c r="J204">
        <v>76750.740000000005</v>
      </c>
      <c r="K204">
        <v>11707.74</v>
      </c>
      <c r="L204">
        <v>65043</v>
      </c>
      <c r="M204" t="s">
        <v>39</v>
      </c>
      <c r="N204" t="s">
        <v>334</v>
      </c>
      <c r="O204">
        <v>0</v>
      </c>
      <c r="P204">
        <v>0</v>
      </c>
      <c r="Q204">
        <v>0</v>
      </c>
      <c r="R204">
        <v>0</v>
      </c>
      <c r="S204">
        <v>5853.87</v>
      </c>
      <c r="T204">
        <v>5853.87</v>
      </c>
      <c r="U204">
        <v>0</v>
      </c>
      <c r="V204">
        <v>0</v>
      </c>
      <c r="W204">
        <v>0</v>
      </c>
      <c r="X204">
        <v>0</v>
      </c>
      <c r="Y204">
        <v>5853.87</v>
      </c>
      <c r="Z204">
        <v>5853.87</v>
      </c>
      <c r="AA204">
        <v>0</v>
      </c>
      <c r="AB204">
        <v>0</v>
      </c>
      <c r="AC204">
        <v>0</v>
      </c>
      <c r="AD204" s="138"/>
      <c r="AE204">
        <v>0</v>
      </c>
      <c r="AF204" s="138">
        <f>+Purchase[[#This Row],[IGST Total]]+Purchase[[#This Row],[CGST Total]]+Purchase[[#This Row],[SGST Total]]</f>
        <v>11707.74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 s="138">
        <f>+Purchase[[#This Row],[IGST RCM Total]]+Purchase[[#This Row],[CGST RCM Total]]+Purchase[[#This Row],[SGST RCM Total]]</f>
        <v>0</v>
      </c>
      <c r="AP204" t="s">
        <v>8</v>
      </c>
    </row>
    <row r="205" spans="1:42" hidden="1" x14ac:dyDescent="0.25">
      <c r="A205" s="138" t="s">
        <v>38</v>
      </c>
      <c r="B205" t="s">
        <v>44</v>
      </c>
      <c r="C205" t="s">
        <v>397</v>
      </c>
      <c r="D205" s="150">
        <v>112</v>
      </c>
      <c r="E205" t="s">
        <v>201</v>
      </c>
      <c r="F205" t="s">
        <v>202</v>
      </c>
      <c r="G205" t="s">
        <v>553</v>
      </c>
      <c r="H205" s="150">
        <v>32887</v>
      </c>
      <c r="I205" s="139" t="s">
        <v>46</v>
      </c>
      <c r="J205">
        <v>1135880.48</v>
      </c>
      <c r="K205">
        <v>173270</v>
      </c>
      <c r="L205">
        <v>962610.48</v>
      </c>
      <c r="M205" t="s">
        <v>39</v>
      </c>
      <c r="N205" t="s">
        <v>334</v>
      </c>
      <c r="O205">
        <v>0</v>
      </c>
      <c r="P205">
        <v>0</v>
      </c>
      <c r="Q205">
        <v>0</v>
      </c>
      <c r="R205">
        <v>0</v>
      </c>
      <c r="S205">
        <v>86635</v>
      </c>
      <c r="T205">
        <v>86635</v>
      </c>
      <c r="U205">
        <v>0</v>
      </c>
      <c r="V205">
        <v>0</v>
      </c>
      <c r="W205">
        <v>0</v>
      </c>
      <c r="X205">
        <v>0</v>
      </c>
      <c r="Y205">
        <v>86635</v>
      </c>
      <c r="Z205">
        <v>86635</v>
      </c>
      <c r="AA205">
        <v>0</v>
      </c>
      <c r="AB205">
        <v>0</v>
      </c>
      <c r="AC205">
        <v>0</v>
      </c>
      <c r="AD205" s="138"/>
      <c r="AE205">
        <v>0</v>
      </c>
      <c r="AF205" s="138">
        <f>+Purchase[[#This Row],[IGST Total]]+Purchase[[#This Row],[CGST Total]]+Purchase[[#This Row],[SGST Total]]</f>
        <v>173270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 s="138">
        <f>+Purchase[[#This Row],[IGST RCM Total]]+Purchase[[#This Row],[CGST RCM Total]]+Purchase[[#This Row],[SGST RCM Total]]</f>
        <v>0</v>
      </c>
      <c r="AP205" t="s">
        <v>175</v>
      </c>
    </row>
    <row r="206" spans="1:42" hidden="1" x14ac:dyDescent="0.25">
      <c r="A206" s="138" t="s">
        <v>38</v>
      </c>
      <c r="B206" t="s">
        <v>44</v>
      </c>
      <c r="C206" t="s">
        <v>399</v>
      </c>
      <c r="D206" s="150">
        <v>112</v>
      </c>
      <c r="E206" t="s">
        <v>201</v>
      </c>
      <c r="F206" t="s">
        <v>202</v>
      </c>
      <c r="G206" t="s">
        <v>554</v>
      </c>
      <c r="H206" s="150">
        <v>32888</v>
      </c>
      <c r="I206" s="139" t="s">
        <v>46</v>
      </c>
      <c r="J206">
        <v>207533</v>
      </c>
      <c r="K206">
        <v>31658</v>
      </c>
      <c r="L206">
        <v>175875</v>
      </c>
      <c r="M206" t="s">
        <v>39</v>
      </c>
      <c r="N206" t="s">
        <v>304</v>
      </c>
      <c r="O206">
        <v>0</v>
      </c>
      <c r="P206">
        <v>0</v>
      </c>
      <c r="Q206">
        <v>0</v>
      </c>
      <c r="R206">
        <v>0</v>
      </c>
      <c r="S206">
        <v>15829</v>
      </c>
      <c r="T206">
        <v>15829</v>
      </c>
      <c r="U206">
        <v>0</v>
      </c>
      <c r="V206">
        <v>0</v>
      </c>
      <c r="W206">
        <v>0</v>
      </c>
      <c r="X206">
        <v>0</v>
      </c>
      <c r="Y206">
        <v>15829</v>
      </c>
      <c r="Z206">
        <v>15829</v>
      </c>
      <c r="AA206">
        <v>0</v>
      </c>
      <c r="AB206">
        <v>0</v>
      </c>
      <c r="AC206">
        <v>0</v>
      </c>
      <c r="AD206" s="138"/>
      <c r="AE206">
        <v>0</v>
      </c>
      <c r="AF206" s="138">
        <f>+Purchase[[#This Row],[IGST Total]]+Purchase[[#This Row],[CGST Total]]+Purchase[[#This Row],[SGST Total]]</f>
        <v>31658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 s="138">
        <f>+Purchase[[#This Row],[IGST RCM Total]]+Purchase[[#This Row],[CGST RCM Total]]+Purchase[[#This Row],[SGST RCM Total]]</f>
        <v>0</v>
      </c>
      <c r="AP206" t="s">
        <v>175</v>
      </c>
    </row>
    <row r="207" spans="1:42" hidden="1" x14ac:dyDescent="0.25">
      <c r="A207" s="138" t="s">
        <v>38</v>
      </c>
      <c r="B207" t="s">
        <v>44</v>
      </c>
      <c r="C207" t="s">
        <v>208</v>
      </c>
      <c r="D207" s="150">
        <v>112</v>
      </c>
      <c r="E207" t="s">
        <v>201</v>
      </c>
      <c r="F207" t="s">
        <v>202</v>
      </c>
      <c r="G207" t="s">
        <v>555</v>
      </c>
      <c r="H207" s="150">
        <v>32887</v>
      </c>
      <c r="I207" s="139" t="s">
        <v>46</v>
      </c>
      <c r="J207">
        <v>285121.52</v>
      </c>
      <c r="K207">
        <v>43493.120000000003</v>
      </c>
      <c r="L207">
        <v>241628.4</v>
      </c>
      <c r="M207" t="s">
        <v>39</v>
      </c>
      <c r="N207" t="s">
        <v>403</v>
      </c>
      <c r="O207">
        <v>0</v>
      </c>
      <c r="P207">
        <v>0</v>
      </c>
      <c r="Q207">
        <v>0</v>
      </c>
      <c r="R207">
        <v>0</v>
      </c>
      <c r="S207">
        <v>21746.560000000001</v>
      </c>
      <c r="T207">
        <v>21746.560000000001</v>
      </c>
      <c r="U207">
        <v>0</v>
      </c>
      <c r="V207">
        <v>0</v>
      </c>
      <c r="W207">
        <v>0</v>
      </c>
      <c r="X207">
        <v>0</v>
      </c>
      <c r="Y207">
        <v>21746.560000000001</v>
      </c>
      <c r="Z207">
        <v>21746.560000000001</v>
      </c>
      <c r="AA207">
        <v>0</v>
      </c>
      <c r="AB207">
        <v>0</v>
      </c>
      <c r="AC207">
        <v>0</v>
      </c>
      <c r="AD207" s="138"/>
      <c r="AE207">
        <v>0</v>
      </c>
      <c r="AF207" s="138">
        <f>+Purchase[[#This Row],[IGST Total]]+Purchase[[#This Row],[CGST Total]]+Purchase[[#This Row],[SGST Total]]</f>
        <v>43493.120000000003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 s="138">
        <f>+Purchase[[#This Row],[IGST RCM Total]]+Purchase[[#This Row],[CGST RCM Total]]+Purchase[[#This Row],[SGST RCM Total]]</f>
        <v>0</v>
      </c>
      <c r="AP207" t="s">
        <v>175</v>
      </c>
    </row>
    <row r="208" spans="1:42" hidden="1" x14ac:dyDescent="0.25">
      <c r="A208" s="138" t="s">
        <v>38</v>
      </c>
      <c r="B208" t="s">
        <v>44</v>
      </c>
      <c r="C208" t="s">
        <v>209</v>
      </c>
      <c r="D208" s="150">
        <v>112</v>
      </c>
      <c r="E208" t="s">
        <v>201</v>
      </c>
      <c r="F208" t="s">
        <v>202</v>
      </c>
      <c r="G208" t="s">
        <v>556</v>
      </c>
      <c r="H208" s="150">
        <v>32888</v>
      </c>
      <c r="I208" s="139" t="s">
        <v>46</v>
      </c>
      <c r="J208">
        <v>121684.8</v>
      </c>
      <c r="K208">
        <v>18562.080000000002</v>
      </c>
      <c r="L208">
        <v>103122.72</v>
      </c>
      <c r="M208" t="s">
        <v>39</v>
      </c>
      <c r="N208" t="s">
        <v>557</v>
      </c>
      <c r="O208">
        <v>0</v>
      </c>
      <c r="P208">
        <v>0</v>
      </c>
      <c r="Q208">
        <v>0</v>
      </c>
      <c r="R208">
        <v>0</v>
      </c>
      <c r="S208">
        <v>9281.0400000000009</v>
      </c>
      <c r="T208">
        <v>9281.0400000000009</v>
      </c>
      <c r="U208">
        <v>0</v>
      </c>
      <c r="V208">
        <v>0</v>
      </c>
      <c r="W208">
        <v>0</v>
      </c>
      <c r="X208">
        <v>0</v>
      </c>
      <c r="Y208">
        <v>9281.0400000000009</v>
      </c>
      <c r="Z208">
        <v>9281.0400000000009</v>
      </c>
      <c r="AA208">
        <v>0</v>
      </c>
      <c r="AB208">
        <v>0</v>
      </c>
      <c r="AC208">
        <v>0</v>
      </c>
      <c r="AD208" s="138"/>
      <c r="AE208">
        <v>0</v>
      </c>
      <c r="AF208" s="138">
        <f>+Purchase[[#This Row],[IGST Total]]+Purchase[[#This Row],[CGST Total]]+Purchase[[#This Row],[SGST Total]]</f>
        <v>18562.080000000002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 s="138">
        <f>+Purchase[[#This Row],[IGST RCM Total]]+Purchase[[#This Row],[CGST RCM Total]]+Purchase[[#This Row],[SGST RCM Total]]</f>
        <v>0</v>
      </c>
      <c r="AP208" t="s">
        <v>175</v>
      </c>
    </row>
    <row r="209" spans="1:42" hidden="1" x14ac:dyDescent="0.25">
      <c r="A209" s="138" t="s">
        <v>38</v>
      </c>
      <c r="B209" t="s">
        <v>44</v>
      </c>
      <c r="C209" t="s">
        <v>210</v>
      </c>
      <c r="D209" s="150">
        <v>112</v>
      </c>
      <c r="E209" t="s">
        <v>201</v>
      </c>
      <c r="F209" t="s">
        <v>202</v>
      </c>
      <c r="G209" t="s">
        <v>558</v>
      </c>
      <c r="H209" s="150">
        <v>32885</v>
      </c>
      <c r="I209" s="139" t="s">
        <v>46</v>
      </c>
      <c r="J209">
        <v>217710</v>
      </c>
      <c r="K209">
        <v>33210</v>
      </c>
      <c r="L209">
        <v>184500</v>
      </c>
      <c r="M209" t="s">
        <v>39</v>
      </c>
      <c r="N209" t="s">
        <v>559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33210</v>
      </c>
      <c r="AD209" s="138"/>
      <c r="AE209">
        <v>33210</v>
      </c>
      <c r="AF209" s="138">
        <f>+Purchase[[#This Row],[IGST Total]]+Purchase[[#This Row],[CGST Total]]+Purchase[[#This Row],[SGST Total]]</f>
        <v>33210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 s="138">
        <f>+Purchase[[#This Row],[IGST RCM Total]]+Purchase[[#This Row],[CGST RCM Total]]+Purchase[[#This Row],[SGST RCM Total]]</f>
        <v>0</v>
      </c>
      <c r="AP209" t="s">
        <v>176</v>
      </c>
    </row>
    <row r="210" spans="1:42" hidden="1" x14ac:dyDescent="0.25">
      <c r="A210" s="138" t="s">
        <v>38</v>
      </c>
      <c r="B210" t="s">
        <v>44</v>
      </c>
      <c r="C210" t="s">
        <v>211</v>
      </c>
      <c r="D210" s="150">
        <v>112</v>
      </c>
      <c r="E210" t="s">
        <v>201</v>
      </c>
      <c r="F210" t="s">
        <v>202</v>
      </c>
      <c r="G210" t="s">
        <v>560</v>
      </c>
      <c r="H210" s="150">
        <v>32889</v>
      </c>
      <c r="I210" s="139" t="s">
        <v>46</v>
      </c>
      <c r="J210">
        <v>76750.740000000005</v>
      </c>
      <c r="K210">
        <v>11707.74</v>
      </c>
      <c r="L210">
        <v>65043</v>
      </c>
      <c r="M210" t="s">
        <v>39</v>
      </c>
      <c r="N210" t="s">
        <v>334</v>
      </c>
      <c r="O210">
        <v>0</v>
      </c>
      <c r="P210">
        <v>0</v>
      </c>
      <c r="Q210">
        <v>0</v>
      </c>
      <c r="R210">
        <v>0</v>
      </c>
      <c r="S210">
        <v>5853.87</v>
      </c>
      <c r="T210">
        <v>5853.87</v>
      </c>
      <c r="U210">
        <v>0</v>
      </c>
      <c r="V210">
        <v>0</v>
      </c>
      <c r="W210">
        <v>0</v>
      </c>
      <c r="X210">
        <v>0</v>
      </c>
      <c r="Y210">
        <v>5853.87</v>
      </c>
      <c r="Z210">
        <v>5853.87</v>
      </c>
      <c r="AA210">
        <v>0</v>
      </c>
      <c r="AB210">
        <v>0</v>
      </c>
      <c r="AC210">
        <v>0</v>
      </c>
      <c r="AD210" s="138"/>
      <c r="AE210">
        <v>0</v>
      </c>
      <c r="AF210" s="138">
        <f>+Purchase[[#This Row],[IGST Total]]+Purchase[[#This Row],[CGST Total]]+Purchase[[#This Row],[SGST Total]]</f>
        <v>11707.74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 s="138">
        <f>+Purchase[[#This Row],[IGST RCM Total]]+Purchase[[#This Row],[CGST RCM Total]]+Purchase[[#This Row],[SGST RCM Total]]</f>
        <v>0</v>
      </c>
      <c r="AP210" t="s">
        <v>8</v>
      </c>
    </row>
    <row r="211" spans="1:42" hidden="1" x14ac:dyDescent="0.25">
      <c r="A211" s="138" t="s">
        <v>38</v>
      </c>
      <c r="B211" t="s">
        <v>44</v>
      </c>
      <c r="C211" t="s">
        <v>406</v>
      </c>
      <c r="D211" s="150">
        <v>112</v>
      </c>
      <c r="E211" t="s">
        <v>201</v>
      </c>
      <c r="F211" t="s">
        <v>202</v>
      </c>
      <c r="G211" t="s">
        <v>561</v>
      </c>
      <c r="H211" s="150">
        <v>32891</v>
      </c>
      <c r="I211" s="139" t="s">
        <v>46</v>
      </c>
      <c r="J211">
        <v>19617</v>
      </c>
      <c r="K211">
        <v>2992</v>
      </c>
      <c r="L211">
        <v>16625</v>
      </c>
      <c r="M211" t="s">
        <v>39</v>
      </c>
      <c r="N211" t="s">
        <v>304</v>
      </c>
      <c r="O211">
        <v>0</v>
      </c>
      <c r="P211">
        <v>0</v>
      </c>
      <c r="Q211">
        <v>0</v>
      </c>
      <c r="R211">
        <v>0</v>
      </c>
      <c r="S211">
        <v>1496</v>
      </c>
      <c r="T211">
        <v>1496</v>
      </c>
      <c r="U211">
        <v>0</v>
      </c>
      <c r="V211">
        <v>0</v>
      </c>
      <c r="W211">
        <v>0</v>
      </c>
      <c r="X211">
        <v>0</v>
      </c>
      <c r="Y211">
        <v>1496</v>
      </c>
      <c r="Z211">
        <v>1496</v>
      </c>
      <c r="AA211">
        <v>0</v>
      </c>
      <c r="AB211">
        <v>0</v>
      </c>
      <c r="AC211">
        <v>0</v>
      </c>
      <c r="AD211" s="138"/>
      <c r="AE211">
        <v>0</v>
      </c>
      <c r="AF211" s="138">
        <f>+Purchase[[#This Row],[IGST Total]]+Purchase[[#This Row],[CGST Total]]+Purchase[[#This Row],[SGST Total]]</f>
        <v>2992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 s="138">
        <f>+Purchase[[#This Row],[IGST RCM Total]]+Purchase[[#This Row],[CGST RCM Total]]+Purchase[[#This Row],[SGST RCM Total]]</f>
        <v>0</v>
      </c>
      <c r="AP211" t="s">
        <v>175</v>
      </c>
    </row>
    <row r="212" spans="1:42" hidden="1" x14ac:dyDescent="0.25">
      <c r="A212" s="138" t="s">
        <v>38</v>
      </c>
      <c r="B212" t="s">
        <v>44</v>
      </c>
      <c r="C212" t="s">
        <v>212</v>
      </c>
      <c r="D212" s="150">
        <v>112</v>
      </c>
      <c r="E212" t="s">
        <v>201</v>
      </c>
      <c r="F212" t="s">
        <v>202</v>
      </c>
      <c r="G212" t="s">
        <v>491</v>
      </c>
      <c r="H212" s="150">
        <v>32889</v>
      </c>
      <c r="I212" s="139" t="s">
        <v>46</v>
      </c>
      <c r="J212">
        <v>205493</v>
      </c>
      <c r="K212">
        <v>31348</v>
      </c>
      <c r="L212">
        <v>174147</v>
      </c>
      <c r="M212" t="s">
        <v>39</v>
      </c>
      <c r="N212" t="s">
        <v>304</v>
      </c>
      <c r="O212">
        <v>0</v>
      </c>
      <c r="P212">
        <v>0</v>
      </c>
      <c r="Q212">
        <v>0</v>
      </c>
      <c r="R212">
        <v>0</v>
      </c>
      <c r="S212">
        <v>15674</v>
      </c>
      <c r="T212">
        <v>15674</v>
      </c>
      <c r="U212">
        <v>0</v>
      </c>
      <c r="V212">
        <v>0</v>
      </c>
      <c r="W212">
        <v>0</v>
      </c>
      <c r="X212">
        <v>0</v>
      </c>
      <c r="Y212">
        <v>15674</v>
      </c>
      <c r="Z212">
        <v>15674</v>
      </c>
      <c r="AA212">
        <v>0</v>
      </c>
      <c r="AB212">
        <v>0</v>
      </c>
      <c r="AC212">
        <v>0</v>
      </c>
      <c r="AD212" s="138"/>
      <c r="AE212">
        <v>0</v>
      </c>
      <c r="AF212" s="138">
        <f>+Purchase[[#This Row],[IGST Total]]+Purchase[[#This Row],[CGST Total]]+Purchase[[#This Row],[SGST Total]]</f>
        <v>31348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 s="138">
        <f>+Purchase[[#This Row],[IGST RCM Total]]+Purchase[[#This Row],[CGST RCM Total]]+Purchase[[#This Row],[SGST RCM Total]]</f>
        <v>0</v>
      </c>
      <c r="AP212" t="s">
        <v>175</v>
      </c>
    </row>
    <row r="213" spans="1:42" hidden="1" x14ac:dyDescent="0.25">
      <c r="A213" s="138" t="s">
        <v>38</v>
      </c>
      <c r="B213" t="s">
        <v>44</v>
      </c>
      <c r="C213" t="s">
        <v>409</v>
      </c>
      <c r="D213" s="150">
        <v>112</v>
      </c>
      <c r="E213" t="s">
        <v>201</v>
      </c>
      <c r="F213" t="s">
        <v>202</v>
      </c>
      <c r="G213" t="s">
        <v>562</v>
      </c>
      <c r="H213" s="150">
        <v>32889</v>
      </c>
      <c r="I213" s="139" t="s">
        <v>46</v>
      </c>
      <c r="J213">
        <v>289755.14</v>
      </c>
      <c r="K213">
        <v>44199.94</v>
      </c>
      <c r="L213">
        <v>245555.20000000001</v>
      </c>
      <c r="M213" t="s">
        <v>39</v>
      </c>
      <c r="N213" t="s">
        <v>403</v>
      </c>
      <c r="O213">
        <v>0</v>
      </c>
      <c r="P213">
        <v>0</v>
      </c>
      <c r="Q213">
        <v>0</v>
      </c>
      <c r="R213">
        <v>0</v>
      </c>
      <c r="S213">
        <v>22099.97</v>
      </c>
      <c r="T213">
        <v>22099.97</v>
      </c>
      <c r="U213">
        <v>0</v>
      </c>
      <c r="V213">
        <v>0</v>
      </c>
      <c r="W213">
        <v>0</v>
      </c>
      <c r="X213">
        <v>0</v>
      </c>
      <c r="Y213">
        <v>22099.97</v>
      </c>
      <c r="Z213">
        <v>22099.97</v>
      </c>
      <c r="AA213">
        <v>0</v>
      </c>
      <c r="AB213">
        <v>0</v>
      </c>
      <c r="AC213">
        <v>0</v>
      </c>
      <c r="AD213" s="138"/>
      <c r="AE213">
        <v>0</v>
      </c>
      <c r="AF213" s="138">
        <f>+Purchase[[#This Row],[IGST Total]]+Purchase[[#This Row],[CGST Total]]+Purchase[[#This Row],[SGST Total]]</f>
        <v>44199.94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 s="138">
        <f>+Purchase[[#This Row],[IGST RCM Total]]+Purchase[[#This Row],[CGST RCM Total]]+Purchase[[#This Row],[SGST RCM Total]]</f>
        <v>0</v>
      </c>
      <c r="AP213" t="s">
        <v>175</v>
      </c>
    </row>
    <row r="214" spans="1:42" hidden="1" x14ac:dyDescent="0.25">
      <c r="A214" s="138" t="s">
        <v>38</v>
      </c>
      <c r="B214" t="s">
        <v>44</v>
      </c>
      <c r="C214" t="s">
        <v>213</v>
      </c>
      <c r="D214" s="150">
        <v>112</v>
      </c>
      <c r="E214" t="s">
        <v>201</v>
      </c>
      <c r="F214" t="s">
        <v>202</v>
      </c>
      <c r="G214" t="s">
        <v>563</v>
      </c>
      <c r="H214" s="150">
        <v>32880</v>
      </c>
      <c r="I214" s="139" t="s">
        <v>46</v>
      </c>
      <c r="J214">
        <v>777449.03</v>
      </c>
      <c r="K214">
        <v>118594</v>
      </c>
      <c r="L214">
        <v>658855.02500000002</v>
      </c>
      <c r="M214" t="s">
        <v>39</v>
      </c>
      <c r="N214" t="s">
        <v>564</v>
      </c>
      <c r="O214">
        <v>0</v>
      </c>
      <c r="P214">
        <v>0</v>
      </c>
      <c r="Q214">
        <v>0</v>
      </c>
      <c r="R214">
        <v>0</v>
      </c>
      <c r="S214">
        <v>59297</v>
      </c>
      <c r="T214">
        <v>59297</v>
      </c>
      <c r="U214">
        <v>0</v>
      </c>
      <c r="V214">
        <v>0</v>
      </c>
      <c r="W214">
        <v>0</v>
      </c>
      <c r="X214">
        <v>0</v>
      </c>
      <c r="Y214">
        <v>59297</v>
      </c>
      <c r="Z214">
        <v>59297</v>
      </c>
      <c r="AA214">
        <v>0</v>
      </c>
      <c r="AB214">
        <v>0</v>
      </c>
      <c r="AC214">
        <v>0</v>
      </c>
      <c r="AD214" s="138"/>
      <c r="AE214">
        <v>0</v>
      </c>
      <c r="AF214" s="138">
        <f>+Purchase[[#This Row],[IGST Total]]+Purchase[[#This Row],[CGST Total]]+Purchase[[#This Row],[SGST Total]]</f>
        <v>118594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 s="138">
        <f>+Purchase[[#This Row],[IGST RCM Total]]+Purchase[[#This Row],[CGST RCM Total]]+Purchase[[#This Row],[SGST RCM Total]]</f>
        <v>0</v>
      </c>
      <c r="AP214" t="s">
        <v>175</v>
      </c>
    </row>
    <row r="215" spans="1:42" hidden="1" x14ac:dyDescent="0.25">
      <c r="A215" s="138" t="s">
        <v>38</v>
      </c>
      <c r="B215" t="s">
        <v>44</v>
      </c>
      <c r="C215" t="s">
        <v>214</v>
      </c>
      <c r="D215" s="150">
        <v>112</v>
      </c>
      <c r="E215" t="s">
        <v>201</v>
      </c>
      <c r="F215" t="s">
        <v>202</v>
      </c>
      <c r="G215" t="s">
        <v>565</v>
      </c>
      <c r="H215" s="150">
        <v>32962</v>
      </c>
      <c r="I215" s="139" t="s">
        <v>46</v>
      </c>
      <c r="J215">
        <v>520380</v>
      </c>
      <c r="K215">
        <v>79380</v>
      </c>
      <c r="L215">
        <v>441000</v>
      </c>
      <c r="M215" t="s">
        <v>39</v>
      </c>
      <c r="N215" t="s">
        <v>566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79380</v>
      </c>
      <c r="AD215" s="138"/>
      <c r="AE215">
        <v>79380</v>
      </c>
      <c r="AF215" s="138">
        <f>+Purchase[[#This Row],[IGST Total]]+Purchase[[#This Row],[CGST Total]]+Purchase[[#This Row],[SGST Total]]</f>
        <v>79380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 s="138">
        <f>+Purchase[[#This Row],[IGST RCM Total]]+Purchase[[#This Row],[CGST RCM Total]]+Purchase[[#This Row],[SGST RCM Total]]</f>
        <v>0</v>
      </c>
      <c r="AP215" t="s">
        <v>176</v>
      </c>
    </row>
    <row r="216" spans="1:42" hidden="1" x14ac:dyDescent="0.25">
      <c r="A216" s="138" t="s">
        <v>38</v>
      </c>
      <c r="B216" t="s">
        <v>44</v>
      </c>
      <c r="C216" t="s">
        <v>215</v>
      </c>
      <c r="D216" s="150">
        <v>112</v>
      </c>
      <c r="E216" t="s">
        <v>201</v>
      </c>
      <c r="F216" t="s">
        <v>202</v>
      </c>
      <c r="G216" t="s">
        <v>567</v>
      </c>
      <c r="H216" s="150">
        <v>32960</v>
      </c>
      <c r="I216" s="139" t="s">
        <v>46</v>
      </c>
      <c r="J216">
        <v>72688</v>
      </c>
      <c r="K216">
        <v>11088</v>
      </c>
      <c r="L216">
        <v>61600</v>
      </c>
      <c r="M216" t="s">
        <v>39</v>
      </c>
      <c r="N216" t="s">
        <v>568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11088</v>
      </c>
      <c r="AD216" s="138"/>
      <c r="AE216">
        <v>11088</v>
      </c>
      <c r="AF216" s="138">
        <f>+Purchase[[#This Row],[IGST Total]]+Purchase[[#This Row],[CGST Total]]+Purchase[[#This Row],[SGST Total]]</f>
        <v>11088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 s="138">
        <f>+Purchase[[#This Row],[IGST RCM Total]]+Purchase[[#This Row],[CGST RCM Total]]+Purchase[[#This Row],[SGST RCM Total]]</f>
        <v>0</v>
      </c>
      <c r="AP216" t="s">
        <v>176</v>
      </c>
    </row>
    <row r="217" spans="1:42" hidden="1" x14ac:dyDescent="0.25">
      <c r="A217" s="138" t="s">
        <v>38</v>
      </c>
      <c r="B217" t="s">
        <v>44</v>
      </c>
      <c r="C217" t="s">
        <v>216</v>
      </c>
      <c r="D217" s="150">
        <v>112</v>
      </c>
      <c r="E217" t="s">
        <v>201</v>
      </c>
      <c r="F217" t="s">
        <v>202</v>
      </c>
      <c r="G217" t="s">
        <v>569</v>
      </c>
      <c r="H217" s="150">
        <v>32958</v>
      </c>
      <c r="I217" s="139" t="s">
        <v>46</v>
      </c>
      <c r="J217">
        <v>265500</v>
      </c>
      <c r="K217">
        <v>40500</v>
      </c>
      <c r="L217">
        <v>225000</v>
      </c>
      <c r="M217" t="s">
        <v>39</v>
      </c>
      <c r="N217" t="s">
        <v>570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40500</v>
      </c>
      <c r="AD217" s="138"/>
      <c r="AE217">
        <v>40500</v>
      </c>
      <c r="AF217" s="138">
        <f>+Purchase[[#This Row],[IGST Total]]+Purchase[[#This Row],[CGST Total]]+Purchase[[#This Row],[SGST Total]]</f>
        <v>40500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 s="138">
        <f>+Purchase[[#This Row],[IGST RCM Total]]+Purchase[[#This Row],[CGST RCM Total]]+Purchase[[#This Row],[SGST RCM Total]]</f>
        <v>0</v>
      </c>
      <c r="AP217" t="s">
        <v>176</v>
      </c>
    </row>
    <row r="218" spans="1:42" hidden="1" x14ac:dyDescent="0.25">
      <c r="A218" s="138" t="s">
        <v>38</v>
      </c>
      <c r="B218" t="s">
        <v>44</v>
      </c>
      <c r="C218" t="s">
        <v>217</v>
      </c>
      <c r="D218" s="150">
        <v>112</v>
      </c>
      <c r="E218" t="s">
        <v>201</v>
      </c>
      <c r="F218" t="s">
        <v>202</v>
      </c>
      <c r="G218" t="s">
        <v>571</v>
      </c>
      <c r="H218" s="150">
        <v>32963</v>
      </c>
      <c r="I218" s="139" t="s">
        <v>46</v>
      </c>
      <c r="J218">
        <v>562860</v>
      </c>
      <c r="K218">
        <v>85860</v>
      </c>
      <c r="L218">
        <v>477000</v>
      </c>
      <c r="M218" t="s">
        <v>39</v>
      </c>
      <c r="N218" t="s">
        <v>572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85860</v>
      </c>
      <c r="AD218" s="138"/>
      <c r="AE218">
        <v>85860</v>
      </c>
      <c r="AF218" s="138">
        <f>+Purchase[[#This Row],[IGST Total]]+Purchase[[#This Row],[CGST Total]]+Purchase[[#This Row],[SGST Total]]</f>
        <v>85860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 s="138">
        <f>+Purchase[[#This Row],[IGST RCM Total]]+Purchase[[#This Row],[CGST RCM Total]]+Purchase[[#This Row],[SGST RCM Total]]</f>
        <v>0</v>
      </c>
      <c r="AP218" t="s">
        <v>176</v>
      </c>
    </row>
    <row r="219" spans="1:42" hidden="1" x14ac:dyDescent="0.25">
      <c r="A219" s="138" t="s">
        <v>38</v>
      </c>
      <c r="B219" t="s">
        <v>44</v>
      </c>
      <c r="C219" t="s">
        <v>218</v>
      </c>
      <c r="D219" s="150">
        <v>112</v>
      </c>
      <c r="E219" t="s">
        <v>201</v>
      </c>
      <c r="F219" t="s">
        <v>202</v>
      </c>
      <c r="G219" t="s">
        <v>573</v>
      </c>
      <c r="H219" s="150">
        <v>32962</v>
      </c>
      <c r="I219" s="139" t="s">
        <v>46</v>
      </c>
      <c r="J219">
        <v>226560</v>
      </c>
      <c r="K219">
        <v>34560</v>
      </c>
      <c r="L219">
        <v>192000</v>
      </c>
      <c r="M219" t="s">
        <v>39</v>
      </c>
      <c r="N219" t="s">
        <v>574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34560</v>
      </c>
      <c r="AD219" s="138"/>
      <c r="AE219">
        <v>34560</v>
      </c>
      <c r="AF219" s="138">
        <f>+Purchase[[#This Row],[IGST Total]]+Purchase[[#This Row],[CGST Total]]+Purchase[[#This Row],[SGST Total]]</f>
        <v>34560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 s="138">
        <f>+Purchase[[#This Row],[IGST RCM Total]]+Purchase[[#This Row],[CGST RCM Total]]+Purchase[[#This Row],[SGST RCM Total]]</f>
        <v>0</v>
      </c>
      <c r="AP219" t="s">
        <v>176</v>
      </c>
    </row>
    <row r="220" spans="1:42" hidden="1" x14ac:dyDescent="0.25">
      <c r="A220" s="138" t="s">
        <v>38</v>
      </c>
      <c r="B220" t="s">
        <v>44</v>
      </c>
      <c r="C220" t="s">
        <v>417</v>
      </c>
      <c r="D220" s="150">
        <v>112</v>
      </c>
      <c r="E220" t="s">
        <v>201</v>
      </c>
      <c r="F220" t="s">
        <v>202</v>
      </c>
      <c r="G220" t="s">
        <v>575</v>
      </c>
      <c r="H220" s="150">
        <v>32960</v>
      </c>
      <c r="I220" s="139" t="s">
        <v>46</v>
      </c>
      <c r="J220">
        <v>1040760</v>
      </c>
      <c r="K220">
        <v>158760</v>
      </c>
      <c r="L220">
        <v>882000</v>
      </c>
      <c r="M220" t="s">
        <v>39</v>
      </c>
      <c r="N220" t="s">
        <v>487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158760</v>
      </c>
      <c r="AD220" s="138"/>
      <c r="AE220">
        <v>158760</v>
      </c>
      <c r="AF220" s="138">
        <f>+Purchase[[#This Row],[IGST Total]]+Purchase[[#This Row],[CGST Total]]+Purchase[[#This Row],[SGST Total]]</f>
        <v>158760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 s="138">
        <f>+Purchase[[#This Row],[IGST RCM Total]]+Purchase[[#This Row],[CGST RCM Total]]+Purchase[[#This Row],[SGST RCM Total]]</f>
        <v>0</v>
      </c>
      <c r="AP220" t="s">
        <v>176</v>
      </c>
    </row>
    <row r="221" spans="1:42" hidden="1" x14ac:dyDescent="0.25">
      <c r="A221" s="138" t="s">
        <v>38</v>
      </c>
      <c r="B221" t="s">
        <v>44</v>
      </c>
      <c r="C221" t="s">
        <v>419</v>
      </c>
      <c r="D221" s="150">
        <v>112</v>
      </c>
      <c r="E221" t="s">
        <v>201</v>
      </c>
      <c r="F221" t="s">
        <v>202</v>
      </c>
      <c r="G221" t="s">
        <v>576</v>
      </c>
      <c r="H221" s="150">
        <v>32961</v>
      </c>
      <c r="I221" s="139" t="s">
        <v>46</v>
      </c>
      <c r="J221">
        <v>96465</v>
      </c>
      <c r="K221">
        <v>14715</v>
      </c>
      <c r="L221">
        <v>81750</v>
      </c>
      <c r="M221" t="s">
        <v>39</v>
      </c>
      <c r="N221" t="s">
        <v>577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14715</v>
      </c>
      <c r="AD221" s="138"/>
      <c r="AE221">
        <v>14715</v>
      </c>
      <c r="AF221" s="138">
        <f>+Purchase[[#This Row],[IGST Total]]+Purchase[[#This Row],[CGST Total]]+Purchase[[#This Row],[SGST Total]]</f>
        <v>14715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 s="138">
        <f>+Purchase[[#This Row],[IGST RCM Total]]+Purchase[[#This Row],[CGST RCM Total]]+Purchase[[#This Row],[SGST RCM Total]]</f>
        <v>0</v>
      </c>
      <c r="AP221" t="s">
        <v>176</v>
      </c>
    </row>
    <row r="222" spans="1:42" hidden="1" x14ac:dyDescent="0.25">
      <c r="A222" s="138" t="s">
        <v>38</v>
      </c>
      <c r="B222" t="s">
        <v>44</v>
      </c>
      <c r="C222" t="s">
        <v>421</v>
      </c>
      <c r="D222" s="150">
        <v>112</v>
      </c>
      <c r="E222" t="s">
        <v>201</v>
      </c>
      <c r="F222" t="s">
        <v>202</v>
      </c>
      <c r="G222" t="s">
        <v>578</v>
      </c>
      <c r="H222" s="150">
        <v>32962</v>
      </c>
      <c r="I222" s="139" t="s">
        <v>46</v>
      </c>
      <c r="J222">
        <v>708000</v>
      </c>
      <c r="K222">
        <v>108000</v>
      </c>
      <c r="L222">
        <v>600000</v>
      </c>
      <c r="M222" t="s">
        <v>39</v>
      </c>
      <c r="N222" t="s">
        <v>485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108000</v>
      </c>
      <c r="AD222" s="138"/>
      <c r="AE222">
        <v>108000</v>
      </c>
      <c r="AF222" s="138">
        <f>+Purchase[[#This Row],[IGST Total]]+Purchase[[#This Row],[CGST Total]]+Purchase[[#This Row],[SGST Total]]</f>
        <v>108000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 s="138">
        <f>+Purchase[[#This Row],[IGST RCM Total]]+Purchase[[#This Row],[CGST RCM Total]]+Purchase[[#This Row],[SGST RCM Total]]</f>
        <v>0</v>
      </c>
      <c r="AP222" t="s">
        <v>176</v>
      </c>
    </row>
    <row r="223" spans="1:42" hidden="1" x14ac:dyDescent="0.25">
      <c r="A223" s="138" t="s">
        <v>38</v>
      </c>
      <c r="B223" t="s">
        <v>44</v>
      </c>
      <c r="C223" t="s">
        <v>423</v>
      </c>
      <c r="D223" s="150">
        <v>112</v>
      </c>
      <c r="E223" t="s">
        <v>201</v>
      </c>
      <c r="F223" t="s">
        <v>202</v>
      </c>
      <c r="G223" t="s">
        <v>579</v>
      </c>
      <c r="H223" s="150">
        <v>32878</v>
      </c>
      <c r="I223" s="139" t="s">
        <v>46</v>
      </c>
      <c r="J223">
        <v>1402784</v>
      </c>
      <c r="K223">
        <v>213984</v>
      </c>
      <c r="L223">
        <v>1188800</v>
      </c>
      <c r="M223" t="s">
        <v>39</v>
      </c>
      <c r="N223" t="s">
        <v>463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213984</v>
      </c>
      <c r="AD223" s="138"/>
      <c r="AE223">
        <v>213984</v>
      </c>
      <c r="AF223" s="138">
        <f>+Purchase[[#This Row],[IGST Total]]+Purchase[[#This Row],[CGST Total]]+Purchase[[#This Row],[SGST Total]]</f>
        <v>213984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 s="138">
        <f>+Purchase[[#This Row],[IGST RCM Total]]+Purchase[[#This Row],[CGST RCM Total]]+Purchase[[#This Row],[SGST RCM Total]]</f>
        <v>0</v>
      </c>
      <c r="AP223" t="s">
        <v>176</v>
      </c>
    </row>
    <row r="224" spans="1:42" hidden="1" x14ac:dyDescent="0.25">
      <c r="A224" s="138" t="s">
        <v>38</v>
      </c>
      <c r="B224" t="s">
        <v>44</v>
      </c>
      <c r="C224" t="s">
        <v>425</v>
      </c>
      <c r="D224" s="150">
        <v>112</v>
      </c>
      <c r="E224" t="s">
        <v>201</v>
      </c>
      <c r="F224" t="s">
        <v>202</v>
      </c>
      <c r="G224" t="s">
        <v>580</v>
      </c>
      <c r="H224" s="150">
        <v>32878</v>
      </c>
      <c r="I224" s="139" t="s">
        <v>46</v>
      </c>
      <c r="J224">
        <v>110920</v>
      </c>
      <c r="K224">
        <v>16920</v>
      </c>
      <c r="L224">
        <v>94000</v>
      </c>
      <c r="M224" t="s">
        <v>39</v>
      </c>
      <c r="N224" t="s">
        <v>581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16920</v>
      </c>
      <c r="AD224" s="138"/>
      <c r="AE224">
        <v>16920</v>
      </c>
      <c r="AF224" s="138">
        <f>+Purchase[[#This Row],[IGST Total]]+Purchase[[#This Row],[CGST Total]]+Purchase[[#This Row],[SGST Total]]</f>
        <v>16920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 s="138">
        <f>+Purchase[[#This Row],[IGST RCM Total]]+Purchase[[#This Row],[CGST RCM Total]]+Purchase[[#This Row],[SGST RCM Total]]</f>
        <v>0</v>
      </c>
      <c r="AP224" t="s">
        <v>176</v>
      </c>
    </row>
    <row r="225" spans="1:42" hidden="1" x14ac:dyDescent="0.25">
      <c r="A225" s="138" t="s">
        <v>38</v>
      </c>
      <c r="B225" t="s">
        <v>44</v>
      </c>
      <c r="C225" t="s">
        <v>428</v>
      </c>
      <c r="D225" s="150">
        <v>112</v>
      </c>
      <c r="E225" t="s">
        <v>201</v>
      </c>
      <c r="F225" t="s">
        <v>202</v>
      </c>
      <c r="G225" t="s">
        <v>582</v>
      </c>
      <c r="H225" s="150">
        <v>32879</v>
      </c>
      <c r="I225" s="139" t="s">
        <v>46</v>
      </c>
      <c r="J225">
        <v>140090</v>
      </c>
      <c r="K225">
        <v>21370</v>
      </c>
      <c r="L225">
        <v>118720</v>
      </c>
      <c r="M225" t="s">
        <v>39</v>
      </c>
      <c r="N225" t="s">
        <v>583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21370</v>
      </c>
      <c r="AD225" s="138"/>
      <c r="AE225">
        <v>21370</v>
      </c>
      <c r="AF225" s="138">
        <f>+Purchase[[#This Row],[IGST Total]]+Purchase[[#This Row],[CGST Total]]+Purchase[[#This Row],[SGST Total]]</f>
        <v>21370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 s="138">
        <f>+Purchase[[#This Row],[IGST RCM Total]]+Purchase[[#This Row],[CGST RCM Total]]+Purchase[[#This Row],[SGST RCM Total]]</f>
        <v>0</v>
      </c>
      <c r="AP225" t="s">
        <v>176</v>
      </c>
    </row>
    <row r="226" spans="1:42" hidden="1" x14ac:dyDescent="0.25">
      <c r="A226" s="138" t="s">
        <v>38</v>
      </c>
      <c r="B226" t="s">
        <v>44</v>
      </c>
      <c r="C226" t="s">
        <v>584</v>
      </c>
      <c r="D226" s="150">
        <v>112</v>
      </c>
      <c r="E226" t="s">
        <v>201</v>
      </c>
      <c r="F226" t="s">
        <v>202</v>
      </c>
      <c r="G226" t="s">
        <v>585</v>
      </c>
      <c r="H226" s="150">
        <v>32884</v>
      </c>
      <c r="I226" s="139" t="s">
        <v>46</v>
      </c>
      <c r="J226">
        <v>591476</v>
      </c>
      <c r="K226">
        <v>90226</v>
      </c>
      <c r="L226">
        <v>501250</v>
      </c>
      <c r="M226" t="s">
        <v>39</v>
      </c>
      <c r="N226" t="s">
        <v>586</v>
      </c>
      <c r="O226">
        <v>0</v>
      </c>
      <c r="P226">
        <v>0</v>
      </c>
      <c r="Q226">
        <v>0</v>
      </c>
      <c r="R226">
        <v>0</v>
      </c>
      <c r="S226">
        <v>45113</v>
      </c>
      <c r="T226">
        <v>45113</v>
      </c>
      <c r="U226">
        <v>0</v>
      </c>
      <c r="V226">
        <v>0</v>
      </c>
      <c r="W226">
        <v>0</v>
      </c>
      <c r="X226">
        <v>0</v>
      </c>
      <c r="Y226">
        <v>45113</v>
      </c>
      <c r="Z226">
        <v>45113</v>
      </c>
      <c r="AA226">
        <v>0</v>
      </c>
      <c r="AB226">
        <v>0</v>
      </c>
      <c r="AC226">
        <v>0</v>
      </c>
      <c r="AD226" s="138"/>
      <c r="AE226">
        <v>0</v>
      </c>
      <c r="AF226" s="138">
        <f>+Purchase[[#This Row],[IGST Total]]+Purchase[[#This Row],[CGST Total]]+Purchase[[#This Row],[SGST Total]]</f>
        <v>90226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 s="138">
        <f>+Purchase[[#This Row],[IGST RCM Total]]+Purchase[[#This Row],[CGST RCM Total]]+Purchase[[#This Row],[SGST RCM Total]]</f>
        <v>0</v>
      </c>
      <c r="AP226" t="s">
        <v>175</v>
      </c>
    </row>
    <row r="227" spans="1:42" hidden="1" x14ac:dyDescent="0.25">
      <c r="A227" s="138" t="s">
        <v>38</v>
      </c>
      <c r="B227" t="s">
        <v>44</v>
      </c>
      <c r="C227" t="s">
        <v>430</v>
      </c>
      <c r="D227" s="150">
        <v>112</v>
      </c>
      <c r="E227" t="s">
        <v>201</v>
      </c>
      <c r="F227" t="s">
        <v>202</v>
      </c>
      <c r="G227" t="s">
        <v>587</v>
      </c>
      <c r="H227" s="150">
        <v>32880</v>
      </c>
      <c r="I227" s="139" t="s">
        <v>46</v>
      </c>
      <c r="J227">
        <v>4954017.5999999996</v>
      </c>
      <c r="K227">
        <v>755697.6</v>
      </c>
      <c r="L227">
        <v>4198320</v>
      </c>
      <c r="M227" t="s">
        <v>39</v>
      </c>
      <c r="N227" t="s">
        <v>588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755697.6</v>
      </c>
      <c r="AD227" s="138"/>
      <c r="AE227">
        <v>755697.6</v>
      </c>
      <c r="AF227" s="138">
        <f>+Purchase[[#This Row],[IGST Total]]+Purchase[[#This Row],[CGST Total]]+Purchase[[#This Row],[SGST Total]]</f>
        <v>755697.6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 s="138">
        <f>+Purchase[[#This Row],[IGST RCM Total]]+Purchase[[#This Row],[CGST RCM Total]]+Purchase[[#This Row],[SGST RCM Total]]</f>
        <v>0</v>
      </c>
      <c r="AP227" t="s">
        <v>176</v>
      </c>
    </row>
    <row r="228" spans="1:42" hidden="1" x14ac:dyDescent="0.25">
      <c r="A228" s="138" t="s">
        <v>38</v>
      </c>
      <c r="B228" t="s">
        <v>44</v>
      </c>
      <c r="C228" t="s">
        <v>432</v>
      </c>
      <c r="D228" s="150">
        <v>112</v>
      </c>
      <c r="E228" t="s">
        <v>201</v>
      </c>
      <c r="F228" t="s">
        <v>202</v>
      </c>
      <c r="G228" t="s">
        <v>589</v>
      </c>
      <c r="H228" s="150">
        <v>32878</v>
      </c>
      <c r="I228" s="139" t="s">
        <v>46</v>
      </c>
      <c r="J228">
        <v>623736.19999999995</v>
      </c>
      <c r="K228">
        <v>95146.2</v>
      </c>
      <c r="L228">
        <v>528590</v>
      </c>
      <c r="M228" t="s">
        <v>39</v>
      </c>
      <c r="N228" t="s">
        <v>590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95146.2</v>
      </c>
      <c r="AD228" s="138"/>
      <c r="AE228">
        <v>95146.2</v>
      </c>
      <c r="AF228" s="138">
        <f>+Purchase[[#This Row],[IGST Total]]+Purchase[[#This Row],[CGST Total]]+Purchase[[#This Row],[SGST Total]]</f>
        <v>95146.2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 s="138">
        <f>+Purchase[[#This Row],[IGST RCM Total]]+Purchase[[#This Row],[CGST RCM Total]]+Purchase[[#This Row],[SGST RCM Total]]</f>
        <v>0</v>
      </c>
      <c r="AP228" t="s">
        <v>176</v>
      </c>
    </row>
    <row r="229" spans="1:42" hidden="1" x14ac:dyDescent="0.25">
      <c r="A229" s="138" t="s">
        <v>38</v>
      </c>
      <c r="B229" t="s">
        <v>44</v>
      </c>
      <c r="C229" t="s">
        <v>434</v>
      </c>
      <c r="D229" s="150">
        <v>112</v>
      </c>
      <c r="E229" t="s">
        <v>201</v>
      </c>
      <c r="F229" t="s">
        <v>202</v>
      </c>
      <c r="G229" t="s">
        <v>591</v>
      </c>
      <c r="H229" s="150">
        <v>32879</v>
      </c>
      <c r="I229" s="139" t="s">
        <v>46</v>
      </c>
      <c r="J229">
        <v>4901059.2</v>
      </c>
      <c r="K229">
        <v>747619.2</v>
      </c>
      <c r="L229">
        <v>4153440</v>
      </c>
      <c r="M229" t="s">
        <v>39</v>
      </c>
      <c r="N229" t="s">
        <v>588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747619.2</v>
      </c>
      <c r="AD229" s="138"/>
      <c r="AE229">
        <v>747619.2</v>
      </c>
      <c r="AF229" s="138">
        <f>+Purchase[[#This Row],[IGST Total]]+Purchase[[#This Row],[CGST Total]]+Purchase[[#This Row],[SGST Total]]</f>
        <v>747619.2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 s="138">
        <f>+Purchase[[#This Row],[IGST RCM Total]]+Purchase[[#This Row],[CGST RCM Total]]+Purchase[[#This Row],[SGST RCM Total]]</f>
        <v>0</v>
      </c>
      <c r="AP229" t="s">
        <v>176</v>
      </c>
    </row>
    <row r="230" spans="1:42" hidden="1" x14ac:dyDescent="0.25">
      <c r="A230" s="138" t="s">
        <v>38</v>
      </c>
      <c r="B230" t="s">
        <v>44</v>
      </c>
      <c r="C230" t="s">
        <v>436</v>
      </c>
      <c r="D230" s="150">
        <v>112</v>
      </c>
      <c r="E230" t="s">
        <v>201</v>
      </c>
      <c r="F230" t="s">
        <v>202</v>
      </c>
      <c r="G230" t="s">
        <v>592</v>
      </c>
      <c r="H230" s="150">
        <v>32888</v>
      </c>
      <c r="I230" s="139" t="s">
        <v>46</v>
      </c>
      <c r="J230">
        <v>63720</v>
      </c>
      <c r="K230">
        <v>9720</v>
      </c>
      <c r="L230">
        <v>54000</v>
      </c>
      <c r="M230" t="s">
        <v>39</v>
      </c>
      <c r="N230" t="s">
        <v>593</v>
      </c>
      <c r="O230">
        <v>0</v>
      </c>
      <c r="P230">
        <v>0</v>
      </c>
      <c r="Q230">
        <v>0</v>
      </c>
      <c r="R230">
        <v>0</v>
      </c>
      <c r="S230">
        <v>4860</v>
      </c>
      <c r="T230">
        <v>4860</v>
      </c>
      <c r="U230">
        <v>0</v>
      </c>
      <c r="V230">
        <v>0</v>
      </c>
      <c r="W230">
        <v>0</v>
      </c>
      <c r="X230">
        <v>0</v>
      </c>
      <c r="Y230">
        <v>4860</v>
      </c>
      <c r="Z230">
        <v>4860</v>
      </c>
      <c r="AA230">
        <v>0</v>
      </c>
      <c r="AB230">
        <v>0</v>
      </c>
      <c r="AC230">
        <v>0</v>
      </c>
      <c r="AD230" s="138"/>
      <c r="AE230">
        <v>0</v>
      </c>
      <c r="AF230" s="138">
        <f>+Purchase[[#This Row],[IGST Total]]+Purchase[[#This Row],[CGST Total]]+Purchase[[#This Row],[SGST Total]]</f>
        <v>9720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 s="138">
        <f>+Purchase[[#This Row],[IGST RCM Total]]+Purchase[[#This Row],[CGST RCM Total]]+Purchase[[#This Row],[SGST RCM Total]]</f>
        <v>0</v>
      </c>
      <c r="AP230" t="s">
        <v>175</v>
      </c>
    </row>
    <row r="231" spans="1:42" hidden="1" x14ac:dyDescent="0.25">
      <c r="A231" s="138" t="s">
        <v>38</v>
      </c>
      <c r="B231" t="s">
        <v>44</v>
      </c>
      <c r="C231" t="s">
        <v>594</v>
      </c>
      <c r="D231" s="150">
        <v>112</v>
      </c>
      <c r="E231" t="s">
        <v>201</v>
      </c>
      <c r="F231" t="s">
        <v>202</v>
      </c>
      <c r="G231" t="s">
        <v>595</v>
      </c>
      <c r="H231" s="150">
        <v>32874</v>
      </c>
      <c r="I231" s="139" t="s">
        <v>46</v>
      </c>
      <c r="J231">
        <v>1040760</v>
      </c>
      <c r="K231">
        <v>158760</v>
      </c>
      <c r="L231">
        <v>882000</v>
      </c>
      <c r="M231" t="s">
        <v>39</v>
      </c>
      <c r="N231" t="s">
        <v>487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158760</v>
      </c>
      <c r="AD231" s="138"/>
      <c r="AE231">
        <v>158760</v>
      </c>
      <c r="AF231" s="138">
        <f>+Purchase[[#This Row],[IGST Total]]+Purchase[[#This Row],[CGST Total]]+Purchase[[#This Row],[SGST Total]]</f>
        <v>158760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 s="138">
        <f>+Purchase[[#This Row],[IGST RCM Total]]+Purchase[[#This Row],[CGST RCM Total]]+Purchase[[#This Row],[SGST RCM Total]]</f>
        <v>0</v>
      </c>
      <c r="AP231" t="s">
        <v>176</v>
      </c>
    </row>
    <row r="232" spans="1:42" hidden="1" x14ac:dyDescent="0.25">
      <c r="A232" s="138" t="s">
        <v>38</v>
      </c>
      <c r="B232" t="s">
        <v>44</v>
      </c>
      <c r="C232" t="s">
        <v>438</v>
      </c>
      <c r="D232" s="150">
        <v>112</v>
      </c>
      <c r="E232" t="s">
        <v>201</v>
      </c>
      <c r="F232" t="s">
        <v>202</v>
      </c>
      <c r="G232" t="s">
        <v>596</v>
      </c>
      <c r="H232" s="150">
        <v>32881</v>
      </c>
      <c r="I232" s="139" t="s">
        <v>46</v>
      </c>
      <c r="J232">
        <v>832608</v>
      </c>
      <c r="K232">
        <v>127008</v>
      </c>
      <c r="L232">
        <v>705600</v>
      </c>
      <c r="M232" t="s">
        <v>39</v>
      </c>
      <c r="N232" t="s">
        <v>487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127008</v>
      </c>
      <c r="AD232" s="138"/>
      <c r="AE232">
        <v>127008</v>
      </c>
      <c r="AF232" s="138">
        <f>+Purchase[[#This Row],[IGST Total]]+Purchase[[#This Row],[CGST Total]]+Purchase[[#This Row],[SGST Total]]</f>
        <v>127008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 s="138">
        <f>+Purchase[[#This Row],[IGST RCM Total]]+Purchase[[#This Row],[CGST RCM Total]]+Purchase[[#This Row],[SGST RCM Total]]</f>
        <v>0</v>
      </c>
      <c r="AP232" t="s">
        <v>176</v>
      </c>
    </row>
    <row r="233" spans="1:42" hidden="1" x14ac:dyDescent="0.25">
      <c r="A233" s="138" t="s">
        <v>38</v>
      </c>
      <c r="B233" t="s">
        <v>44</v>
      </c>
      <c r="C233" t="s">
        <v>441</v>
      </c>
      <c r="D233" s="150">
        <v>113</v>
      </c>
      <c r="E233" t="s">
        <v>201</v>
      </c>
      <c r="F233" t="s">
        <v>202</v>
      </c>
      <c r="G233" t="s">
        <v>597</v>
      </c>
      <c r="H233" s="150">
        <v>32880</v>
      </c>
      <c r="I233" s="139" t="s">
        <v>46</v>
      </c>
      <c r="J233">
        <v>128620</v>
      </c>
      <c r="K233">
        <v>19620</v>
      </c>
      <c r="L233">
        <v>109000</v>
      </c>
      <c r="M233" t="s">
        <v>39</v>
      </c>
      <c r="N233" t="s">
        <v>577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19620</v>
      </c>
      <c r="AD233" s="138"/>
      <c r="AE233">
        <v>19620</v>
      </c>
      <c r="AF233" s="138">
        <f>+Purchase[[#This Row],[IGST Total]]+Purchase[[#This Row],[CGST Total]]+Purchase[[#This Row],[SGST Total]]</f>
        <v>19620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 s="138">
        <f>+Purchase[[#This Row],[IGST RCM Total]]+Purchase[[#This Row],[CGST RCM Total]]+Purchase[[#This Row],[SGST RCM Total]]</f>
        <v>0</v>
      </c>
      <c r="AP233" t="s">
        <v>176</v>
      </c>
    </row>
    <row r="234" spans="1:42" hidden="1" x14ac:dyDescent="0.25">
      <c r="A234" s="138" t="s">
        <v>38</v>
      </c>
      <c r="B234" t="s">
        <v>44</v>
      </c>
      <c r="C234" t="s">
        <v>443</v>
      </c>
      <c r="D234" s="150">
        <v>113</v>
      </c>
      <c r="E234" t="s">
        <v>201</v>
      </c>
      <c r="F234" t="s">
        <v>202</v>
      </c>
      <c r="G234" t="s">
        <v>598</v>
      </c>
      <c r="H234" s="150">
        <v>32880</v>
      </c>
      <c r="I234" s="139" t="s">
        <v>46</v>
      </c>
      <c r="J234">
        <v>311786</v>
      </c>
      <c r="K234">
        <v>47561</v>
      </c>
      <c r="L234">
        <v>264225</v>
      </c>
      <c r="M234" t="s">
        <v>39</v>
      </c>
      <c r="N234" t="s">
        <v>487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47561</v>
      </c>
      <c r="AD234" s="138"/>
      <c r="AE234">
        <v>47561</v>
      </c>
      <c r="AF234" s="138">
        <f>+Purchase[[#This Row],[IGST Total]]+Purchase[[#This Row],[CGST Total]]+Purchase[[#This Row],[SGST Total]]</f>
        <v>47561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 s="138">
        <f>+Purchase[[#This Row],[IGST RCM Total]]+Purchase[[#This Row],[CGST RCM Total]]+Purchase[[#This Row],[SGST RCM Total]]</f>
        <v>0</v>
      </c>
      <c r="AP234" t="s">
        <v>176</v>
      </c>
    </row>
    <row r="235" spans="1:42" hidden="1" x14ac:dyDescent="0.25">
      <c r="A235" s="138" t="s">
        <v>38</v>
      </c>
      <c r="B235" t="s">
        <v>44</v>
      </c>
      <c r="C235" t="s">
        <v>446</v>
      </c>
      <c r="D235" s="150">
        <v>113</v>
      </c>
      <c r="E235" t="s">
        <v>201</v>
      </c>
      <c r="F235" t="s">
        <v>202</v>
      </c>
      <c r="G235" t="s">
        <v>599</v>
      </c>
      <c r="H235" s="150">
        <v>32879</v>
      </c>
      <c r="I235" s="139" t="s">
        <v>46</v>
      </c>
      <c r="J235">
        <v>265500</v>
      </c>
      <c r="K235">
        <v>40500</v>
      </c>
      <c r="L235">
        <v>225000</v>
      </c>
      <c r="M235" t="s">
        <v>39</v>
      </c>
      <c r="N235" t="s">
        <v>570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40500</v>
      </c>
      <c r="AD235" s="138"/>
      <c r="AE235">
        <v>40500</v>
      </c>
      <c r="AF235" s="138">
        <f>+Purchase[[#This Row],[IGST Total]]+Purchase[[#This Row],[CGST Total]]+Purchase[[#This Row],[SGST Total]]</f>
        <v>40500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 s="138">
        <f>+Purchase[[#This Row],[IGST RCM Total]]+Purchase[[#This Row],[CGST RCM Total]]+Purchase[[#This Row],[SGST RCM Total]]</f>
        <v>0</v>
      </c>
      <c r="AP235" t="s">
        <v>176</v>
      </c>
    </row>
    <row r="236" spans="1:42" hidden="1" x14ac:dyDescent="0.25">
      <c r="A236" s="138" t="s">
        <v>38</v>
      </c>
      <c r="B236" t="s">
        <v>44</v>
      </c>
      <c r="C236" t="s">
        <v>448</v>
      </c>
      <c r="D236" s="150">
        <v>113</v>
      </c>
      <c r="E236" t="s">
        <v>201</v>
      </c>
      <c r="F236" t="s">
        <v>202</v>
      </c>
      <c r="G236" t="s">
        <v>600</v>
      </c>
      <c r="H236" s="150">
        <v>32882</v>
      </c>
      <c r="I236" s="139" t="s">
        <v>46</v>
      </c>
      <c r="J236">
        <v>155052</v>
      </c>
      <c r="K236">
        <v>23652</v>
      </c>
      <c r="L236">
        <v>131400</v>
      </c>
      <c r="M236" t="s">
        <v>39</v>
      </c>
      <c r="N236" t="s">
        <v>601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23652</v>
      </c>
      <c r="AD236" s="138"/>
      <c r="AE236">
        <v>23652</v>
      </c>
      <c r="AF236" s="138">
        <f>+Purchase[[#This Row],[IGST Total]]+Purchase[[#This Row],[CGST Total]]+Purchase[[#This Row],[SGST Total]]</f>
        <v>23652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 s="138">
        <f>+Purchase[[#This Row],[IGST RCM Total]]+Purchase[[#This Row],[CGST RCM Total]]+Purchase[[#This Row],[SGST RCM Total]]</f>
        <v>0</v>
      </c>
      <c r="AP236" t="s">
        <v>176</v>
      </c>
    </row>
    <row r="237" spans="1:42" hidden="1" x14ac:dyDescent="0.25">
      <c r="A237" s="138" t="s">
        <v>38</v>
      </c>
      <c r="B237" t="s">
        <v>44</v>
      </c>
      <c r="C237" t="s">
        <v>449</v>
      </c>
      <c r="D237" s="150">
        <v>113</v>
      </c>
      <c r="E237" t="s">
        <v>201</v>
      </c>
      <c r="F237" t="s">
        <v>202</v>
      </c>
      <c r="G237" t="s">
        <v>602</v>
      </c>
      <c r="H237" s="150">
        <v>32963</v>
      </c>
      <c r="I237" s="139" t="s">
        <v>46</v>
      </c>
      <c r="J237">
        <v>1128670</v>
      </c>
      <c r="K237">
        <v>172170</v>
      </c>
      <c r="L237">
        <v>956500</v>
      </c>
      <c r="M237" t="s">
        <v>39</v>
      </c>
      <c r="N237" t="s">
        <v>496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172170</v>
      </c>
      <c r="AD237" s="138"/>
      <c r="AE237">
        <v>172170</v>
      </c>
      <c r="AF237" s="138">
        <f>+Purchase[[#This Row],[IGST Total]]+Purchase[[#This Row],[CGST Total]]+Purchase[[#This Row],[SGST Total]]</f>
        <v>172170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 s="138">
        <f>+Purchase[[#This Row],[IGST RCM Total]]+Purchase[[#This Row],[CGST RCM Total]]+Purchase[[#This Row],[SGST RCM Total]]</f>
        <v>0</v>
      </c>
      <c r="AP237" t="s">
        <v>176</v>
      </c>
    </row>
    <row r="238" spans="1:42" hidden="1" x14ac:dyDescent="0.25">
      <c r="A238" s="138" t="s">
        <v>38</v>
      </c>
      <c r="B238" t="s">
        <v>44</v>
      </c>
      <c r="C238" t="s">
        <v>451</v>
      </c>
      <c r="D238" s="150">
        <v>113</v>
      </c>
      <c r="E238" t="s">
        <v>201</v>
      </c>
      <c r="F238" t="s">
        <v>202</v>
      </c>
      <c r="G238" t="s">
        <v>603</v>
      </c>
      <c r="H238" s="150">
        <v>32961</v>
      </c>
      <c r="I238" s="139" t="s">
        <v>46</v>
      </c>
      <c r="J238">
        <v>1244938.3500000001</v>
      </c>
      <c r="K238">
        <v>189905.85</v>
      </c>
      <c r="L238">
        <v>1055032.5</v>
      </c>
      <c r="M238" t="s">
        <v>39</v>
      </c>
      <c r="N238" t="s">
        <v>504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189905.85</v>
      </c>
      <c r="AD238" s="138"/>
      <c r="AE238">
        <v>189905.85</v>
      </c>
      <c r="AF238" s="138">
        <f>+Purchase[[#This Row],[IGST Total]]+Purchase[[#This Row],[CGST Total]]+Purchase[[#This Row],[SGST Total]]</f>
        <v>189905.85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 s="138">
        <f>+Purchase[[#This Row],[IGST RCM Total]]+Purchase[[#This Row],[CGST RCM Total]]+Purchase[[#This Row],[SGST RCM Total]]</f>
        <v>0</v>
      </c>
      <c r="AP238" t="s">
        <v>176</v>
      </c>
    </row>
    <row r="239" spans="1:42" hidden="1" x14ac:dyDescent="0.25">
      <c r="A239" s="138" t="s">
        <v>38</v>
      </c>
      <c r="B239" t="s">
        <v>44</v>
      </c>
      <c r="C239" t="s">
        <v>453</v>
      </c>
      <c r="D239" s="150">
        <v>113</v>
      </c>
      <c r="E239" t="s">
        <v>201</v>
      </c>
      <c r="F239" t="s">
        <v>202</v>
      </c>
      <c r="G239" t="s">
        <v>604</v>
      </c>
      <c r="H239" s="150">
        <v>32887</v>
      </c>
      <c r="I239" s="139" t="s">
        <v>46</v>
      </c>
      <c r="J239">
        <v>45400.5</v>
      </c>
      <c r="K239">
        <v>6925.5</v>
      </c>
      <c r="L239">
        <v>38475</v>
      </c>
      <c r="M239" t="s">
        <v>39</v>
      </c>
      <c r="N239" t="s">
        <v>504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6925.5</v>
      </c>
      <c r="AD239" s="138"/>
      <c r="AE239">
        <v>6925.5</v>
      </c>
      <c r="AF239" s="138">
        <f>+Purchase[[#This Row],[IGST Total]]+Purchase[[#This Row],[CGST Total]]+Purchase[[#This Row],[SGST Total]]</f>
        <v>6925.5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 s="138">
        <f>+Purchase[[#This Row],[IGST RCM Total]]+Purchase[[#This Row],[CGST RCM Total]]+Purchase[[#This Row],[SGST RCM Total]]</f>
        <v>0</v>
      </c>
      <c r="AP239" t="s">
        <v>176</v>
      </c>
    </row>
    <row r="240" spans="1:42" hidden="1" x14ac:dyDescent="0.25">
      <c r="A240" s="138" t="s">
        <v>38</v>
      </c>
      <c r="B240" t="s">
        <v>44</v>
      </c>
      <c r="C240" t="s">
        <v>455</v>
      </c>
      <c r="D240" s="150">
        <v>113</v>
      </c>
      <c r="E240" t="s">
        <v>201</v>
      </c>
      <c r="F240" t="s">
        <v>202</v>
      </c>
      <c r="G240" t="s">
        <v>605</v>
      </c>
      <c r="H240" s="150">
        <v>32885</v>
      </c>
      <c r="I240" s="139" t="s">
        <v>46</v>
      </c>
      <c r="J240">
        <v>339840</v>
      </c>
      <c r="K240">
        <v>51840</v>
      </c>
      <c r="L240">
        <v>288000</v>
      </c>
      <c r="M240" t="s">
        <v>39</v>
      </c>
      <c r="N240" t="s">
        <v>504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51840</v>
      </c>
      <c r="AD240" s="138"/>
      <c r="AE240">
        <v>51840</v>
      </c>
      <c r="AF240" s="138">
        <f>+Purchase[[#This Row],[IGST Total]]+Purchase[[#This Row],[CGST Total]]+Purchase[[#This Row],[SGST Total]]</f>
        <v>51840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 s="138">
        <f>+Purchase[[#This Row],[IGST RCM Total]]+Purchase[[#This Row],[CGST RCM Total]]+Purchase[[#This Row],[SGST RCM Total]]</f>
        <v>0</v>
      </c>
      <c r="AP240" t="s">
        <v>176</v>
      </c>
    </row>
    <row r="241" spans="1:42" hidden="1" x14ac:dyDescent="0.25">
      <c r="A241" s="138" t="s">
        <v>38</v>
      </c>
      <c r="B241" t="s">
        <v>44</v>
      </c>
      <c r="C241" t="s">
        <v>458</v>
      </c>
      <c r="D241" s="150">
        <v>113</v>
      </c>
      <c r="E241" t="s">
        <v>201</v>
      </c>
      <c r="F241" t="s">
        <v>202</v>
      </c>
      <c r="G241" t="s">
        <v>606</v>
      </c>
      <c r="H241" s="150">
        <v>32962</v>
      </c>
      <c r="I241" s="139" t="s">
        <v>46</v>
      </c>
      <c r="J241">
        <v>1275302.7</v>
      </c>
      <c r="K241">
        <v>194537.7</v>
      </c>
      <c r="L241">
        <v>1080765</v>
      </c>
      <c r="M241" t="s">
        <v>39</v>
      </c>
      <c r="N241" t="s">
        <v>504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194537.7</v>
      </c>
      <c r="AD241" s="138"/>
      <c r="AE241">
        <v>194537.7</v>
      </c>
      <c r="AF241" s="138">
        <f>+Purchase[[#This Row],[IGST Total]]+Purchase[[#This Row],[CGST Total]]+Purchase[[#This Row],[SGST Total]]</f>
        <v>194537.7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 s="138">
        <f>+Purchase[[#This Row],[IGST RCM Total]]+Purchase[[#This Row],[CGST RCM Total]]+Purchase[[#This Row],[SGST RCM Total]]</f>
        <v>0</v>
      </c>
      <c r="AP241" t="s">
        <v>176</v>
      </c>
    </row>
    <row r="242" spans="1:42" hidden="1" x14ac:dyDescent="0.25">
      <c r="A242" s="138" t="s">
        <v>38</v>
      </c>
      <c r="B242" t="s">
        <v>44</v>
      </c>
      <c r="C242" t="s">
        <v>607</v>
      </c>
      <c r="D242" s="150">
        <v>113</v>
      </c>
      <c r="E242" t="s">
        <v>201</v>
      </c>
      <c r="F242" t="s">
        <v>202</v>
      </c>
      <c r="G242" t="s">
        <v>608</v>
      </c>
      <c r="H242" s="150">
        <v>32885</v>
      </c>
      <c r="I242" s="139" t="s">
        <v>46</v>
      </c>
      <c r="J242">
        <v>19175</v>
      </c>
      <c r="K242">
        <v>2925</v>
      </c>
      <c r="L242">
        <v>16250</v>
      </c>
      <c r="M242" t="s">
        <v>39</v>
      </c>
      <c r="N242" t="s">
        <v>559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2925</v>
      </c>
      <c r="AD242" s="138"/>
      <c r="AE242">
        <v>2925</v>
      </c>
      <c r="AF242" s="138">
        <f>+Purchase[[#This Row],[IGST Total]]+Purchase[[#This Row],[CGST Total]]+Purchase[[#This Row],[SGST Total]]</f>
        <v>2925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 s="138">
        <f>+Purchase[[#This Row],[IGST RCM Total]]+Purchase[[#This Row],[CGST RCM Total]]+Purchase[[#This Row],[SGST RCM Total]]</f>
        <v>0</v>
      </c>
      <c r="AP242" t="s">
        <v>176</v>
      </c>
    </row>
    <row r="243" spans="1:42" hidden="1" x14ac:dyDescent="0.25">
      <c r="A243" s="138" t="s">
        <v>38</v>
      </c>
      <c r="B243" t="s">
        <v>44</v>
      </c>
      <c r="C243" t="s">
        <v>459</v>
      </c>
      <c r="D243" s="150">
        <v>113</v>
      </c>
      <c r="E243" t="s">
        <v>201</v>
      </c>
      <c r="F243" t="s">
        <v>202</v>
      </c>
      <c r="G243" t="s">
        <v>609</v>
      </c>
      <c r="H243" s="150">
        <v>32963</v>
      </c>
      <c r="I243" s="139" t="s">
        <v>46</v>
      </c>
      <c r="J243">
        <v>515660</v>
      </c>
      <c r="K243">
        <v>78660</v>
      </c>
      <c r="L243">
        <v>437000</v>
      </c>
      <c r="M243" t="s">
        <v>39</v>
      </c>
      <c r="N243" t="s">
        <v>504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78660</v>
      </c>
      <c r="AD243" s="138"/>
      <c r="AE243">
        <v>78660</v>
      </c>
      <c r="AF243" s="138">
        <f>+Purchase[[#This Row],[IGST Total]]+Purchase[[#This Row],[CGST Total]]+Purchase[[#This Row],[SGST Total]]</f>
        <v>78660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 s="138">
        <f>+Purchase[[#This Row],[IGST RCM Total]]+Purchase[[#This Row],[CGST RCM Total]]+Purchase[[#This Row],[SGST RCM Total]]</f>
        <v>0</v>
      </c>
      <c r="AP243" t="s">
        <v>176</v>
      </c>
    </row>
    <row r="244" spans="1:42" hidden="1" x14ac:dyDescent="0.25">
      <c r="A244" s="138" t="s">
        <v>38</v>
      </c>
      <c r="B244" t="s">
        <v>44</v>
      </c>
      <c r="C244" t="s">
        <v>610</v>
      </c>
      <c r="D244" s="150">
        <v>113</v>
      </c>
      <c r="E244" t="s">
        <v>201</v>
      </c>
      <c r="F244" t="s">
        <v>202</v>
      </c>
      <c r="G244" t="s">
        <v>611</v>
      </c>
      <c r="H244" s="150">
        <v>32963</v>
      </c>
      <c r="I244" s="139" t="s">
        <v>46</v>
      </c>
      <c r="J244">
        <v>493240</v>
      </c>
      <c r="K244">
        <v>75240</v>
      </c>
      <c r="L244">
        <v>418000</v>
      </c>
      <c r="M244" t="s">
        <v>39</v>
      </c>
      <c r="N244" t="s">
        <v>504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75240</v>
      </c>
      <c r="AD244" s="138"/>
      <c r="AE244">
        <v>75240</v>
      </c>
      <c r="AF244" s="138">
        <f>+Purchase[[#This Row],[IGST Total]]+Purchase[[#This Row],[CGST Total]]+Purchase[[#This Row],[SGST Total]]</f>
        <v>75240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 s="138">
        <f>+Purchase[[#This Row],[IGST RCM Total]]+Purchase[[#This Row],[CGST RCM Total]]+Purchase[[#This Row],[SGST RCM Total]]</f>
        <v>0</v>
      </c>
      <c r="AP244" t="s">
        <v>176</v>
      </c>
    </row>
    <row r="245" spans="1:42" hidden="1" x14ac:dyDescent="0.25">
      <c r="A245" s="138" t="s">
        <v>38</v>
      </c>
      <c r="B245" t="s">
        <v>44</v>
      </c>
      <c r="C245" t="s">
        <v>612</v>
      </c>
      <c r="D245" s="150">
        <v>113</v>
      </c>
      <c r="E245" t="s">
        <v>201</v>
      </c>
      <c r="F245" t="s">
        <v>202</v>
      </c>
      <c r="G245" t="s">
        <v>613</v>
      </c>
      <c r="H245" s="150">
        <v>32891</v>
      </c>
      <c r="I245" s="139" t="s">
        <v>46</v>
      </c>
      <c r="J245">
        <v>227740.79999999999</v>
      </c>
      <c r="K245">
        <v>34740.120000000003</v>
      </c>
      <c r="L245">
        <v>193000.68</v>
      </c>
      <c r="M245" t="s">
        <v>39</v>
      </c>
      <c r="N245" t="s">
        <v>529</v>
      </c>
      <c r="O245">
        <v>0</v>
      </c>
      <c r="P245">
        <v>0</v>
      </c>
      <c r="Q245">
        <v>0</v>
      </c>
      <c r="R245">
        <v>0</v>
      </c>
      <c r="S245">
        <v>17370.060000000001</v>
      </c>
      <c r="T245">
        <v>17370.060000000001</v>
      </c>
      <c r="U245">
        <v>0</v>
      </c>
      <c r="V245">
        <v>0</v>
      </c>
      <c r="W245">
        <v>0</v>
      </c>
      <c r="X245">
        <v>0</v>
      </c>
      <c r="Y245">
        <v>17370.060000000001</v>
      </c>
      <c r="Z245">
        <v>17370.060000000001</v>
      </c>
      <c r="AA245">
        <v>0</v>
      </c>
      <c r="AB245">
        <v>0</v>
      </c>
      <c r="AC245">
        <v>0</v>
      </c>
      <c r="AD245" s="138"/>
      <c r="AE245">
        <v>0</v>
      </c>
      <c r="AF245" s="138">
        <f>+Purchase[[#This Row],[IGST Total]]+Purchase[[#This Row],[CGST Total]]+Purchase[[#This Row],[SGST Total]]</f>
        <v>34740.120000000003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 s="138">
        <f>+Purchase[[#This Row],[IGST RCM Total]]+Purchase[[#This Row],[CGST RCM Total]]+Purchase[[#This Row],[SGST RCM Total]]</f>
        <v>0</v>
      </c>
      <c r="AP245" t="s">
        <v>8</v>
      </c>
    </row>
    <row r="246" spans="1:42" hidden="1" x14ac:dyDescent="0.25">
      <c r="A246" s="138" t="s">
        <v>38</v>
      </c>
      <c r="B246" t="s">
        <v>44</v>
      </c>
      <c r="C246" t="s">
        <v>614</v>
      </c>
      <c r="D246" s="150">
        <v>121</v>
      </c>
      <c r="E246" t="s">
        <v>201</v>
      </c>
      <c r="F246" t="s">
        <v>202</v>
      </c>
      <c r="G246" t="s">
        <v>615</v>
      </c>
      <c r="H246" s="150">
        <v>32874</v>
      </c>
      <c r="I246" s="139" t="s">
        <v>46</v>
      </c>
      <c r="J246">
        <v>299560.21999999997</v>
      </c>
      <c r="K246">
        <v>45695.62</v>
      </c>
      <c r="L246">
        <v>253864.6</v>
      </c>
      <c r="M246" t="s">
        <v>39</v>
      </c>
      <c r="N246" t="s">
        <v>403</v>
      </c>
      <c r="O246">
        <v>0</v>
      </c>
      <c r="P246">
        <v>0</v>
      </c>
      <c r="Q246">
        <v>0</v>
      </c>
      <c r="R246">
        <v>0</v>
      </c>
      <c r="S246">
        <v>22847.81</v>
      </c>
      <c r="T246">
        <v>22847.81</v>
      </c>
      <c r="U246">
        <v>0</v>
      </c>
      <c r="V246">
        <v>0</v>
      </c>
      <c r="W246">
        <v>0</v>
      </c>
      <c r="X246">
        <v>0</v>
      </c>
      <c r="Y246">
        <v>22847.81</v>
      </c>
      <c r="Z246">
        <v>22847.81</v>
      </c>
      <c r="AA246">
        <v>0</v>
      </c>
      <c r="AB246">
        <v>0</v>
      </c>
      <c r="AC246">
        <v>0</v>
      </c>
      <c r="AD246" s="138"/>
      <c r="AE246">
        <v>0</v>
      </c>
      <c r="AF246" s="138">
        <f>+Purchase[[#This Row],[IGST Total]]+Purchase[[#This Row],[CGST Total]]+Purchase[[#This Row],[SGST Total]]</f>
        <v>45695.62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 s="138">
        <f>+Purchase[[#This Row],[IGST RCM Total]]+Purchase[[#This Row],[CGST RCM Total]]+Purchase[[#This Row],[SGST RCM Total]]</f>
        <v>0</v>
      </c>
      <c r="AP246" t="s">
        <v>175</v>
      </c>
    </row>
    <row r="247" spans="1:42" hidden="1" x14ac:dyDescent="0.25">
      <c r="A247" s="138" t="s">
        <v>38</v>
      </c>
      <c r="B247" t="s">
        <v>44</v>
      </c>
      <c r="C247" t="s">
        <v>616</v>
      </c>
      <c r="D247" s="150">
        <v>121</v>
      </c>
      <c r="E247" t="s">
        <v>201</v>
      </c>
      <c r="F247" t="s">
        <v>202</v>
      </c>
      <c r="G247" t="s">
        <v>198</v>
      </c>
      <c r="H247" s="150">
        <v>32881</v>
      </c>
      <c r="I247" s="139" t="s">
        <v>46</v>
      </c>
      <c r="J247">
        <v>39317.019999999997</v>
      </c>
      <c r="K247">
        <v>5997.52</v>
      </c>
      <c r="L247">
        <v>33319.5</v>
      </c>
      <c r="M247" t="s">
        <v>39</v>
      </c>
      <c r="N247" t="s">
        <v>473</v>
      </c>
      <c r="O247">
        <v>0</v>
      </c>
      <c r="P247">
        <v>0</v>
      </c>
      <c r="Q247">
        <v>0</v>
      </c>
      <c r="R247">
        <v>0</v>
      </c>
      <c r="S247">
        <v>2998.76</v>
      </c>
      <c r="T247">
        <v>2998.76</v>
      </c>
      <c r="U247">
        <v>0</v>
      </c>
      <c r="V247">
        <v>0</v>
      </c>
      <c r="W247">
        <v>0</v>
      </c>
      <c r="X247">
        <v>0</v>
      </c>
      <c r="Y247">
        <v>2998.76</v>
      </c>
      <c r="Z247">
        <v>2998.76</v>
      </c>
      <c r="AA247">
        <v>0</v>
      </c>
      <c r="AB247">
        <v>0</v>
      </c>
      <c r="AC247">
        <v>0</v>
      </c>
      <c r="AD247" s="138"/>
      <c r="AE247">
        <v>0</v>
      </c>
      <c r="AF247" s="138">
        <f>+Purchase[[#This Row],[IGST Total]]+Purchase[[#This Row],[CGST Total]]+Purchase[[#This Row],[SGST Total]]</f>
        <v>5997.52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 s="138">
        <f>+Purchase[[#This Row],[IGST RCM Total]]+Purchase[[#This Row],[CGST RCM Total]]+Purchase[[#This Row],[SGST RCM Total]]</f>
        <v>0</v>
      </c>
      <c r="AP247" t="s">
        <v>175</v>
      </c>
    </row>
    <row r="248" spans="1:42" hidden="1" x14ac:dyDescent="0.25">
      <c r="A248" s="138" t="s">
        <v>38</v>
      </c>
      <c r="B248" t="s">
        <v>44</v>
      </c>
      <c r="C248" t="s">
        <v>617</v>
      </c>
      <c r="D248" s="150">
        <v>121</v>
      </c>
      <c r="E248" t="s">
        <v>201</v>
      </c>
      <c r="F248" t="s">
        <v>202</v>
      </c>
      <c r="G248" t="s">
        <v>618</v>
      </c>
      <c r="H248" s="150">
        <v>32887</v>
      </c>
      <c r="I248" s="139" t="s">
        <v>46</v>
      </c>
      <c r="J248">
        <v>17331.84</v>
      </c>
      <c r="K248">
        <v>2643.84</v>
      </c>
      <c r="L248">
        <v>14688</v>
      </c>
      <c r="M248" t="s">
        <v>39</v>
      </c>
      <c r="N248" t="s">
        <v>481</v>
      </c>
      <c r="O248">
        <v>0</v>
      </c>
      <c r="P248">
        <v>0</v>
      </c>
      <c r="Q248">
        <v>0</v>
      </c>
      <c r="R248">
        <v>0</v>
      </c>
      <c r="S248">
        <v>1321.92</v>
      </c>
      <c r="T248">
        <v>1321.92</v>
      </c>
      <c r="U248">
        <v>0</v>
      </c>
      <c r="V248">
        <v>0</v>
      </c>
      <c r="W248">
        <v>0</v>
      </c>
      <c r="X248">
        <v>0</v>
      </c>
      <c r="Y248">
        <v>1321.92</v>
      </c>
      <c r="Z248">
        <v>1321.92</v>
      </c>
      <c r="AA248">
        <v>0</v>
      </c>
      <c r="AB248">
        <v>0</v>
      </c>
      <c r="AC248">
        <v>0</v>
      </c>
      <c r="AD248" s="138"/>
      <c r="AE248">
        <v>0</v>
      </c>
      <c r="AF248" s="138">
        <f>+Purchase[[#This Row],[IGST Total]]+Purchase[[#This Row],[CGST Total]]+Purchase[[#This Row],[SGST Total]]</f>
        <v>2643.84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 s="138">
        <f>+Purchase[[#This Row],[IGST RCM Total]]+Purchase[[#This Row],[CGST RCM Total]]+Purchase[[#This Row],[SGST RCM Total]]</f>
        <v>0</v>
      </c>
      <c r="AP248" t="s">
        <v>175</v>
      </c>
    </row>
    <row r="249" spans="1:42" hidden="1" x14ac:dyDescent="0.25">
      <c r="A249" s="138" t="s">
        <v>38</v>
      </c>
      <c r="B249" t="s">
        <v>44</v>
      </c>
      <c r="C249" t="s">
        <v>619</v>
      </c>
      <c r="D249" s="150">
        <v>121</v>
      </c>
      <c r="E249" t="s">
        <v>201</v>
      </c>
      <c r="F249" t="s">
        <v>202</v>
      </c>
      <c r="G249" t="s">
        <v>460</v>
      </c>
      <c r="H249" s="150">
        <v>32889</v>
      </c>
      <c r="I249" s="139" t="s">
        <v>46</v>
      </c>
      <c r="J249">
        <v>180241.8</v>
      </c>
      <c r="K249">
        <v>27494</v>
      </c>
      <c r="L249">
        <v>152747.79999999999</v>
      </c>
      <c r="M249" t="s">
        <v>39</v>
      </c>
      <c r="N249" t="s">
        <v>304</v>
      </c>
      <c r="O249">
        <v>0</v>
      </c>
      <c r="P249">
        <v>0</v>
      </c>
      <c r="Q249">
        <v>0</v>
      </c>
      <c r="R249">
        <v>0</v>
      </c>
      <c r="S249">
        <v>13747</v>
      </c>
      <c r="T249">
        <v>13747</v>
      </c>
      <c r="U249">
        <v>0</v>
      </c>
      <c r="V249">
        <v>0</v>
      </c>
      <c r="W249">
        <v>0</v>
      </c>
      <c r="X249">
        <v>0</v>
      </c>
      <c r="Y249">
        <v>13747</v>
      </c>
      <c r="Z249">
        <v>13747</v>
      </c>
      <c r="AA249">
        <v>0</v>
      </c>
      <c r="AB249">
        <v>0</v>
      </c>
      <c r="AC249">
        <v>0</v>
      </c>
      <c r="AD249" s="138"/>
      <c r="AE249">
        <v>0</v>
      </c>
      <c r="AF249" s="138">
        <f>+Purchase[[#This Row],[IGST Total]]+Purchase[[#This Row],[CGST Total]]+Purchase[[#This Row],[SGST Total]]</f>
        <v>27494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 s="138">
        <f>+Purchase[[#This Row],[IGST RCM Total]]+Purchase[[#This Row],[CGST RCM Total]]+Purchase[[#This Row],[SGST RCM Total]]</f>
        <v>0</v>
      </c>
      <c r="AP249" t="s">
        <v>175</v>
      </c>
    </row>
    <row r="250" spans="1:42" hidden="1" x14ac:dyDescent="0.25">
      <c r="A250" s="138" t="s">
        <v>38</v>
      </c>
      <c r="B250" t="s">
        <v>44</v>
      </c>
      <c r="C250" t="s">
        <v>620</v>
      </c>
      <c r="D250" s="150">
        <v>121</v>
      </c>
      <c r="E250" t="s">
        <v>201</v>
      </c>
      <c r="F250" t="s">
        <v>202</v>
      </c>
      <c r="G250" t="s">
        <v>251</v>
      </c>
      <c r="H250" s="150">
        <v>32892</v>
      </c>
      <c r="I250" s="139" t="s">
        <v>46</v>
      </c>
      <c r="J250">
        <v>525367.28</v>
      </c>
      <c r="K250">
        <v>80140.78</v>
      </c>
      <c r="L250">
        <v>445226.5</v>
      </c>
      <c r="M250" t="s">
        <v>39</v>
      </c>
      <c r="N250" t="s">
        <v>252</v>
      </c>
      <c r="O250">
        <v>0</v>
      </c>
      <c r="P250">
        <v>0</v>
      </c>
      <c r="Q250">
        <v>0</v>
      </c>
      <c r="R250">
        <v>0</v>
      </c>
      <c r="S250">
        <v>40070.39</v>
      </c>
      <c r="T250">
        <v>40070.39</v>
      </c>
      <c r="U250">
        <v>0</v>
      </c>
      <c r="V250">
        <v>0</v>
      </c>
      <c r="W250">
        <v>0</v>
      </c>
      <c r="X250">
        <v>0</v>
      </c>
      <c r="Y250">
        <v>40070.39</v>
      </c>
      <c r="Z250">
        <v>40070.39</v>
      </c>
      <c r="AA250">
        <v>0</v>
      </c>
      <c r="AB250">
        <v>0</v>
      </c>
      <c r="AC250">
        <v>0</v>
      </c>
      <c r="AD250" s="138"/>
      <c r="AE250">
        <v>0</v>
      </c>
      <c r="AF250" s="138">
        <f>+Purchase[[#This Row],[IGST Total]]+Purchase[[#This Row],[CGST Total]]+Purchase[[#This Row],[SGST Total]]</f>
        <v>80140.78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 s="138">
        <f>+Purchase[[#This Row],[IGST RCM Total]]+Purchase[[#This Row],[CGST RCM Total]]+Purchase[[#This Row],[SGST RCM Total]]</f>
        <v>0</v>
      </c>
      <c r="AP250" t="s">
        <v>175</v>
      </c>
    </row>
    <row r="251" spans="1:42" hidden="1" x14ac:dyDescent="0.25">
      <c r="A251" s="138" t="s">
        <v>38</v>
      </c>
      <c r="B251" t="s">
        <v>44</v>
      </c>
      <c r="C251" t="s">
        <v>621</v>
      </c>
      <c r="D251" s="150">
        <v>121</v>
      </c>
      <c r="E251" t="s">
        <v>201</v>
      </c>
      <c r="F251" t="s">
        <v>202</v>
      </c>
      <c r="G251" t="s">
        <v>622</v>
      </c>
      <c r="H251" s="150">
        <v>32892</v>
      </c>
      <c r="I251" s="139" t="s">
        <v>46</v>
      </c>
      <c r="J251">
        <v>490880.24</v>
      </c>
      <c r="K251">
        <v>74880.039999999994</v>
      </c>
      <c r="L251">
        <v>416000.2</v>
      </c>
      <c r="M251" t="s">
        <v>39</v>
      </c>
      <c r="N251" t="s">
        <v>252</v>
      </c>
      <c r="O251">
        <v>0</v>
      </c>
      <c r="P251">
        <v>0</v>
      </c>
      <c r="Q251">
        <v>0</v>
      </c>
      <c r="R251">
        <v>0</v>
      </c>
      <c r="S251">
        <v>37440.019999999997</v>
      </c>
      <c r="T251">
        <v>37440.019999999997</v>
      </c>
      <c r="U251">
        <v>0</v>
      </c>
      <c r="V251">
        <v>0</v>
      </c>
      <c r="W251">
        <v>0</v>
      </c>
      <c r="X251">
        <v>0</v>
      </c>
      <c r="Y251">
        <v>37440.019999999997</v>
      </c>
      <c r="Z251">
        <v>37440.019999999997</v>
      </c>
      <c r="AA251">
        <v>0</v>
      </c>
      <c r="AB251">
        <v>0</v>
      </c>
      <c r="AC251">
        <v>0</v>
      </c>
      <c r="AD251" s="138"/>
      <c r="AE251">
        <v>0</v>
      </c>
      <c r="AF251" s="138">
        <f>+Purchase[[#This Row],[IGST Total]]+Purchase[[#This Row],[CGST Total]]+Purchase[[#This Row],[SGST Total]]</f>
        <v>74880.039999999994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 s="138">
        <f>+Purchase[[#This Row],[IGST RCM Total]]+Purchase[[#This Row],[CGST RCM Total]]+Purchase[[#This Row],[SGST RCM Total]]</f>
        <v>0</v>
      </c>
      <c r="AP251" t="s">
        <v>175</v>
      </c>
    </row>
    <row r="252" spans="1:42" hidden="1" x14ac:dyDescent="0.25">
      <c r="A252" s="138" t="s">
        <v>38</v>
      </c>
      <c r="B252" t="s">
        <v>44</v>
      </c>
      <c r="C252" t="s">
        <v>623</v>
      </c>
      <c r="D252" s="150">
        <v>121</v>
      </c>
      <c r="E252" t="s">
        <v>201</v>
      </c>
      <c r="F252" t="s">
        <v>202</v>
      </c>
      <c r="G252" t="s">
        <v>624</v>
      </c>
      <c r="H252" s="150">
        <v>32891</v>
      </c>
      <c r="I252" s="139" t="s">
        <v>46</v>
      </c>
      <c r="J252">
        <v>38341.24</v>
      </c>
      <c r="K252">
        <v>5848</v>
      </c>
      <c r="L252">
        <v>32493.24</v>
      </c>
      <c r="M252" t="s">
        <v>39</v>
      </c>
      <c r="N252" t="s">
        <v>334</v>
      </c>
      <c r="O252">
        <v>0</v>
      </c>
      <c r="P252">
        <v>0</v>
      </c>
      <c r="Q252">
        <v>0</v>
      </c>
      <c r="R252">
        <v>0</v>
      </c>
      <c r="S252">
        <v>2924</v>
      </c>
      <c r="T252">
        <v>2924</v>
      </c>
      <c r="U252">
        <v>0</v>
      </c>
      <c r="V252">
        <v>0</v>
      </c>
      <c r="W252">
        <v>0</v>
      </c>
      <c r="X252">
        <v>0</v>
      </c>
      <c r="Y252">
        <v>2924</v>
      </c>
      <c r="Z252">
        <v>2924</v>
      </c>
      <c r="AA252">
        <v>0</v>
      </c>
      <c r="AB252">
        <v>0</v>
      </c>
      <c r="AC252">
        <v>0</v>
      </c>
      <c r="AD252" s="138"/>
      <c r="AE252">
        <v>0</v>
      </c>
      <c r="AF252" s="138">
        <f>+Purchase[[#This Row],[IGST Total]]+Purchase[[#This Row],[CGST Total]]+Purchase[[#This Row],[SGST Total]]</f>
        <v>5848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 s="138">
        <f>+Purchase[[#This Row],[IGST RCM Total]]+Purchase[[#This Row],[CGST RCM Total]]+Purchase[[#This Row],[SGST RCM Total]]</f>
        <v>0</v>
      </c>
      <c r="AP252" t="s">
        <v>175</v>
      </c>
    </row>
    <row r="253" spans="1:42" hidden="1" x14ac:dyDescent="0.25">
      <c r="A253" s="138" t="s">
        <v>38</v>
      </c>
      <c r="B253" t="s">
        <v>44</v>
      </c>
      <c r="C253" t="s">
        <v>625</v>
      </c>
      <c r="D253" s="150">
        <v>121</v>
      </c>
      <c r="E253" t="s">
        <v>201</v>
      </c>
      <c r="F253" t="s">
        <v>202</v>
      </c>
      <c r="G253" t="s">
        <v>626</v>
      </c>
      <c r="H253" s="150">
        <v>32891</v>
      </c>
      <c r="I253" s="139" t="s">
        <v>46</v>
      </c>
      <c r="J253">
        <v>245074.2</v>
      </c>
      <c r="K253">
        <v>37384.199999999997</v>
      </c>
      <c r="L253">
        <v>207690</v>
      </c>
      <c r="M253" t="s">
        <v>39</v>
      </c>
      <c r="N253" t="s">
        <v>403</v>
      </c>
      <c r="O253">
        <v>0</v>
      </c>
      <c r="P253">
        <v>0</v>
      </c>
      <c r="Q253">
        <v>0</v>
      </c>
      <c r="R253">
        <v>0</v>
      </c>
      <c r="S253">
        <v>18692.099999999999</v>
      </c>
      <c r="T253">
        <v>18692.099999999999</v>
      </c>
      <c r="U253">
        <v>0</v>
      </c>
      <c r="V253">
        <v>0</v>
      </c>
      <c r="W253">
        <v>0</v>
      </c>
      <c r="X253">
        <v>0</v>
      </c>
      <c r="Y253">
        <v>18692.099999999999</v>
      </c>
      <c r="Z253">
        <v>18692.099999999999</v>
      </c>
      <c r="AA253">
        <v>0</v>
      </c>
      <c r="AB253">
        <v>0</v>
      </c>
      <c r="AC253">
        <v>0</v>
      </c>
      <c r="AD253" s="138"/>
      <c r="AE253">
        <v>0</v>
      </c>
      <c r="AF253" s="138">
        <f>+Purchase[[#This Row],[IGST Total]]+Purchase[[#This Row],[CGST Total]]+Purchase[[#This Row],[SGST Total]]</f>
        <v>37384.199999999997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 s="138">
        <f>+Purchase[[#This Row],[IGST RCM Total]]+Purchase[[#This Row],[CGST RCM Total]]+Purchase[[#This Row],[SGST RCM Total]]</f>
        <v>0</v>
      </c>
      <c r="AP253" t="s">
        <v>175</v>
      </c>
    </row>
    <row r="254" spans="1:42" hidden="1" x14ac:dyDescent="0.25">
      <c r="A254" s="138" t="s">
        <v>38</v>
      </c>
      <c r="B254" t="s">
        <v>44</v>
      </c>
      <c r="C254" t="s">
        <v>627</v>
      </c>
      <c r="D254" s="150">
        <v>121</v>
      </c>
      <c r="E254" t="s">
        <v>201</v>
      </c>
      <c r="F254" t="s">
        <v>202</v>
      </c>
      <c r="G254" t="s">
        <v>628</v>
      </c>
      <c r="H254" s="150">
        <v>32892</v>
      </c>
      <c r="I254" s="139" t="s">
        <v>46</v>
      </c>
      <c r="J254">
        <v>349906</v>
      </c>
      <c r="K254">
        <v>53375.5</v>
      </c>
      <c r="L254">
        <v>296530.5</v>
      </c>
      <c r="M254" t="s">
        <v>39</v>
      </c>
      <c r="N254" t="s">
        <v>403</v>
      </c>
      <c r="O254">
        <v>0</v>
      </c>
      <c r="P254">
        <v>0</v>
      </c>
      <c r="Q254">
        <v>0</v>
      </c>
      <c r="R254">
        <v>0</v>
      </c>
      <c r="S254">
        <v>26687.75</v>
      </c>
      <c r="T254">
        <v>26687.75</v>
      </c>
      <c r="U254">
        <v>0</v>
      </c>
      <c r="V254">
        <v>0</v>
      </c>
      <c r="W254">
        <v>0</v>
      </c>
      <c r="X254">
        <v>0</v>
      </c>
      <c r="Y254">
        <v>26687.75</v>
      </c>
      <c r="Z254">
        <v>26687.75</v>
      </c>
      <c r="AA254">
        <v>0</v>
      </c>
      <c r="AB254">
        <v>0</v>
      </c>
      <c r="AC254">
        <v>0</v>
      </c>
      <c r="AD254" s="138"/>
      <c r="AE254">
        <v>0</v>
      </c>
      <c r="AF254" s="138">
        <f>+Purchase[[#This Row],[IGST Total]]+Purchase[[#This Row],[CGST Total]]+Purchase[[#This Row],[SGST Total]]</f>
        <v>53375.5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 s="138">
        <f>+Purchase[[#This Row],[IGST RCM Total]]+Purchase[[#This Row],[CGST RCM Total]]+Purchase[[#This Row],[SGST RCM Total]]</f>
        <v>0</v>
      </c>
      <c r="AP254" t="s">
        <v>175</v>
      </c>
    </row>
    <row r="255" spans="1:42" hidden="1" x14ac:dyDescent="0.25">
      <c r="A255" s="138" t="s">
        <v>38</v>
      </c>
      <c r="B255" t="s">
        <v>44</v>
      </c>
      <c r="C255" t="s">
        <v>629</v>
      </c>
      <c r="D255" s="150">
        <v>121</v>
      </c>
      <c r="E255" t="s">
        <v>201</v>
      </c>
      <c r="F255" t="s">
        <v>202</v>
      </c>
      <c r="G255" t="s">
        <v>630</v>
      </c>
      <c r="H255" s="150">
        <v>32892</v>
      </c>
      <c r="I255" s="139" t="s">
        <v>46</v>
      </c>
      <c r="J255">
        <v>18793.98</v>
      </c>
      <c r="K255">
        <v>2866.88</v>
      </c>
      <c r="L255">
        <v>15927.1</v>
      </c>
      <c r="M255" t="s">
        <v>39</v>
      </c>
      <c r="N255" t="s">
        <v>473</v>
      </c>
      <c r="O255">
        <v>0</v>
      </c>
      <c r="P255">
        <v>0</v>
      </c>
      <c r="Q255">
        <v>0</v>
      </c>
      <c r="R255">
        <v>0</v>
      </c>
      <c r="S255">
        <v>1433.44</v>
      </c>
      <c r="T255">
        <v>1433.44</v>
      </c>
      <c r="U255">
        <v>0</v>
      </c>
      <c r="V255">
        <v>0</v>
      </c>
      <c r="W255">
        <v>0</v>
      </c>
      <c r="X255">
        <v>0</v>
      </c>
      <c r="Y255">
        <v>1433.44</v>
      </c>
      <c r="Z255">
        <v>1433.44</v>
      </c>
      <c r="AA255">
        <v>0</v>
      </c>
      <c r="AB255">
        <v>0</v>
      </c>
      <c r="AC255">
        <v>0</v>
      </c>
      <c r="AD255" s="138"/>
      <c r="AE255">
        <v>0</v>
      </c>
      <c r="AF255" s="138">
        <f>+Purchase[[#This Row],[IGST Total]]+Purchase[[#This Row],[CGST Total]]+Purchase[[#This Row],[SGST Total]]</f>
        <v>2866.88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 s="138">
        <f>+Purchase[[#This Row],[IGST RCM Total]]+Purchase[[#This Row],[CGST RCM Total]]+Purchase[[#This Row],[SGST RCM Total]]</f>
        <v>0</v>
      </c>
      <c r="AP255" t="s">
        <v>175</v>
      </c>
    </row>
    <row r="256" spans="1:42" hidden="1" x14ac:dyDescent="0.25">
      <c r="A256" s="138" t="s">
        <v>38</v>
      </c>
      <c r="B256" t="s">
        <v>44</v>
      </c>
      <c r="C256" t="s">
        <v>631</v>
      </c>
      <c r="D256" s="150">
        <v>121</v>
      </c>
      <c r="E256" t="s">
        <v>201</v>
      </c>
      <c r="F256" t="s">
        <v>202</v>
      </c>
      <c r="G256" t="s">
        <v>632</v>
      </c>
      <c r="H256" s="150">
        <v>32892</v>
      </c>
      <c r="I256" s="139" t="s">
        <v>46</v>
      </c>
      <c r="J256">
        <v>9915.26</v>
      </c>
      <c r="K256">
        <v>1512.5</v>
      </c>
      <c r="L256">
        <v>8402.76</v>
      </c>
      <c r="M256" t="s">
        <v>39</v>
      </c>
      <c r="N256" t="s">
        <v>473</v>
      </c>
      <c r="O256">
        <v>0</v>
      </c>
      <c r="P256">
        <v>0</v>
      </c>
      <c r="Q256">
        <v>0</v>
      </c>
      <c r="R256">
        <v>0</v>
      </c>
      <c r="S256">
        <v>756.25</v>
      </c>
      <c r="T256">
        <v>756.25</v>
      </c>
      <c r="U256">
        <v>0</v>
      </c>
      <c r="V256">
        <v>0</v>
      </c>
      <c r="W256">
        <v>0</v>
      </c>
      <c r="X256">
        <v>0</v>
      </c>
      <c r="Y256">
        <v>756.25</v>
      </c>
      <c r="Z256">
        <v>756.25</v>
      </c>
      <c r="AA256">
        <v>0</v>
      </c>
      <c r="AB256">
        <v>0</v>
      </c>
      <c r="AC256">
        <v>0</v>
      </c>
      <c r="AD256" s="138"/>
      <c r="AE256">
        <v>0</v>
      </c>
      <c r="AF256" s="138">
        <f>+Purchase[[#This Row],[IGST Total]]+Purchase[[#This Row],[CGST Total]]+Purchase[[#This Row],[SGST Total]]</f>
        <v>1512.5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 s="138">
        <f>+Purchase[[#This Row],[IGST RCM Total]]+Purchase[[#This Row],[CGST RCM Total]]+Purchase[[#This Row],[SGST RCM Total]]</f>
        <v>0</v>
      </c>
      <c r="AP256" t="s">
        <v>175</v>
      </c>
    </row>
    <row r="257" spans="1:42" hidden="1" x14ac:dyDescent="0.25">
      <c r="A257" s="138" t="s">
        <v>38</v>
      </c>
      <c r="B257" t="s">
        <v>44</v>
      </c>
      <c r="C257" t="s">
        <v>633</v>
      </c>
      <c r="D257" s="150">
        <v>121</v>
      </c>
      <c r="E257" t="s">
        <v>201</v>
      </c>
      <c r="F257" t="s">
        <v>202</v>
      </c>
      <c r="G257" t="s">
        <v>634</v>
      </c>
      <c r="H257" s="150">
        <v>32893</v>
      </c>
      <c r="I257" s="139" t="s">
        <v>46</v>
      </c>
      <c r="J257">
        <v>211837.14</v>
      </c>
      <c r="K257">
        <v>32314.14</v>
      </c>
      <c r="L257">
        <v>179523</v>
      </c>
      <c r="M257" t="s">
        <v>39</v>
      </c>
      <c r="N257" t="s">
        <v>254</v>
      </c>
      <c r="O257">
        <v>0</v>
      </c>
      <c r="P257">
        <v>0</v>
      </c>
      <c r="Q257">
        <v>0</v>
      </c>
      <c r="R257">
        <v>0</v>
      </c>
      <c r="S257">
        <v>16157.07</v>
      </c>
      <c r="T257">
        <v>16157.07</v>
      </c>
      <c r="U257">
        <v>0</v>
      </c>
      <c r="V257">
        <v>0</v>
      </c>
      <c r="W257">
        <v>0</v>
      </c>
      <c r="X257">
        <v>0</v>
      </c>
      <c r="Y257">
        <v>16157.07</v>
      </c>
      <c r="Z257">
        <v>16157.07</v>
      </c>
      <c r="AA257">
        <v>0</v>
      </c>
      <c r="AB257">
        <v>0</v>
      </c>
      <c r="AC257">
        <v>0</v>
      </c>
      <c r="AD257" s="138"/>
      <c r="AE257">
        <v>0</v>
      </c>
      <c r="AF257" s="138">
        <f>+Purchase[[#This Row],[IGST Total]]+Purchase[[#This Row],[CGST Total]]+Purchase[[#This Row],[SGST Total]]</f>
        <v>32314.14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 s="138">
        <f>+Purchase[[#This Row],[IGST RCM Total]]+Purchase[[#This Row],[CGST RCM Total]]+Purchase[[#This Row],[SGST RCM Total]]</f>
        <v>0</v>
      </c>
      <c r="AP257" t="s">
        <v>8</v>
      </c>
    </row>
    <row r="258" spans="1:42" hidden="1" x14ac:dyDescent="0.25">
      <c r="A258" s="138" t="s">
        <v>38</v>
      </c>
      <c r="B258" t="s">
        <v>44</v>
      </c>
      <c r="C258" t="s">
        <v>635</v>
      </c>
      <c r="D258" s="150">
        <v>121</v>
      </c>
      <c r="E258" t="s">
        <v>201</v>
      </c>
      <c r="F258" t="s">
        <v>202</v>
      </c>
      <c r="G258" t="s">
        <v>636</v>
      </c>
      <c r="H258" s="150">
        <v>32893</v>
      </c>
      <c r="I258" s="139" t="s">
        <v>46</v>
      </c>
      <c r="J258">
        <v>27548.99</v>
      </c>
      <c r="K258">
        <v>4202.38</v>
      </c>
      <c r="L258">
        <v>23346.61</v>
      </c>
      <c r="M258" t="s">
        <v>39</v>
      </c>
      <c r="N258" t="s">
        <v>473</v>
      </c>
      <c r="O258">
        <v>0</v>
      </c>
      <c r="P258">
        <v>0</v>
      </c>
      <c r="Q258">
        <v>0</v>
      </c>
      <c r="R258">
        <v>0</v>
      </c>
      <c r="S258">
        <v>2101.19</v>
      </c>
      <c r="T258">
        <v>2101.19</v>
      </c>
      <c r="U258">
        <v>0</v>
      </c>
      <c r="V258">
        <v>0</v>
      </c>
      <c r="W258">
        <v>0</v>
      </c>
      <c r="X258">
        <v>0</v>
      </c>
      <c r="Y258">
        <v>2101.19</v>
      </c>
      <c r="Z258">
        <v>2101.19</v>
      </c>
      <c r="AA258">
        <v>0</v>
      </c>
      <c r="AB258">
        <v>0</v>
      </c>
      <c r="AC258">
        <v>0</v>
      </c>
      <c r="AD258" s="138"/>
      <c r="AE258">
        <v>0</v>
      </c>
      <c r="AF258" s="138">
        <f>+Purchase[[#This Row],[IGST Total]]+Purchase[[#This Row],[CGST Total]]+Purchase[[#This Row],[SGST Total]]</f>
        <v>4202.38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 s="138">
        <f>+Purchase[[#This Row],[IGST RCM Total]]+Purchase[[#This Row],[CGST RCM Total]]+Purchase[[#This Row],[SGST RCM Total]]</f>
        <v>0</v>
      </c>
      <c r="AP258" t="s">
        <v>175</v>
      </c>
    </row>
    <row r="259" spans="1:42" hidden="1" x14ac:dyDescent="0.25">
      <c r="A259" s="138" t="s">
        <v>38</v>
      </c>
      <c r="B259" t="s">
        <v>44</v>
      </c>
      <c r="C259" t="s">
        <v>637</v>
      </c>
      <c r="D259" s="150">
        <v>121</v>
      </c>
      <c r="E259" t="s">
        <v>201</v>
      </c>
      <c r="F259" t="s">
        <v>202</v>
      </c>
      <c r="G259" t="s">
        <v>277</v>
      </c>
      <c r="H259" s="150">
        <v>32893</v>
      </c>
      <c r="I259" s="139" t="s">
        <v>46</v>
      </c>
      <c r="J259">
        <v>250707.04</v>
      </c>
      <c r="K259">
        <v>38242</v>
      </c>
      <c r="L259">
        <v>212465.04</v>
      </c>
      <c r="M259" t="s">
        <v>39</v>
      </c>
      <c r="N259" t="s">
        <v>304</v>
      </c>
      <c r="O259">
        <v>0</v>
      </c>
      <c r="P259">
        <v>0</v>
      </c>
      <c r="Q259">
        <v>0</v>
      </c>
      <c r="R259">
        <v>0</v>
      </c>
      <c r="S259">
        <v>19121</v>
      </c>
      <c r="T259">
        <v>19121</v>
      </c>
      <c r="U259">
        <v>0</v>
      </c>
      <c r="V259">
        <v>0</v>
      </c>
      <c r="W259">
        <v>0</v>
      </c>
      <c r="X259">
        <v>0</v>
      </c>
      <c r="Y259">
        <v>19121</v>
      </c>
      <c r="Z259">
        <v>19121</v>
      </c>
      <c r="AA259">
        <v>0</v>
      </c>
      <c r="AB259">
        <v>0</v>
      </c>
      <c r="AC259">
        <v>0</v>
      </c>
      <c r="AD259" s="138"/>
      <c r="AE259">
        <v>0</v>
      </c>
      <c r="AF259" s="138">
        <f>+Purchase[[#This Row],[IGST Total]]+Purchase[[#This Row],[CGST Total]]+Purchase[[#This Row],[SGST Total]]</f>
        <v>38242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 s="138">
        <f>+Purchase[[#This Row],[IGST RCM Total]]+Purchase[[#This Row],[CGST RCM Total]]+Purchase[[#This Row],[SGST RCM Total]]</f>
        <v>0</v>
      </c>
      <c r="AP259" t="s">
        <v>175</v>
      </c>
    </row>
    <row r="260" spans="1:42" hidden="1" x14ac:dyDescent="0.25">
      <c r="A260" s="138" t="s">
        <v>38</v>
      </c>
      <c r="B260" t="s">
        <v>44</v>
      </c>
      <c r="C260" t="s">
        <v>638</v>
      </c>
      <c r="D260" s="150">
        <v>121</v>
      </c>
      <c r="E260" t="s">
        <v>201</v>
      </c>
      <c r="F260" t="s">
        <v>202</v>
      </c>
      <c r="G260" t="s">
        <v>639</v>
      </c>
      <c r="H260" s="150">
        <v>32892</v>
      </c>
      <c r="I260" s="139" t="s">
        <v>46</v>
      </c>
      <c r="J260">
        <v>742926.4</v>
      </c>
      <c r="K260">
        <v>113328</v>
      </c>
      <c r="L260">
        <v>629598.4</v>
      </c>
      <c r="M260" t="s">
        <v>39</v>
      </c>
      <c r="N260" t="s">
        <v>334</v>
      </c>
      <c r="O260">
        <v>0</v>
      </c>
      <c r="P260">
        <v>0</v>
      </c>
      <c r="Q260">
        <v>0</v>
      </c>
      <c r="R260">
        <v>0</v>
      </c>
      <c r="S260">
        <v>56664</v>
      </c>
      <c r="T260">
        <v>56664</v>
      </c>
      <c r="U260">
        <v>0</v>
      </c>
      <c r="V260">
        <v>0</v>
      </c>
      <c r="W260">
        <v>0</v>
      </c>
      <c r="X260">
        <v>0</v>
      </c>
      <c r="Y260">
        <v>56664</v>
      </c>
      <c r="Z260">
        <v>56664</v>
      </c>
      <c r="AA260">
        <v>0</v>
      </c>
      <c r="AB260">
        <v>0</v>
      </c>
      <c r="AC260">
        <v>0</v>
      </c>
      <c r="AD260" s="138"/>
      <c r="AE260">
        <v>0</v>
      </c>
      <c r="AF260" s="138">
        <f>+Purchase[[#This Row],[IGST Total]]+Purchase[[#This Row],[CGST Total]]+Purchase[[#This Row],[SGST Total]]</f>
        <v>113328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 s="138">
        <f>+Purchase[[#This Row],[IGST RCM Total]]+Purchase[[#This Row],[CGST RCM Total]]+Purchase[[#This Row],[SGST RCM Total]]</f>
        <v>0</v>
      </c>
      <c r="AP260" t="s">
        <v>175</v>
      </c>
    </row>
    <row r="261" spans="1:42" hidden="1" x14ac:dyDescent="0.25">
      <c r="A261" s="138" t="s">
        <v>38</v>
      </c>
      <c r="B261" t="s">
        <v>44</v>
      </c>
      <c r="C261" t="s">
        <v>640</v>
      </c>
      <c r="D261" s="150">
        <v>121</v>
      </c>
      <c r="E261" t="s">
        <v>201</v>
      </c>
      <c r="F261" t="s">
        <v>202</v>
      </c>
      <c r="G261" t="s">
        <v>641</v>
      </c>
      <c r="H261" s="150">
        <v>32894</v>
      </c>
      <c r="I261" s="139" t="s">
        <v>46</v>
      </c>
      <c r="J261">
        <v>862321.7</v>
      </c>
      <c r="K261">
        <v>131540.6</v>
      </c>
      <c r="L261">
        <v>730781.1</v>
      </c>
      <c r="M261" t="s">
        <v>39</v>
      </c>
      <c r="N261" t="s">
        <v>252</v>
      </c>
      <c r="O261">
        <v>0</v>
      </c>
      <c r="P261">
        <v>0</v>
      </c>
      <c r="Q261">
        <v>0</v>
      </c>
      <c r="R261">
        <v>0</v>
      </c>
      <c r="S261">
        <v>65770.3</v>
      </c>
      <c r="T261">
        <v>65770.3</v>
      </c>
      <c r="U261">
        <v>0</v>
      </c>
      <c r="V261">
        <v>0</v>
      </c>
      <c r="W261">
        <v>0</v>
      </c>
      <c r="X261">
        <v>0</v>
      </c>
      <c r="Y261">
        <v>65770.3</v>
      </c>
      <c r="Z261">
        <v>65770.3</v>
      </c>
      <c r="AA261">
        <v>0</v>
      </c>
      <c r="AB261">
        <v>0</v>
      </c>
      <c r="AC261">
        <v>0</v>
      </c>
      <c r="AD261" s="138"/>
      <c r="AE261">
        <v>0</v>
      </c>
      <c r="AF261" s="138">
        <f>+Purchase[[#This Row],[IGST Total]]+Purchase[[#This Row],[CGST Total]]+Purchase[[#This Row],[SGST Total]]</f>
        <v>131540.6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 s="138">
        <f>+Purchase[[#This Row],[IGST RCM Total]]+Purchase[[#This Row],[CGST RCM Total]]+Purchase[[#This Row],[SGST RCM Total]]</f>
        <v>0</v>
      </c>
      <c r="AP261" t="s">
        <v>175</v>
      </c>
    </row>
    <row r="262" spans="1:42" hidden="1" x14ac:dyDescent="0.25">
      <c r="A262" s="138" t="s">
        <v>38</v>
      </c>
      <c r="B262" t="s">
        <v>44</v>
      </c>
      <c r="C262" t="s">
        <v>642</v>
      </c>
      <c r="D262" s="150">
        <v>121</v>
      </c>
      <c r="E262" t="s">
        <v>201</v>
      </c>
      <c r="F262" t="s">
        <v>202</v>
      </c>
      <c r="G262" t="s">
        <v>643</v>
      </c>
      <c r="H262" s="150">
        <v>32894</v>
      </c>
      <c r="I262" s="139" t="s">
        <v>46</v>
      </c>
      <c r="J262">
        <v>347648.54</v>
      </c>
      <c r="K262">
        <v>53031.14</v>
      </c>
      <c r="L262">
        <v>294617.40000000002</v>
      </c>
      <c r="M262" t="s">
        <v>39</v>
      </c>
      <c r="N262" t="s">
        <v>403</v>
      </c>
      <c r="O262">
        <v>0</v>
      </c>
      <c r="P262">
        <v>0</v>
      </c>
      <c r="Q262">
        <v>0</v>
      </c>
      <c r="R262">
        <v>0</v>
      </c>
      <c r="S262">
        <v>26515.57</v>
      </c>
      <c r="T262">
        <v>26515.57</v>
      </c>
      <c r="U262">
        <v>0</v>
      </c>
      <c r="V262">
        <v>0</v>
      </c>
      <c r="W262">
        <v>0</v>
      </c>
      <c r="X262">
        <v>0</v>
      </c>
      <c r="Y262">
        <v>26515.57</v>
      </c>
      <c r="Z262">
        <v>26515.57</v>
      </c>
      <c r="AA262">
        <v>0</v>
      </c>
      <c r="AB262">
        <v>0</v>
      </c>
      <c r="AC262">
        <v>0</v>
      </c>
      <c r="AD262" s="138"/>
      <c r="AE262">
        <v>0</v>
      </c>
      <c r="AF262" s="138">
        <f>+Purchase[[#This Row],[IGST Total]]+Purchase[[#This Row],[CGST Total]]+Purchase[[#This Row],[SGST Total]]</f>
        <v>53031.14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 s="138">
        <f>+Purchase[[#This Row],[IGST RCM Total]]+Purchase[[#This Row],[CGST RCM Total]]+Purchase[[#This Row],[SGST RCM Total]]</f>
        <v>0</v>
      </c>
      <c r="AP262" t="s">
        <v>175</v>
      </c>
    </row>
    <row r="263" spans="1:42" hidden="1" x14ac:dyDescent="0.25">
      <c r="A263" s="138" t="s">
        <v>38</v>
      </c>
      <c r="B263" t="s">
        <v>44</v>
      </c>
      <c r="C263" t="s">
        <v>644</v>
      </c>
      <c r="D263" s="150">
        <v>121</v>
      </c>
      <c r="E263" t="s">
        <v>201</v>
      </c>
      <c r="F263" t="s">
        <v>202</v>
      </c>
      <c r="G263" t="s">
        <v>645</v>
      </c>
      <c r="H263" s="150">
        <v>32891</v>
      </c>
      <c r="I263" s="139" t="s">
        <v>46</v>
      </c>
      <c r="J263">
        <v>51562.46</v>
      </c>
      <c r="K263">
        <v>7865.46</v>
      </c>
      <c r="L263">
        <v>43697</v>
      </c>
      <c r="M263" t="s">
        <v>39</v>
      </c>
      <c r="N263" t="s">
        <v>646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7865.46</v>
      </c>
      <c r="AD263" s="138"/>
      <c r="AE263">
        <v>7865.46</v>
      </c>
      <c r="AF263" s="138">
        <f>+Purchase[[#This Row],[IGST Total]]+Purchase[[#This Row],[CGST Total]]+Purchase[[#This Row],[SGST Total]]</f>
        <v>7865.46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 s="138">
        <f>+Purchase[[#This Row],[IGST RCM Total]]+Purchase[[#This Row],[CGST RCM Total]]+Purchase[[#This Row],[SGST RCM Total]]</f>
        <v>0</v>
      </c>
      <c r="AP263" t="s">
        <v>176</v>
      </c>
    </row>
    <row r="264" spans="1:42" hidden="1" x14ac:dyDescent="0.25">
      <c r="A264" s="138" t="s">
        <v>38</v>
      </c>
      <c r="B264" t="s">
        <v>44</v>
      </c>
      <c r="C264" t="s">
        <v>647</v>
      </c>
      <c r="D264" s="150">
        <v>121</v>
      </c>
      <c r="E264" t="s">
        <v>201</v>
      </c>
      <c r="F264" t="s">
        <v>202</v>
      </c>
      <c r="G264" t="s">
        <v>648</v>
      </c>
      <c r="H264" s="150">
        <v>32896</v>
      </c>
      <c r="I264" s="139" t="s">
        <v>46</v>
      </c>
      <c r="J264">
        <v>319732.8</v>
      </c>
      <c r="K264">
        <v>48772.800000000003</v>
      </c>
      <c r="L264">
        <v>270960</v>
      </c>
      <c r="M264" t="s">
        <v>39</v>
      </c>
      <c r="N264" t="s">
        <v>529</v>
      </c>
      <c r="O264">
        <v>0</v>
      </c>
      <c r="P264">
        <v>0</v>
      </c>
      <c r="Q264">
        <v>0</v>
      </c>
      <c r="R264">
        <v>0</v>
      </c>
      <c r="S264">
        <v>24386.400000000001</v>
      </c>
      <c r="T264">
        <v>24386.400000000001</v>
      </c>
      <c r="U264">
        <v>0</v>
      </c>
      <c r="V264">
        <v>0</v>
      </c>
      <c r="W264">
        <v>0</v>
      </c>
      <c r="X264">
        <v>0</v>
      </c>
      <c r="Y264">
        <v>24386.400000000001</v>
      </c>
      <c r="Z264">
        <v>24386.400000000001</v>
      </c>
      <c r="AA264">
        <v>0</v>
      </c>
      <c r="AB264">
        <v>0</v>
      </c>
      <c r="AC264">
        <v>0</v>
      </c>
      <c r="AD264" s="138"/>
      <c r="AE264">
        <v>0</v>
      </c>
      <c r="AF264" s="138">
        <f>+Purchase[[#This Row],[IGST Total]]+Purchase[[#This Row],[CGST Total]]+Purchase[[#This Row],[SGST Total]]</f>
        <v>48772.800000000003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 s="138">
        <f>+Purchase[[#This Row],[IGST RCM Total]]+Purchase[[#This Row],[CGST RCM Total]]+Purchase[[#This Row],[SGST RCM Total]]</f>
        <v>0</v>
      </c>
      <c r="AP264" t="s">
        <v>8</v>
      </c>
    </row>
    <row r="265" spans="1:42" hidden="1" x14ac:dyDescent="0.25">
      <c r="A265" s="138" t="s">
        <v>38</v>
      </c>
      <c r="B265" t="s">
        <v>44</v>
      </c>
      <c r="C265" t="s">
        <v>649</v>
      </c>
      <c r="D265" s="150">
        <v>114</v>
      </c>
      <c r="E265" t="s">
        <v>201</v>
      </c>
      <c r="F265" t="s">
        <v>202</v>
      </c>
      <c r="G265" t="s">
        <v>650</v>
      </c>
      <c r="H265" s="150">
        <v>32896</v>
      </c>
      <c r="I265" s="139" t="s">
        <v>46</v>
      </c>
      <c r="J265">
        <v>13487.4</v>
      </c>
      <c r="K265">
        <v>2057.4</v>
      </c>
      <c r="L265">
        <v>11430</v>
      </c>
      <c r="M265" t="s">
        <v>39</v>
      </c>
      <c r="N265" t="s">
        <v>651</v>
      </c>
      <c r="O265">
        <v>0</v>
      </c>
      <c r="P265">
        <v>0</v>
      </c>
      <c r="Q265">
        <v>0</v>
      </c>
      <c r="R265">
        <v>0</v>
      </c>
      <c r="S265">
        <v>1028.7</v>
      </c>
      <c r="T265">
        <v>1028.7</v>
      </c>
      <c r="U265">
        <v>0</v>
      </c>
      <c r="V265">
        <v>0</v>
      </c>
      <c r="W265">
        <v>0</v>
      </c>
      <c r="X265">
        <v>0</v>
      </c>
      <c r="Y265">
        <v>1028.7</v>
      </c>
      <c r="Z265">
        <v>1028.7</v>
      </c>
      <c r="AA265">
        <v>0</v>
      </c>
      <c r="AB265">
        <v>0</v>
      </c>
      <c r="AC265">
        <v>0</v>
      </c>
      <c r="AD265" s="138"/>
      <c r="AE265">
        <v>0</v>
      </c>
      <c r="AF265" s="138">
        <f>+Purchase[[#This Row],[IGST Total]]+Purchase[[#This Row],[CGST Total]]+Purchase[[#This Row],[SGST Total]]</f>
        <v>2057.4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 s="138">
        <f>+Purchase[[#This Row],[IGST RCM Total]]+Purchase[[#This Row],[CGST RCM Total]]+Purchase[[#This Row],[SGST RCM Total]]</f>
        <v>0</v>
      </c>
      <c r="AP265" t="s">
        <v>175</v>
      </c>
    </row>
    <row r="266" spans="1:42" hidden="1" x14ac:dyDescent="0.25">
      <c r="A266" s="138" t="s">
        <v>38</v>
      </c>
      <c r="B266" t="s">
        <v>44</v>
      </c>
      <c r="C266" t="s">
        <v>652</v>
      </c>
      <c r="D266" s="150">
        <v>121</v>
      </c>
      <c r="E266" t="s">
        <v>201</v>
      </c>
      <c r="F266" t="s">
        <v>202</v>
      </c>
      <c r="G266" t="s">
        <v>420</v>
      </c>
      <c r="H266" s="150">
        <v>32897</v>
      </c>
      <c r="I266" s="139" t="s">
        <v>46</v>
      </c>
      <c r="J266">
        <v>38290.33</v>
      </c>
      <c r="K266">
        <v>5840.9</v>
      </c>
      <c r="L266">
        <v>32449.43</v>
      </c>
      <c r="M266" t="s">
        <v>39</v>
      </c>
      <c r="N266" t="s">
        <v>473</v>
      </c>
      <c r="O266">
        <v>0</v>
      </c>
      <c r="P266">
        <v>0</v>
      </c>
      <c r="Q266">
        <v>0</v>
      </c>
      <c r="R266">
        <v>0</v>
      </c>
      <c r="S266">
        <v>2920.45</v>
      </c>
      <c r="T266">
        <v>2920.45</v>
      </c>
      <c r="U266">
        <v>0</v>
      </c>
      <c r="V266">
        <v>0</v>
      </c>
      <c r="W266">
        <v>0</v>
      </c>
      <c r="X266">
        <v>0</v>
      </c>
      <c r="Y266">
        <v>2920.45</v>
      </c>
      <c r="Z266">
        <v>2920.45</v>
      </c>
      <c r="AA266">
        <v>0</v>
      </c>
      <c r="AB266">
        <v>0</v>
      </c>
      <c r="AC266">
        <v>0</v>
      </c>
      <c r="AD266" s="138"/>
      <c r="AE266">
        <v>0</v>
      </c>
      <c r="AF266" s="138">
        <f>+Purchase[[#This Row],[IGST Total]]+Purchase[[#This Row],[CGST Total]]+Purchase[[#This Row],[SGST Total]]</f>
        <v>5840.9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 s="138">
        <f>+Purchase[[#This Row],[IGST RCM Total]]+Purchase[[#This Row],[CGST RCM Total]]+Purchase[[#This Row],[SGST RCM Total]]</f>
        <v>0</v>
      </c>
      <c r="AP266" t="s">
        <v>175</v>
      </c>
    </row>
    <row r="267" spans="1:42" hidden="1" x14ac:dyDescent="0.25">
      <c r="A267" s="138" t="s">
        <v>38</v>
      </c>
      <c r="B267" t="s">
        <v>44</v>
      </c>
      <c r="C267" t="s">
        <v>653</v>
      </c>
      <c r="D267" s="150">
        <v>121</v>
      </c>
      <c r="E267" t="s">
        <v>201</v>
      </c>
      <c r="F267" t="s">
        <v>202</v>
      </c>
      <c r="G267" t="s">
        <v>654</v>
      </c>
      <c r="H267" s="150">
        <v>32895</v>
      </c>
      <c r="I267" s="139" t="s">
        <v>46</v>
      </c>
      <c r="J267">
        <v>412745.48</v>
      </c>
      <c r="K267">
        <v>62961.18</v>
      </c>
      <c r="L267">
        <v>349784.3</v>
      </c>
      <c r="M267" t="s">
        <v>39</v>
      </c>
      <c r="N267" t="s">
        <v>252</v>
      </c>
      <c r="O267">
        <v>0</v>
      </c>
      <c r="P267">
        <v>0</v>
      </c>
      <c r="Q267">
        <v>0</v>
      </c>
      <c r="R267">
        <v>0</v>
      </c>
      <c r="S267">
        <v>31480.59</v>
      </c>
      <c r="T267">
        <v>31480.59</v>
      </c>
      <c r="U267">
        <v>0</v>
      </c>
      <c r="V267">
        <v>0</v>
      </c>
      <c r="W267">
        <v>0</v>
      </c>
      <c r="X267">
        <v>0</v>
      </c>
      <c r="Y267">
        <v>31480.59</v>
      </c>
      <c r="Z267">
        <v>31480.59</v>
      </c>
      <c r="AA267">
        <v>0</v>
      </c>
      <c r="AB267">
        <v>0</v>
      </c>
      <c r="AC267">
        <v>0</v>
      </c>
      <c r="AD267" s="138"/>
      <c r="AE267">
        <v>0</v>
      </c>
      <c r="AF267" s="138">
        <f>+Purchase[[#This Row],[IGST Total]]+Purchase[[#This Row],[CGST Total]]+Purchase[[#This Row],[SGST Total]]</f>
        <v>62961.18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 s="138">
        <f>+Purchase[[#This Row],[IGST RCM Total]]+Purchase[[#This Row],[CGST RCM Total]]+Purchase[[#This Row],[SGST RCM Total]]</f>
        <v>0</v>
      </c>
      <c r="AP267" t="s">
        <v>175</v>
      </c>
    </row>
    <row r="268" spans="1:42" hidden="1" x14ac:dyDescent="0.25">
      <c r="A268" s="138" t="s">
        <v>38</v>
      </c>
      <c r="B268" t="s">
        <v>44</v>
      </c>
      <c r="C268" t="s">
        <v>655</v>
      </c>
      <c r="D268" s="150">
        <v>121</v>
      </c>
      <c r="E268" t="s">
        <v>201</v>
      </c>
      <c r="F268" t="s">
        <v>202</v>
      </c>
      <c r="G268" t="s">
        <v>656</v>
      </c>
      <c r="H268" s="150">
        <v>32895</v>
      </c>
      <c r="I268" s="139" t="s">
        <v>46</v>
      </c>
      <c r="J268">
        <v>447138.7</v>
      </c>
      <c r="K268">
        <v>68207.600000000006</v>
      </c>
      <c r="L268">
        <v>378931.1</v>
      </c>
      <c r="M268" t="s">
        <v>39</v>
      </c>
      <c r="N268" t="s">
        <v>252</v>
      </c>
      <c r="O268">
        <v>0</v>
      </c>
      <c r="P268">
        <v>0</v>
      </c>
      <c r="Q268">
        <v>0</v>
      </c>
      <c r="R268">
        <v>0</v>
      </c>
      <c r="S268">
        <v>34103.800000000003</v>
      </c>
      <c r="T268">
        <v>34103.800000000003</v>
      </c>
      <c r="U268">
        <v>0</v>
      </c>
      <c r="V268">
        <v>0</v>
      </c>
      <c r="W268">
        <v>0</v>
      </c>
      <c r="X268">
        <v>0</v>
      </c>
      <c r="Y268">
        <v>34103.800000000003</v>
      </c>
      <c r="Z268">
        <v>34103.800000000003</v>
      </c>
      <c r="AA268">
        <v>0</v>
      </c>
      <c r="AB268">
        <v>0</v>
      </c>
      <c r="AC268">
        <v>0</v>
      </c>
      <c r="AD268" s="138"/>
      <c r="AE268">
        <v>0</v>
      </c>
      <c r="AF268" s="138">
        <f>+Purchase[[#This Row],[IGST Total]]+Purchase[[#This Row],[CGST Total]]+Purchase[[#This Row],[SGST Total]]</f>
        <v>68207.600000000006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 s="138">
        <f>+Purchase[[#This Row],[IGST RCM Total]]+Purchase[[#This Row],[CGST RCM Total]]+Purchase[[#This Row],[SGST RCM Total]]</f>
        <v>0</v>
      </c>
      <c r="AP268" t="s">
        <v>175</v>
      </c>
    </row>
    <row r="269" spans="1:42" hidden="1" x14ac:dyDescent="0.25">
      <c r="A269" s="138" t="s">
        <v>38</v>
      </c>
      <c r="B269" t="s">
        <v>44</v>
      </c>
      <c r="C269" t="s">
        <v>657</v>
      </c>
      <c r="D269" s="150">
        <v>121</v>
      </c>
      <c r="E269" t="s">
        <v>201</v>
      </c>
      <c r="F269" t="s">
        <v>202</v>
      </c>
      <c r="G269" t="s">
        <v>658</v>
      </c>
      <c r="H269" s="150">
        <v>32898</v>
      </c>
      <c r="I269" s="139" t="s">
        <v>46</v>
      </c>
      <c r="J269">
        <v>19494.2</v>
      </c>
      <c r="K269">
        <v>2973.7</v>
      </c>
      <c r="L269">
        <v>16520.5</v>
      </c>
      <c r="M269" t="s">
        <v>39</v>
      </c>
      <c r="N269" t="s">
        <v>473</v>
      </c>
      <c r="O269">
        <v>0</v>
      </c>
      <c r="P269">
        <v>0</v>
      </c>
      <c r="Q269">
        <v>0</v>
      </c>
      <c r="R269">
        <v>0</v>
      </c>
      <c r="S269">
        <v>1486.85</v>
      </c>
      <c r="T269">
        <v>1486.85</v>
      </c>
      <c r="U269">
        <v>0</v>
      </c>
      <c r="V269">
        <v>0</v>
      </c>
      <c r="W269">
        <v>0</v>
      </c>
      <c r="X269">
        <v>0</v>
      </c>
      <c r="Y269">
        <v>1486.85</v>
      </c>
      <c r="Z269">
        <v>1486.85</v>
      </c>
      <c r="AA269">
        <v>0</v>
      </c>
      <c r="AB269">
        <v>0</v>
      </c>
      <c r="AC269">
        <v>0</v>
      </c>
      <c r="AD269" s="138"/>
      <c r="AE269">
        <v>0</v>
      </c>
      <c r="AF269" s="138">
        <f>+Purchase[[#This Row],[IGST Total]]+Purchase[[#This Row],[CGST Total]]+Purchase[[#This Row],[SGST Total]]</f>
        <v>2973.7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 s="138">
        <f>+Purchase[[#This Row],[IGST RCM Total]]+Purchase[[#This Row],[CGST RCM Total]]+Purchase[[#This Row],[SGST RCM Total]]</f>
        <v>0</v>
      </c>
      <c r="AP269" t="s">
        <v>175</v>
      </c>
    </row>
    <row r="270" spans="1:42" hidden="1" x14ac:dyDescent="0.25">
      <c r="A270" s="138" t="s">
        <v>38</v>
      </c>
      <c r="B270" t="s">
        <v>44</v>
      </c>
      <c r="C270" t="s">
        <v>659</v>
      </c>
      <c r="D270" s="150">
        <v>121</v>
      </c>
      <c r="E270" t="s">
        <v>201</v>
      </c>
      <c r="F270" t="s">
        <v>202</v>
      </c>
      <c r="G270" t="s">
        <v>660</v>
      </c>
      <c r="H270" s="150">
        <v>32893</v>
      </c>
      <c r="I270" s="139" t="s">
        <v>46</v>
      </c>
      <c r="J270">
        <v>37382</v>
      </c>
      <c r="K270">
        <v>5702</v>
      </c>
      <c r="L270">
        <v>31680</v>
      </c>
      <c r="M270" t="s">
        <v>39</v>
      </c>
      <c r="N270" t="s">
        <v>661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5702</v>
      </c>
      <c r="AD270" s="138"/>
      <c r="AE270">
        <v>5702</v>
      </c>
      <c r="AF270" s="138">
        <f>+Purchase[[#This Row],[IGST Total]]+Purchase[[#This Row],[CGST Total]]+Purchase[[#This Row],[SGST Total]]</f>
        <v>5702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 s="138">
        <f>+Purchase[[#This Row],[IGST RCM Total]]+Purchase[[#This Row],[CGST RCM Total]]+Purchase[[#This Row],[SGST RCM Total]]</f>
        <v>0</v>
      </c>
      <c r="AP270" t="s">
        <v>176</v>
      </c>
    </row>
    <row r="271" spans="1:42" hidden="1" x14ac:dyDescent="0.25">
      <c r="A271" s="138" t="s">
        <v>38</v>
      </c>
      <c r="B271" t="s">
        <v>44</v>
      </c>
      <c r="C271" t="s">
        <v>662</v>
      </c>
      <c r="D271" s="150">
        <v>121</v>
      </c>
      <c r="E271" t="s">
        <v>201</v>
      </c>
      <c r="F271" t="s">
        <v>202</v>
      </c>
      <c r="G271" t="s">
        <v>524</v>
      </c>
      <c r="H271" s="150">
        <v>32898</v>
      </c>
      <c r="I271" s="139" t="s">
        <v>46</v>
      </c>
      <c r="J271">
        <v>98412</v>
      </c>
      <c r="K271">
        <v>15012</v>
      </c>
      <c r="L271">
        <v>83400</v>
      </c>
      <c r="M271" t="s">
        <v>39</v>
      </c>
      <c r="N271" t="s">
        <v>663</v>
      </c>
      <c r="O271">
        <v>0</v>
      </c>
      <c r="P271">
        <v>0</v>
      </c>
      <c r="Q271">
        <v>0</v>
      </c>
      <c r="R271">
        <v>0</v>
      </c>
      <c r="S271">
        <v>7506</v>
      </c>
      <c r="T271">
        <v>7506</v>
      </c>
      <c r="U271">
        <v>0</v>
      </c>
      <c r="V271">
        <v>0</v>
      </c>
      <c r="W271">
        <v>0</v>
      </c>
      <c r="X271">
        <v>0</v>
      </c>
      <c r="Y271">
        <v>7506</v>
      </c>
      <c r="Z271">
        <v>7506</v>
      </c>
      <c r="AA271">
        <v>0</v>
      </c>
      <c r="AB271">
        <v>0</v>
      </c>
      <c r="AC271">
        <v>0</v>
      </c>
      <c r="AD271" s="138"/>
      <c r="AE271">
        <v>0</v>
      </c>
      <c r="AF271" s="138">
        <f>+Purchase[[#This Row],[IGST Total]]+Purchase[[#This Row],[CGST Total]]+Purchase[[#This Row],[SGST Total]]</f>
        <v>15012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 s="138">
        <f>+Purchase[[#This Row],[IGST RCM Total]]+Purchase[[#This Row],[CGST RCM Total]]+Purchase[[#This Row],[SGST RCM Total]]</f>
        <v>0</v>
      </c>
      <c r="AP271" t="s">
        <v>175</v>
      </c>
    </row>
    <row r="272" spans="1:42" hidden="1" x14ac:dyDescent="0.25">
      <c r="A272" s="138" t="s">
        <v>38</v>
      </c>
      <c r="B272" t="s">
        <v>44</v>
      </c>
      <c r="C272" t="s">
        <v>664</v>
      </c>
      <c r="D272" s="150">
        <v>121</v>
      </c>
      <c r="E272" t="s">
        <v>201</v>
      </c>
      <c r="F272" t="s">
        <v>202</v>
      </c>
      <c r="G272" t="s">
        <v>198</v>
      </c>
      <c r="H272" s="150">
        <v>32898</v>
      </c>
      <c r="I272" s="139" t="s">
        <v>46</v>
      </c>
      <c r="J272">
        <v>219557.1</v>
      </c>
      <c r="K272">
        <v>33492</v>
      </c>
      <c r="L272">
        <v>186065.1</v>
      </c>
      <c r="M272" t="s">
        <v>39</v>
      </c>
      <c r="N272" t="s">
        <v>304</v>
      </c>
      <c r="O272">
        <v>0</v>
      </c>
      <c r="P272">
        <v>0</v>
      </c>
      <c r="Q272">
        <v>0</v>
      </c>
      <c r="R272">
        <v>0</v>
      </c>
      <c r="S272">
        <v>16746</v>
      </c>
      <c r="T272">
        <v>16746</v>
      </c>
      <c r="U272">
        <v>0</v>
      </c>
      <c r="V272">
        <v>0</v>
      </c>
      <c r="W272">
        <v>0</v>
      </c>
      <c r="X272">
        <v>0</v>
      </c>
      <c r="Y272">
        <v>16746</v>
      </c>
      <c r="Z272">
        <v>16746</v>
      </c>
      <c r="AA272">
        <v>0</v>
      </c>
      <c r="AB272">
        <v>0</v>
      </c>
      <c r="AC272">
        <v>0</v>
      </c>
      <c r="AD272" s="138"/>
      <c r="AE272">
        <v>0</v>
      </c>
      <c r="AF272" s="138">
        <f>+Purchase[[#This Row],[IGST Total]]+Purchase[[#This Row],[CGST Total]]+Purchase[[#This Row],[SGST Total]]</f>
        <v>33492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 s="138">
        <f>+Purchase[[#This Row],[IGST RCM Total]]+Purchase[[#This Row],[CGST RCM Total]]+Purchase[[#This Row],[SGST RCM Total]]</f>
        <v>0</v>
      </c>
      <c r="AP272" t="s">
        <v>175</v>
      </c>
    </row>
    <row r="273" spans="1:42" hidden="1" x14ac:dyDescent="0.25">
      <c r="A273" s="138" t="s">
        <v>38</v>
      </c>
      <c r="B273" t="s">
        <v>44</v>
      </c>
      <c r="C273" t="s">
        <v>665</v>
      </c>
      <c r="D273" s="150">
        <v>121</v>
      </c>
      <c r="E273" t="s">
        <v>201</v>
      </c>
      <c r="F273" t="s">
        <v>202</v>
      </c>
      <c r="G273" t="s">
        <v>666</v>
      </c>
      <c r="H273" s="150">
        <v>32898</v>
      </c>
      <c r="I273" s="139" t="s">
        <v>46</v>
      </c>
      <c r="J273">
        <v>1068845.3600000001</v>
      </c>
      <c r="K273">
        <v>163044</v>
      </c>
      <c r="L273">
        <v>905801.35499999998</v>
      </c>
      <c r="M273" t="s">
        <v>39</v>
      </c>
      <c r="N273" t="s">
        <v>334</v>
      </c>
      <c r="O273">
        <v>0</v>
      </c>
      <c r="P273">
        <v>0</v>
      </c>
      <c r="Q273">
        <v>0</v>
      </c>
      <c r="R273">
        <v>0</v>
      </c>
      <c r="S273">
        <v>81522</v>
      </c>
      <c r="T273">
        <v>81522</v>
      </c>
      <c r="U273">
        <v>0</v>
      </c>
      <c r="V273">
        <v>0</v>
      </c>
      <c r="W273">
        <v>0</v>
      </c>
      <c r="X273">
        <v>0</v>
      </c>
      <c r="Y273">
        <v>81522</v>
      </c>
      <c r="Z273">
        <v>81522</v>
      </c>
      <c r="AA273">
        <v>0</v>
      </c>
      <c r="AB273">
        <v>0</v>
      </c>
      <c r="AC273">
        <v>0</v>
      </c>
      <c r="AD273" s="138"/>
      <c r="AE273">
        <v>0</v>
      </c>
      <c r="AF273" s="138">
        <f>+Purchase[[#This Row],[IGST Total]]+Purchase[[#This Row],[CGST Total]]+Purchase[[#This Row],[SGST Total]]</f>
        <v>163044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 s="138">
        <f>+Purchase[[#This Row],[IGST RCM Total]]+Purchase[[#This Row],[CGST RCM Total]]+Purchase[[#This Row],[SGST RCM Total]]</f>
        <v>0</v>
      </c>
      <c r="AP273" t="s">
        <v>175</v>
      </c>
    </row>
    <row r="274" spans="1:42" hidden="1" x14ac:dyDescent="0.25">
      <c r="A274" s="138" t="s">
        <v>38</v>
      </c>
      <c r="B274" t="s">
        <v>44</v>
      </c>
      <c r="C274" t="s">
        <v>667</v>
      </c>
      <c r="D274" s="150">
        <v>121</v>
      </c>
      <c r="E274" t="s">
        <v>201</v>
      </c>
      <c r="F274" t="s">
        <v>202</v>
      </c>
      <c r="G274" t="s">
        <v>668</v>
      </c>
      <c r="H274" s="150">
        <v>32898</v>
      </c>
      <c r="I274" s="139" t="s">
        <v>46</v>
      </c>
      <c r="J274">
        <v>108642.6</v>
      </c>
      <c r="K274">
        <v>16572.599999999999</v>
      </c>
      <c r="L274">
        <v>92070</v>
      </c>
      <c r="M274" t="s">
        <v>39</v>
      </c>
      <c r="N274" t="s">
        <v>257</v>
      </c>
      <c r="O274">
        <v>0</v>
      </c>
      <c r="P274">
        <v>0</v>
      </c>
      <c r="Q274">
        <v>0</v>
      </c>
      <c r="R274">
        <v>0</v>
      </c>
      <c r="S274">
        <v>8286.2999999999993</v>
      </c>
      <c r="T274">
        <v>8286.2999999999993</v>
      </c>
      <c r="U274">
        <v>0</v>
      </c>
      <c r="V274">
        <v>0</v>
      </c>
      <c r="W274">
        <v>0</v>
      </c>
      <c r="X274">
        <v>0</v>
      </c>
      <c r="Y274">
        <v>8286.2999999999993</v>
      </c>
      <c r="Z274">
        <v>8286.2999999999993</v>
      </c>
      <c r="AA274">
        <v>0</v>
      </c>
      <c r="AB274">
        <v>0</v>
      </c>
      <c r="AC274">
        <v>0</v>
      </c>
      <c r="AD274" s="138"/>
      <c r="AE274">
        <v>0</v>
      </c>
      <c r="AF274" s="138">
        <f>+Purchase[[#This Row],[IGST Total]]+Purchase[[#This Row],[CGST Total]]+Purchase[[#This Row],[SGST Total]]</f>
        <v>16572.599999999999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 s="138">
        <f>+Purchase[[#This Row],[IGST RCM Total]]+Purchase[[#This Row],[CGST RCM Total]]+Purchase[[#This Row],[SGST RCM Total]]</f>
        <v>0</v>
      </c>
      <c r="AP274" t="s">
        <v>175</v>
      </c>
    </row>
    <row r="275" spans="1:42" hidden="1" x14ac:dyDescent="0.25">
      <c r="A275" s="138" t="s">
        <v>38</v>
      </c>
      <c r="B275" t="s">
        <v>44</v>
      </c>
      <c r="C275" t="s">
        <v>669</v>
      </c>
      <c r="D275" s="150">
        <v>121</v>
      </c>
      <c r="E275" t="s">
        <v>201</v>
      </c>
      <c r="F275" t="s">
        <v>202</v>
      </c>
      <c r="G275" t="s">
        <v>670</v>
      </c>
      <c r="H275" s="150">
        <v>32898</v>
      </c>
      <c r="I275" s="139" t="s">
        <v>46</v>
      </c>
      <c r="J275">
        <v>108642.6</v>
      </c>
      <c r="K275">
        <v>16572.599999999999</v>
      </c>
      <c r="L275">
        <v>92070</v>
      </c>
      <c r="M275" t="s">
        <v>39</v>
      </c>
      <c r="N275" t="s">
        <v>257</v>
      </c>
      <c r="O275">
        <v>0</v>
      </c>
      <c r="P275">
        <v>0</v>
      </c>
      <c r="Q275">
        <v>0</v>
      </c>
      <c r="R275">
        <v>0</v>
      </c>
      <c r="S275">
        <v>8286.2999999999993</v>
      </c>
      <c r="T275">
        <v>8286.2999999999993</v>
      </c>
      <c r="U275">
        <v>0</v>
      </c>
      <c r="V275">
        <v>0</v>
      </c>
      <c r="W275">
        <v>0</v>
      </c>
      <c r="X275">
        <v>0</v>
      </c>
      <c r="Y275">
        <v>8286.2999999999993</v>
      </c>
      <c r="Z275">
        <v>8286.2999999999993</v>
      </c>
      <c r="AA275">
        <v>0</v>
      </c>
      <c r="AB275">
        <v>0</v>
      </c>
      <c r="AC275">
        <v>0</v>
      </c>
      <c r="AD275" s="138"/>
      <c r="AE275">
        <v>0</v>
      </c>
      <c r="AF275" s="138">
        <f>+Purchase[[#This Row],[IGST Total]]+Purchase[[#This Row],[CGST Total]]+Purchase[[#This Row],[SGST Total]]</f>
        <v>16572.599999999999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 s="138">
        <f>+Purchase[[#This Row],[IGST RCM Total]]+Purchase[[#This Row],[CGST RCM Total]]+Purchase[[#This Row],[SGST RCM Total]]</f>
        <v>0</v>
      </c>
      <c r="AP275" t="s">
        <v>175</v>
      </c>
    </row>
    <row r="276" spans="1:42" hidden="1" x14ac:dyDescent="0.25">
      <c r="A276" s="138" t="s">
        <v>38</v>
      </c>
      <c r="B276" t="s">
        <v>44</v>
      </c>
      <c r="C276" t="s">
        <v>671</v>
      </c>
      <c r="D276" s="150">
        <v>121</v>
      </c>
      <c r="E276" t="s">
        <v>201</v>
      </c>
      <c r="F276" t="s">
        <v>202</v>
      </c>
      <c r="G276" t="s">
        <v>672</v>
      </c>
      <c r="H276" s="150">
        <v>32899</v>
      </c>
      <c r="I276" s="139" t="s">
        <v>46</v>
      </c>
      <c r="J276">
        <v>34019.56</v>
      </c>
      <c r="K276">
        <v>5189.42</v>
      </c>
      <c r="L276">
        <v>28830.14</v>
      </c>
      <c r="M276" t="s">
        <v>39</v>
      </c>
      <c r="N276" t="s">
        <v>473</v>
      </c>
      <c r="O276">
        <v>0</v>
      </c>
      <c r="P276">
        <v>0</v>
      </c>
      <c r="Q276">
        <v>0</v>
      </c>
      <c r="R276">
        <v>0</v>
      </c>
      <c r="S276">
        <v>2594.71</v>
      </c>
      <c r="T276">
        <v>2594.71</v>
      </c>
      <c r="U276">
        <v>0</v>
      </c>
      <c r="V276">
        <v>0</v>
      </c>
      <c r="W276">
        <v>0</v>
      </c>
      <c r="X276">
        <v>0</v>
      </c>
      <c r="Y276">
        <v>2594.71</v>
      </c>
      <c r="Z276">
        <v>2594.71</v>
      </c>
      <c r="AA276">
        <v>0</v>
      </c>
      <c r="AB276">
        <v>0</v>
      </c>
      <c r="AC276">
        <v>0</v>
      </c>
      <c r="AD276" s="138"/>
      <c r="AE276">
        <v>0</v>
      </c>
      <c r="AF276" s="138">
        <f>+Purchase[[#This Row],[IGST Total]]+Purchase[[#This Row],[CGST Total]]+Purchase[[#This Row],[SGST Total]]</f>
        <v>5189.42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 s="138">
        <f>+Purchase[[#This Row],[IGST RCM Total]]+Purchase[[#This Row],[CGST RCM Total]]+Purchase[[#This Row],[SGST RCM Total]]</f>
        <v>0</v>
      </c>
      <c r="AP276" t="s">
        <v>175</v>
      </c>
    </row>
    <row r="277" spans="1:42" hidden="1" x14ac:dyDescent="0.25">
      <c r="A277" s="138" t="s">
        <v>38</v>
      </c>
      <c r="B277" t="s">
        <v>44</v>
      </c>
      <c r="C277" t="s">
        <v>673</v>
      </c>
      <c r="D277" s="150">
        <v>121</v>
      </c>
      <c r="E277" t="s">
        <v>201</v>
      </c>
      <c r="F277" t="s">
        <v>202</v>
      </c>
      <c r="G277" t="s">
        <v>674</v>
      </c>
      <c r="H277" s="150">
        <v>32898</v>
      </c>
      <c r="I277" s="139" t="s">
        <v>46</v>
      </c>
      <c r="J277">
        <v>349906</v>
      </c>
      <c r="K277">
        <v>53375.5</v>
      </c>
      <c r="L277">
        <v>296530.5</v>
      </c>
      <c r="M277" t="s">
        <v>39</v>
      </c>
      <c r="N277" t="s">
        <v>403</v>
      </c>
      <c r="O277">
        <v>0</v>
      </c>
      <c r="P277">
        <v>0</v>
      </c>
      <c r="Q277">
        <v>0</v>
      </c>
      <c r="R277">
        <v>0</v>
      </c>
      <c r="S277">
        <v>26687.75</v>
      </c>
      <c r="T277">
        <v>26687.75</v>
      </c>
      <c r="U277">
        <v>0</v>
      </c>
      <c r="V277">
        <v>0</v>
      </c>
      <c r="W277">
        <v>0</v>
      </c>
      <c r="X277">
        <v>0</v>
      </c>
      <c r="Y277">
        <v>26687.75</v>
      </c>
      <c r="Z277">
        <v>26687.75</v>
      </c>
      <c r="AA277">
        <v>0</v>
      </c>
      <c r="AB277">
        <v>0</v>
      </c>
      <c r="AC277">
        <v>0</v>
      </c>
      <c r="AD277" s="138"/>
      <c r="AE277">
        <v>0</v>
      </c>
      <c r="AF277" s="138">
        <f>+Purchase[[#This Row],[IGST Total]]+Purchase[[#This Row],[CGST Total]]+Purchase[[#This Row],[SGST Total]]</f>
        <v>53375.5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 s="138">
        <f>+Purchase[[#This Row],[IGST RCM Total]]+Purchase[[#This Row],[CGST RCM Total]]+Purchase[[#This Row],[SGST RCM Total]]</f>
        <v>0</v>
      </c>
      <c r="AP277" t="s">
        <v>175</v>
      </c>
    </row>
    <row r="278" spans="1:42" hidden="1" x14ac:dyDescent="0.25">
      <c r="A278" s="138" t="s">
        <v>38</v>
      </c>
      <c r="B278" t="s">
        <v>44</v>
      </c>
      <c r="C278" t="s">
        <v>675</v>
      </c>
      <c r="D278" s="150">
        <v>121</v>
      </c>
      <c r="E278" t="s">
        <v>201</v>
      </c>
      <c r="F278" t="s">
        <v>202</v>
      </c>
      <c r="G278" t="s">
        <v>676</v>
      </c>
      <c r="H278" s="150">
        <v>32897</v>
      </c>
      <c r="I278" s="139" t="s">
        <v>46</v>
      </c>
      <c r="J278">
        <v>1419902.35</v>
      </c>
      <c r="K278">
        <v>216595</v>
      </c>
      <c r="L278">
        <v>1203307.3470000001</v>
      </c>
      <c r="M278" t="s">
        <v>39</v>
      </c>
      <c r="N278" t="s">
        <v>249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216595</v>
      </c>
      <c r="AD278" s="138"/>
      <c r="AE278">
        <v>216595</v>
      </c>
      <c r="AF278" s="138">
        <f>+Purchase[[#This Row],[IGST Total]]+Purchase[[#This Row],[CGST Total]]+Purchase[[#This Row],[SGST Total]]</f>
        <v>216595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 s="138">
        <f>+Purchase[[#This Row],[IGST RCM Total]]+Purchase[[#This Row],[CGST RCM Total]]+Purchase[[#This Row],[SGST RCM Total]]</f>
        <v>0</v>
      </c>
      <c r="AP278" t="s">
        <v>176</v>
      </c>
    </row>
    <row r="279" spans="1:42" hidden="1" x14ac:dyDescent="0.25">
      <c r="A279" s="138" t="s">
        <v>38</v>
      </c>
      <c r="B279" t="s">
        <v>44</v>
      </c>
      <c r="C279" t="s">
        <v>677</v>
      </c>
      <c r="D279" s="150">
        <v>121</v>
      </c>
      <c r="E279" t="s">
        <v>201</v>
      </c>
      <c r="F279" t="s">
        <v>202</v>
      </c>
      <c r="G279" t="s">
        <v>678</v>
      </c>
      <c r="H279" s="150">
        <v>32961</v>
      </c>
      <c r="I279" s="139" t="s">
        <v>46</v>
      </c>
      <c r="J279">
        <v>3681505.6</v>
      </c>
      <c r="K279">
        <v>561585.6</v>
      </c>
      <c r="L279">
        <v>3119920</v>
      </c>
      <c r="M279" t="s">
        <v>39</v>
      </c>
      <c r="N279" t="s">
        <v>489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561585.6</v>
      </c>
      <c r="AD279" s="138"/>
      <c r="AE279">
        <v>561585.6</v>
      </c>
      <c r="AF279" s="138">
        <f>+Purchase[[#This Row],[IGST Total]]+Purchase[[#This Row],[CGST Total]]+Purchase[[#This Row],[SGST Total]]</f>
        <v>561585.6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 s="138">
        <f>+Purchase[[#This Row],[IGST RCM Total]]+Purchase[[#This Row],[CGST RCM Total]]+Purchase[[#This Row],[SGST RCM Total]]</f>
        <v>0</v>
      </c>
      <c r="AP279" t="s">
        <v>176</v>
      </c>
    </row>
    <row r="280" spans="1:42" hidden="1" x14ac:dyDescent="0.25">
      <c r="A280" s="138" t="s">
        <v>38</v>
      </c>
      <c r="B280" t="s">
        <v>44</v>
      </c>
      <c r="C280" t="s">
        <v>679</v>
      </c>
      <c r="D280" s="150">
        <v>121</v>
      </c>
      <c r="E280" t="s">
        <v>201</v>
      </c>
      <c r="F280" t="s">
        <v>202</v>
      </c>
      <c r="G280" t="s">
        <v>680</v>
      </c>
      <c r="H280" s="150">
        <v>32875</v>
      </c>
      <c r="I280" s="139" t="s">
        <v>46</v>
      </c>
      <c r="J280">
        <v>4520764.08</v>
      </c>
      <c r="K280">
        <v>689608.08</v>
      </c>
      <c r="L280">
        <v>3831156</v>
      </c>
      <c r="M280" t="s">
        <v>39</v>
      </c>
      <c r="N280" t="s">
        <v>489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689608.08</v>
      </c>
      <c r="AD280" s="138"/>
      <c r="AE280">
        <v>689608.08</v>
      </c>
      <c r="AF280" s="138">
        <f>+Purchase[[#This Row],[IGST Total]]+Purchase[[#This Row],[CGST Total]]+Purchase[[#This Row],[SGST Total]]</f>
        <v>689608.08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 s="138">
        <f>+Purchase[[#This Row],[IGST RCM Total]]+Purchase[[#This Row],[CGST RCM Total]]+Purchase[[#This Row],[SGST RCM Total]]</f>
        <v>0</v>
      </c>
      <c r="AP280" t="s">
        <v>176</v>
      </c>
    </row>
    <row r="281" spans="1:42" hidden="1" x14ac:dyDescent="0.25">
      <c r="A281" s="138" t="s">
        <v>38</v>
      </c>
      <c r="B281" t="s">
        <v>44</v>
      </c>
      <c r="C281" t="s">
        <v>681</v>
      </c>
      <c r="D281" s="150">
        <v>121</v>
      </c>
      <c r="E281" t="s">
        <v>201</v>
      </c>
      <c r="F281" t="s">
        <v>202</v>
      </c>
      <c r="G281" t="s">
        <v>682</v>
      </c>
      <c r="H281" s="150">
        <v>32882</v>
      </c>
      <c r="I281" s="139" t="s">
        <v>46</v>
      </c>
      <c r="J281">
        <v>26550</v>
      </c>
      <c r="K281">
        <v>4050</v>
      </c>
      <c r="L281">
        <v>22500</v>
      </c>
      <c r="M281" t="s">
        <v>39</v>
      </c>
      <c r="N281" t="s">
        <v>601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4050</v>
      </c>
      <c r="AD281" s="138"/>
      <c r="AE281">
        <v>4050</v>
      </c>
      <c r="AF281" s="138">
        <f>+Purchase[[#This Row],[IGST Total]]+Purchase[[#This Row],[CGST Total]]+Purchase[[#This Row],[SGST Total]]</f>
        <v>4050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 s="138">
        <f>+Purchase[[#This Row],[IGST RCM Total]]+Purchase[[#This Row],[CGST RCM Total]]+Purchase[[#This Row],[SGST RCM Total]]</f>
        <v>0</v>
      </c>
      <c r="AP281" t="s">
        <v>176</v>
      </c>
    </row>
    <row r="282" spans="1:42" hidden="1" x14ac:dyDescent="0.25">
      <c r="A282" s="138" t="s">
        <v>38</v>
      </c>
      <c r="B282" t="s">
        <v>44</v>
      </c>
      <c r="C282" t="s">
        <v>683</v>
      </c>
      <c r="D282" s="150">
        <v>121</v>
      </c>
      <c r="E282" t="s">
        <v>201</v>
      </c>
      <c r="F282" t="s">
        <v>202</v>
      </c>
      <c r="G282" t="s">
        <v>684</v>
      </c>
      <c r="H282" s="150">
        <v>32885</v>
      </c>
      <c r="I282" s="139" t="s">
        <v>46</v>
      </c>
      <c r="J282">
        <v>2939366.78</v>
      </c>
      <c r="K282">
        <v>448377.98</v>
      </c>
      <c r="L282">
        <v>2490988.7999999998</v>
      </c>
      <c r="M282" t="s">
        <v>39</v>
      </c>
      <c r="N282" t="s">
        <v>461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448377.98</v>
      </c>
      <c r="AD282" s="138"/>
      <c r="AE282">
        <v>448377.98</v>
      </c>
      <c r="AF282" s="138">
        <f>+Purchase[[#This Row],[IGST Total]]+Purchase[[#This Row],[CGST Total]]+Purchase[[#This Row],[SGST Total]]</f>
        <v>448377.98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 s="138">
        <f>+Purchase[[#This Row],[IGST RCM Total]]+Purchase[[#This Row],[CGST RCM Total]]+Purchase[[#This Row],[SGST RCM Total]]</f>
        <v>0</v>
      </c>
      <c r="AP282" t="s">
        <v>176</v>
      </c>
    </row>
    <row r="283" spans="1:42" hidden="1" x14ac:dyDescent="0.25">
      <c r="A283" s="138" t="s">
        <v>38</v>
      </c>
      <c r="B283" t="s">
        <v>44</v>
      </c>
      <c r="C283" t="s">
        <v>685</v>
      </c>
      <c r="D283" s="150">
        <v>121</v>
      </c>
      <c r="E283" t="s">
        <v>201</v>
      </c>
      <c r="F283" t="s">
        <v>202</v>
      </c>
      <c r="G283" t="s">
        <v>686</v>
      </c>
      <c r="H283" s="150">
        <v>32887</v>
      </c>
      <c r="I283" s="139" t="s">
        <v>46</v>
      </c>
      <c r="J283">
        <v>173755</v>
      </c>
      <c r="K283">
        <v>26505</v>
      </c>
      <c r="L283">
        <v>147250</v>
      </c>
      <c r="M283" t="s">
        <v>39</v>
      </c>
      <c r="N283" t="s">
        <v>465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26505</v>
      </c>
      <c r="AD283" s="138"/>
      <c r="AE283">
        <v>26505</v>
      </c>
      <c r="AF283" s="138">
        <f>+Purchase[[#This Row],[IGST Total]]+Purchase[[#This Row],[CGST Total]]+Purchase[[#This Row],[SGST Total]]</f>
        <v>26505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 s="138">
        <f>+Purchase[[#This Row],[IGST RCM Total]]+Purchase[[#This Row],[CGST RCM Total]]+Purchase[[#This Row],[SGST RCM Total]]</f>
        <v>0</v>
      </c>
      <c r="AP283" t="s">
        <v>176</v>
      </c>
    </row>
    <row r="284" spans="1:42" hidden="1" x14ac:dyDescent="0.25">
      <c r="A284" s="138" t="s">
        <v>38</v>
      </c>
      <c r="B284" t="s">
        <v>44</v>
      </c>
      <c r="C284" t="s">
        <v>687</v>
      </c>
      <c r="D284" s="150">
        <v>121</v>
      </c>
      <c r="E284" t="s">
        <v>201</v>
      </c>
      <c r="F284" t="s">
        <v>202</v>
      </c>
      <c r="G284" t="s">
        <v>688</v>
      </c>
      <c r="H284" s="150">
        <v>32887</v>
      </c>
      <c r="I284" s="139" t="s">
        <v>46</v>
      </c>
      <c r="J284">
        <v>59000</v>
      </c>
      <c r="K284">
        <v>9000</v>
      </c>
      <c r="L284">
        <v>50000</v>
      </c>
      <c r="M284" t="s">
        <v>39</v>
      </c>
      <c r="N284" t="s">
        <v>689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9000</v>
      </c>
      <c r="AD284" s="138"/>
      <c r="AE284">
        <v>9000</v>
      </c>
      <c r="AF284" s="138">
        <f>+Purchase[[#This Row],[IGST Total]]+Purchase[[#This Row],[CGST Total]]+Purchase[[#This Row],[SGST Total]]</f>
        <v>9000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 s="138">
        <f>+Purchase[[#This Row],[IGST RCM Total]]+Purchase[[#This Row],[CGST RCM Total]]+Purchase[[#This Row],[SGST RCM Total]]</f>
        <v>0</v>
      </c>
      <c r="AP284" t="s">
        <v>176</v>
      </c>
    </row>
    <row r="285" spans="1:42" hidden="1" x14ac:dyDescent="0.25">
      <c r="A285" s="138" t="s">
        <v>38</v>
      </c>
      <c r="B285" t="s">
        <v>44</v>
      </c>
      <c r="C285" t="s">
        <v>690</v>
      </c>
      <c r="D285" s="150">
        <v>121</v>
      </c>
      <c r="E285" t="s">
        <v>201</v>
      </c>
      <c r="F285" t="s">
        <v>202</v>
      </c>
      <c r="G285" t="s">
        <v>691</v>
      </c>
      <c r="H285" s="150">
        <v>32892</v>
      </c>
      <c r="I285" s="139" t="s">
        <v>46</v>
      </c>
      <c r="J285">
        <v>77880</v>
      </c>
      <c r="K285">
        <v>11880</v>
      </c>
      <c r="L285">
        <v>66000</v>
      </c>
      <c r="M285" t="s">
        <v>39</v>
      </c>
      <c r="N285" t="s">
        <v>692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11880</v>
      </c>
      <c r="AD285" s="138"/>
      <c r="AE285">
        <v>11880</v>
      </c>
      <c r="AF285" s="138">
        <f>+Purchase[[#This Row],[IGST Total]]+Purchase[[#This Row],[CGST Total]]+Purchase[[#This Row],[SGST Total]]</f>
        <v>11880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 s="138">
        <f>+Purchase[[#This Row],[IGST RCM Total]]+Purchase[[#This Row],[CGST RCM Total]]+Purchase[[#This Row],[SGST RCM Total]]</f>
        <v>0</v>
      </c>
      <c r="AP285" t="s">
        <v>176</v>
      </c>
    </row>
    <row r="286" spans="1:42" hidden="1" x14ac:dyDescent="0.25">
      <c r="A286" s="138" t="s">
        <v>38</v>
      </c>
      <c r="B286" t="s">
        <v>44</v>
      </c>
      <c r="C286" t="s">
        <v>693</v>
      </c>
      <c r="D286" s="150">
        <v>121</v>
      </c>
      <c r="E286" t="s">
        <v>201</v>
      </c>
      <c r="F286" t="s">
        <v>202</v>
      </c>
      <c r="G286" t="s">
        <v>694</v>
      </c>
      <c r="H286" s="150">
        <v>32894</v>
      </c>
      <c r="I286" s="139" t="s">
        <v>46</v>
      </c>
      <c r="J286">
        <v>204789</v>
      </c>
      <c r="K286">
        <v>31239</v>
      </c>
      <c r="L286">
        <v>173550</v>
      </c>
      <c r="M286" t="s">
        <v>39</v>
      </c>
      <c r="N286" t="s">
        <v>468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31239</v>
      </c>
      <c r="AD286" s="138"/>
      <c r="AE286">
        <v>31239</v>
      </c>
      <c r="AF286" s="138">
        <f>+Purchase[[#This Row],[IGST Total]]+Purchase[[#This Row],[CGST Total]]+Purchase[[#This Row],[SGST Total]]</f>
        <v>31239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 s="138">
        <f>+Purchase[[#This Row],[IGST RCM Total]]+Purchase[[#This Row],[CGST RCM Total]]+Purchase[[#This Row],[SGST RCM Total]]</f>
        <v>0</v>
      </c>
      <c r="AP286" t="s">
        <v>176</v>
      </c>
    </row>
    <row r="287" spans="1:42" hidden="1" x14ac:dyDescent="0.25">
      <c r="A287" s="138" t="s">
        <v>38</v>
      </c>
      <c r="B287" t="s">
        <v>44</v>
      </c>
      <c r="C287" t="s">
        <v>695</v>
      </c>
      <c r="D287" s="150">
        <v>121</v>
      </c>
      <c r="E287" t="s">
        <v>201</v>
      </c>
      <c r="F287" t="s">
        <v>202</v>
      </c>
      <c r="G287" t="s">
        <v>696</v>
      </c>
      <c r="H287" s="150">
        <v>32892</v>
      </c>
      <c r="I287" s="139" t="s">
        <v>46</v>
      </c>
      <c r="J287">
        <v>133576</v>
      </c>
      <c r="K287">
        <v>20376</v>
      </c>
      <c r="L287">
        <v>113200</v>
      </c>
      <c r="M287" t="s">
        <v>39</v>
      </c>
      <c r="N287" t="s">
        <v>697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20376</v>
      </c>
      <c r="AD287" s="138"/>
      <c r="AE287">
        <v>20376</v>
      </c>
      <c r="AF287" s="138">
        <f>+Purchase[[#This Row],[IGST Total]]+Purchase[[#This Row],[CGST Total]]+Purchase[[#This Row],[SGST Total]]</f>
        <v>20376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 s="138">
        <f>+Purchase[[#This Row],[IGST RCM Total]]+Purchase[[#This Row],[CGST RCM Total]]+Purchase[[#This Row],[SGST RCM Total]]</f>
        <v>0</v>
      </c>
      <c r="AP287" t="s">
        <v>176</v>
      </c>
    </row>
    <row r="288" spans="1:42" hidden="1" x14ac:dyDescent="0.25">
      <c r="A288" s="138" t="s">
        <v>38</v>
      </c>
      <c r="B288" t="s">
        <v>44</v>
      </c>
      <c r="C288" t="s">
        <v>698</v>
      </c>
      <c r="D288" s="150">
        <v>121</v>
      </c>
      <c r="E288" t="s">
        <v>201</v>
      </c>
      <c r="F288" t="s">
        <v>202</v>
      </c>
      <c r="G288" t="s">
        <v>699</v>
      </c>
      <c r="H288" s="150">
        <v>32891</v>
      </c>
      <c r="I288" s="139" t="s">
        <v>46</v>
      </c>
      <c r="J288">
        <v>13098</v>
      </c>
      <c r="K288">
        <v>1998</v>
      </c>
      <c r="L288">
        <v>11100</v>
      </c>
      <c r="M288" t="s">
        <v>39</v>
      </c>
      <c r="N288" t="s">
        <v>700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1998</v>
      </c>
      <c r="AD288" s="138"/>
      <c r="AE288">
        <v>1998</v>
      </c>
      <c r="AF288" s="138">
        <f>+Purchase[[#This Row],[IGST Total]]+Purchase[[#This Row],[CGST Total]]+Purchase[[#This Row],[SGST Total]]</f>
        <v>1998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 s="138">
        <f>+Purchase[[#This Row],[IGST RCM Total]]+Purchase[[#This Row],[CGST RCM Total]]+Purchase[[#This Row],[SGST RCM Total]]</f>
        <v>0</v>
      </c>
      <c r="AP288" t="s">
        <v>176</v>
      </c>
    </row>
    <row r="289" spans="1:42" hidden="1" x14ac:dyDescent="0.25">
      <c r="A289" s="138" t="s">
        <v>38</v>
      </c>
      <c r="B289" t="s">
        <v>44</v>
      </c>
      <c r="C289" t="s">
        <v>701</v>
      </c>
      <c r="D289" s="150">
        <v>121</v>
      </c>
      <c r="E289" t="s">
        <v>201</v>
      </c>
      <c r="F289" t="s">
        <v>202</v>
      </c>
      <c r="G289" t="s">
        <v>702</v>
      </c>
      <c r="H289" s="150">
        <v>32891</v>
      </c>
      <c r="I289" s="139" t="s">
        <v>46</v>
      </c>
      <c r="J289">
        <v>65490</v>
      </c>
      <c r="K289">
        <v>9990</v>
      </c>
      <c r="L289">
        <v>55500</v>
      </c>
      <c r="M289" t="s">
        <v>39</v>
      </c>
      <c r="N289" t="s">
        <v>700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9990</v>
      </c>
      <c r="AD289" s="138"/>
      <c r="AE289">
        <v>9990</v>
      </c>
      <c r="AF289" s="138">
        <f>+Purchase[[#This Row],[IGST Total]]+Purchase[[#This Row],[CGST Total]]+Purchase[[#This Row],[SGST Total]]</f>
        <v>9990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 s="138">
        <f>+Purchase[[#This Row],[IGST RCM Total]]+Purchase[[#This Row],[CGST RCM Total]]+Purchase[[#This Row],[SGST RCM Total]]</f>
        <v>0</v>
      </c>
      <c r="AP289" t="s">
        <v>176</v>
      </c>
    </row>
    <row r="290" spans="1:42" hidden="1" x14ac:dyDescent="0.25">
      <c r="A290" s="138" t="s">
        <v>38</v>
      </c>
      <c r="B290" t="s">
        <v>44</v>
      </c>
      <c r="C290" t="s">
        <v>703</v>
      </c>
      <c r="D290" s="150">
        <v>121</v>
      </c>
      <c r="E290" t="s">
        <v>201</v>
      </c>
      <c r="F290" t="s">
        <v>202</v>
      </c>
      <c r="G290" t="s">
        <v>704</v>
      </c>
      <c r="H290" s="150">
        <v>32895</v>
      </c>
      <c r="I290" s="139" t="s">
        <v>46</v>
      </c>
      <c r="J290">
        <v>338470.8</v>
      </c>
      <c r="K290">
        <v>36914</v>
      </c>
      <c r="L290">
        <v>301556.8</v>
      </c>
      <c r="M290" t="s">
        <v>39</v>
      </c>
      <c r="N290" t="s">
        <v>514</v>
      </c>
      <c r="O290">
        <v>0</v>
      </c>
      <c r="P290">
        <v>0</v>
      </c>
      <c r="Q290">
        <v>0</v>
      </c>
      <c r="R290">
        <v>17365</v>
      </c>
      <c r="S290">
        <v>1092</v>
      </c>
      <c r="T290">
        <v>18457</v>
      </c>
      <c r="U290">
        <v>0</v>
      </c>
      <c r="V290">
        <v>0</v>
      </c>
      <c r="W290">
        <v>0</v>
      </c>
      <c r="X290">
        <v>17365</v>
      </c>
      <c r="Y290">
        <v>1092</v>
      </c>
      <c r="Z290">
        <v>18457</v>
      </c>
      <c r="AA290">
        <v>0</v>
      </c>
      <c r="AB290">
        <v>0</v>
      </c>
      <c r="AC290">
        <v>0</v>
      </c>
      <c r="AD290" s="138"/>
      <c r="AE290">
        <v>0</v>
      </c>
      <c r="AF290" s="138">
        <f>+Purchase[[#This Row],[IGST Total]]+Purchase[[#This Row],[CGST Total]]+Purchase[[#This Row],[SGST Total]]</f>
        <v>36914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 s="138">
        <f>+Purchase[[#This Row],[IGST RCM Total]]+Purchase[[#This Row],[CGST RCM Total]]+Purchase[[#This Row],[SGST RCM Total]]</f>
        <v>0</v>
      </c>
      <c r="AP290" t="s">
        <v>175</v>
      </c>
    </row>
    <row r="291" spans="1:42" hidden="1" x14ac:dyDescent="0.25">
      <c r="A291" s="138" t="s">
        <v>38</v>
      </c>
      <c r="B291" t="s">
        <v>44</v>
      </c>
      <c r="C291" t="s">
        <v>705</v>
      </c>
      <c r="D291" s="150">
        <v>121</v>
      </c>
      <c r="E291" t="s">
        <v>201</v>
      </c>
      <c r="F291" t="s">
        <v>202</v>
      </c>
      <c r="G291" t="s">
        <v>706</v>
      </c>
      <c r="H291" s="150">
        <v>32888</v>
      </c>
      <c r="I291" s="139" t="s">
        <v>46</v>
      </c>
      <c r="J291">
        <v>283938</v>
      </c>
      <c r="K291">
        <v>43313</v>
      </c>
      <c r="L291">
        <v>240625</v>
      </c>
      <c r="M291" t="s">
        <v>39</v>
      </c>
      <c r="N291" t="s">
        <v>707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43313</v>
      </c>
      <c r="AD291" s="138"/>
      <c r="AE291">
        <v>43313</v>
      </c>
      <c r="AF291" s="138">
        <f>+Purchase[[#This Row],[IGST Total]]+Purchase[[#This Row],[CGST Total]]+Purchase[[#This Row],[SGST Total]]</f>
        <v>43313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 s="138">
        <f>+Purchase[[#This Row],[IGST RCM Total]]+Purchase[[#This Row],[CGST RCM Total]]+Purchase[[#This Row],[SGST RCM Total]]</f>
        <v>0</v>
      </c>
      <c r="AP291" t="s">
        <v>176</v>
      </c>
    </row>
    <row r="292" spans="1:42" hidden="1" x14ac:dyDescent="0.25">
      <c r="A292" s="138" t="s">
        <v>38</v>
      </c>
      <c r="B292" t="s">
        <v>44</v>
      </c>
      <c r="C292" t="s">
        <v>708</v>
      </c>
      <c r="D292" s="150">
        <v>121</v>
      </c>
      <c r="E292" t="s">
        <v>201</v>
      </c>
      <c r="F292" t="s">
        <v>202</v>
      </c>
      <c r="G292" t="s">
        <v>709</v>
      </c>
      <c r="H292" s="150">
        <v>32891</v>
      </c>
      <c r="I292" s="139" t="s">
        <v>46</v>
      </c>
      <c r="J292">
        <v>1040760</v>
      </c>
      <c r="K292">
        <v>158760</v>
      </c>
      <c r="L292">
        <v>882000</v>
      </c>
      <c r="M292" t="s">
        <v>39</v>
      </c>
      <c r="N292" t="s">
        <v>487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158760</v>
      </c>
      <c r="AD292" s="138"/>
      <c r="AE292">
        <v>158760</v>
      </c>
      <c r="AF292" s="138">
        <f>+Purchase[[#This Row],[IGST Total]]+Purchase[[#This Row],[CGST Total]]+Purchase[[#This Row],[SGST Total]]</f>
        <v>158760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 s="138">
        <f>+Purchase[[#This Row],[IGST RCM Total]]+Purchase[[#This Row],[CGST RCM Total]]+Purchase[[#This Row],[SGST RCM Total]]</f>
        <v>0</v>
      </c>
      <c r="AP292" t="s">
        <v>176</v>
      </c>
    </row>
    <row r="293" spans="1:42" hidden="1" x14ac:dyDescent="0.25">
      <c r="A293" s="138" t="s">
        <v>38</v>
      </c>
      <c r="B293" t="s">
        <v>44</v>
      </c>
      <c r="C293" t="s">
        <v>710</v>
      </c>
      <c r="D293" s="150">
        <v>121</v>
      </c>
      <c r="E293" t="s">
        <v>201</v>
      </c>
      <c r="F293" t="s">
        <v>202</v>
      </c>
      <c r="G293" t="s">
        <v>711</v>
      </c>
      <c r="H293" s="150">
        <v>32886</v>
      </c>
      <c r="I293" s="139" t="s">
        <v>46</v>
      </c>
      <c r="J293">
        <v>187177.5</v>
      </c>
      <c r="K293">
        <v>28552.5</v>
      </c>
      <c r="L293">
        <v>158625</v>
      </c>
      <c r="M293" t="s">
        <v>39</v>
      </c>
      <c r="N293" t="s">
        <v>504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28552.5</v>
      </c>
      <c r="AD293" s="138"/>
      <c r="AE293">
        <v>28552.5</v>
      </c>
      <c r="AF293" s="138">
        <f>+Purchase[[#This Row],[IGST Total]]+Purchase[[#This Row],[CGST Total]]+Purchase[[#This Row],[SGST Total]]</f>
        <v>28552.5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 s="138">
        <f>+Purchase[[#This Row],[IGST RCM Total]]+Purchase[[#This Row],[CGST RCM Total]]+Purchase[[#This Row],[SGST RCM Total]]</f>
        <v>0</v>
      </c>
      <c r="AP293" t="s">
        <v>176</v>
      </c>
    </row>
    <row r="294" spans="1:42" hidden="1" x14ac:dyDescent="0.25">
      <c r="A294" s="138" t="s">
        <v>38</v>
      </c>
      <c r="B294" t="s">
        <v>44</v>
      </c>
      <c r="C294" t="s">
        <v>712</v>
      </c>
      <c r="D294" s="150">
        <v>121</v>
      </c>
      <c r="E294" t="s">
        <v>201</v>
      </c>
      <c r="F294" t="s">
        <v>202</v>
      </c>
      <c r="G294" t="s">
        <v>713</v>
      </c>
      <c r="H294" s="150">
        <v>32882</v>
      </c>
      <c r="I294" s="139" t="s">
        <v>46</v>
      </c>
      <c r="J294">
        <v>1128670</v>
      </c>
      <c r="K294">
        <v>172170</v>
      </c>
      <c r="L294">
        <v>956500</v>
      </c>
      <c r="M294" t="s">
        <v>39</v>
      </c>
      <c r="N294" t="s">
        <v>496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172170</v>
      </c>
      <c r="AD294" s="138"/>
      <c r="AE294">
        <v>172170</v>
      </c>
      <c r="AF294" s="138">
        <f>+Purchase[[#This Row],[IGST Total]]+Purchase[[#This Row],[CGST Total]]+Purchase[[#This Row],[SGST Total]]</f>
        <v>172170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 s="138">
        <f>+Purchase[[#This Row],[IGST RCM Total]]+Purchase[[#This Row],[CGST RCM Total]]+Purchase[[#This Row],[SGST RCM Total]]</f>
        <v>0</v>
      </c>
      <c r="AP294" t="s">
        <v>176</v>
      </c>
    </row>
    <row r="295" spans="1:42" hidden="1" x14ac:dyDescent="0.25">
      <c r="A295" s="138" t="s">
        <v>38</v>
      </c>
      <c r="B295" t="s">
        <v>44</v>
      </c>
      <c r="C295" t="s">
        <v>714</v>
      </c>
      <c r="D295" s="150">
        <v>121</v>
      </c>
      <c r="E295" t="s">
        <v>201</v>
      </c>
      <c r="F295" t="s">
        <v>202</v>
      </c>
      <c r="G295" t="s">
        <v>715</v>
      </c>
      <c r="H295" s="150">
        <v>32888</v>
      </c>
      <c r="I295" s="139" t="s">
        <v>46</v>
      </c>
      <c r="J295">
        <v>327568</v>
      </c>
      <c r="K295">
        <v>49968</v>
      </c>
      <c r="L295">
        <v>277600</v>
      </c>
      <c r="M295" t="s">
        <v>39</v>
      </c>
      <c r="N295" t="s">
        <v>707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49968</v>
      </c>
      <c r="AD295" s="138"/>
      <c r="AE295">
        <v>49968</v>
      </c>
      <c r="AF295" s="138">
        <f>+Purchase[[#This Row],[IGST Total]]+Purchase[[#This Row],[CGST Total]]+Purchase[[#This Row],[SGST Total]]</f>
        <v>49968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 s="138">
        <f>+Purchase[[#This Row],[IGST RCM Total]]+Purchase[[#This Row],[CGST RCM Total]]+Purchase[[#This Row],[SGST RCM Total]]</f>
        <v>0</v>
      </c>
      <c r="AP295" t="s">
        <v>176</v>
      </c>
    </row>
    <row r="296" spans="1:42" hidden="1" x14ac:dyDescent="0.25">
      <c r="A296" s="138" t="s">
        <v>38</v>
      </c>
      <c r="B296" t="s">
        <v>44</v>
      </c>
      <c r="C296" t="s">
        <v>716</v>
      </c>
      <c r="D296" s="150">
        <v>121</v>
      </c>
      <c r="E296" t="s">
        <v>201</v>
      </c>
      <c r="F296" t="s">
        <v>202</v>
      </c>
      <c r="G296" t="s">
        <v>717</v>
      </c>
      <c r="H296" s="150">
        <v>32888</v>
      </c>
      <c r="I296" s="139" t="s">
        <v>46</v>
      </c>
      <c r="J296">
        <v>128620</v>
      </c>
      <c r="K296">
        <v>19620</v>
      </c>
      <c r="L296">
        <v>109000</v>
      </c>
      <c r="M296" t="s">
        <v>39</v>
      </c>
      <c r="N296" t="s">
        <v>577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19620</v>
      </c>
      <c r="AD296" s="138"/>
      <c r="AE296">
        <v>19620</v>
      </c>
      <c r="AF296" s="138">
        <f>+Purchase[[#This Row],[IGST Total]]+Purchase[[#This Row],[CGST Total]]+Purchase[[#This Row],[SGST Total]]</f>
        <v>19620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 s="138">
        <f>+Purchase[[#This Row],[IGST RCM Total]]+Purchase[[#This Row],[CGST RCM Total]]+Purchase[[#This Row],[SGST RCM Total]]</f>
        <v>0</v>
      </c>
      <c r="AP296" t="s">
        <v>176</v>
      </c>
    </row>
    <row r="297" spans="1:42" hidden="1" x14ac:dyDescent="0.25">
      <c r="A297" s="138" t="s">
        <v>38</v>
      </c>
      <c r="B297" t="s">
        <v>44</v>
      </c>
      <c r="C297" t="s">
        <v>718</v>
      </c>
      <c r="D297" s="150">
        <v>121</v>
      </c>
      <c r="E297" t="s">
        <v>201</v>
      </c>
      <c r="F297" t="s">
        <v>202</v>
      </c>
      <c r="G297" t="s">
        <v>719</v>
      </c>
      <c r="H297" s="150">
        <v>32895</v>
      </c>
      <c r="I297" s="139" t="s">
        <v>46</v>
      </c>
      <c r="J297">
        <v>11210</v>
      </c>
      <c r="K297">
        <v>1710</v>
      </c>
      <c r="L297">
        <v>9500</v>
      </c>
      <c r="M297" t="s">
        <v>39</v>
      </c>
      <c r="N297" t="s">
        <v>720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1710</v>
      </c>
      <c r="AD297" s="138"/>
      <c r="AE297">
        <v>1710</v>
      </c>
      <c r="AF297" s="138">
        <f>+Purchase[[#This Row],[IGST Total]]+Purchase[[#This Row],[CGST Total]]+Purchase[[#This Row],[SGST Total]]</f>
        <v>1710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 s="138">
        <f>+Purchase[[#This Row],[IGST RCM Total]]+Purchase[[#This Row],[CGST RCM Total]]+Purchase[[#This Row],[SGST RCM Total]]</f>
        <v>0</v>
      </c>
      <c r="AP297" t="s">
        <v>177</v>
      </c>
    </row>
    <row r="298" spans="1:42" hidden="1" x14ac:dyDescent="0.25">
      <c r="A298" s="138" t="s">
        <v>38</v>
      </c>
      <c r="B298" t="s">
        <v>44</v>
      </c>
      <c r="C298" t="s">
        <v>721</v>
      </c>
      <c r="D298" s="150">
        <v>121</v>
      </c>
      <c r="E298" t="s">
        <v>201</v>
      </c>
      <c r="F298" t="s">
        <v>202</v>
      </c>
      <c r="G298" t="s">
        <v>722</v>
      </c>
      <c r="H298" s="150">
        <v>32890</v>
      </c>
      <c r="I298" s="139" t="s">
        <v>46</v>
      </c>
      <c r="J298">
        <v>179903</v>
      </c>
      <c r="K298">
        <v>27443</v>
      </c>
      <c r="L298">
        <v>152460</v>
      </c>
      <c r="M298" t="s">
        <v>39</v>
      </c>
      <c r="N298" t="s">
        <v>723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27443</v>
      </c>
      <c r="AD298" s="138"/>
      <c r="AE298">
        <v>27443</v>
      </c>
      <c r="AF298" s="138">
        <f>+Purchase[[#This Row],[IGST Total]]+Purchase[[#This Row],[CGST Total]]+Purchase[[#This Row],[SGST Total]]</f>
        <v>27443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 s="138">
        <f>+Purchase[[#This Row],[IGST RCM Total]]+Purchase[[#This Row],[CGST RCM Total]]+Purchase[[#This Row],[SGST RCM Total]]</f>
        <v>0</v>
      </c>
      <c r="AP298" t="s">
        <v>176</v>
      </c>
    </row>
    <row r="299" spans="1:42" hidden="1" x14ac:dyDescent="0.25">
      <c r="A299" s="138" t="s">
        <v>38</v>
      </c>
      <c r="B299" t="s">
        <v>44</v>
      </c>
      <c r="C299" t="s">
        <v>724</v>
      </c>
      <c r="D299" s="150">
        <v>121</v>
      </c>
      <c r="E299" t="s">
        <v>201</v>
      </c>
      <c r="F299" t="s">
        <v>202</v>
      </c>
      <c r="G299" t="s">
        <v>725</v>
      </c>
      <c r="H299" s="150">
        <v>32896</v>
      </c>
      <c r="I299" s="139" t="s">
        <v>46</v>
      </c>
      <c r="J299">
        <v>20414</v>
      </c>
      <c r="K299">
        <v>3114</v>
      </c>
      <c r="L299">
        <v>17300</v>
      </c>
      <c r="M299" t="s">
        <v>39</v>
      </c>
      <c r="N299" t="s">
        <v>720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3114</v>
      </c>
      <c r="AD299" s="138"/>
      <c r="AE299">
        <v>3114</v>
      </c>
      <c r="AF299" s="138">
        <f>+Purchase[[#This Row],[IGST Total]]+Purchase[[#This Row],[CGST Total]]+Purchase[[#This Row],[SGST Total]]</f>
        <v>3114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 s="138">
        <f>+Purchase[[#This Row],[IGST RCM Total]]+Purchase[[#This Row],[CGST RCM Total]]+Purchase[[#This Row],[SGST RCM Total]]</f>
        <v>0</v>
      </c>
      <c r="AP299" t="s">
        <v>177</v>
      </c>
    </row>
    <row r="300" spans="1:42" hidden="1" x14ac:dyDescent="0.25">
      <c r="A300" s="138" t="s">
        <v>38</v>
      </c>
      <c r="B300" t="s">
        <v>44</v>
      </c>
      <c r="C300" t="s">
        <v>726</v>
      </c>
      <c r="D300" s="150">
        <v>121</v>
      </c>
      <c r="E300" t="s">
        <v>201</v>
      </c>
      <c r="F300" t="s">
        <v>202</v>
      </c>
      <c r="G300" t="s">
        <v>727</v>
      </c>
      <c r="H300" s="150">
        <v>32892</v>
      </c>
      <c r="I300" s="139" t="s">
        <v>46</v>
      </c>
      <c r="J300">
        <v>34957.5</v>
      </c>
      <c r="K300">
        <v>5332.5</v>
      </c>
      <c r="L300">
        <v>29625</v>
      </c>
      <c r="M300" t="s">
        <v>39</v>
      </c>
      <c r="N300" t="s">
        <v>728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5332.5</v>
      </c>
      <c r="AD300" s="138"/>
      <c r="AE300">
        <v>5332.5</v>
      </c>
      <c r="AF300" s="138">
        <f>+Purchase[[#This Row],[IGST Total]]+Purchase[[#This Row],[CGST Total]]+Purchase[[#This Row],[SGST Total]]</f>
        <v>5332.5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 s="138">
        <f>+Purchase[[#This Row],[IGST RCM Total]]+Purchase[[#This Row],[CGST RCM Total]]+Purchase[[#This Row],[SGST RCM Total]]</f>
        <v>0</v>
      </c>
      <c r="AP300" t="s">
        <v>176</v>
      </c>
    </row>
    <row r="301" spans="1:42" hidden="1" x14ac:dyDescent="0.25">
      <c r="A301" s="138" t="s">
        <v>38</v>
      </c>
      <c r="B301" t="s">
        <v>44</v>
      </c>
      <c r="C301" t="s">
        <v>729</v>
      </c>
      <c r="D301" s="150">
        <v>121</v>
      </c>
      <c r="E301" t="s">
        <v>201</v>
      </c>
      <c r="F301" t="s">
        <v>202</v>
      </c>
      <c r="G301" t="s">
        <v>730</v>
      </c>
      <c r="H301" s="150">
        <v>32886</v>
      </c>
      <c r="I301" s="139" t="s">
        <v>46</v>
      </c>
      <c r="J301">
        <v>4989323.2</v>
      </c>
      <c r="K301">
        <v>761083.2</v>
      </c>
      <c r="L301">
        <v>4228240</v>
      </c>
      <c r="M301" t="s">
        <v>39</v>
      </c>
      <c r="N301" t="s">
        <v>588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761083.2</v>
      </c>
      <c r="AD301" s="138"/>
      <c r="AE301">
        <v>761083.2</v>
      </c>
      <c r="AF301" s="138">
        <f>+Purchase[[#This Row],[IGST Total]]+Purchase[[#This Row],[CGST Total]]+Purchase[[#This Row],[SGST Total]]</f>
        <v>761083.2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 s="138">
        <f>+Purchase[[#This Row],[IGST RCM Total]]+Purchase[[#This Row],[CGST RCM Total]]+Purchase[[#This Row],[SGST RCM Total]]</f>
        <v>0</v>
      </c>
      <c r="AP301" t="s">
        <v>176</v>
      </c>
    </row>
    <row r="302" spans="1:42" hidden="1" x14ac:dyDescent="0.25">
      <c r="A302" s="138" t="s">
        <v>38</v>
      </c>
      <c r="B302" t="s">
        <v>44</v>
      </c>
      <c r="C302" t="s">
        <v>731</v>
      </c>
      <c r="D302" s="150">
        <v>121</v>
      </c>
      <c r="E302" t="s">
        <v>201</v>
      </c>
      <c r="F302" t="s">
        <v>202</v>
      </c>
      <c r="G302" t="s">
        <v>732</v>
      </c>
      <c r="H302" s="150">
        <v>32893</v>
      </c>
      <c r="I302" s="139" t="s">
        <v>46</v>
      </c>
      <c r="J302">
        <v>67968</v>
      </c>
      <c r="K302">
        <v>10368</v>
      </c>
      <c r="L302">
        <v>57600</v>
      </c>
      <c r="M302" t="s">
        <v>39</v>
      </c>
      <c r="N302" t="s">
        <v>733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10368</v>
      </c>
      <c r="AD302" s="138"/>
      <c r="AE302">
        <v>10368</v>
      </c>
      <c r="AF302" s="138">
        <f>+Purchase[[#This Row],[IGST Total]]+Purchase[[#This Row],[CGST Total]]+Purchase[[#This Row],[SGST Total]]</f>
        <v>10368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 s="138">
        <f>+Purchase[[#This Row],[IGST RCM Total]]+Purchase[[#This Row],[CGST RCM Total]]+Purchase[[#This Row],[SGST RCM Total]]</f>
        <v>0</v>
      </c>
      <c r="AP302" t="s">
        <v>176</v>
      </c>
    </row>
    <row r="303" spans="1:42" hidden="1" x14ac:dyDescent="0.25">
      <c r="A303" s="138" t="s">
        <v>38</v>
      </c>
      <c r="B303" t="s">
        <v>44</v>
      </c>
      <c r="C303" t="s">
        <v>734</v>
      </c>
      <c r="D303" s="150">
        <v>121</v>
      </c>
      <c r="E303" t="s">
        <v>201</v>
      </c>
      <c r="F303" t="s">
        <v>202</v>
      </c>
      <c r="G303" t="s">
        <v>735</v>
      </c>
      <c r="H303" s="150">
        <v>32894</v>
      </c>
      <c r="I303" s="139" t="s">
        <v>46</v>
      </c>
      <c r="J303">
        <v>1227436</v>
      </c>
      <c r="K303">
        <v>187236</v>
      </c>
      <c r="L303">
        <v>1040200</v>
      </c>
      <c r="M303" t="s">
        <v>39</v>
      </c>
      <c r="N303" t="s">
        <v>463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187236</v>
      </c>
      <c r="AD303" s="138"/>
      <c r="AE303">
        <v>187236</v>
      </c>
      <c r="AF303" s="138">
        <f>+Purchase[[#This Row],[IGST Total]]+Purchase[[#This Row],[CGST Total]]+Purchase[[#This Row],[SGST Total]]</f>
        <v>187236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 s="138">
        <f>+Purchase[[#This Row],[IGST RCM Total]]+Purchase[[#This Row],[CGST RCM Total]]+Purchase[[#This Row],[SGST RCM Total]]</f>
        <v>0</v>
      </c>
      <c r="AP303" t="s">
        <v>176</v>
      </c>
    </row>
    <row r="304" spans="1:42" hidden="1" x14ac:dyDescent="0.25">
      <c r="A304" s="138" t="s">
        <v>38</v>
      </c>
      <c r="B304" t="s">
        <v>44</v>
      </c>
      <c r="C304" t="s">
        <v>736</v>
      </c>
      <c r="D304" s="150">
        <v>121</v>
      </c>
      <c r="E304" t="s">
        <v>201</v>
      </c>
      <c r="F304" t="s">
        <v>202</v>
      </c>
      <c r="G304" t="s">
        <v>737</v>
      </c>
      <c r="H304" s="150">
        <v>32894</v>
      </c>
      <c r="I304" s="139" t="s">
        <v>46</v>
      </c>
      <c r="J304">
        <v>350696</v>
      </c>
      <c r="K304">
        <v>53496</v>
      </c>
      <c r="L304">
        <v>297200</v>
      </c>
      <c r="M304" t="s">
        <v>39</v>
      </c>
      <c r="N304" t="s">
        <v>463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53496</v>
      </c>
      <c r="AD304" s="138"/>
      <c r="AE304">
        <v>53496</v>
      </c>
      <c r="AF304" s="138">
        <f>+Purchase[[#This Row],[IGST Total]]+Purchase[[#This Row],[CGST Total]]+Purchase[[#This Row],[SGST Total]]</f>
        <v>53496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 s="138">
        <f>+Purchase[[#This Row],[IGST RCM Total]]+Purchase[[#This Row],[CGST RCM Total]]+Purchase[[#This Row],[SGST RCM Total]]</f>
        <v>0</v>
      </c>
      <c r="AP304" t="s">
        <v>176</v>
      </c>
    </row>
    <row r="305" spans="1:42" hidden="1" x14ac:dyDescent="0.25">
      <c r="A305" s="138" t="s">
        <v>38</v>
      </c>
      <c r="B305" t="s">
        <v>44</v>
      </c>
      <c r="C305" t="s">
        <v>738</v>
      </c>
      <c r="D305" s="150">
        <v>121</v>
      </c>
      <c r="E305" t="s">
        <v>201</v>
      </c>
      <c r="F305" t="s">
        <v>202</v>
      </c>
      <c r="G305" t="s">
        <v>739</v>
      </c>
      <c r="H305" s="150">
        <v>32893</v>
      </c>
      <c r="I305" s="139" t="s">
        <v>46</v>
      </c>
      <c r="J305">
        <v>180717</v>
      </c>
      <c r="K305">
        <v>27567</v>
      </c>
      <c r="L305">
        <v>153150</v>
      </c>
      <c r="M305" t="s">
        <v>39</v>
      </c>
      <c r="N305" t="s">
        <v>740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27567</v>
      </c>
      <c r="AD305" s="138"/>
      <c r="AE305">
        <v>27567</v>
      </c>
      <c r="AF305" s="138">
        <f>+Purchase[[#This Row],[IGST Total]]+Purchase[[#This Row],[CGST Total]]+Purchase[[#This Row],[SGST Total]]</f>
        <v>27567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 s="138">
        <f>+Purchase[[#This Row],[IGST RCM Total]]+Purchase[[#This Row],[CGST RCM Total]]+Purchase[[#This Row],[SGST RCM Total]]</f>
        <v>0</v>
      </c>
      <c r="AP305" t="s">
        <v>176</v>
      </c>
    </row>
    <row r="306" spans="1:42" hidden="1" x14ac:dyDescent="0.25">
      <c r="A306" s="138" t="s">
        <v>38</v>
      </c>
      <c r="B306" t="s">
        <v>44</v>
      </c>
      <c r="C306" t="s">
        <v>759</v>
      </c>
      <c r="D306" s="150">
        <v>121</v>
      </c>
      <c r="E306" t="s">
        <v>201</v>
      </c>
      <c r="F306" t="s">
        <v>202</v>
      </c>
      <c r="G306" t="s">
        <v>760</v>
      </c>
      <c r="H306" s="150">
        <v>32895</v>
      </c>
      <c r="I306" s="139" t="s">
        <v>46</v>
      </c>
      <c r="J306">
        <v>1959980</v>
      </c>
      <c r="K306">
        <v>298980</v>
      </c>
      <c r="L306">
        <v>1661000</v>
      </c>
      <c r="M306" t="s">
        <v>39</v>
      </c>
      <c r="N306" t="s">
        <v>761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298980</v>
      </c>
      <c r="AD306" s="138"/>
      <c r="AE306">
        <v>298980</v>
      </c>
      <c r="AF306" s="138">
        <f>+Purchase[[#This Row],[IGST Total]]+Purchase[[#This Row],[CGST Total]]+Purchase[[#This Row],[SGST Total]]</f>
        <v>298980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 s="138">
        <f>+Purchase[[#This Row],[IGST RCM Total]]+Purchase[[#This Row],[CGST RCM Total]]+Purchase[[#This Row],[SGST RCM Total]]</f>
        <v>0</v>
      </c>
      <c r="AP306" t="s">
        <v>176</v>
      </c>
    </row>
    <row r="307" spans="1:42" hidden="1" x14ac:dyDescent="0.25">
      <c r="A307" s="138" t="s">
        <v>38</v>
      </c>
      <c r="B307" t="s">
        <v>44</v>
      </c>
      <c r="C307" t="s">
        <v>762</v>
      </c>
      <c r="D307" s="150">
        <v>121</v>
      </c>
      <c r="E307" t="s">
        <v>201</v>
      </c>
      <c r="F307" t="s">
        <v>202</v>
      </c>
      <c r="G307" t="s">
        <v>763</v>
      </c>
      <c r="H307" s="150">
        <v>32892</v>
      </c>
      <c r="I307" s="139" t="s">
        <v>46</v>
      </c>
      <c r="J307">
        <v>89562</v>
      </c>
      <c r="K307">
        <v>13662</v>
      </c>
      <c r="L307">
        <v>75900</v>
      </c>
      <c r="M307" t="s">
        <v>39</v>
      </c>
      <c r="N307" t="s">
        <v>502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13662</v>
      </c>
      <c r="AD307" s="138"/>
      <c r="AE307">
        <v>13662</v>
      </c>
      <c r="AF307" s="138">
        <f>+Purchase[[#This Row],[IGST Total]]+Purchase[[#This Row],[CGST Total]]+Purchase[[#This Row],[SGST Total]]</f>
        <v>13662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 s="138">
        <f>+Purchase[[#This Row],[IGST RCM Total]]+Purchase[[#This Row],[CGST RCM Total]]+Purchase[[#This Row],[SGST RCM Total]]</f>
        <v>0</v>
      </c>
      <c r="AP307" t="s">
        <v>176</v>
      </c>
    </row>
    <row r="308" spans="1:42" x14ac:dyDescent="0.25">
      <c r="A308" s="138" t="s">
        <v>38</v>
      </c>
      <c r="B308" t="s">
        <v>45</v>
      </c>
      <c r="C308" t="s">
        <v>200</v>
      </c>
      <c r="D308" s="150">
        <v>101</v>
      </c>
      <c r="E308" t="s">
        <v>201</v>
      </c>
      <c r="F308" t="s">
        <v>202</v>
      </c>
      <c r="G308" t="s">
        <v>429</v>
      </c>
      <c r="H308" s="150">
        <v>32881</v>
      </c>
      <c r="I308" s="139" t="s">
        <v>48</v>
      </c>
      <c r="J308">
        <v>168499</v>
      </c>
      <c r="K308">
        <v>8424.9599999999991</v>
      </c>
      <c r="L308">
        <v>168499</v>
      </c>
      <c r="M308" t="s">
        <v>39</v>
      </c>
      <c r="N308" t="s">
        <v>37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 s="138"/>
      <c r="AE308">
        <v>0</v>
      </c>
      <c r="AF308" s="138">
        <f>+Purchase[[#This Row],[IGST Total]]+Purchase[[#This Row],[CGST Total]]+Purchase[[#This Row],[SGST Total]]</f>
        <v>0</v>
      </c>
      <c r="AG308">
        <v>4212.4799999999996</v>
      </c>
      <c r="AH308">
        <v>0</v>
      </c>
      <c r="AI308">
        <v>4212.4799999999996</v>
      </c>
      <c r="AJ308">
        <v>4212.4799999999996</v>
      </c>
      <c r="AK308">
        <v>0</v>
      </c>
      <c r="AL308">
        <v>4212.4799999999996</v>
      </c>
      <c r="AM308">
        <v>0</v>
      </c>
      <c r="AN308">
        <v>0</v>
      </c>
      <c r="AO308" s="138">
        <f>+Purchase[[#This Row],[IGST RCM Total]]+Purchase[[#This Row],[CGST RCM Total]]+Purchase[[#This Row],[SGST RCM Total]]</f>
        <v>8424.9599999999991</v>
      </c>
      <c r="AP308" t="s">
        <v>175</v>
      </c>
    </row>
    <row r="309" spans="1:42" x14ac:dyDescent="0.25">
      <c r="A309" s="138" t="s">
        <v>38</v>
      </c>
      <c r="B309" t="s">
        <v>45</v>
      </c>
      <c r="C309" t="s">
        <v>203</v>
      </c>
      <c r="D309" s="150">
        <v>101</v>
      </c>
      <c r="E309" t="s">
        <v>201</v>
      </c>
      <c r="F309" t="s">
        <v>202</v>
      </c>
      <c r="G309" t="s">
        <v>741</v>
      </c>
      <c r="H309" s="150">
        <v>32881</v>
      </c>
      <c r="I309" s="139" t="s">
        <v>48</v>
      </c>
      <c r="J309">
        <v>156045</v>
      </c>
      <c r="K309">
        <v>7802.26</v>
      </c>
      <c r="L309">
        <v>156045</v>
      </c>
      <c r="M309" t="s">
        <v>39</v>
      </c>
      <c r="N309" t="s">
        <v>37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 s="138"/>
      <c r="AE309">
        <v>0</v>
      </c>
      <c r="AF309" s="138">
        <f>+Purchase[[#This Row],[IGST Total]]+Purchase[[#This Row],[CGST Total]]+Purchase[[#This Row],[SGST Total]]</f>
        <v>0</v>
      </c>
      <c r="AG309">
        <v>3901.13</v>
      </c>
      <c r="AH309">
        <v>0</v>
      </c>
      <c r="AI309">
        <v>3901.13</v>
      </c>
      <c r="AJ309">
        <v>3901.13</v>
      </c>
      <c r="AK309">
        <v>0</v>
      </c>
      <c r="AL309">
        <v>3901.13</v>
      </c>
      <c r="AM309">
        <v>0</v>
      </c>
      <c r="AN309">
        <v>0</v>
      </c>
      <c r="AO309" s="138">
        <f>+Purchase[[#This Row],[IGST RCM Total]]+Purchase[[#This Row],[CGST RCM Total]]+Purchase[[#This Row],[SGST RCM Total]]</f>
        <v>7802.26</v>
      </c>
      <c r="AP309" t="s">
        <v>175</v>
      </c>
    </row>
    <row r="310" spans="1:42" hidden="1" x14ac:dyDescent="0.25">
      <c r="A310" s="138" t="s">
        <v>38</v>
      </c>
      <c r="B310" t="s">
        <v>45</v>
      </c>
      <c r="C310" t="s">
        <v>219</v>
      </c>
      <c r="D310" s="150">
        <v>116</v>
      </c>
      <c r="E310" t="s">
        <v>201</v>
      </c>
      <c r="F310" t="s">
        <v>202</v>
      </c>
      <c r="G310" t="s">
        <v>742</v>
      </c>
      <c r="H310" s="150">
        <v>32887</v>
      </c>
      <c r="I310" s="139" t="s">
        <v>12</v>
      </c>
      <c r="J310">
        <v>144</v>
      </c>
      <c r="K310">
        <v>21.96</v>
      </c>
      <c r="L310">
        <v>122.04</v>
      </c>
      <c r="M310" t="s">
        <v>43</v>
      </c>
      <c r="N310" t="s">
        <v>257</v>
      </c>
      <c r="O310">
        <v>0</v>
      </c>
      <c r="P310">
        <v>0</v>
      </c>
      <c r="Q310">
        <v>0</v>
      </c>
      <c r="R310">
        <v>0</v>
      </c>
      <c r="S310">
        <v>10.98</v>
      </c>
      <c r="T310">
        <v>10.98</v>
      </c>
      <c r="U310">
        <v>0</v>
      </c>
      <c r="V310">
        <v>0</v>
      </c>
      <c r="W310">
        <v>0</v>
      </c>
      <c r="X310">
        <v>0</v>
      </c>
      <c r="Y310">
        <v>10.98</v>
      </c>
      <c r="Z310">
        <v>10.98</v>
      </c>
      <c r="AA310">
        <v>0</v>
      </c>
      <c r="AB310">
        <v>0</v>
      </c>
      <c r="AC310">
        <v>0</v>
      </c>
      <c r="AD310" s="138"/>
      <c r="AE310">
        <v>0</v>
      </c>
      <c r="AF310" s="138">
        <f>+Purchase[[#This Row],[IGST Total]]+Purchase[[#This Row],[CGST Total]]+Purchase[[#This Row],[SGST Total]]</f>
        <v>21.96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 s="138">
        <f>+Purchase[[#This Row],[IGST RCM Total]]+Purchase[[#This Row],[CGST RCM Total]]+Purchase[[#This Row],[SGST RCM Total]]</f>
        <v>0</v>
      </c>
      <c r="AP310" t="s">
        <v>175</v>
      </c>
    </row>
    <row r="311" spans="1:42" hidden="1" x14ac:dyDescent="0.25">
      <c r="A311" s="138" t="s">
        <v>38</v>
      </c>
      <c r="B311" t="s">
        <v>45</v>
      </c>
      <c r="C311" t="s">
        <v>220</v>
      </c>
      <c r="D311" s="150">
        <v>116</v>
      </c>
      <c r="E311" t="s">
        <v>201</v>
      </c>
      <c r="F311" t="s">
        <v>202</v>
      </c>
      <c r="G311" t="s">
        <v>743</v>
      </c>
      <c r="H311" s="150">
        <v>32881</v>
      </c>
      <c r="I311" s="139" t="s">
        <v>12</v>
      </c>
      <c r="J311">
        <v>1020.02</v>
      </c>
      <c r="K311">
        <v>48.58</v>
      </c>
      <c r="L311">
        <v>971.44</v>
      </c>
      <c r="M311" t="s">
        <v>43</v>
      </c>
      <c r="N311" t="s">
        <v>257</v>
      </c>
      <c r="O311">
        <v>0</v>
      </c>
      <c r="P311">
        <v>0</v>
      </c>
      <c r="Q311">
        <v>24.29</v>
      </c>
      <c r="R311">
        <v>0</v>
      </c>
      <c r="S311">
        <v>0</v>
      </c>
      <c r="T311">
        <v>24.29</v>
      </c>
      <c r="U311">
        <v>0</v>
      </c>
      <c r="V311">
        <v>0</v>
      </c>
      <c r="W311">
        <v>24.29</v>
      </c>
      <c r="X311">
        <v>0</v>
      </c>
      <c r="Y311">
        <v>0</v>
      </c>
      <c r="Z311">
        <v>24.29</v>
      </c>
      <c r="AA311">
        <v>0</v>
      </c>
      <c r="AB311">
        <v>0</v>
      </c>
      <c r="AC311">
        <v>0</v>
      </c>
      <c r="AD311" s="138"/>
      <c r="AE311">
        <v>0</v>
      </c>
      <c r="AF311" s="138">
        <f>+Purchase[[#This Row],[IGST Total]]+Purchase[[#This Row],[CGST Total]]+Purchase[[#This Row],[SGST Total]]</f>
        <v>48.58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 s="138">
        <f>+Purchase[[#This Row],[IGST RCM Total]]+Purchase[[#This Row],[CGST RCM Total]]+Purchase[[#This Row],[SGST RCM Total]]</f>
        <v>0</v>
      </c>
      <c r="AP311" t="s">
        <v>175</v>
      </c>
    </row>
    <row r="312" spans="1:42" hidden="1" x14ac:dyDescent="0.25">
      <c r="A312" s="138" t="s">
        <v>38</v>
      </c>
      <c r="B312" t="s">
        <v>45</v>
      </c>
      <c r="C312" t="s">
        <v>238</v>
      </c>
      <c r="D312" s="150">
        <v>116</v>
      </c>
      <c r="E312" t="s">
        <v>201</v>
      </c>
      <c r="F312" t="s">
        <v>202</v>
      </c>
      <c r="G312" t="s">
        <v>744</v>
      </c>
      <c r="H312" s="150">
        <v>32880</v>
      </c>
      <c r="I312" s="139" t="s">
        <v>12</v>
      </c>
      <c r="J312">
        <v>701.03</v>
      </c>
      <c r="K312">
        <v>84.18</v>
      </c>
      <c r="L312">
        <v>616.85</v>
      </c>
      <c r="M312" t="s">
        <v>43</v>
      </c>
      <c r="N312" t="s">
        <v>257</v>
      </c>
      <c r="O312">
        <v>0</v>
      </c>
      <c r="P312">
        <v>0</v>
      </c>
      <c r="Q312">
        <v>0</v>
      </c>
      <c r="R312">
        <v>26.84</v>
      </c>
      <c r="S312">
        <v>15.25</v>
      </c>
      <c r="T312">
        <v>42.09</v>
      </c>
      <c r="U312">
        <v>0</v>
      </c>
      <c r="V312">
        <v>0</v>
      </c>
      <c r="W312">
        <v>0</v>
      </c>
      <c r="X312">
        <v>26.84</v>
      </c>
      <c r="Y312">
        <v>15.25</v>
      </c>
      <c r="Z312">
        <v>42.09</v>
      </c>
      <c r="AA312">
        <v>0</v>
      </c>
      <c r="AB312">
        <v>0</v>
      </c>
      <c r="AC312">
        <v>0</v>
      </c>
      <c r="AD312" s="138"/>
      <c r="AE312">
        <v>0</v>
      </c>
      <c r="AF312" s="138">
        <f>+Purchase[[#This Row],[IGST Total]]+Purchase[[#This Row],[CGST Total]]+Purchase[[#This Row],[SGST Total]]</f>
        <v>84.18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 s="138">
        <f>+Purchase[[#This Row],[IGST RCM Total]]+Purchase[[#This Row],[CGST RCM Total]]+Purchase[[#This Row],[SGST RCM Total]]</f>
        <v>0</v>
      </c>
      <c r="AP312" t="s">
        <v>175</v>
      </c>
    </row>
    <row r="313" spans="1:42" hidden="1" x14ac:dyDescent="0.25">
      <c r="A313" s="138" t="s">
        <v>38</v>
      </c>
      <c r="B313" t="s">
        <v>45</v>
      </c>
      <c r="C313" t="s">
        <v>221</v>
      </c>
      <c r="D313" s="150">
        <v>116</v>
      </c>
      <c r="E313" t="s">
        <v>201</v>
      </c>
      <c r="F313" t="s">
        <v>202</v>
      </c>
      <c r="G313" t="s">
        <v>745</v>
      </c>
      <c r="H313" s="150">
        <v>32953</v>
      </c>
      <c r="I313" s="139" t="s">
        <v>12</v>
      </c>
      <c r="J313">
        <v>210</v>
      </c>
      <c r="K313">
        <v>27.94</v>
      </c>
      <c r="L313">
        <v>182.06</v>
      </c>
      <c r="M313" t="s">
        <v>43</v>
      </c>
      <c r="N313" t="s">
        <v>257</v>
      </c>
      <c r="O313">
        <v>0</v>
      </c>
      <c r="P313">
        <v>0</v>
      </c>
      <c r="Q313">
        <v>0</v>
      </c>
      <c r="R313">
        <v>4.82</v>
      </c>
      <c r="S313">
        <v>9.15</v>
      </c>
      <c r="T313">
        <v>13.97</v>
      </c>
      <c r="U313">
        <v>0</v>
      </c>
      <c r="V313">
        <v>0</v>
      </c>
      <c r="W313">
        <v>0</v>
      </c>
      <c r="X313">
        <v>4.82</v>
      </c>
      <c r="Y313">
        <v>9.15</v>
      </c>
      <c r="Z313">
        <v>13.97</v>
      </c>
      <c r="AA313">
        <v>0</v>
      </c>
      <c r="AB313">
        <v>0</v>
      </c>
      <c r="AC313">
        <v>0</v>
      </c>
      <c r="AD313" s="138"/>
      <c r="AE313">
        <v>0</v>
      </c>
      <c r="AF313" s="138">
        <f>+Purchase[[#This Row],[IGST Total]]+Purchase[[#This Row],[CGST Total]]+Purchase[[#This Row],[SGST Total]]</f>
        <v>27.94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 s="138">
        <f>+Purchase[[#This Row],[IGST RCM Total]]+Purchase[[#This Row],[CGST RCM Total]]+Purchase[[#This Row],[SGST RCM Total]]</f>
        <v>0</v>
      </c>
      <c r="AP313" t="s">
        <v>175</v>
      </c>
    </row>
    <row r="314" spans="1:42" hidden="1" x14ac:dyDescent="0.25">
      <c r="A314" s="138" t="s">
        <v>38</v>
      </c>
      <c r="B314" t="s">
        <v>45</v>
      </c>
      <c r="C314" t="s">
        <v>222</v>
      </c>
      <c r="D314" s="150">
        <v>116</v>
      </c>
      <c r="E314" t="s">
        <v>201</v>
      </c>
      <c r="F314" t="s">
        <v>202</v>
      </c>
      <c r="G314" t="s">
        <v>746</v>
      </c>
      <c r="H314" s="150">
        <v>32935</v>
      </c>
      <c r="I314" s="139" t="s">
        <v>12</v>
      </c>
      <c r="J314">
        <v>7415.83</v>
      </c>
      <c r="K314">
        <v>944.7</v>
      </c>
      <c r="L314">
        <v>6471.13</v>
      </c>
      <c r="M314" t="s">
        <v>43</v>
      </c>
      <c r="N314" t="s">
        <v>257</v>
      </c>
      <c r="O314">
        <v>0</v>
      </c>
      <c r="P314">
        <v>0</v>
      </c>
      <c r="Q314">
        <v>17.739999999999998</v>
      </c>
      <c r="R314">
        <v>127.86</v>
      </c>
      <c r="S314">
        <v>326.75</v>
      </c>
      <c r="T314">
        <v>472.35</v>
      </c>
      <c r="U314">
        <v>0</v>
      </c>
      <c r="V314">
        <v>0</v>
      </c>
      <c r="W314">
        <v>17.739999999999998</v>
      </c>
      <c r="X314">
        <v>127.86</v>
      </c>
      <c r="Y314">
        <v>326.75</v>
      </c>
      <c r="Z314">
        <v>472.35</v>
      </c>
      <c r="AA314">
        <v>0</v>
      </c>
      <c r="AB314">
        <v>0</v>
      </c>
      <c r="AC314">
        <v>0</v>
      </c>
      <c r="AD314" s="138"/>
      <c r="AE314">
        <v>0</v>
      </c>
      <c r="AF314" s="138">
        <f>+Purchase[[#This Row],[IGST Total]]+Purchase[[#This Row],[CGST Total]]+Purchase[[#This Row],[SGST Total]]</f>
        <v>944.7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 s="138">
        <f>+Purchase[[#This Row],[IGST RCM Total]]+Purchase[[#This Row],[CGST RCM Total]]+Purchase[[#This Row],[SGST RCM Total]]</f>
        <v>0</v>
      </c>
      <c r="AP314" t="s">
        <v>175</v>
      </c>
    </row>
    <row r="315" spans="1:42" hidden="1" x14ac:dyDescent="0.25">
      <c r="A315" s="138" t="s">
        <v>38</v>
      </c>
      <c r="B315" t="s">
        <v>45</v>
      </c>
      <c r="C315" t="s">
        <v>223</v>
      </c>
      <c r="D315" s="150">
        <v>116</v>
      </c>
      <c r="E315" t="s">
        <v>201</v>
      </c>
      <c r="F315" t="s">
        <v>202</v>
      </c>
      <c r="G315" t="s">
        <v>747</v>
      </c>
      <c r="H315" s="150">
        <v>32962</v>
      </c>
      <c r="I315" s="139" t="s">
        <v>12</v>
      </c>
      <c r="J315">
        <v>1330.98</v>
      </c>
      <c r="K315">
        <v>83.66</v>
      </c>
      <c r="L315">
        <v>1247.32</v>
      </c>
      <c r="M315" t="s">
        <v>43</v>
      </c>
      <c r="N315" t="s">
        <v>257</v>
      </c>
      <c r="O315">
        <v>0</v>
      </c>
      <c r="P315">
        <v>0</v>
      </c>
      <c r="Q315">
        <v>26.19</v>
      </c>
      <c r="R315">
        <v>4.66</v>
      </c>
      <c r="S315">
        <v>10.98</v>
      </c>
      <c r="T315">
        <v>41.83</v>
      </c>
      <c r="U315">
        <v>0</v>
      </c>
      <c r="V315">
        <v>0</v>
      </c>
      <c r="W315">
        <v>26.19</v>
      </c>
      <c r="X315">
        <v>4.66</v>
      </c>
      <c r="Y315">
        <v>10.98</v>
      </c>
      <c r="Z315">
        <v>41.83</v>
      </c>
      <c r="AA315">
        <v>0</v>
      </c>
      <c r="AB315">
        <v>0</v>
      </c>
      <c r="AC315">
        <v>0</v>
      </c>
      <c r="AD315" s="138"/>
      <c r="AE315">
        <v>0</v>
      </c>
      <c r="AF315" s="138">
        <f>+Purchase[[#This Row],[IGST Total]]+Purchase[[#This Row],[CGST Total]]+Purchase[[#This Row],[SGST Total]]</f>
        <v>83.66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 s="138">
        <f>+Purchase[[#This Row],[IGST RCM Total]]+Purchase[[#This Row],[CGST RCM Total]]+Purchase[[#This Row],[SGST RCM Total]]</f>
        <v>0</v>
      </c>
      <c r="AP315" t="s">
        <v>175</v>
      </c>
    </row>
    <row r="316" spans="1:42" hidden="1" x14ac:dyDescent="0.25">
      <c r="A316" s="138" t="s">
        <v>38</v>
      </c>
      <c r="B316" t="s">
        <v>45</v>
      </c>
      <c r="C316" t="s">
        <v>224</v>
      </c>
      <c r="D316" s="150">
        <v>116</v>
      </c>
      <c r="E316" t="s">
        <v>201</v>
      </c>
      <c r="F316" t="s">
        <v>202</v>
      </c>
      <c r="G316" t="s">
        <v>748</v>
      </c>
      <c r="H316" s="150">
        <v>32959</v>
      </c>
      <c r="I316" s="139" t="s">
        <v>46</v>
      </c>
      <c r="J316">
        <v>2116</v>
      </c>
      <c r="K316">
        <v>322</v>
      </c>
      <c r="L316">
        <v>1794</v>
      </c>
      <c r="M316" t="s">
        <v>39</v>
      </c>
      <c r="N316" t="s">
        <v>262</v>
      </c>
      <c r="O316">
        <v>0</v>
      </c>
      <c r="P316">
        <v>0</v>
      </c>
      <c r="Q316">
        <v>0</v>
      </c>
      <c r="R316">
        <v>0</v>
      </c>
      <c r="S316">
        <v>161</v>
      </c>
      <c r="T316">
        <v>161</v>
      </c>
      <c r="U316">
        <v>0</v>
      </c>
      <c r="V316">
        <v>0</v>
      </c>
      <c r="W316">
        <v>0</v>
      </c>
      <c r="X316">
        <v>0</v>
      </c>
      <c r="Y316">
        <v>161</v>
      </c>
      <c r="Z316">
        <v>161</v>
      </c>
      <c r="AA316">
        <v>0</v>
      </c>
      <c r="AB316">
        <v>0</v>
      </c>
      <c r="AC316">
        <v>0</v>
      </c>
      <c r="AD316" s="138"/>
      <c r="AE316">
        <v>0</v>
      </c>
      <c r="AF316" s="138">
        <f>+Purchase[[#This Row],[IGST Total]]+Purchase[[#This Row],[CGST Total]]+Purchase[[#This Row],[SGST Total]]</f>
        <v>322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 s="138">
        <f>+Purchase[[#This Row],[IGST RCM Total]]+Purchase[[#This Row],[CGST RCM Total]]+Purchase[[#This Row],[SGST RCM Total]]</f>
        <v>0</v>
      </c>
      <c r="AP316" t="s">
        <v>175</v>
      </c>
    </row>
    <row r="317" spans="1:42" x14ac:dyDescent="0.25">
      <c r="A317" s="138" t="s">
        <v>38</v>
      </c>
      <c r="B317" t="s">
        <v>45</v>
      </c>
      <c r="C317" t="s">
        <v>225</v>
      </c>
      <c r="D317" s="150">
        <v>116</v>
      </c>
      <c r="E317" t="s">
        <v>201</v>
      </c>
      <c r="F317" t="s">
        <v>202</v>
      </c>
      <c r="G317" t="s">
        <v>749</v>
      </c>
      <c r="H317" s="150">
        <v>32895</v>
      </c>
      <c r="I317" s="139" t="s">
        <v>48</v>
      </c>
      <c r="J317">
        <v>7500</v>
      </c>
      <c r="K317">
        <v>376</v>
      </c>
      <c r="L317">
        <v>7500</v>
      </c>
      <c r="M317" t="s">
        <v>39</v>
      </c>
      <c r="N317" t="s">
        <v>37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 s="138"/>
      <c r="AE317">
        <v>0</v>
      </c>
      <c r="AF317" s="138">
        <f>+Purchase[[#This Row],[IGST Total]]+Purchase[[#This Row],[CGST Total]]+Purchase[[#This Row],[SGST Total]]</f>
        <v>0</v>
      </c>
      <c r="AG317">
        <v>188</v>
      </c>
      <c r="AH317">
        <v>0</v>
      </c>
      <c r="AI317">
        <v>188</v>
      </c>
      <c r="AJ317">
        <v>188</v>
      </c>
      <c r="AK317">
        <v>0</v>
      </c>
      <c r="AL317">
        <v>188</v>
      </c>
      <c r="AM317">
        <v>0</v>
      </c>
      <c r="AN317">
        <v>0</v>
      </c>
      <c r="AO317" s="138">
        <f>+Purchase[[#This Row],[IGST RCM Total]]+Purchase[[#This Row],[CGST RCM Total]]+Purchase[[#This Row],[SGST RCM Total]]</f>
        <v>376</v>
      </c>
      <c r="AP317" t="s">
        <v>175</v>
      </c>
    </row>
    <row r="318" spans="1:42" x14ac:dyDescent="0.25">
      <c r="A318" s="138" t="s">
        <v>38</v>
      </c>
      <c r="B318" t="s">
        <v>45</v>
      </c>
      <c r="C318" t="s">
        <v>226</v>
      </c>
      <c r="D318" s="150">
        <v>116</v>
      </c>
      <c r="E318" t="s">
        <v>201</v>
      </c>
      <c r="F318" t="s">
        <v>202</v>
      </c>
      <c r="G318" t="s">
        <v>750</v>
      </c>
      <c r="H318" s="150">
        <v>32878</v>
      </c>
      <c r="I318" s="139" t="s">
        <v>48</v>
      </c>
      <c r="J318">
        <v>7500</v>
      </c>
      <c r="K318">
        <v>376</v>
      </c>
      <c r="L318">
        <v>7500</v>
      </c>
      <c r="M318" t="s">
        <v>39</v>
      </c>
      <c r="N318" t="s">
        <v>37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 s="138"/>
      <c r="AE318">
        <v>0</v>
      </c>
      <c r="AF318" s="138">
        <f>+Purchase[[#This Row],[IGST Total]]+Purchase[[#This Row],[CGST Total]]+Purchase[[#This Row],[SGST Total]]</f>
        <v>0</v>
      </c>
      <c r="AG318">
        <v>188</v>
      </c>
      <c r="AH318">
        <v>0</v>
      </c>
      <c r="AI318">
        <v>188</v>
      </c>
      <c r="AJ318">
        <v>188</v>
      </c>
      <c r="AK318">
        <v>0</v>
      </c>
      <c r="AL318">
        <v>188</v>
      </c>
      <c r="AM318">
        <v>0</v>
      </c>
      <c r="AN318">
        <v>0</v>
      </c>
      <c r="AO318" s="138">
        <f>+Purchase[[#This Row],[IGST RCM Total]]+Purchase[[#This Row],[CGST RCM Total]]+Purchase[[#This Row],[SGST RCM Total]]</f>
        <v>376</v>
      </c>
      <c r="AP318" t="s">
        <v>175</v>
      </c>
    </row>
    <row r="319" spans="1:42" hidden="1" x14ac:dyDescent="0.25">
      <c r="A319" s="138" t="s">
        <v>38</v>
      </c>
      <c r="B319" t="s">
        <v>45</v>
      </c>
      <c r="C319" t="s">
        <v>239</v>
      </c>
      <c r="D319" s="150">
        <v>118</v>
      </c>
      <c r="E319" t="s">
        <v>201</v>
      </c>
      <c r="F319" t="s">
        <v>202</v>
      </c>
      <c r="G319" t="s">
        <v>751</v>
      </c>
      <c r="H319" s="150">
        <v>32888</v>
      </c>
      <c r="I319" s="139" t="s">
        <v>48</v>
      </c>
      <c r="J319">
        <v>5360</v>
      </c>
      <c r="K319">
        <v>268</v>
      </c>
      <c r="L319">
        <v>5360</v>
      </c>
      <c r="M319" t="s">
        <v>39</v>
      </c>
      <c r="N319" t="s">
        <v>518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 s="138"/>
      <c r="AE319">
        <v>0</v>
      </c>
      <c r="AF319" s="138">
        <f>+Purchase[[#This Row],[IGST Total]]+Purchase[[#This Row],[CGST Total]]+Purchase[[#This Row],[SGST Total]]</f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268</v>
      </c>
      <c r="AN319">
        <v>268</v>
      </c>
      <c r="AO319" s="138">
        <f>+Purchase[[#This Row],[IGST RCM Total]]+Purchase[[#This Row],[CGST RCM Total]]+Purchase[[#This Row],[SGST RCM Total]]</f>
        <v>268</v>
      </c>
      <c r="AP319" t="s">
        <v>176</v>
      </c>
    </row>
    <row r="320" spans="1:42" x14ac:dyDescent="0.25">
      <c r="A320" s="138" t="s">
        <v>38</v>
      </c>
      <c r="B320" t="s">
        <v>45</v>
      </c>
      <c r="C320" t="s">
        <v>227</v>
      </c>
      <c r="D320" s="150">
        <v>121</v>
      </c>
      <c r="E320" t="s">
        <v>201</v>
      </c>
      <c r="F320" t="s">
        <v>202</v>
      </c>
      <c r="G320" t="s">
        <v>533</v>
      </c>
      <c r="H320" s="150">
        <v>32901</v>
      </c>
      <c r="I320" t="s">
        <v>46</v>
      </c>
      <c r="J320">
        <v>49500</v>
      </c>
      <c r="K320">
        <v>0</v>
      </c>
      <c r="L320">
        <v>0</v>
      </c>
      <c r="M320" t="s">
        <v>39</v>
      </c>
      <c r="N320" t="s">
        <v>37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 s="138"/>
      <c r="AE320">
        <v>0</v>
      </c>
      <c r="AF320" s="138">
        <f>+Purchase[[#This Row],[IGST Total]]+Purchase[[#This Row],[CGST Total]]+Purchase[[#This Row],[SGST Total]]</f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 s="138">
        <f>+Purchase[[#This Row],[IGST RCM Total]]+Purchase[[#This Row],[CGST RCM Total]]+Purchase[[#This Row],[SGST RCM Total]]</f>
        <v>0</v>
      </c>
      <c r="AP320" t="s">
        <v>175</v>
      </c>
    </row>
    <row r="321" spans="1:42" x14ac:dyDescent="0.25">
      <c r="A321" s="138" t="s">
        <v>38</v>
      </c>
      <c r="B321" t="s">
        <v>45</v>
      </c>
      <c r="C321" t="s">
        <v>228</v>
      </c>
      <c r="D321" s="150">
        <v>121</v>
      </c>
      <c r="E321" t="s">
        <v>201</v>
      </c>
      <c r="F321" t="s">
        <v>202</v>
      </c>
      <c r="G321" t="s">
        <v>321</v>
      </c>
      <c r="H321" s="150">
        <v>32903</v>
      </c>
      <c r="I321" t="s">
        <v>46</v>
      </c>
      <c r="J321">
        <v>89300</v>
      </c>
      <c r="K321">
        <v>0</v>
      </c>
      <c r="L321">
        <v>0</v>
      </c>
      <c r="M321" t="s">
        <v>39</v>
      </c>
      <c r="N321" t="s">
        <v>37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 s="138"/>
      <c r="AE321">
        <v>0</v>
      </c>
      <c r="AF321" s="138">
        <f>+Purchase[[#This Row],[IGST Total]]+Purchase[[#This Row],[CGST Total]]+Purchase[[#This Row],[SGST Total]]</f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 s="138">
        <f>+Purchase[[#This Row],[IGST RCM Total]]+Purchase[[#This Row],[CGST RCM Total]]+Purchase[[#This Row],[SGST RCM Total]]</f>
        <v>0</v>
      </c>
      <c r="AP321" t="s">
        <v>175</v>
      </c>
    </row>
    <row r="322" spans="1:42" x14ac:dyDescent="0.25">
      <c r="A322" s="138" t="s">
        <v>38</v>
      </c>
      <c r="B322" t="s">
        <v>45</v>
      </c>
      <c r="C322" t="s">
        <v>229</v>
      </c>
      <c r="D322" s="150">
        <v>121</v>
      </c>
      <c r="E322" t="s">
        <v>201</v>
      </c>
      <c r="F322" t="s">
        <v>202</v>
      </c>
      <c r="G322" t="s">
        <v>752</v>
      </c>
      <c r="H322" s="150">
        <v>32903</v>
      </c>
      <c r="I322" t="s">
        <v>46</v>
      </c>
      <c r="J322">
        <v>17500</v>
      </c>
      <c r="K322">
        <v>0</v>
      </c>
      <c r="L322">
        <v>0</v>
      </c>
      <c r="M322" t="s">
        <v>39</v>
      </c>
      <c r="N322" t="s">
        <v>37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 s="138"/>
      <c r="AE322">
        <v>0</v>
      </c>
      <c r="AF322" s="138">
        <f>+Purchase[[#This Row],[IGST Total]]+Purchase[[#This Row],[CGST Total]]+Purchase[[#This Row],[SGST Total]]</f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 s="138">
        <f>+Purchase[[#This Row],[IGST RCM Total]]+Purchase[[#This Row],[CGST RCM Total]]+Purchase[[#This Row],[SGST RCM Total]]</f>
        <v>0</v>
      </c>
      <c r="AP322" t="s">
        <v>175</v>
      </c>
    </row>
    <row r="323" spans="1:42" hidden="1" x14ac:dyDescent="0.25">
      <c r="A323" s="138" t="s">
        <v>38</v>
      </c>
      <c r="B323" t="s">
        <v>45</v>
      </c>
      <c r="C323" t="s">
        <v>230</v>
      </c>
      <c r="D323" s="150">
        <v>121</v>
      </c>
      <c r="E323" t="s">
        <v>201</v>
      </c>
      <c r="F323" t="s">
        <v>202</v>
      </c>
      <c r="G323" t="s">
        <v>753</v>
      </c>
      <c r="H323" s="150">
        <v>32900</v>
      </c>
      <c r="I323" s="139" t="s">
        <v>46</v>
      </c>
      <c r="J323">
        <v>9369.2000000000007</v>
      </c>
      <c r="K323">
        <v>1429.2</v>
      </c>
      <c r="L323">
        <v>7940</v>
      </c>
      <c r="M323" t="s">
        <v>39</v>
      </c>
      <c r="N323" t="s">
        <v>385</v>
      </c>
      <c r="O323">
        <v>0</v>
      </c>
      <c r="P323">
        <v>0</v>
      </c>
      <c r="Q323">
        <v>0</v>
      </c>
      <c r="R323">
        <v>0</v>
      </c>
      <c r="S323">
        <v>714.6</v>
      </c>
      <c r="T323">
        <v>714.6</v>
      </c>
      <c r="U323">
        <v>0</v>
      </c>
      <c r="V323">
        <v>0</v>
      </c>
      <c r="W323">
        <v>0</v>
      </c>
      <c r="X323">
        <v>0</v>
      </c>
      <c r="Y323">
        <v>714.6</v>
      </c>
      <c r="Z323">
        <v>714.6</v>
      </c>
      <c r="AA323">
        <v>0</v>
      </c>
      <c r="AB323">
        <v>0</v>
      </c>
      <c r="AC323">
        <v>0</v>
      </c>
      <c r="AD323" s="138"/>
      <c r="AE323">
        <v>0</v>
      </c>
      <c r="AF323" s="138">
        <f>+Purchase[[#This Row],[IGST Total]]+Purchase[[#This Row],[CGST Total]]+Purchase[[#This Row],[SGST Total]]</f>
        <v>1429.2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 s="138">
        <f>+Purchase[[#This Row],[IGST RCM Total]]+Purchase[[#This Row],[CGST RCM Total]]+Purchase[[#This Row],[SGST RCM Total]]</f>
        <v>0</v>
      </c>
      <c r="AP323" t="s">
        <v>175</v>
      </c>
    </row>
    <row r="324" spans="1:42" hidden="1" x14ac:dyDescent="0.25">
      <c r="A324" s="138" t="s">
        <v>38</v>
      </c>
      <c r="B324" t="s">
        <v>45</v>
      </c>
      <c r="C324" t="s">
        <v>231</v>
      </c>
      <c r="D324" s="150">
        <v>121</v>
      </c>
      <c r="E324" t="s">
        <v>201</v>
      </c>
      <c r="F324" t="s">
        <v>202</v>
      </c>
      <c r="G324" t="s">
        <v>754</v>
      </c>
      <c r="H324" s="150">
        <v>32894</v>
      </c>
      <c r="I324" s="139" t="s">
        <v>46</v>
      </c>
      <c r="J324">
        <v>37217.199999999997</v>
      </c>
      <c r="K324">
        <v>5677.2</v>
      </c>
      <c r="L324">
        <v>31540</v>
      </c>
      <c r="M324" t="s">
        <v>39</v>
      </c>
      <c r="N324" t="s">
        <v>385</v>
      </c>
      <c r="O324">
        <v>0</v>
      </c>
      <c r="P324">
        <v>0</v>
      </c>
      <c r="Q324">
        <v>0</v>
      </c>
      <c r="R324">
        <v>0</v>
      </c>
      <c r="S324">
        <v>2838.6</v>
      </c>
      <c r="T324">
        <v>2838.6</v>
      </c>
      <c r="U324">
        <v>0</v>
      </c>
      <c r="V324">
        <v>0</v>
      </c>
      <c r="W324">
        <v>0</v>
      </c>
      <c r="X324">
        <v>0</v>
      </c>
      <c r="Y324">
        <v>2838.6</v>
      </c>
      <c r="Z324">
        <v>2838.6</v>
      </c>
      <c r="AA324">
        <v>0</v>
      </c>
      <c r="AB324">
        <v>0</v>
      </c>
      <c r="AC324">
        <v>0</v>
      </c>
      <c r="AD324" s="138"/>
      <c r="AE324">
        <v>0</v>
      </c>
      <c r="AF324" s="138">
        <f>+Purchase[[#This Row],[IGST Total]]+Purchase[[#This Row],[CGST Total]]+Purchase[[#This Row],[SGST Total]]</f>
        <v>5677.2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 s="138">
        <f>+Purchase[[#This Row],[IGST RCM Total]]+Purchase[[#This Row],[CGST RCM Total]]+Purchase[[#This Row],[SGST RCM Total]]</f>
        <v>0</v>
      </c>
      <c r="AP324" t="s">
        <v>175</v>
      </c>
    </row>
    <row r="325" spans="1:42" hidden="1" x14ac:dyDescent="0.25">
      <c r="A325" s="138" t="s">
        <v>38</v>
      </c>
      <c r="B325" t="s">
        <v>45</v>
      </c>
      <c r="C325" t="s">
        <v>232</v>
      </c>
      <c r="D325" s="150">
        <v>121</v>
      </c>
      <c r="E325" t="s">
        <v>201</v>
      </c>
      <c r="F325" t="s">
        <v>202</v>
      </c>
      <c r="G325" t="s">
        <v>195</v>
      </c>
      <c r="H325" s="150">
        <v>32895</v>
      </c>
      <c r="I325" s="139" t="s">
        <v>46</v>
      </c>
      <c r="J325">
        <v>69552</v>
      </c>
      <c r="K325">
        <v>7452</v>
      </c>
      <c r="L325">
        <v>62100</v>
      </c>
      <c r="M325" t="s">
        <v>39</v>
      </c>
      <c r="N325" t="s">
        <v>385</v>
      </c>
      <c r="O325">
        <v>0</v>
      </c>
      <c r="P325">
        <v>0</v>
      </c>
      <c r="Q325">
        <v>0</v>
      </c>
      <c r="R325">
        <v>3726</v>
      </c>
      <c r="S325">
        <v>0</v>
      </c>
      <c r="T325">
        <v>3726</v>
      </c>
      <c r="U325">
        <v>0</v>
      </c>
      <c r="V325">
        <v>0</v>
      </c>
      <c r="W325">
        <v>0</v>
      </c>
      <c r="X325">
        <v>3726</v>
      </c>
      <c r="Y325">
        <v>0</v>
      </c>
      <c r="Z325">
        <v>3726</v>
      </c>
      <c r="AA325">
        <v>0</v>
      </c>
      <c r="AB325">
        <v>0</v>
      </c>
      <c r="AC325">
        <v>0</v>
      </c>
      <c r="AD325" s="138"/>
      <c r="AE325">
        <v>0</v>
      </c>
      <c r="AF325" s="138">
        <f>+Purchase[[#This Row],[IGST Total]]+Purchase[[#This Row],[CGST Total]]+Purchase[[#This Row],[SGST Total]]</f>
        <v>7452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 s="138">
        <f>+Purchase[[#This Row],[IGST RCM Total]]+Purchase[[#This Row],[CGST RCM Total]]+Purchase[[#This Row],[SGST RCM Total]]</f>
        <v>0</v>
      </c>
      <c r="AP325" t="s">
        <v>175</v>
      </c>
    </row>
    <row r="326" spans="1:42" hidden="1" x14ac:dyDescent="0.25">
      <c r="A326" s="138" t="s">
        <v>38</v>
      </c>
      <c r="B326" t="s">
        <v>45</v>
      </c>
      <c r="C326" t="s">
        <v>233</v>
      </c>
      <c r="D326" s="150">
        <v>121</v>
      </c>
      <c r="E326" t="s">
        <v>201</v>
      </c>
      <c r="F326" t="s">
        <v>202</v>
      </c>
      <c r="G326" t="s">
        <v>198</v>
      </c>
      <c r="H326" s="150">
        <v>32895</v>
      </c>
      <c r="I326" s="139" t="s">
        <v>46</v>
      </c>
      <c r="J326">
        <v>69552</v>
      </c>
      <c r="K326">
        <v>7452</v>
      </c>
      <c r="L326">
        <v>62100</v>
      </c>
      <c r="M326" t="s">
        <v>39</v>
      </c>
      <c r="N326" t="s">
        <v>385</v>
      </c>
      <c r="O326">
        <v>0</v>
      </c>
      <c r="P326">
        <v>0</v>
      </c>
      <c r="Q326">
        <v>0</v>
      </c>
      <c r="R326">
        <v>3726</v>
      </c>
      <c r="S326">
        <v>0</v>
      </c>
      <c r="T326">
        <v>3726</v>
      </c>
      <c r="U326">
        <v>0</v>
      </c>
      <c r="V326">
        <v>0</v>
      </c>
      <c r="W326">
        <v>0</v>
      </c>
      <c r="X326">
        <v>3726</v>
      </c>
      <c r="Y326">
        <v>0</v>
      </c>
      <c r="Z326">
        <v>3726</v>
      </c>
      <c r="AA326">
        <v>0</v>
      </c>
      <c r="AB326">
        <v>0</v>
      </c>
      <c r="AC326">
        <v>0</v>
      </c>
      <c r="AD326" s="138"/>
      <c r="AE326">
        <v>0</v>
      </c>
      <c r="AF326" s="138">
        <f>+Purchase[[#This Row],[IGST Total]]+Purchase[[#This Row],[CGST Total]]+Purchase[[#This Row],[SGST Total]]</f>
        <v>7452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 s="138">
        <f>+Purchase[[#This Row],[IGST RCM Total]]+Purchase[[#This Row],[CGST RCM Total]]+Purchase[[#This Row],[SGST RCM Total]]</f>
        <v>0</v>
      </c>
      <c r="AP326" t="s">
        <v>175</v>
      </c>
    </row>
    <row r="327" spans="1:42" hidden="1" x14ac:dyDescent="0.25">
      <c r="A327" s="138" t="s">
        <v>38</v>
      </c>
      <c r="B327" t="s">
        <v>45</v>
      </c>
      <c r="C327" t="s">
        <v>234</v>
      </c>
      <c r="D327" s="150">
        <v>121</v>
      </c>
      <c r="E327" t="s">
        <v>201</v>
      </c>
      <c r="F327" t="s">
        <v>202</v>
      </c>
      <c r="G327" t="s">
        <v>259</v>
      </c>
      <c r="H327" s="150">
        <v>32888</v>
      </c>
      <c r="I327" s="139" t="s">
        <v>46</v>
      </c>
      <c r="J327">
        <v>69496</v>
      </c>
      <c r="K327">
        <v>7446</v>
      </c>
      <c r="L327">
        <v>62050</v>
      </c>
      <c r="M327" t="s">
        <v>39</v>
      </c>
      <c r="N327" t="s">
        <v>385</v>
      </c>
      <c r="O327">
        <v>0</v>
      </c>
      <c r="P327">
        <v>0</v>
      </c>
      <c r="Q327">
        <v>0</v>
      </c>
      <c r="R327">
        <v>3723</v>
      </c>
      <c r="S327">
        <v>0</v>
      </c>
      <c r="T327">
        <v>3723</v>
      </c>
      <c r="U327">
        <v>0</v>
      </c>
      <c r="V327">
        <v>0</v>
      </c>
      <c r="W327">
        <v>0</v>
      </c>
      <c r="X327">
        <v>3723</v>
      </c>
      <c r="Y327">
        <v>0</v>
      </c>
      <c r="Z327">
        <v>3723</v>
      </c>
      <c r="AA327">
        <v>0</v>
      </c>
      <c r="AB327">
        <v>0</v>
      </c>
      <c r="AC327">
        <v>0</v>
      </c>
      <c r="AD327" s="138"/>
      <c r="AE327">
        <v>0</v>
      </c>
      <c r="AF327" s="138">
        <f>+Purchase[[#This Row],[IGST Total]]+Purchase[[#This Row],[CGST Total]]+Purchase[[#This Row],[SGST Total]]</f>
        <v>7446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 s="138">
        <f>+Purchase[[#This Row],[IGST RCM Total]]+Purchase[[#This Row],[CGST RCM Total]]+Purchase[[#This Row],[SGST RCM Total]]</f>
        <v>0</v>
      </c>
      <c r="AP327" t="s">
        <v>175</v>
      </c>
    </row>
    <row r="328" spans="1:42" hidden="1" x14ac:dyDescent="0.25">
      <c r="A328" s="138" t="s">
        <v>38</v>
      </c>
      <c r="B328" t="s">
        <v>45</v>
      </c>
      <c r="C328" t="s">
        <v>240</v>
      </c>
      <c r="D328" s="150">
        <v>121</v>
      </c>
      <c r="E328" t="s">
        <v>201</v>
      </c>
      <c r="F328" t="s">
        <v>202</v>
      </c>
      <c r="G328" t="s">
        <v>758</v>
      </c>
      <c r="H328" s="150">
        <v>32888</v>
      </c>
      <c r="I328" s="139" t="s">
        <v>46</v>
      </c>
      <c r="J328">
        <v>69496</v>
      </c>
      <c r="K328">
        <v>7446</v>
      </c>
      <c r="L328">
        <v>62050</v>
      </c>
      <c r="M328" t="s">
        <v>39</v>
      </c>
      <c r="N328" t="s">
        <v>385</v>
      </c>
      <c r="O328">
        <v>0</v>
      </c>
      <c r="P328">
        <v>0</v>
      </c>
      <c r="Q328">
        <v>0</v>
      </c>
      <c r="R328">
        <v>3723</v>
      </c>
      <c r="S328">
        <v>0</v>
      </c>
      <c r="T328">
        <v>3723</v>
      </c>
      <c r="U328">
        <v>0</v>
      </c>
      <c r="V328">
        <v>0</v>
      </c>
      <c r="W328">
        <v>0</v>
      </c>
      <c r="X328">
        <v>3723</v>
      </c>
      <c r="Y328">
        <v>0</v>
      </c>
      <c r="Z328">
        <v>3723</v>
      </c>
      <c r="AA328">
        <v>0</v>
      </c>
      <c r="AB328">
        <v>0</v>
      </c>
      <c r="AC328">
        <v>0</v>
      </c>
      <c r="AD328" s="138"/>
      <c r="AE328">
        <v>0</v>
      </c>
      <c r="AF328" s="138">
        <f>+Purchase[[#This Row],[IGST Total]]+Purchase[[#This Row],[CGST Total]]+Purchase[[#This Row],[SGST Total]]</f>
        <v>7446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 s="138">
        <f>+Purchase[[#This Row],[IGST RCM Total]]+Purchase[[#This Row],[CGST RCM Total]]+Purchase[[#This Row],[SGST RCM Total]]</f>
        <v>0</v>
      </c>
      <c r="AP328" t="s">
        <v>175</v>
      </c>
    </row>
    <row r="329" spans="1:42" hidden="1" x14ac:dyDescent="0.25">
      <c r="A329" s="138" t="s">
        <v>38</v>
      </c>
      <c r="B329" t="s">
        <v>45</v>
      </c>
      <c r="C329" t="s">
        <v>235</v>
      </c>
      <c r="D329" s="150">
        <v>121</v>
      </c>
      <c r="E329" t="s">
        <v>201</v>
      </c>
      <c r="F329" t="s">
        <v>202</v>
      </c>
      <c r="G329" t="s">
        <v>498</v>
      </c>
      <c r="H329" s="150">
        <v>32884</v>
      </c>
      <c r="I329" s="139" t="s">
        <v>46</v>
      </c>
      <c r="J329">
        <v>2856</v>
      </c>
      <c r="K329">
        <v>306</v>
      </c>
      <c r="L329">
        <v>2550</v>
      </c>
      <c r="M329" t="s">
        <v>39</v>
      </c>
      <c r="N329" t="s">
        <v>764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306</v>
      </c>
      <c r="AC329">
        <v>0</v>
      </c>
      <c r="AD329" s="138"/>
      <c r="AE329">
        <v>306</v>
      </c>
      <c r="AF329" s="138">
        <f>+Purchase[[#This Row],[IGST Total]]+Purchase[[#This Row],[CGST Total]]+Purchase[[#This Row],[SGST Total]]</f>
        <v>306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 s="138">
        <f>+Purchase[[#This Row],[IGST RCM Total]]+Purchase[[#This Row],[CGST RCM Total]]+Purchase[[#This Row],[SGST RCM Total]]</f>
        <v>0</v>
      </c>
      <c r="AP329" t="s">
        <v>176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Mis!J765:J768</xm:f>
          </x14:formula1>
          <xm:sqref>AP310:AP316 AP319 AP323:AP329</xm:sqref>
        </x14:dataValidation>
        <x14:dataValidation type="list" allowBlank="1" showInputMessage="1" showErrorMessage="1">
          <x14:formula1>
            <xm:f>Mis!J576:J579</xm:f>
          </x14:formula1>
          <xm:sqref>AP127:AP144 AP146:AP307</xm:sqref>
        </x14:dataValidation>
        <x14:dataValidation type="list" allowBlank="1" showInputMessage="1" showErrorMessage="1">
          <x14:formula1>
            <xm:f>Mis!$G$1:$G$8</xm:f>
          </x14:formula1>
          <xm:sqref>I2:I329</xm:sqref>
        </x14:dataValidation>
        <x14:dataValidation type="list" allowBlank="1" showInputMessage="1" showErrorMessage="1">
          <x14:formula1>
            <xm:f>Mis!J449:J452</xm:f>
          </x14:formula1>
          <xm:sqref>AP2:AP11 AP13:AP59 AP61:AP97 AP99:AP126</xm:sqref>
        </x14:dataValidation>
        <x14:dataValidation type="list" allowBlank="1" showInputMessage="1" showErrorMessage="1">
          <x14:formula1>
            <xm:f>Mis!J1:J4</xm:f>
          </x14:formula1>
          <xm:sqref>AP12 AP60 AP98 AP145 AP308:AP309 AP317:AP318 AP320:AP322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mp"/>
  <dimension ref="A1"/>
  <sheetViews>
    <sheetView workbookViewId="0">
      <selection sqref="A1:XFD1048576"/>
    </sheetView>
  </sheetViews>
  <sheetFormatPr defaultRowHeight="15" x14ac:dyDescent="0.25"/>
  <cols>
    <col min="1" max="1" width="4.7109375" customWidth="1"/>
    <col min="2" max="2" width="39.28515625" bestFit="1" customWidth="1"/>
    <col min="3" max="3" width="9.85546875" bestFit="1" customWidth="1"/>
    <col min="4" max="4" width="9" customWidth="1"/>
    <col min="5" max="5" width="9.7109375" bestFit="1" customWidth="1"/>
    <col min="6" max="6" width="10.42578125" bestFit="1" customWidth="1"/>
    <col min="7" max="7" width="9.140625" bestFit="1" customWidth="1"/>
    <col min="8" max="8" width="55.5703125" bestFit="1" customWidth="1"/>
    <col min="9" max="9" width="18.42578125" bestFit="1" customWidth="1"/>
    <col min="10" max="10" width="10.42578125" bestFit="1" customWidth="1"/>
    <col min="11" max="11" width="8.85546875" bestFit="1" customWidth="1"/>
    <col min="12" max="12" width="7.5703125" customWidth="1"/>
    <col min="13" max="13" width="12.140625" bestFit="1" customWidth="1"/>
    <col min="14" max="14" width="12.28515625" bestFit="1" customWidth="1"/>
    <col min="15" max="15" width="11" bestFit="1" customWidth="1"/>
    <col min="16" max="16" width="15.28515625" bestFit="1" customWidth="1"/>
    <col min="17" max="17" width="15.7109375" bestFit="1" customWidth="1"/>
    <col min="18" max="18" width="13.7109375" customWidth="1"/>
    <col min="19" max="19" width="14.140625" customWidth="1"/>
    <col min="20" max="20" width="11" bestFit="1" customWidth="1"/>
    <col min="21" max="21" width="7" customWidth="1"/>
    <col min="22" max="22" width="10" bestFit="1" customWidth="1"/>
    <col min="23" max="23" width="14" customWidth="1"/>
    <col min="24" max="24" width="12" bestFit="1" customWidth="1"/>
    <col min="25" max="25" width="13.5703125" customWidth="1"/>
    <col min="26" max="26" width="8" bestFit="1" customWidth="1"/>
    <col min="27" max="27" width="9.85546875" bestFit="1" customWidth="1"/>
    <col min="28" max="28" width="12.7109375" bestFit="1" customWidth="1"/>
    <col min="29" max="29" width="7.28515625" customWidth="1"/>
    <col min="30" max="30" width="9.140625" bestFit="1" customWidth="1"/>
    <col min="31" max="32" width="14.42578125" bestFit="1" customWidth="1"/>
    <col min="33" max="33" width="7" customWidth="1"/>
    <col min="34" max="34" width="22.140625" bestFit="1" customWidth="1"/>
    <col min="35" max="35" width="19.140625" bestFit="1" customWidth="1"/>
    <col min="36" max="36" width="14.5703125" bestFit="1" customWidth="1"/>
    <col min="37" max="37" width="9.42578125" bestFit="1" customWidth="1"/>
    <col min="38" max="38" width="9" bestFit="1" customWidth="1"/>
    <col min="39" max="39" width="6.42578125" bestFit="1" customWidth="1"/>
    <col min="40" max="40" width="7" bestFit="1" customWidth="1"/>
    <col min="41" max="41" width="10" bestFit="1" customWidth="1"/>
    <col min="42" max="43" width="7" bestFit="1" customWidth="1"/>
    <col min="44" max="44" width="5.85546875" bestFit="1" customWidth="1"/>
    <col min="45" max="45" width="6.85546875" bestFit="1" customWidth="1"/>
    <col min="46" max="46" width="9" bestFit="1" customWidth="1"/>
    <col min="47" max="47" width="9.140625" bestFit="1" customWidth="1"/>
    <col min="48" max="48" width="7.28515625" bestFit="1" customWidth="1"/>
    <col min="49" max="49" width="7.85546875" bestFit="1" customWidth="1"/>
    <col min="50" max="50" width="9" bestFit="1" customWidth="1"/>
    <col min="51" max="51" width="7.42578125" bestFit="1" customWidth="1"/>
    <col min="52" max="53" width="9" bestFit="1" customWidth="1"/>
    <col min="54" max="54" width="6.28515625" bestFit="1" customWidth="1"/>
    <col min="55" max="55" width="8" bestFit="1" customWidth="1"/>
    <col min="56" max="56" width="10" bestFit="1" customWidth="1"/>
    <col min="57" max="57" width="10.28515625" bestFit="1" customWidth="1"/>
    <col min="58" max="58" width="10.140625" bestFit="1" customWidth="1"/>
    <col min="59" max="59" width="14.28515625" bestFit="1" customWidth="1"/>
    <col min="60" max="60" width="14.85546875" bestFit="1" customWidth="1"/>
    <col min="61" max="61" width="14.7109375" bestFit="1" customWidth="1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isc"/>
  <dimension ref="A1:J8"/>
  <sheetViews>
    <sheetView workbookViewId="0">
      <selection activeCell="E1" sqref="E1"/>
    </sheetView>
  </sheetViews>
  <sheetFormatPr defaultRowHeight="15" x14ac:dyDescent="0.25"/>
  <sheetData>
    <row r="1" spans="1:10" x14ac:dyDescent="0.25">
      <c r="A1" t="s">
        <v>164</v>
      </c>
      <c r="B1" t="s">
        <v>167</v>
      </c>
      <c r="G1" t="s">
        <v>172</v>
      </c>
      <c r="J1" t="s">
        <v>175</v>
      </c>
    </row>
    <row r="2" spans="1:10" x14ac:dyDescent="0.25">
      <c r="G2" t="s">
        <v>48</v>
      </c>
      <c r="J2" t="s">
        <v>176</v>
      </c>
    </row>
    <row r="3" spans="1:10" x14ac:dyDescent="0.25">
      <c r="G3" t="s">
        <v>50</v>
      </c>
      <c r="J3" t="s">
        <v>8</v>
      </c>
    </row>
    <row r="4" spans="1:10" x14ac:dyDescent="0.25">
      <c r="A4" t="s">
        <v>165</v>
      </c>
      <c r="B4" t="s">
        <v>166</v>
      </c>
      <c r="G4" t="s">
        <v>49</v>
      </c>
      <c r="J4" t="s">
        <v>177</v>
      </c>
    </row>
    <row r="5" spans="1:10" x14ac:dyDescent="0.25">
      <c r="G5" t="s">
        <v>46</v>
      </c>
    </row>
    <row r="6" spans="1:10" x14ac:dyDescent="0.25">
      <c r="G6" t="s">
        <v>12</v>
      </c>
    </row>
    <row r="7" spans="1:10" x14ac:dyDescent="0.25">
      <c r="G7" t="s">
        <v>8</v>
      </c>
    </row>
    <row r="8" spans="1:10" x14ac:dyDescent="0.25">
      <c r="G8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FORM GSTR-3B </vt:lpstr>
      <vt:lpstr>Working</vt:lpstr>
      <vt:lpstr>Mylist</vt:lpstr>
      <vt:lpstr>Print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Vishal Sharma</cp:lastModifiedBy>
  <cp:lastPrinted>2022-01-17T06:32:41Z</cp:lastPrinted>
  <dcterms:created xsi:type="dcterms:W3CDTF">2021-01-12T06:31:47Z</dcterms:created>
  <dcterms:modified xsi:type="dcterms:W3CDTF">2022-05-17T17:45:19Z</dcterms:modified>
</cp:coreProperties>
</file>