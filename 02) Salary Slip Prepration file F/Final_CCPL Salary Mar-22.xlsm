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shal Sharma\Desktop\New folder (8)\02) Salary Slip Prepration file F\"/>
    </mc:Choice>
  </mc:AlternateContent>
  <bookViews>
    <workbookView xWindow="0" yWindow="0" windowWidth="20490" windowHeight="7755" tabRatio="528" activeTab="1"/>
  </bookViews>
  <sheets>
    <sheet name="Salary Mar-22" sheetId="53" r:id="rId1"/>
    <sheet name="Payslip 25B" sheetId="17" r:id="rId2"/>
  </sheets>
  <definedNames>
    <definedName name="_xlnm._FilterDatabase" localSheetId="1" hidden="1">'Payslip 25B'!$B$1:$B$27</definedName>
    <definedName name="_xlnm._FilterDatabase" localSheetId="0" hidden="1">'Salary Mar-22'!$A$3:$AQ$32</definedName>
    <definedName name="Excel_BuiltIn__FilterDatabase_1" localSheetId="0">#REF!</definedName>
    <definedName name="Excel_BuiltIn__FilterDatabase_1">#REF!</definedName>
    <definedName name="_xlnm.Print_Area" localSheetId="1">'Payslip 25B'!$A$1:$G$27</definedName>
    <definedName name="_xlnm.Print_Titles" localSheetId="0">'Salary Mar-22'!$3:$3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" i="53" l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21" i="53"/>
  <c r="R14" i="53" l="1"/>
  <c r="R30" i="53"/>
  <c r="R27" i="53"/>
  <c r="R26" i="53"/>
  <c r="R23" i="53"/>
  <c r="R10" i="53"/>
  <c r="R8" i="53"/>
  <c r="R7" i="53"/>
  <c r="R12" i="53"/>
  <c r="R20" i="53"/>
  <c r="R13" i="53"/>
  <c r="R29" i="53"/>
  <c r="R28" i="53"/>
  <c r="R25" i="53"/>
  <c r="R24" i="53"/>
  <c r="R22" i="53"/>
  <c r="R21" i="53"/>
  <c r="R9" i="53"/>
  <c r="R6" i="53"/>
  <c r="R5" i="53"/>
  <c r="R31" i="53"/>
  <c r="R19" i="53"/>
  <c r="R18" i="53"/>
  <c r="R17" i="53"/>
  <c r="R11" i="53"/>
  <c r="R32" i="53"/>
  <c r="R16" i="53"/>
  <c r="R15" i="53"/>
  <c r="Y5" i="53" l="1"/>
  <c r="Y6" i="53"/>
  <c r="Y7" i="53"/>
  <c r="Y8" i="53"/>
  <c r="Y9" i="53"/>
  <c r="Y10" i="53"/>
  <c r="Y11" i="53"/>
  <c r="Y12" i="53"/>
  <c r="Y13" i="53"/>
  <c r="Y14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AH7" i="53"/>
  <c r="AH11" i="53"/>
  <c r="AH12" i="53"/>
  <c r="AH18" i="53"/>
  <c r="AH19" i="53"/>
  <c r="AH20" i="53"/>
  <c r="AH22" i="53"/>
  <c r="AH26" i="53"/>
  <c r="AH30" i="53"/>
  <c r="AC28" i="53" l="1"/>
  <c r="Z28" i="53"/>
  <c r="AD28" i="53"/>
  <c r="AB28" i="53"/>
  <c r="AE28" i="53"/>
  <c r="AA28" i="53"/>
  <c r="AA29" i="53"/>
  <c r="AE29" i="53"/>
  <c r="AB29" i="53"/>
  <c r="AD29" i="53"/>
  <c r="Z29" i="53"/>
  <c r="AC29" i="53"/>
  <c r="AA25" i="53"/>
  <c r="AE25" i="53"/>
  <c r="AB25" i="53"/>
  <c r="AD25" i="53"/>
  <c r="Z25" i="53"/>
  <c r="AC25" i="53"/>
  <c r="AB21" i="53"/>
  <c r="AC21" i="53"/>
  <c r="AE21" i="53"/>
  <c r="AA21" i="53"/>
  <c r="Z21" i="53"/>
  <c r="AD21" i="53"/>
  <c r="AB18" i="53"/>
  <c r="AC18" i="53"/>
  <c r="AE18" i="53"/>
  <c r="AA18" i="53"/>
  <c r="Z18" i="53"/>
  <c r="AD18" i="53"/>
  <c r="AB14" i="53"/>
  <c r="AC14" i="53"/>
  <c r="AE14" i="53"/>
  <c r="AA14" i="53"/>
  <c r="Z14" i="53"/>
  <c r="AD14" i="53"/>
  <c r="AC10" i="53"/>
  <c r="Z10" i="53"/>
  <c r="AD10" i="53"/>
  <c r="AB10" i="53"/>
  <c r="AA10" i="53"/>
  <c r="AE10" i="53"/>
  <c r="Z6" i="53"/>
  <c r="AD6" i="53"/>
  <c r="AA6" i="53"/>
  <c r="AE6" i="53"/>
  <c r="AC6" i="53"/>
  <c r="AB6" i="53"/>
  <c r="AC31" i="53"/>
  <c r="Z31" i="53"/>
  <c r="AD31" i="53"/>
  <c r="AB31" i="53"/>
  <c r="AE31" i="53"/>
  <c r="AA31" i="53"/>
  <c r="AA13" i="53"/>
  <c r="AE13" i="53"/>
  <c r="AB13" i="53"/>
  <c r="AD13" i="53"/>
  <c r="Z13" i="53"/>
  <c r="AC13" i="53"/>
  <c r="AC5" i="53"/>
  <c r="Z5" i="53"/>
  <c r="AD5" i="53"/>
  <c r="AB5" i="53"/>
  <c r="AA5" i="53"/>
  <c r="AE5" i="53"/>
  <c r="AA30" i="53"/>
  <c r="AE30" i="53"/>
  <c r="AB30" i="53"/>
  <c r="Z30" i="53"/>
  <c r="AD30" i="53"/>
  <c r="AC30" i="53"/>
  <c r="AA27" i="53"/>
  <c r="AE27" i="53"/>
  <c r="AB27" i="53"/>
  <c r="Z27" i="53"/>
  <c r="AC27" i="53"/>
  <c r="AD27" i="53"/>
  <c r="AB23" i="53"/>
  <c r="AC23" i="53"/>
  <c r="AA23" i="53"/>
  <c r="AE23" i="53"/>
  <c r="AD23" i="53"/>
  <c r="Z23" i="53"/>
  <c r="AB20" i="53"/>
  <c r="AC20" i="53"/>
  <c r="AA20" i="53"/>
  <c r="AE20" i="53"/>
  <c r="AD20" i="53"/>
  <c r="Z20" i="53"/>
  <c r="AB16" i="53"/>
  <c r="AC16" i="53"/>
  <c r="AA16" i="53"/>
  <c r="AE16" i="53"/>
  <c r="AD16" i="53"/>
  <c r="Z16" i="53"/>
  <c r="AC12" i="53"/>
  <c r="Z12" i="53"/>
  <c r="AD12" i="53"/>
  <c r="AB12" i="53"/>
  <c r="AE12" i="53"/>
  <c r="AA12" i="53"/>
  <c r="Z8" i="53"/>
  <c r="AD8" i="53"/>
  <c r="AA8" i="53"/>
  <c r="AE8" i="53"/>
  <c r="AC8" i="53"/>
  <c r="AB8" i="53"/>
  <c r="Z24" i="53"/>
  <c r="AD24" i="53"/>
  <c r="AA24" i="53"/>
  <c r="AE24" i="53"/>
  <c r="AC24" i="53"/>
  <c r="AB24" i="53"/>
  <c r="Z17" i="53"/>
  <c r="AD17" i="53"/>
  <c r="AA17" i="53"/>
  <c r="AE17" i="53"/>
  <c r="AC17" i="53"/>
  <c r="AB17" i="53"/>
  <c r="AB9" i="53"/>
  <c r="AC9" i="53"/>
  <c r="AE9" i="53"/>
  <c r="AA9" i="53"/>
  <c r="Z9" i="53"/>
  <c r="AD9" i="53"/>
  <c r="AB32" i="53"/>
  <c r="AC32" i="53"/>
  <c r="AE32" i="53"/>
  <c r="Z32" i="53"/>
  <c r="AD32" i="53"/>
  <c r="AC26" i="53"/>
  <c r="Z26" i="53"/>
  <c r="AD26" i="53"/>
  <c r="AB26" i="53"/>
  <c r="AA26" i="53"/>
  <c r="AE26" i="53"/>
  <c r="Z22" i="53"/>
  <c r="AD22" i="53"/>
  <c r="AA22" i="53"/>
  <c r="AE22" i="53"/>
  <c r="AB22" i="53"/>
  <c r="AC22" i="53"/>
  <c r="Z19" i="53"/>
  <c r="AG19" i="53" s="1"/>
  <c r="AK19" i="53" s="1"/>
  <c r="AD19" i="53"/>
  <c r="AA19" i="53"/>
  <c r="AE19" i="53"/>
  <c r="AB19" i="53"/>
  <c r="AC19" i="53"/>
  <c r="Z15" i="53"/>
  <c r="AD15" i="53"/>
  <c r="AA15" i="53"/>
  <c r="AE15" i="53"/>
  <c r="AB15" i="53"/>
  <c r="AC15" i="53"/>
  <c r="AA11" i="53"/>
  <c r="AE11" i="53"/>
  <c r="AB11" i="53"/>
  <c r="Z11" i="53"/>
  <c r="AD11" i="53"/>
  <c r="AC11" i="53"/>
  <c r="AB7" i="53"/>
  <c r="AC7" i="53"/>
  <c r="AA7" i="53"/>
  <c r="AE7" i="53"/>
  <c r="AD7" i="53"/>
  <c r="Z7" i="53"/>
  <c r="T32" i="53"/>
  <c r="Y32" i="53" s="1"/>
  <c r="AA32" i="53" l="1"/>
  <c r="AF32" i="53" s="1"/>
  <c r="AF15" i="53"/>
  <c r="AF22" i="53"/>
  <c r="AF8" i="53"/>
  <c r="AF20" i="53"/>
  <c r="AF6" i="53"/>
  <c r="AF30" i="53"/>
  <c r="AF7" i="53"/>
  <c r="AF11" i="53"/>
  <c r="AF17" i="53"/>
  <c r="AF5" i="53"/>
  <c r="AF31" i="53"/>
  <c r="AF14" i="53"/>
  <c r="AF21" i="53"/>
  <c r="AF29" i="53"/>
  <c r="AF26" i="53"/>
  <c r="AF12" i="53"/>
  <c r="AF18" i="53"/>
  <c r="AF25" i="53"/>
  <c r="AF28" i="53"/>
  <c r="AF19" i="53"/>
  <c r="AL19" i="53" s="1"/>
  <c r="AF9" i="53"/>
  <c r="AF24" i="53"/>
  <c r="AF16" i="53"/>
  <c r="AF23" i="53"/>
  <c r="AF27" i="53"/>
  <c r="AF13" i="53"/>
  <c r="AF10" i="53"/>
  <c r="AH8" i="53"/>
  <c r="AH16" i="53"/>
  <c r="AH23" i="53"/>
  <c r="AG32" i="53"/>
  <c r="AG8" i="53"/>
  <c r="AG16" i="53"/>
  <c r="AG20" i="53"/>
  <c r="AK20" i="53" s="1"/>
  <c r="AG5" i="53"/>
  <c r="AH5" i="53"/>
  <c r="AH9" i="53"/>
  <c r="AH13" i="53"/>
  <c r="AH17" i="53"/>
  <c r="AG28" i="53"/>
  <c r="AH31" i="53"/>
  <c r="AG7" i="53"/>
  <c r="AK7" i="53" s="1"/>
  <c r="AG11" i="53"/>
  <c r="AK11" i="53" s="1"/>
  <c r="AG22" i="53"/>
  <c r="AK22" i="53" s="1"/>
  <c r="AG26" i="53"/>
  <c r="AK26" i="53" s="1"/>
  <c r="AG12" i="53"/>
  <c r="AK12" i="53" s="1"/>
  <c r="AH27" i="53"/>
  <c r="AG27" i="53"/>
  <c r="AG24" i="53"/>
  <c r="AH28" i="53"/>
  <c r="AH14" i="53"/>
  <c r="AG14" i="53"/>
  <c r="AG30" i="53"/>
  <c r="AK30" i="53" s="1"/>
  <c r="AH24" i="53"/>
  <c r="AG6" i="53"/>
  <c r="AH6" i="53"/>
  <c r="AG10" i="53"/>
  <c r="AH10" i="53"/>
  <c r="AG18" i="53"/>
  <c r="AK18" i="53" s="1"/>
  <c r="AH21" i="53"/>
  <c r="AG21" i="53"/>
  <c r="AH29" i="53"/>
  <c r="AG29" i="53"/>
  <c r="AG15" i="53"/>
  <c r="AH15" i="53"/>
  <c r="AG23" i="53"/>
  <c r="AG9" i="53"/>
  <c r="AG13" i="53"/>
  <c r="AG17" i="53"/>
  <c r="AG31" i="53"/>
  <c r="AK31" i="53" s="1"/>
  <c r="AH25" i="53"/>
  <c r="AG25" i="53"/>
  <c r="G32" i="53"/>
  <c r="AK9" i="53" l="1"/>
  <c r="AL9" i="53" s="1"/>
  <c r="AL11" i="53"/>
  <c r="AK13" i="53"/>
  <c r="AL13" i="53" s="1"/>
  <c r="AL7" i="53"/>
  <c r="AL26" i="53"/>
  <c r="AK8" i="53"/>
  <c r="AL8" i="53" s="1"/>
  <c r="AH32" i="53"/>
  <c r="AK32" i="53" s="1"/>
  <c r="AL32" i="53" s="1"/>
  <c r="AK16" i="53"/>
  <c r="AL16" i="53" s="1"/>
  <c r="AK29" i="53"/>
  <c r="AL29" i="53" s="1"/>
  <c r="AK25" i="53"/>
  <c r="AL25" i="53" s="1"/>
  <c r="AK27" i="53"/>
  <c r="AL27" i="53" s="1"/>
  <c r="AK5" i="53"/>
  <c r="AL5" i="53" s="1"/>
  <c r="AL20" i="53"/>
  <c r="AL31" i="53"/>
  <c r="AL22" i="53"/>
  <c r="AK6" i="53"/>
  <c r="AL6" i="53" s="1"/>
  <c r="AK24" i="53"/>
  <c r="AL24" i="53" s="1"/>
  <c r="AL12" i="53"/>
  <c r="AL30" i="53"/>
  <c r="AK17" i="53"/>
  <c r="AL17" i="53" s="1"/>
  <c r="AK14" i="53"/>
  <c r="AL14" i="53" s="1"/>
  <c r="AK28" i="53"/>
  <c r="AL28" i="53" s="1"/>
  <c r="AK23" i="53"/>
  <c r="AL23" i="53" s="1"/>
  <c r="AK15" i="53"/>
  <c r="AL15" i="53" s="1"/>
  <c r="AK21" i="53"/>
  <c r="AL21" i="53" s="1"/>
  <c r="AK10" i="53"/>
  <c r="AL10" i="53" s="1"/>
  <c r="AL18" i="53"/>
  <c r="A5" i="53"/>
  <c r="A6" i="53" s="1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B24" i="17" l="1"/>
  <c r="B23" i="17"/>
  <c r="B22" i="17"/>
  <c r="D19" i="17"/>
  <c r="D18" i="17"/>
  <c r="G17" i="17"/>
  <c r="D17" i="17"/>
  <c r="G16" i="17"/>
  <c r="D16" i="17"/>
  <c r="D15" i="17"/>
  <c r="D14" i="17"/>
  <c r="G7" i="17"/>
  <c r="G8" i="17"/>
  <c r="B9" i="17"/>
  <c r="B8" i="17"/>
  <c r="B6" i="17"/>
  <c r="G6" i="17"/>
  <c r="G31" i="53" l="1"/>
  <c r="G30" i="53"/>
  <c r="G29" i="53"/>
  <c r="G28" i="53"/>
  <c r="G27" i="53"/>
  <c r="G26" i="53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G11" i="53"/>
  <c r="G10" i="53"/>
  <c r="G9" i="53"/>
  <c r="G8" i="53"/>
  <c r="G7" i="53"/>
  <c r="G6" i="53"/>
  <c r="G5" i="53"/>
  <c r="AH4" i="53"/>
  <c r="Y4" i="53"/>
  <c r="G4" i="53"/>
  <c r="G3" i="53"/>
  <c r="D20" i="17" l="1"/>
  <c r="G15" i="17" l="1"/>
  <c r="B14" i="17" l="1"/>
  <c r="B17" i="17" l="1"/>
  <c r="B18" i="17" l="1"/>
  <c r="R4" i="53"/>
  <c r="B15" i="17"/>
  <c r="AD4" i="53" l="1"/>
  <c r="Z4" i="53"/>
  <c r="AC4" i="53"/>
  <c r="AB4" i="53"/>
  <c r="AE4" i="53"/>
  <c r="AA4" i="53"/>
  <c r="B16" i="17"/>
  <c r="B20" i="17" s="1"/>
  <c r="AF4" i="53" l="1"/>
  <c r="E19" i="17"/>
  <c r="E15" i="17"/>
  <c r="E14" i="17"/>
  <c r="AG4" i="53"/>
  <c r="E16" i="17"/>
  <c r="E18" i="17"/>
  <c r="E17" i="17"/>
  <c r="G14" i="17" l="1"/>
  <c r="G20" i="17" s="1"/>
  <c r="AK4" i="53"/>
  <c r="E20" i="17"/>
  <c r="F21" i="17" l="1"/>
  <c r="AL4" i="53"/>
  <c r="Y34" i="53" l="1"/>
</calcChain>
</file>

<file path=xl/sharedStrings.xml><?xml version="1.0" encoding="utf-8"?>
<sst xmlns="http://schemas.openxmlformats.org/spreadsheetml/2006/main" count="438" uniqueCount="221">
  <si>
    <t>DP</t>
  </si>
  <si>
    <t>P.H.</t>
  </si>
  <si>
    <t xml:space="preserve"> NPD</t>
  </si>
  <si>
    <t>Commercial</t>
  </si>
  <si>
    <t>Maintenance</t>
  </si>
  <si>
    <t>Production</t>
  </si>
  <si>
    <t>Quality</t>
  </si>
  <si>
    <t>Designation</t>
  </si>
  <si>
    <t>Operator</t>
  </si>
  <si>
    <t>LQC</t>
  </si>
  <si>
    <t>D.O.J</t>
  </si>
  <si>
    <t>Office Boy</t>
  </si>
  <si>
    <t>Electrician</t>
  </si>
  <si>
    <t>Manufacturing</t>
  </si>
  <si>
    <t>Fitter</t>
  </si>
  <si>
    <t>Driver</t>
  </si>
  <si>
    <t>Rate of Pay</t>
  </si>
  <si>
    <t>Earned</t>
  </si>
  <si>
    <t>Deductions</t>
  </si>
  <si>
    <t xml:space="preserve"> S.No</t>
  </si>
  <si>
    <t>Name</t>
  </si>
  <si>
    <t>Father's Name</t>
  </si>
  <si>
    <t>Department</t>
  </si>
  <si>
    <t>UAN No.</t>
  </si>
  <si>
    <t>ESIC No.</t>
  </si>
  <si>
    <t>Basic</t>
  </si>
  <si>
    <t>HRA</t>
  </si>
  <si>
    <t>Conv</t>
  </si>
  <si>
    <t>Total</t>
  </si>
  <si>
    <t>Total-2</t>
  </si>
  <si>
    <t>PF</t>
  </si>
  <si>
    <t>ESI</t>
  </si>
  <si>
    <t>Other</t>
  </si>
  <si>
    <t>Total-3</t>
  </si>
  <si>
    <t>Net Pay</t>
  </si>
  <si>
    <t xml:space="preserve">Account No. </t>
  </si>
  <si>
    <t>Bank Name</t>
  </si>
  <si>
    <t>IFSC Code</t>
  </si>
  <si>
    <t>Remark</t>
  </si>
  <si>
    <t>UKDDN/1032062</t>
  </si>
  <si>
    <t>State Bank Of India</t>
  </si>
  <si>
    <t>SBIN0007154</t>
  </si>
  <si>
    <t>Punjab National Bank</t>
  </si>
  <si>
    <t>PUNB0287600</t>
  </si>
  <si>
    <t>Bank Of Baroda</t>
  </si>
  <si>
    <t>BARB0SIDHAR</t>
  </si>
  <si>
    <t>PUNB0107400</t>
  </si>
  <si>
    <t>ICICI Bank</t>
  </si>
  <si>
    <t>ICIC0000239</t>
  </si>
  <si>
    <t>ICIC0000509</t>
  </si>
  <si>
    <t>PNB</t>
  </si>
  <si>
    <t>PUNB0602100</t>
  </si>
  <si>
    <t>HDFC0000943</t>
  </si>
  <si>
    <t>SBIN0005675</t>
  </si>
  <si>
    <t>SBIN0007546</t>
  </si>
  <si>
    <t>HDFC BANK LTD</t>
  </si>
  <si>
    <t>LWP</t>
  </si>
  <si>
    <t>Ranipur, Haridwar, Uttarakhand</t>
  </si>
  <si>
    <t>Payslip and Form No. 25B</t>
  </si>
  <si>
    <t>Month:</t>
  </si>
  <si>
    <t>ESI No:</t>
  </si>
  <si>
    <t>UAN</t>
  </si>
  <si>
    <t>RATE OF PAY</t>
  </si>
  <si>
    <t>EARNED</t>
  </si>
  <si>
    <t>DEDUCTIONS</t>
  </si>
  <si>
    <t xml:space="preserve">Other  </t>
  </si>
  <si>
    <t>Advance</t>
  </si>
  <si>
    <t>NET PAY DAYS</t>
  </si>
  <si>
    <t>TOTAL</t>
  </si>
  <si>
    <t>Payment Mode  :</t>
  </si>
  <si>
    <t>Transfer</t>
  </si>
  <si>
    <t>Bank Name :</t>
  </si>
  <si>
    <t>Account No.  :</t>
  </si>
  <si>
    <t>PUNB0716900</t>
  </si>
  <si>
    <t>AB</t>
  </si>
  <si>
    <t>H.R</t>
  </si>
  <si>
    <t xml:space="preserve">    ATTENDANCE</t>
  </si>
  <si>
    <t>CONV ALL</t>
  </si>
  <si>
    <t>BASIC</t>
  </si>
  <si>
    <t>SP ALL</t>
  </si>
  <si>
    <t>EDU ALL</t>
  </si>
  <si>
    <t>Others</t>
  </si>
  <si>
    <t>C101</t>
  </si>
  <si>
    <t>C106</t>
  </si>
  <si>
    <t>C111</t>
  </si>
  <si>
    <t>C118</t>
  </si>
  <si>
    <t>C127</t>
  </si>
  <si>
    <t>C132</t>
  </si>
  <si>
    <t>C139</t>
  </si>
  <si>
    <t>Employee Name :</t>
  </si>
  <si>
    <t>Employee No.  :</t>
  </si>
  <si>
    <t>Designation   :</t>
  </si>
  <si>
    <t>Department    :</t>
  </si>
  <si>
    <t>Remarks:- This is system generated copy signature not required.</t>
  </si>
  <si>
    <t>CL</t>
  </si>
  <si>
    <t>SL</t>
  </si>
  <si>
    <t>EL</t>
  </si>
  <si>
    <t>ABSENT</t>
  </si>
  <si>
    <t>DAYS PRESENT</t>
  </si>
  <si>
    <t>WEEKLY OFF</t>
  </si>
  <si>
    <t>PUBLIC HOLIDAYS</t>
  </si>
  <si>
    <t>Balance Leave:</t>
  </si>
  <si>
    <t>Officer - Purchase</t>
  </si>
  <si>
    <t>Operator - Utility</t>
  </si>
  <si>
    <t>Sr. Officer - Electrical</t>
  </si>
  <si>
    <t>Supervisor - Production</t>
  </si>
  <si>
    <t>Chemist- MFG</t>
  </si>
  <si>
    <t>Executive- Q.A</t>
  </si>
  <si>
    <t>Officer - Stores</t>
  </si>
  <si>
    <t>Sr. Officer - Mfg (Chemist)</t>
  </si>
  <si>
    <t>Officer - QA (PM Chemist)</t>
  </si>
  <si>
    <t>Assistant Manager- PPC</t>
  </si>
  <si>
    <t>Assistant Manager- Maint.</t>
  </si>
  <si>
    <t>Emplr EPF  Code</t>
  </si>
  <si>
    <t>W/
Off</t>
  </si>
  <si>
    <t>Others 
All</t>
  </si>
  <si>
    <t>Edu 
All</t>
  </si>
  <si>
    <t>Sp 
All</t>
  </si>
  <si>
    <t>Other 
All</t>
  </si>
  <si>
    <t>Edu
 all</t>
  </si>
  <si>
    <t>ERP 
Emp 
Code</t>
  </si>
  <si>
    <t xml:space="preserve">Emp 
Code </t>
  </si>
  <si>
    <t>S.
ADV</t>
  </si>
  <si>
    <t>PUNB0129210</t>
  </si>
  <si>
    <t xml:space="preserve">Salary Sheet for the Month of </t>
  </si>
  <si>
    <t>Name  (As per bank)</t>
  </si>
  <si>
    <t>Sr.Executive Production &amp; Mfg</t>
  </si>
  <si>
    <t>Sr. Manager (QA)</t>
  </si>
  <si>
    <t xml:space="preserve">Assistant Officer - PM </t>
  </si>
  <si>
    <t xml:space="preserve">Assistant Officer - RM </t>
  </si>
  <si>
    <t>Assistant Officer - Dispatch</t>
  </si>
  <si>
    <t>Assistant Officer - PM</t>
  </si>
  <si>
    <t>C232</t>
  </si>
  <si>
    <t>PUNB0041900</t>
  </si>
  <si>
    <t>0419000104345384</t>
  </si>
  <si>
    <t>E522</t>
  </si>
  <si>
    <t>Chemist-FG</t>
  </si>
  <si>
    <t>XYZ</t>
  </si>
  <si>
    <t>File test</t>
  </si>
  <si>
    <t>UKDDN/ABCD</t>
  </si>
  <si>
    <t>XYZ02</t>
  </si>
  <si>
    <t>XYZ04</t>
  </si>
  <si>
    <t>XYZ08</t>
  </si>
  <si>
    <t>XYZ20</t>
  </si>
  <si>
    <t>XYZ27</t>
  </si>
  <si>
    <t>XYZ37</t>
  </si>
  <si>
    <t>XYZ38</t>
  </si>
  <si>
    <t>XYZ50</t>
  </si>
  <si>
    <t>XYZ54</t>
  </si>
  <si>
    <t>XYZ58</t>
  </si>
  <si>
    <t>XYZ64</t>
  </si>
  <si>
    <t>XYZ70</t>
  </si>
  <si>
    <t>XYZ71</t>
  </si>
  <si>
    <t>XYZ76</t>
  </si>
  <si>
    <t>XYZ80</t>
  </si>
  <si>
    <t>XYZ86</t>
  </si>
  <si>
    <t>XYZ94</t>
  </si>
  <si>
    <t>XYZ96</t>
  </si>
  <si>
    <t>XYZ97</t>
  </si>
  <si>
    <t>XYZ98</t>
  </si>
  <si>
    <t>XYZ99</t>
  </si>
  <si>
    <t>ABC0361</t>
  </si>
  <si>
    <t>ABC0363</t>
  </si>
  <si>
    <t>ABC0364</t>
  </si>
  <si>
    <t>ABC0368</t>
  </si>
  <si>
    <t>ABC0373</t>
  </si>
  <si>
    <t>ABC0381</t>
  </si>
  <si>
    <t>ABC0382</t>
  </si>
  <si>
    <t>ABC0391</t>
  </si>
  <si>
    <t>ABC0393</t>
  </si>
  <si>
    <t>ABC0395</t>
  </si>
  <si>
    <t>ABC0399</t>
  </si>
  <si>
    <t>ABC0405</t>
  </si>
  <si>
    <t>ABC0406</t>
  </si>
  <si>
    <t>ABC0410</t>
  </si>
  <si>
    <t>ABC0413</t>
  </si>
  <si>
    <t>ABC0416</t>
  </si>
  <si>
    <t>ABC0422</t>
  </si>
  <si>
    <t>ABC0424</t>
  </si>
  <si>
    <t>ABC0425</t>
  </si>
  <si>
    <t>ABC0426</t>
  </si>
  <si>
    <t>ABC0427</t>
  </si>
  <si>
    <t>ABC0429</t>
  </si>
  <si>
    <t>ABC0434</t>
  </si>
  <si>
    <t>ABC0438</t>
  </si>
  <si>
    <t>ABC0445</t>
  </si>
  <si>
    <t>ABC0452</t>
  </si>
  <si>
    <t>ABC0458</t>
  </si>
  <si>
    <t>ABC0465</t>
  </si>
  <si>
    <t>0123456789</t>
  </si>
  <si>
    <t>Sample 1</t>
  </si>
  <si>
    <t>Sample 2</t>
  </si>
  <si>
    <t>Sample 23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</si>
  <si>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</si>
  <si>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</si>
  <si>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</si>
  <si>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</si>
  <si>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</si>
  <si>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</si>
  <si>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</si>
  <si>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</si>
  <si>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</si>
  <si>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</si>
  <si>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</si>
  <si>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</si>
  <si>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</si>
  <si>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</si>
  <si>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</si>
  <si>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19</t>
  </si>
  <si>
    <t>Sample 20</t>
  </si>
  <si>
    <t>Sample 21</t>
  </si>
  <si>
    <t>Sample 22</t>
  </si>
  <si>
    <t>Sample 24</t>
  </si>
  <si>
    <t>Sample 25</t>
  </si>
  <si>
    <t>Sample 26</t>
  </si>
  <si>
    <t>Sample 27</t>
  </si>
  <si>
    <t>Sample 29</t>
  </si>
  <si>
    <t>Sample 30</t>
  </si>
  <si>
    <t>Sample 31</t>
  </si>
  <si>
    <t>ABC Limited</t>
  </si>
  <si>
    <t>Plot No. 12344  IIE, SIDCUL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</si>
</sst>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0.0"/>
    <numFmt numFmtId="167" formatCode="mmm\-yyyy"/>
  </numFmts>
  <fonts count="36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name val="Courier New"/>
      <family val="3"/>
    </font>
    <font>
      <sz val="12"/>
      <name val="Courier New"/>
      <family val="3"/>
    </font>
    <font>
      <b/>
      <sz val="14"/>
      <name val="Courier New"/>
      <family val="3"/>
    </font>
    <font>
      <b/>
      <sz val="12"/>
      <name val="Courier New"/>
      <family val="3"/>
    </font>
    <font>
      <b/>
      <sz val="11.5"/>
      <name val="Courier New"/>
      <family val="3"/>
    </font>
    <font>
      <sz val="8"/>
      <name val="Arial"/>
      <family val="2"/>
    </font>
    <font>
      <b/>
      <sz val="11"/>
      <color theme="3" tint="-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0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4" applyNumberFormat="0" applyAlignment="0" applyProtection="0"/>
    <xf numFmtId="0" fontId="7" fillId="28" borderId="5" applyNumberFormat="0" applyAlignment="0" applyProtection="0"/>
    <xf numFmtId="164" fontId="1" fillId="0" borderId="0" applyFill="0" applyBorder="0" applyAlignment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0" fontId="8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4" applyNumberFormat="0" applyAlignment="0" applyProtection="0"/>
    <xf numFmtId="0" fontId="14" fillId="0" borderId="9" applyNumberFormat="0" applyFill="0" applyAlignment="0" applyProtection="0"/>
    <xf numFmtId="0" fontId="15" fillId="31" borderId="0" applyNumberFormat="0" applyBorder="0" applyAlignment="0" applyProtection="0"/>
    <xf numFmtId="0" fontId="2" fillId="0" borderId="0"/>
    <xf numFmtId="0" fontId="3" fillId="0" borderId="0"/>
    <xf numFmtId="0" fontId="3" fillId="32" borderId="10" applyNumberFormat="0" applyFont="0" applyAlignment="0" applyProtection="0"/>
    <xf numFmtId="0" fontId="16" fillId="27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2" applyNumberFormat="0" applyFill="0" applyAlignment="0" applyProtection="0"/>
    <xf numFmtId="0" fontId="20" fillId="0" borderId="0" applyNumberFormat="0" applyFill="0" applyBorder="0" applyAlignment="0" applyProtection="0"/>
  </cellStyleXfs>
  <cellXfs count="80">
    <xf numFmtId="0" fontId="0" fillId="0" borderId="0" xfId="0"/>
    <xf numFmtId="0" fontId="23" fillId="0" borderId="0" xfId="0" applyNumberFormat="1" applyFont="1" applyFill="1" applyAlignment="1" applyProtection="1">
      <alignment horizontal="center" vertical="center"/>
    </xf>
    <xf numFmtId="0" fontId="23" fillId="33" borderId="0" xfId="0" applyNumberFormat="1" applyFont="1" applyFill="1" applyAlignment="1" applyProtection="1">
      <alignment horizontal="center" vertical="center"/>
    </xf>
    <xf numFmtId="0" fontId="25" fillId="0" borderId="16" xfId="0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0" fontId="25" fillId="0" borderId="17" xfId="0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left" vertical="center"/>
    </xf>
    <xf numFmtId="0" fontId="23" fillId="0" borderId="0" xfId="0" applyNumberFormat="1" applyFont="1" applyFill="1" applyBorder="1" applyAlignment="1" applyProtection="1">
      <alignment horizontal="center" vertical="center"/>
    </xf>
    <xf numFmtId="167" fontId="25" fillId="0" borderId="17" xfId="0" applyNumberFormat="1" applyFont="1" applyFill="1" applyBorder="1" applyAlignment="1" applyProtection="1">
      <alignment horizontal="right" vertical="center"/>
    </xf>
    <xf numFmtId="0" fontId="25" fillId="0" borderId="0" xfId="0" applyNumberFormat="1" applyFont="1" applyFill="1" applyBorder="1" applyAlignment="1" applyProtection="1">
      <alignment horizontal="left" vertical="center" wrapText="1"/>
    </xf>
    <xf numFmtId="0" fontId="25" fillId="0" borderId="17" xfId="0" applyNumberFormat="1" applyFont="1" applyFill="1" applyBorder="1" applyAlignment="1" applyProtection="1">
      <alignment horizontal="right" vertical="center"/>
    </xf>
    <xf numFmtId="1" fontId="26" fillId="0" borderId="17" xfId="0" applyNumberFormat="1" applyFont="1" applyFill="1" applyBorder="1" applyAlignment="1" applyProtection="1">
      <alignment horizontal="right" vertical="center"/>
    </xf>
    <xf numFmtId="166" fontId="25" fillId="0" borderId="17" xfId="28" applyNumberFormat="1" applyFont="1" applyFill="1" applyBorder="1" applyAlignment="1" applyProtection="1">
      <alignment horizontal="right" vertical="center"/>
    </xf>
    <xf numFmtId="0" fontId="25" fillId="0" borderId="3" xfId="0" applyNumberFormat="1" applyFont="1" applyFill="1" applyBorder="1" applyAlignment="1" applyProtection="1">
      <alignment horizontal="center" vertical="center"/>
    </xf>
    <xf numFmtId="0" fontId="25" fillId="0" borderId="2" xfId="0" applyNumberFormat="1" applyFont="1" applyFill="1" applyBorder="1" applyAlignment="1" applyProtection="1">
      <alignment horizontal="center" vertical="center"/>
    </xf>
    <xf numFmtId="1" fontId="25" fillId="0" borderId="2" xfId="0" applyNumberFormat="1" applyFont="1" applyFill="1" applyBorder="1" applyAlignment="1" applyProtection="1">
      <alignment horizontal="center" vertical="center"/>
    </xf>
    <xf numFmtId="1" fontId="23" fillId="0" borderId="2" xfId="0" applyNumberFormat="1" applyFont="1" applyFill="1" applyBorder="1" applyAlignment="1" applyProtection="1">
      <alignment horizontal="center" vertical="center"/>
    </xf>
    <xf numFmtId="1" fontId="23" fillId="0" borderId="3" xfId="0" applyNumberFormat="1" applyFont="1" applyFill="1" applyBorder="1" applyAlignment="1" applyProtection="1">
      <alignment horizontal="center" vertical="center"/>
    </xf>
    <xf numFmtId="1" fontId="25" fillId="0" borderId="3" xfId="0" applyNumberFormat="1" applyFont="1" applyFill="1" applyBorder="1" applyAlignment="1" applyProtection="1">
      <alignment horizontal="center" vertical="center"/>
    </xf>
    <xf numFmtId="0" fontId="23" fillId="0" borderId="3" xfId="0" applyNumberFormat="1" applyFont="1" applyFill="1" applyBorder="1" applyAlignment="1" applyProtection="1">
      <alignment horizontal="center" vertical="center"/>
    </xf>
    <xf numFmtId="0" fontId="23" fillId="0" borderId="3" xfId="0" applyNumberFormat="1" applyFont="1" applyFill="1" applyBorder="1" applyAlignment="1" applyProtection="1">
      <alignment horizontal="center" vertical="center" wrapText="1"/>
    </xf>
    <xf numFmtId="1" fontId="25" fillId="0" borderId="3" xfId="0" applyNumberFormat="1" applyFont="1" applyFill="1" applyBorder="1" applyAlignment="1" applyProtection="1">
      <alignment horizontal="center" vertical="center" wrapText="1"/>
    </xf>
    <xf numFmtId="0" fontId="23" fillId="0" borderId="14" xfId="0" applyNumberFormat="1" applyFont="1" applyFill="1" applyBorder="1" applyAlignment="1" applyProtection="1">
      <alignment horizontal="center" vertical="center"/>
    </xf>
    <xf numFmtId="0" fontId="25" fillId="0" borderId="15" xfId="0" applyNumberFormat="1" applyFont="1" applyFill="1" applyBorder="1" applyAlignment="1" applyProtection="1">
      <alignment horizontal="center" vertical="center"/>
    </xf>
    <xf numFmtId="0" fontId="23" fillId="0" borderId="16" xfId="0" applyNumberFormat="1" applyFont="1" applyFill="1" applyBorder="1" applyAlignment="1" applyProtection="1">
      <alignment horizontal="left" vertical="center"/>
    </xf>
    <xf numFmtId="0" fontId="23" fillId="0" borderId="13" xfId="0" applyNumberFormat="1" applyFont="1" applyFill="1" applyBorder="1" applyAlignment="1" applyProtection="1">
      <alignment horizontal="center" vertical="center"/>
    </xf>
    <xf numFmtId="0" fontId="23" fillId="0" borderId="18" xfId="0" applyNumberFormat="1" applyFont="1" applyFill="1" applyBorder="1" applyAlignment="1" applyProtection="1">
      <alignment horizontal="center" vertical="center"/>
    </xf>
    <xf numFmtId="0" fontId="23" fillId="0" borderId="19" xfId="0" applyNumberFormat="1" applyFont="1" applyFill="1" applyBorder="1" applyAlignment="1" applyProtection="1">
      <alignment horizontal="center" vertical="center"/>
    </xf>
    <xf numFmtId="0" fontId="23" fillId="33" borderId="0" xfId="0" applyNumberFormat="1" applyFont="1" applyFill="1" applyAlignment="1" applyProtection="1">
      <alignment horizontal="center" vertical="center"/>
      <protection locked="0"/>
    </xf>
    <xf numFmtId="0" fontId="25" fillId="0" borderId="16" xfId="0" applyNumberFormat="1" applyFont="1" applyFill="1" applyBorder="1" applyAlignment="1" applyProtection="1">
      <alignment horizontal="center" vertical="center"/>
    </xf>
    <xf numFmtId="15" fontId="25" fillId="0" borderId="0" xfId="0" applyNumberFormat="1" applyFont="1" applyFill="1" applyBorder="1" applyAlignment="1" applyProtection="1">
      <alignment horizontal="left" vertical="center"/>
    </xf>
    <xf numFmtId="0" fontId="25" fillId="0" borderId="3" xfId="0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Alignment="1" applyProtection="1">
      <alignment horizontal="center" vertical="center"/>
    </xf>
    <xf numFmtId="0" fontId="25" fillId="33" borderId="0" xfId="0" applyNumberFormat="1" applyFont="1" applyFill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8" fillId="0" borderId="0" xfId="0" quotePrefix="1" applyFont="1" applyFill="1" applyBorder="1" applyAlignment="1">
      <alignment vertical="center" wrapText="1"/>
    </xf>
    <xf numFmtId="0" fontId="19" fillId="0" borderId="0" xfId="0" applyFont="1" applyFill="1" applyBorder="1" applyAlignment="1" applyProtection="1">
      <alignment vertical="center"/>
      <protection locked="0"/>
    </xf>
    <xf numFmtId="0" fontId="19" fillId="0" borderId="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Alignment="1" applyProtection="1">
      <alignment horizontal="center" vertical="center"/>
      <protection locked="0"/>
    </xf>
    <xf numFmtId="0" fontId="31" fillId="0" borderId="0" xfId="0" applyFont="1" applyFill="1" applyAlignment="1" applyProtection="1">
      <alignment horizontal="center" vertical="center"/>
      <protection locked="0"/>
    </xf>
    <xf numFmtId="1" fontId="31" fillId="0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17" fontId="33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1" fontId="34" fillId="0" borderId="0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vertical="center"/>
      <protection locked="0"/>
    </xf>
    <xf numFmtId="0" fontId="33" fillId="0" borderId="0" xfId="0" applyFont="1" applyFill="1" applyBorder="1" applyAlignment="1" applyProtection="1">
      <alignment vertical="center"/>
      <protection locked="0"/>
    </xf>
    <xf numFmtId="0" fontId="35" fillId="0" borderId="22" xfId="0" applyFont="1" applyFill="1" applyBorder="1" applyAlignment="1" applyProtection="1">
      <alignment vertical="center"/>
      <protection locked="0"/>
    </xf>
    <xf numFmtId="0" fontId="35" fillId="0" borderId="23" xfId="0" applyFont="1" applyFill="1" applyBorder="1" applyAlignment="1" applyProtection="1">
      <alignment vertical="center"/>
      <protection locked="0"/>
    </xf>
    <xf numFmtId="0" fontId="35" fillId="0" borderId="24" xfId="0" applyFont="1" applyFill="1" applyBorder="1" applyAlignment="1" applyProtection="1">
      <alignment horizontal="center" vertical="center"/>
      <protection locked="0"/>
    </xf>
    <xf numFmtId="0" fontId="28" fillId="0" borderId="3" xfId="0" quotePrefix="1" applyFont="1" applyFill="1" applyBorder="1" applyAlignment="1">
      <alignment horizontal="center" vertical="center" wrapText="1"/>
    </xf>
    <xf numFmtId="0" fontId="29" fillId="0" borderId="3" xfId="0" quotePrefix="1" applyFont="1" applyFill="1" applyBorder="1" applyAlignment="1" applyProtection="1">
      <alignment horizontal="center" vertical="center" wrapText="1"/>
      <protection locked="0"/>
    </xf>
    <xf numFmtId="1" fontId="29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30" fillId="0" borderId="3" xfId="0" quotePrefix="1" applyFont="1" applyFill="1" applyBorder="1" applyAlignment="1" applyProtection="1">
      <alignment horizontal="center" vertical="center" wrapText="1"/>
      <protection locked="0"/>
    </xf>
    <xf numFmtId="49" fontId="29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15" fontId="30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31" fillId="0" borderId="3" xfId="0" applyFont="1" applyFill="1" applyBorder="1" applyAlignment="1" applyProtection="1">
      <alignment horizontal="center" vertical="center"/>
      <protection locked="0"/>
    </xf>
    <xf numFmtId="166" fontId="32" fillId="0" borderId="3" xfId="0" applyNumberFormat="1" applyFont="1" applyFill="1" applyBorder="1" applyAlignment="1" applyProtection="1">
      <alignment horizontal="center" vertical="center"/>
      <protection locked="0"/>
    </xf>
    <xf numFmtId="1" fontId="32" fillId="0" borderId="3" xfId="0" applyNumberFormat="1" applyFont="1" applyFill="1" applyBorder="1" applyAlignment="1" applyProtection="1">
      <alignment horizontal="center" vertical="center"/>
      <protection locked="0"/>
    </xf>
    <xf numFmtId="0" fontId="32" fillId="0" borderId="3" xfId="0" applyFont="1" applyFill="1" applyBorder="1" applyAlignment="1" applyProtection="1">
      <alignment horizontal="center" vertical="center"/>
      <protection locked="0"/>
    </xf>
    <xf numFmtId="1" fontId="31" fillId="0" borderId="3" xfId="0" applyNumberFormat="1" applyFont="1" applyFill="1" applyBorder="1" applyAlignment="1" applyProtection="1">
      <alignment horizontal="center" vertical="center"/>
      <protection locked="0"/>
    </xf>
    <xf numFmtId="49" fontId="30" fillId="0" borderId="3" xfId="0" quotePrefix="1" applyNumberFormat="1" applyFont="1" applyFill="1" applyBorder="1" applyAlignment="1" applyProtection="1">
      <alignment horizontal="center" vertical="center" wrapText="1"/>
      <protection locked="0"/>
    </xf>
    <xf numFmtId="0" fontId="30" fillId="0" borderId="3" xfId="0" applyFont="1" applyFill="1" applyBorder="1" applyAlignment="1" applyProtection="1">
      <alignment horizontal="center" vertical="center" wrapText="1"/>
      <protection locked="0"/>
    </xf>
    <xf numFmtId="0" fontId="25" fillId="0" borderId="20" xfId="0" applyNumberFormat="1" applyFont="1" applyFill="1" applyBorder="1" applyAlignment="1" applyProtection="1">
      <alignment horizontal="left" vertical="center"/>
    </xf>
    <xf numFmtId="0" fontId="25" fillId="0" borderId="21" xfId="0" applyNumberFormat="1" applyFont="1" applyFill="1" applyBorder="1" applyAlignment="1" applyProtection="1">
      <alignment horizontal="left" vertical="center"/>
    </xf>
    <xf numFmtId="0" fontId="22" fillId="0" borderId="14" xfId="0" applyNumberFormat="1" applyFont="1" applyFill="1" applyBorder="1" applyAlignment="1" applyProtection="1">
      <alignment horizontal="center" vertical="center"/>
    </xf>
    <xf numFmtId="0" fontId="22" fillId="0" borderId="1" xfId="0" applyNumberFormat="1" applyFont="1" applyFill="1" applyBorder="1" applyAlignment="1" applyProtection="1">
      <alignment horizontal="center" vertical="center"/>
    </xf>
    <xf numFmtId="0" fontId="22" fillId="0" borderId="15" xfId="0" applyNumberFormat="1" applyFont="1" applyFill="1" applyBorder="1" applyAlignment="1" applyProtection="1">
      <alignment horizontal="center" vertical="center"/>
    </xf>
    <xf numFmtId="0" fontId="25" fillId="0" borderId="3" xfId="0" applyNumberFormat="1" applyFont="1" applyFill="1" applyBorder="1" applyAlignment="1" applyProtection="1">
      <alignment horizontal="left" vertical="center"/>
    </xf>
    <xf numFmtId="0" fontId="25" fillId="0" borderId="3" xfId="0" applyNumberFormat="1" applyFont="1" applyFill="1" applyBorder="1" applyAlignment="1" applyProtection="1">
      <alignment horizontal="center" vertical="center"/>
    </xf>
    <xf numFmtId="1" fontId="25" fillId="0" borderId="3" xfId="0" applyNumberFormat="1" applyFont="1" applyFill="1" applyBorder="1" applyAlignment="1" applyProtection="1">
      <alignment horizontal="left" vertical="center"/>
    </xf>
    <xf numFmtId="0" fontId="25" fillId="0" borderId="16" xfId="0" applyNumberFormat="1" applyFont="1" applyFill="1" applyBorder="1" applyAlignment="1" applyProtection="1">
      <alignment horizontal="center" vertical="center"/>
    </xf>
    <xf numFmtId="0" fontId="25" fillId="0" borderId="0" xfId="0" applyNumberFormat="1" applyFont="1" applyFill="1" applyBorder="1" applyAlignment="1" applyProtection="1">
      <alignment horizontal="center" vertical="center"/>
    </xf>
    <xf numFmtId="0" fontId="25" fillId="0" borderId="17" xfId="0" applyNumberFormat="1" applyFont="1" applyFill="1" applyBorder="1" applyAlignment="1" applyProtection="1">
      <alignment horizontal="center" vertical="center"/>
    </xf>
    <xf numFmtId="0" fontId="24" fillId="0" borderId="16" xfId="0" applyNumberFormat="1" applyFont="1" applyFill="1" applyBorder="1" applyAlignment="1" applyProtection="1">
      <alignment horizontal="center" vertical="center"/>
    </xf>
    <xf numFmtId="0" fontId="24" fillId="0" borderId="0" xfId="0" applyNumberFormat="1" applyFont="1" applyFill="1" applyBorder="1" applyAlignment="1" applyProtection="1">
      <alignment horizontal="center" vertical="center"/>
    </xf>
    <xf numFmtId="0" fontId="24" fillId="0" borderId="17" xfId="0" applyNumberFormat="1" applyFont="1" applyFill="1" applyBorder="1" applyAlignment="1" applyProtection="1">
      <alignment horizontal="center" vertical="center"/>
    </xf>
  </cellXfs>
  <cellStyles count="50">
    <cellStyle name="20% - Accent1 2" xfId="1"/>
    <cellStyle name="20% - Accent2 2" xfId="2"/>
    <cellStyle name="20% - Accent3 2" xfId="3"/>
    <cellStyle name="20% - Accent4 2" xfId="4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 2" xfId="9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 2" xfId="15"/>
    <cellStyle name="60% - Accent4 2" xfId="16"/>
    <cellStyle name="60% - Accent5" xfId="17" builtinId="48" customBuiltin="1"/>
    <cellStyle name="60% - Accent6 2" xfId="18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29"/>
    <cellStyle name="Comma 2 2" xfId="30"/>
    <cellStyle name="Comma 2 2 2" xfId="31"/>
    <cellStyle name="Comma 2 3" xfId="32"/>
    <cellStyle name="Explanatory Text" xfId="33" builtinId="53" customBuiltin="1"/>
    <cellStyle name="Good" xfId="34" builtinId="26" customBuiltin="1"/>
    <cellStyle name="Heading 1" xfId="35" builtinId="16" customBuiltin="1"/>
    <cellStyle name="Heading 2" xfId="36" builtinId="17" customBuiltin="1"/>
    <cellStyle name="Heading 3" xfId="37" builtinId="18" customBuiltin="1"/>
    <cellStyle name="Heading 4" xfId="38" builtinId="19" customBuiltin="1"/>
    <cellStyle name="Input" xfId="39" builtinId="20" customBuiltin="1"/>
    <cellStyle name="Linked Cell" xfId="40" builtinId="24" customBuiltin="1"/>
    <cellStyle name="Neutral" xfId="41" builtinId="28" customBuiltin="1"/>
    <cellStyle name="Normal" xfId="0" builtinId="0"/>
    <cellStyle name="Normal 2" xfId="42"/>
    <cellStyle name="Normal 3" xfId="43"/>
    <cellStyle name="Note 2" xfId="44"/>
    <cellStyle name="Output" xfId="45" builtinId="21" customBuiltin="1"/>
    <cellStyle name="Title" xfId="46" builtinId="15" customBuiltin="1"/>
    <cellStyle name="Title 2" xfId="47"/>
    <cellStyle name="Total" xfId="48" builtinId="25" customBuiltin="1"/>
    <cellStyle name="Warning Text" xfId="49" builtinId="11" customBuiltin="1"/>
  </cellStyles>
  <dxfs count="15">
    <dxf>
      <font>
        <b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auto="1"/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fill>
        <patternFill patternType="none">
          <bgColor auto="1"/>
        </patternFill>
      </fill>
      <border diagonalUp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Style 2" table="0" count="15">
      <tableStyleElement type="firstSubtotalColumn" dxfId="14"/>
      <tableStyleElement type="secondSubtotalColumn" dxfId="13"/>
      <tableStyleElement type="thirdSubtotalColumn" dxfId="12"/>
      <tableStyleElement type="firstSubtotalRow" dxfId="11"/>
      <tableStyleElement type="secondSubtotalRow" dxfId="10"/>
      <tableStyleElement type="thirdSubtotalRow" dxfId="9"/>
      <tableStyleElement type="blankRow" dxfId="8"/>
      <tableStyleElement type="firstColumnSubheading" dxfId="7"/>
      <tableStyleElement type="secondColumnSubheading" dxfId="6"/>
      <tableStyleElement type="thirdColumnSubheading" dxfId="5"/>
      <tableStyleElement type="firstRowSubheading" dxfId="4"/>
      <tableStyleElement type="secondRowSubheading" dxfId="3"/>
      <tableStyleElement type="thirdRowSubheading" dxfId="2"/>
      <tableStyleElement type="pageFieldLabels" dxfId="1"/>
      <tableStyleElement type="pageFieldValues" dxfId="0"/>
    </tableStyle>
  </tableStyles>
  <colors>
    <mruColors>
      <color rgb="FFC0C0C0"/>
      <color rgb="FFEAEAEA"/>
      <color rgb="FFDDDDDD"/>
      <color rgb="FFCCCC00"/>
      <color rgb="FFCCFF33"/>
      <color rgb="FF66FF33"/>
      <color rgb="FFCC3300"/>
      <color rgb="FFFFFF66"/>
      <color rgb="FF99FF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437029</xdr:colOff>
      <xdr:row>1</xdr:row>
      <xdr:rowOff>44823</xdr:rowOff>
    </xdr:from>
    <xdr:to>
      <xdr:col>13</xdr:col>
      <xdr:colOff>201706</xdr:colOff>
      <xdr:row>3</xdr:row>
      <xdr:rowOff>201706</xdr:rowOff>
    </xdr:to>
    <xdr:sp macro="[0]!Export_salary_Slip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9973235" y="347382"/>
          <a:ext cx="2185147" cy="6163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Export Salary Slip</a:t>
          </a:r>
        </a:p>
      </xdr:txBody>
    </xdr:sp>
    <xdr:clientData/>
  </xdr:twoCellAnchor>
  <xdr:twoCellAnchor>
    <xdr:from>
      <xdr:col>9</xdr:col>
      <xdr:colOff>437029</xdr:colOff>
      <xdr:row>6</xdr:row>
      <xdr:rowOff>134471</xdr:rowOff>
    </xdr:from>
    <xdr:to>
      <xdr:col>12</xdr:col>
      <xdr:colOff>145676</xdr:colOff>
      <xdr:row>8</xdr:row>
      <xdr:rowOff>67235</xdr:rowOff>
    </xdr:to>
    <xdr:sp macro="[0]!Admin_data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9973235" y="1445559"/>
          <a:ext cx="1524000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Admin</a:t>
          </a:r>
          <a:r>
            <a:rPr lang="en-IN" sz="1800" baseline="0"/>
            <a:t> access</a:t>
          </a:r>
          <a:endParaRPr lang="en-IN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Q37"/>
  <sheetViews>
    <sheetView zoomScale="80" zoomScaleNormal="80" workbookViewId="0">
      <pane ySplit="3" topLeftCell="A9" activePane="bottomLeft" state="frozen"/>
      <selection activeCell="L16" sqref="L16"/>
      <selection pane="bottomLeft" activeCell="A21" sqref="A21:A32"/>
    </sheetView>
  </sheetViews>
  <sheetFormatPr defaultColWidth="104.85546875" defaultRowHeight="15" x14ac:dyDescent="0.2"/>
  <cols>
    <col min="1" max="1" width="6.42578125" style="39" bestFit="1" customWidth="1"/>
    <col min="2" max="2" width="11.28515625" style="39" bestFit="1" customWidth="1"/>
    <col min="3" max="3" width="9.140625" style="39" bestFit="1" customWidth="1"/>
    <col min="4" max="4" width="16.7109375" style="39" customWidth="1"/>
    <col min="5" max="5" width="15.140625" style="39" customWidth="1"/>
    <col min="6" max="6" width="12.7109375" style="39" customWidth="1"/>
    <col min="7" max="7" width="22.140625" style="39" customWidth="1"/>
    <col min="8" max="8" width="23.85546875" style="39" bestFit="1" customWidth="1"/>
    <col min="9" max="9" width="28.85546875" style="40" customWidth="1"/>
    <col min="10" max="10" width="13" style="40" customWidth="1"/>
    <col min="11" max="11" width="14.28515625" style="39" bestFit="1" customWidth="1"/>
    <col min="12" max="12" width="30.140625" style="40" customWidth="1"/>
    <col min="13" max="13" width="5.5703125" style="40" bestFit="1" customWidth="1"/>
    <col min="14" max="14" width="3.7109375" style="40" bestFit="1" customWidth="1"/>
    <col min="15" max="15" width="4.140625" style="40" bestFit="1" customWidth="1"/>
    <col min="16" max="16" width="4.85546875" style="40" bestFit="1" customWidth="1"/>
    <col min="17" max="17" width="5.140625" style="40" bestFit="1" customWidth="1"/>
    <col min="18" max="18" width="6.85546875" style="39" customWidth="1"/>
    <col min="19" max="19" width="8.140625" style="40" customWidth="1"/>
    <col min="20" max="20" width="7.7109375" style="40" bestFit="1" customWidth="1"/>
    <col min="21" max="21" width="6.5703125" style="40" bestFit="1" customWidth="1"/>
    <col min="22" max="23" width="5.5703125" style="40" bestFit="1" customWidth="1"/>
    <col min="24" max="24" width="7.7109375" style="40" bestFit="1" customWidth="1"/>
    <col min="25" max="25" width="8.7109375" style="40" bestFit="1" customWidth="1"/>
    <col min="26" max="27" width="7.7109375" style="40" bestFit="1" customWidth="1"/>
    <col min="28" max="28" width="6.5703125" style="40" bestFit="1" customWidth="1"/>
    <col min="29" max="30" width="5.5703125" style="40" bestFit="1" customWidth="1"/>
    <col min="31" max="31" width="7.7109375" style="40" bestFit="1" customWidth="1"/>
    <col min="32" max="32" width="8.7109375" style="40" bestFit="1" customWidth="1"/>
    <col min="33" max="33" width="7" style="40" customWidth="1"/>
    <col min="34" max="34" width="6.42578125" style="40" customWidth="1"/>
    <col min="35" max="35" width="6.28515625" style="40" bestFit="1" customWidth="1"/>
    <col min="36" max="36" width="7.7109375" style="40" bestFit="1" customWidth="1"/>
    <col min="37" max="37" width="10.140625" style="40" customWidth="1"/>
    <col min="38" max="38" width="8.7109375" style="40" bestFit="1" customWidth="1"/>
    <col min="39" max="39" width="23.5703125" style="40" bestFit="1" customWidth="1"/>
    <col min="40" max="40" width="18.7109375" style="40" bestFit="1" customWidth="1"/>
    <col min="41" max="41" width="22.85546875" style="40" bestFit="1" customWidth="1"/>
    <col min="42" max="42" width="14.5703125" style="40" customWidth="1"/>
    <col min="43" max="43" width="13.7109375" style="39" bestFit="1" customWidth="1"/>
    <col min="44" max="16384" width="104.85546875" style="38"/>
  </cols>
  <sheetData>
    <row r="1" spans="1:43" s="44" customFormat="1" ht="24" thickBot="1" x14ac:dyDescent="0.25">
      <c r="A1" s="48" t="s">
        <v>124</v>
      </c>
      <c r="B1" s="49"/>
      <c r="C1" s="49"/>
      <c r="D1" s="49"/>
      <c r="E1" s="49"/>
      <c r="F1" s="49"/>
      <c r="G1" s="49"/>
      <c r="H1" s="43">
        <v>44621</v>
      </c>
      <c r="J1" s="43"/>
      <c r="L1" s="45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7"/>
      <c r="AQ1" s="46"/>
    </row>
    <row r="2" spans="1:43" s="34" customFormat="1" x14ac:dyDescent="0.2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6"/>
      <c r="N2" s="36"/>
      <c r="O2" s="36"/>
      <c r="P2" s="36"/>
      <c r="Q2" s="36"/>
      <c r="R2" s="36"/>
      <c r="S2" s="50" t="s">
        <v>16</v>
      </c>
      <c r="T2" s="51"/>
      <c r="U2" s="51"/>
      <c r="V2" s="51"/>
      <c r="W2" s="51"/>
      <c r="X2" s="51"/>
      <c r="Y2" s="51"/>
      <c r="Z2" s="51" t="s">
        <v>17</v>
      </c>
      <c r="AA2" s="51"/>
      <c r="AB2" s="51"/>
      <c r="AC2" s="51"/>
      <c r="AD2" s="51"/>
      <c r="AE2" s="51"/>
      <c r="AF2" s="51"/>
      <c r="AG2" s="51" t="s">
        <v>18</v>
      </c>
      <c r="AH2" s="51"/>
      <c r="AI2" s="51"/>
      <c r="AJ2" s="51"/>
      <c r="AK2" s="52"/>
      <c r="AL2" s="42"/>
    </row>
    <row r="3" spans="1:43" s="37" customFormat="1" ht="45" x14ac:dyDescent="0.2">
      <c r="A3" s="53" t="s">
        <v>19</v>
      </c>
      <c r="B3" s="53" t="s">
        <v>121</v>
      </c>
      <c r="C3" s="53" t="s">
        <v>120</v>
      </c>
      <c r="D3" s="53" t="s">
        <v>113</v>
      </c>
      <c r="E3" s="53" t="s">
        <v>23</v>
      </c>
      <c r="F3" s="53" t="s">
        <v>24</v>
      </c>
      <c r="G3" s="53" t="str">
        <f>D3&amp;"/"&amp;B3</f>
        <v xml:space="preserve">Emplr EPF  Code/Emp 
Code </v>
      </c>
      <c r="H3" s="53" t="s">
        <v>20</v>
      </c>
      <c r="I3" s="53" t="s">
        <v>21</v>
      </c>
      <c r="J3" s="53" t="s">
        <v>10</v>
      </c>
      <c r="K3" s="53" t="s">
        <v>22</v>
      </c>
      <c r="L3" s="53" t="s">
        <v>7</v>
      </c>
      <c r="M3" s="53" t="s">
        <v>0</v>
      </c>
      <c r="N3" s="53" t="s">
        <v>74</v>
      </c>
      <c r="O3" s="53" t="s">
        <v>114</v>
      </c>
      <c r="P3" s="53" t="s">
        <v>1</v>
      </c>
      <c r="Q3" s="53" t="s">
        <v>56</v>
      </c>
      <c r="R3" s="53" t="s">
        <v>2</v>
      </c>
      <c r="S3" s="53" t="s">
        <v>25</v>
      </c>
      <c r="T3" s="53" t="s">
        <v>26</v>
      </c>
      <c r="U3" s="53" t="s">
        <v>27</v>
      </c>
      <c r="V3" s="53" t="s">
        <v>117</v>
      </c>
      <c r="W3" s="53" t="s">
        <v>119</v>
      </c>
      <c r="X3" s="53" t="s">
        <v>118</v>
      </c>
      <c r="Y3" s="53" t="s">
        <v>28</v>
      </c>
      <c r="Z3" s="53" t="s">
        <v>25</v>
      </c>
      <c r="AA3" s="53" t="s">
        <v>26</v>
      </c>
      <c r="AB3" s="53" t="s">
        <v>27</v>
      </c>
      <c r="AC3" s="53" t="s">
        <v>117</v>
      </c>
      <c r="AD3" s="53" t="s">
        <v>116</v>
      </c>
      <c r="AE3" s="53" t="s">
        <v>115</v>
      </c>
      <c r="AF3" s="53" t="s">
        <v>29</v>
      </c>
      <c r="AG3" s="53" t="s">
        <v>30</v>
      </c>
      <c r="AH3" s="53" t="s">
        <v>31</v>
      </c>
      <c r="AI3" s="53" t="s">
        <v>32</v>
      </c>
      <c r="AJ3" s="53" t="s">
        <v>122</v>
      </c>
      <c r="AK3" s="53" t="s">
        <v>33</v>
      </c>
      <c r="AL3" s="53" t="s">
        <v>34</v>
      </c>
      <c r="AM3" s="53" t="s">
        <v>125</v>
      </c>
      <c r="AN3" s="53" t="s">
        <v>35</v>
      </c>
      <c r="AO3" s="53" t="s">
        <v>36</v>
      </c>
      <c r="AP3" s="53" t="s">
        <v>37</v>
      </c>
      <c r="AQ3" s="53" t="s">
        <v>38</v>
      </c>
    </row>
    <row r="4" spans="1:43" x14ac:dyDescent="0.2">
      <c r="A4" s="54">
        <v>1</v>
      </c>
      <c r="B4" s="54" t="s">
        <v>140</v>
      </c>
      <c r="C4" s="54" t="s">
        <v>161</v>
      </c>
      <c r="D4" s="54" t="s">
        <v>139</v>
      </c>
      <c r="E4" s="55">
        <v>1</v>
      </c>
      <c r="F4" s="56" t="s">
        <v>137</v>
      </c>
      <c r="G4" s="54" t="str">
        <f t="shared" ref="G4:G31" si="0">D4&amp;"/"&amp;B4</f>
        <v>UKDDN/ABCD/XYZ02</v>
      </c>
      <c r="H4" s="57" t="s">
        <v>190</v>
      </c>
      <c r="I4" s="58" t="s">
        <v>138</v>
      </c>
      <c r="J4" s="58">
        <v>131</v>
      </c>
      <c r="K4" s="54" t="s">
        <v>3</v>
      </c>
      <c r="L4" s="56" t="s">
        <v>102</v>
      </c>
      <c r="M4" s="59">
        <v>21</v>
      </c>
      <c r="N4" s="59">
        <v>0</v>
      </c>
      <c r="O4" s="59">
        <v>4</v>
      </c>
      <c r="P4" s="59">
        <v>3</v>
      </c>
      <c r="Q4" s="59">
        <v>0</v>
      </c>
      <c r="R4" s="60">
        <f>SUM(M4:Q4)-N4</f>
        <v>28</v>
      </c>
      <c r="S4" s="61">
        <v>30000</v>
      </c>
      <c r="T4" s="61">
        <v>15603.3696</v>
      </c>
      <c r="U4" s="61">
        <v>0</v>
      </c>
      <c r="V4" s="61">
        <v>0</v>
      </c>
      <c r="W4" s="61">
        <v>0</v>
      </c>
      <c r="X4" s="61">
        <v>0</v>
      </c>
      <c r="Y4" s="61">
        <f t="shared" ref="Y4:Y31" si="1">SUM(S4:X4)</f>
        <v>45603.369599999998</v>
      </c>
      <c r="Z4" s="59">
        <f t="shared" ref="Z4" si="2">ROUND(S4/28*R4,0)</f>
        <v>30000</v>
      </c>
      <c r="AA4" s="59">
        <f t="shared" ref="AA4" si="3">ROUND(T4/28*R4,0)</f>
        <v>15603</v>
      </c>
      <c r="AB4" s="59">
        <f t="shared" ref="AB4" si="4">ROUND(U4/28*R4,0)</f>
        <v>0</v>
      </c>
      <c r="AC4" s="59">
        <f t="shared" ref="AC4" si="5">ROUND(V4/28*R4,0)</f>
        <v>0</v>
      </c>
      <c r="AD4" s="59">
        <f t="shared" ref="AD4" si="6">ROUND(W4/28*R4,0)</f>
        <v>0</v>
      </c>
      <c r="AE4" s="59">
        <f t="shared" ref="AE4" si="7">ROUND(X4/28*R4,0)</f>
        <v>0</v>
      </c>
      <c r="AF4" s="62">
        <f t="shared" ref="AF4" si="8">SUM(Z4:AE4)</f>
        <v>45603</v>
      </c>
      <c r="AG4" s="59">
        <f>IF(Z4&gt;15000,1800,ROUND((Z4*0.12),0))</f>
        <v>1800</v>
      </c>
      <c r="AH4" s="59">
        <f>IF((S4+T4+U4+V4+W4+X4)&lt;21000,ROUNDUP(((Z4+AA4+AB4+AC4+AD4+AE4)*0.0075),0),0)</f>
        <v>0</v>
      </c>
      <c r="AI4" s="62"/>
      <c r="AJ4" s="62"/>
      <c r="AK4" s="63">
        <f>SUM(AG4:AJ4)</f>
        <v>1800</v>
      </c>
      <c r="AL4" s="61">
        <f>ROUND(AF4-AK4,0.5)</f>
        <v>43803</v>
      </c>
      <c r="AM4" s="61" t="s">
        <v>190</v>
      </c>
      <c r="AN4" s="64" t="s">
        <v>189</v>
      </c>
      <c r="AO4" s="56" t="s">
        <v>40</v>
      </c>
      <c r="AP4" s="56" t="s">
        <v>41</v>
      </c>
      <c r="AQ4" s="55"/>
    </row>
    <row r="5" spans="1:43" x14ac:dyDescent="0.2">
      <c r="A5" s="54">
        <f>+A4+1</f>
        <v>2</v>
      </c>
      <c r="B5" s="54" t="s">
        <v>141</v>
      </c>
      <c r="C5" s="54" t="s">
        <v>162</v>
      </c>
      <c r="D5" s="54" t="s">
        <v>139</v>
      </c>
      <c r="E5" s="55">
        <v>1</v>
      </c>
      <c r="F5" s="56" t="s">
        <v>137</v>
      </c>
      <c r="G5" s="54" t="str">
        <f t="shared" si="0"/>
        <v>UKDDN/ABCD/XYZ04</v>
      </c>
      <c r="H5" s="57" t="s">
        <v>191</v>
      </c>
      <c r="I5" s="58" t="s">
        <v>138</v>
      </c>
      <c r="J5" s="58">
        <v>153</v>
      </c>
      <c r="K5" s="54" t="s">
        <v>3</v>
      </c>
      <c r="L5" s="56" t="s">
        <v>129</v>
      </c>
      <c r="M5" s="59">
        <v>19</v>
      </c>
      <c r="N5" s="59">
        <v>0</v>
      </c>
      <c r="O5" s="59">
        <v>4</v>
      </c>
      <c r="P5" s="59">
        <v>3</v>
      </c>
      <c r="Q5" s="59">
        <v>2</v>
      </c>
      <c r="R5" s="60">
        <f t="shared" ref="R5:R31" si="9">SUM(M5:Q5)-N5</f>
        <v>28</v>
      </c>
      <c r="S5" s="61">
        <v>30000</v>
      </c>
      <c r="T5" s="61">
        <v>1426</v>
      </c>
      <c r="U5" s="61">
        <v>0</v>
      </c>
      <c r="V5" s="61">
        <v>0</v>
      </c>
      <c r="W5" s="61">
        <v>0</v>
      </c>
      <c r="X5" s="61">
        <v>3327.87</v>
      </c>
      <c r="Y5" s="61">
        <f t="shared" si="1"/>
        <v>34753.870000000003</v>
      </c>
      <c r="Z5" s="59">
        <f t="shared" ref="Z5:Z31" si="10">ROUND(S5/28*R5,0)</f>
        <v>30000</v>
      </c>
      <c r="AA5" s="59">
        <f t="shared" ref="AA5:AA31" si="11">ROUND(T5/28*R5,0)</f>
        <v>1426</v>
      </c>
      <c r="AB5" s="59">
        <f t="shared" ref="AB5:AB31" si="12">ROUND(U5/28*R5,0)</f>
        <v>0</v>
      </c>
      <c r="AC5" s="59">
        <f t="shared" ref="AC5:AC31" si="13">ROUND(V5/28*R5,0)</f>
        <v>0</v>
      </c>
      <c r="AD5" s="59">
        <f t="shared" ref="AD5:AD31" si="14">ROUND(W5/28*R5,0)</f>
        <v>0</v>
      </c>
      <c r="AE5" s="59">
        <f t="shared" ref="AE5:AE31" si="15">ROUND(X5/28*R5,0)</f>
        <v>3328</v>
      </c>
      <c r="AF5" s="62">
        <f t="shared" ref="AF5:AF31" si="16">SUM(Z5:AE5)</f>
        <v>34754</v>
      </c>
      <c r="AG5" s="59">
        <f t="shared" ref="AG5:AG31" si="17">IF(Z5&gt;15000,1800,ROUND((Z5*0.12),0))</f>
        <v>1800</v>
      </c>
      <c r="AH5" s="59">
        <f t="shared" ref="AH5:AH31" si="18">IF((S5+T5+U5+V5+W5+X5)&lt;21000,ROUNDUP(((Z5+AA5+AB5+AC5+AD5+AE5)*0.0075),0),0)</f>
        <v>0</v>
      </c>
      <c r="AI5" s="62"/>
      <c r="AJ5" s="62"/>
      <c r="AK5" s="63">
        <f t="shared" ref="AK5:AK31" si="19">SUM(AG5:AJ5)</f>
        <v>1800</v>
      </c>
      <c r="AL5" s="61">
        <f t="shared" ref="AL5:AL31" si="20">ROUND(AF5-AK5,0.5)</f>
        <v>32954</v>
      </c>
      <c r="AM5" s="61" t="s">
        <v>191</v>
      </c>
      <c r="AN5" s="64" t="s">
        <v>189</v>
      </c>
      <c r="AO5" s="56" t="s">
        <v>40</v>
      </c>
      <c r="AP5" s="56" t="s">
        <v>41</v>
      </c>
      <c r="AQ5" s="55"/>
    </row>
    <row r="6" spans="1:43" x14ac:dyDescent="0.2">
      <c r="A6" s="54">
        <f t="shared" ref="A6:A31" si="21">+A5+1</f>
        <v>3</v>
      </c>
      <c r="B6" s="54" t="s">
        <v>142</v>
      </c>
      <c r="C6" s="54" t="s">
        <v>163</v>
      </c>
      <c r="D6" s="54" t="s">
        <v>139</v>
      </c>
      <c r="E6" s="55">
        <v>1</v>
      </c>
      <c r="F6" s="56" t="s">
        <v>137</v>
      </c>
      <c r="G6" s="54" t="str">
        <f t="shared" si="0"/>
        <v>UKDDN/ABCD/XYZ08</v>
      </c>
      <c r="H6" s="57" t="s">
        <v>193</v>
      </c>
      <c r="I6" s="58" t="s">
        <v>138</v>
      </c>
      <c r="J6" s="58">
        <v>12</v>
      </c>
      <c r="K6" s="54" t="s">
        <v>4</v>
      </c>
      <c r="L6" s="56" t="s">
        <v>103</v>
      </c>
      <c r="M6" s="59">
        <v>14</v>
      </c>
      <c r="N6" s="59">
        <v>0</v>
      </c>
      <c r="O6" s="59">
        <v>4</v>
      </c>
      <c r="P6" s="59">
        <v>3</v>
      </c>
      <c r="Q6" s="59">
        <v>7</v>
      </c>
      <c r="R6" s="60">
        <f t="shared" si="9"/>
        <v>28</v>
      </c>
      <c r="S6" s="61">
        <v>30000</v>
      </c>
      <c r="T6" s="61">
        <v>2027</v>
      </c>
      <c r="U6" s="61">
        <v>0</v>
      </c>
      <c r="V6" s="61">
        <v>0</v>
      </c>
      <c r="W6" s="61">
        <v>0</v>
      </c>
      <c r="X6" s="61">
        <v>6082</v>
      </c>
      <c r="Y6" s="61">
        <f t="shared" si="1"/>
        <v>38109</v>
      </c>
      <c r="Z6" s="59">
        <f t="shared" si="10"/>
        <v>30000</v>
      </c>
      <c r="AA6" s="59">
        <f t="shared" si="11"/>
        <v>2027</v>
      </c>
      <c r="AB6" s="59">
        <f t="shared" si="12"/>
        <v>0</v>
      </c>
      <c r="AC6" s="59">
        <f t="shared" si="13"/>
        <v>0</v>
      </c>
      <c r="AD6" s="59">
        <f t="shared" si="14"/>
        <v>0</v>
      </c>
      <c r="AE6" s="59">
        <f t="shared" si="15"/>
        <v>6082</v>
      </c>
      <c r="AF6" s="62">
        <f t="shared" si="16"/>
        <v>38109</v>
      </c>
      <c r="AG6" s="59">
        <f t="shared" si="17"/>
        <v>1800</v>
      </c>
      <c r="AH6" s="59">
        <f t="shared" si="18"/>
        <v>0</v>
      </c>
      <c r="AI6" s="62"/>
      <c r="AJ6" s="62"/>
      <c r="AK6" s="63">
        <f t="shared" si="19"/>
        <v>1800</v>
      </c>
      <c r="AL6" s="61">
        <f t="shared" si="20"/>
        <v>36309</v>
      </c>
      <c r="AM6" s="61" t="s">
        <v>193</v>
      </c>
      <c r="AN6" s="64" t="s">
        <v>189</v>
      </c>
      <c r="AO6" s="56" t="s">
        <v>42</v>
      </c>
      <c r="AP6" s="56" t="s">
        <v>43</v>
      </c>
      <c r="AQ6" s="55"/>
    </row>
    <row r="7" spans="1:43" x14ac:dyDescent="0.2">
      <c r="A7" s="54">
        <f t="shared" si="21"/>
        <v>4</v>
      </c>
      <c r="B7" s="54" t="s">
        <v>143</v>
      </c>
      <c r="C7" s="54" t="s">
        <v>164</v>
      </c>
      <c r="D7" s="54" t="s">
        <v>139</v>
      </c>
      <c r="E7" s="55">
        <v>1</v>
      </c>
      <c r="F7" s="56" t="s">
        <v>137</v>
      </c>
      <c r="G7" s="54" t="str">
        <f>D7&amp;"/"&amp;B7</f>
        <v>UKDDN/ABCD/XYZ20</v>
      </c>
      <c r="H7" s="57" t="s">
        <v>194</v>
      </c>
      <c r="I7" s="58" t="s">
        <v>138</v>
      </c>
      <c r="J7" s="58">
        <v>301</v>
      </c>
      <c r="K7" s="54" t="s">
        <v>4</v>
      </c>
      <c r="L7" s="56" t="s">
        <v>104</v>
      </c>
      <c r="M7" s="59">
        <v>19</v>
      </c>
      <c r="N7" s="59">
        <v>0</v>
      </c>
      <c r="O7" s="59">
        <v>4</v>
      </c>
      <c r="P7" s="59">
        <v>3</v>
      </c>
      <c r="Q7" s="59">
        <v>2</v>
      </c>
      <c r="R7" s="60">
        <f t="shared" si="9"/>
        <v>28</v>
      </c>
      <c r="S7" s="61">
        <v>30000</v>
      </c>
      <c r="T7" s="61">
        <v>15552.32</v>
      </c>
      <c r="U7" s="61">
        <v>2000</v>
      </c>
      <c r="V7" s="61">
        <v>650</v>
      </c>
      <c r="W7" s="61">
        <v>0</v>
      </c>
      <c r="X7" s="61">
        <v>0</v>
      </c>
      <c r="Y7" s="61">
        <f t="shared" si="1"/>
        <v>48202.32</v>
      </c>
      <c r="Z7" s="59">
        <f t="shared" si="10"/>
        <v>30000</v>
      </c>
      <c r="AA7" s="59">
        <f t="shared" si="11"/>
        <v>15552</v>
      </c>
      <c r="AB7" s="59">
        <f t="shared" si="12"/>
        <v>2000</v>
      </c>
      <c r="AC7" s="59">
        <f t="shared" si="13"/>
        <v>650</v>
      </c>
      <c r="AD7" s="59">
        <f t="shared" si="14"/>
        <v>0</v>
      </c>
      <c r="AE7" s="59">
        <f t="shared" si="15"/>
        <v>0</v>
      </c>
      <c r="AF7" s="62">
        <f t="shared" si="16"/>
        <v>48202</v>
      </c>
      <c r="AG7" s="59">
        <f t="shared" si="17"/>
        <v>1800</v>
      </c>
      <c r="AH7" s="59">
        <f t="shared" si="18"/>
        <v>0</v>
      </c>
      <c r="AI7" s="62"/>
      <c r="AJ7" s="62"/>
      <c r="AK7" s="63">
        <f t="shared" si="19"/>
        <v>1800</v>
      </c>
      <c r="AL7" s="61">
        <f t="shared" si="20"/>
        <v>46402</v>
      </c>
      <c r="AM7" s="61" t="s">
        <v>194</v>
      </c>
      <c r="AN7" s="64" t="s">
        <v>189</v>
      </c>
      <c r="AO7" s="56" t="s">
        <v>55</v>
      </c>
      <c r="AP7" s="56" t="s">
        <v>52</v>
      </c>
      <c r="AQ7" s="55"/>
    </row>
    <row r="8" spans="1:43" x14ac:dyDescent="0.2">
      <c r="A8" s="54">
        <f t="shared" si="21"/>
        <v>5</v>
      </c>
      <c r="B8" s="54" t="s">
        <v>144</v>
      </c>
      <c r="C8" s="54" t="s">
        <v>165</v>
      </c>
      <c r="D8" s="54" t="s">
        <v>139</v>
      </c>
      <c r="E8" s="55">
        <v>1</v>
      </c>
      <c r="F8" s="56" t="s">
        <v>137</v>
      </c>
      <c r="G8" s="54" t="str">
        <f t="shared" si="0"/>
        <v>UKDDN/ABCD/XYZ27</v>
      </c>
      <c r="H8" s="57" t="s">
        <v>195</v>
      </c>
      <c r="I8" s="58" t="s">
        <v>138</v>
      </c>
      <c r="J8" s="58">
        <v>102</v>
      </c>
      <c r="K8" s="54" t="s">
        <v>75</v>
      </c>
      <c r="L8" s="56" t="s">
        <v>11</v>
      </c>
      <c r="M8" s="59">
        <v>21</v>
      </c>
      <c r="N8" s="59">
        <v>0</v>
      </c>
      <c r="O8" s="59">
        <v>4</v>
      </c>
      <c r="P8" s="59">
        <v>3</v>
      </c>
      <c r="Q8" s="59">
        <v>0</v>
      </c>
      <c r="R8" s="60">
        <f t="shared" si="9"/>
        <v>28</v>
      </c>
      <c r="S8" s="61">
        <v>30000</v>
      </c>
      <c r="T8" s="61">
        <v>1628</v>
      </c>
      <c r="U8" s="61">
        <v>0</v>
      </c>
      <c r="V8" s="61">
        <v>0</v>
      </c>
      <c r="W8" s="61">
        <v>0</v>
      </c>
      <c r="X8" s="61">
        <v>3024</v>
      </c>
      <c r="Y8" s="61">
        <f t="shared" si="1"/>
        <v>34652</v>
      </c>
      <c r="Z8" s="59">
        <f t="shared" si="10"/>
        <v>30000</v>
      </c>
      <c r="AA8" s="59">
        <f t="shared" si="11"/>
        <v>1628</v>
      </c>
      <c r="AB8" s="59">
        <f t="shared" si="12"/>
        <v>0</v>
      </c>
      <c r="AC8" s="59">
        <f t="shared" si="13"/>
        <v>0</v>
      </c>
      <c r="AD8" s="59">
        <f t="shared" si="14"/>
        <v>0</v>
      </c>
      <c r="AE8" s="59">
        <f t="shared" si="15"/>
        <v>3024</v>
      </c>
      <c r="AF8" s="62">
        <f t="shared" si="16"/>
        <v>34652</v>
      </c>
      <c r="AG8" s="59">
        <f t="shared" si="17"/>
        <v>1800</v>
      </c>
      <c r="AH8" s="59">
        <f t="shared" si="18"/>
        <v>0</v>
      </c>
      <c r="AI8" s="62"/>
      <c r="AJ8" s="62"/>
      <c r="AK8" s="63">
        <f t="shared" si="19"/>
        <v>1800</v>
      </c>
      <c r="AL8" s="61">
        <f t="shared" si="20"/>
        <v>32852</v>
      </c>
      <c r="AM8" s="61" t="s">
        <v>195</v>
      </c>
      <c r="AN8" s="64" t="s">
        <v>189</v>
      </c>
      <c r="AO8" s="56" t="s">
        <v>55</v>
      </c>
      <c r="AP8" s="56" t="s">
        <v>52</v>
      </c>
      <c r="AQ8" s="55"/>
    </row>
    <row r="9" spans="1:43" x14ac:dyDescent="0.2">
      <c r="A9" s="54">
        <f t="shared" si="21"/>
        <v>6</v>
      </c>
      <c r="B9" s="54" t="s">
        <v>145</v>
      </c>
      <c r="C9" s="54" t="s">
        <v>166</v>
      </c>
      <c r="D9" s="54" t="s">
        <v>139</v>
      </c>
      <c r="E9" s="55">
        <v>1</v>
      </c>
      <c r="F9" s="56" t="s">
        <v>137</v>
      </c>
      <c r="G9" s="54" t="str">
        <f t="shared" si="0"/>
        <v>UKDDN/ABCD/XYZ37</v>
      </c>
      <c r="H9" s="57" t="s">
        <v>196</v>
      </c>
      <c r="I9" s="58" t="s">
        <v>138</v>
      </c>
      <c r="J9" s="58">
        <v>141</v>
      </c>
      <c r="K9" s="54" t="s">
        <v>3</v>
      </c>
      <c r="L9" s="56" t="s">
        <v>131</v>
      </c>
      <c r="M9" s="59">
        <v>21</v>
      </c>
      <c r="N9" s="59">
        <v>0</v>
      </c>
      <c r="O9" s="59">
        <v>4</v>
      </c>
      <c r="P9" s="59">
        <v>3</v>
      </c>
      <c r="Q9" s="59">
        <v>0</v>
      </c>
      <c r="R9" s="60">
        <f t="shared" si="9"/>
        <v>28</v>
      </c>
      <c r="S9" s="61">
        <v>30000</v>
      </c>
      <c r="T9" s="61">
        <v>1552</v>
      </c>
      <c r="U9" s="61">
        <v>0</v>
      </c>
      <c r="V9" s="61">
        <v>0</v>
      </c>
      <c r="W9" s="61">
        <v>0</v>
      </c>
      <c r="X9" s="61">
        <v>2327</v>
      </c>
      <c r="Y9" s="61">
        <f t="shared" si="1"/>
        <v>33879</v>
      </c>
      <c r="Z9" s="59">
        <f t="shared" si="10"/>
        <v>30000</v>
      </c>
      <c r="AA9" s="59">
        <f t="shared" si="11"/>
        <v>1552</v>
      </c>
      <c r="AB9" s="59">
        <f t="shared" si="12"/>
        <v>0</v>
      </c>
      <c r="AC9" s="59">
        <f t="shared" si="13"/>
        <v>0</v>
      </c>
      <c r="AD9" s="59">
        <f t="shared" si="14"/>
        <v>0</v>
      </c>
      <c r="AE9" s="59">
        <f t="shared" si="15"/>
        <v>2327</v>
      </c>
      <c r="AF9" s="62">
        <f t="shared" si="16"/>
        <v>33879</v>
      </c>
      <c r="AG9" s="59">
        <f t="shared" si="17"/>
        <v>1800</v>
      </c>
      <c r="AH9" s="59">
        <f t="shared" si="18"/>
        <v>0</v>
      </c>
      <c r="AI9" s="62"/>
      <c r="AJ9" s="62"/>
      <c r="AK9" s="63">
        <f t="shared" si="19"/>
        <v>1800</v>
      </c>
      <c r="AL9" s="61">
        <f t="shared" si="20"/>
        <v>32079</v>
      </c>
      <c r="AM9" s="61" t="s">
        <v>196</v>
      </c>
      <c r="AN9" s="64" t="s">
        <v>189</v>
      </c>
      <c r="AO9" s="56" t="s">
        <v>44</v>
      </c>
      <c r="AP9" s="56" t="s">
        <v>45</v>
      </c>
      <c r="AQ9" s="55"/>
    </row>
    <row r="10" spans="1:43" x14ac:dyDescent="0.2">
      <c r="A10" s="54">
        <f t="shared" si="21"/>
        <v>7</v>
      </c>
      <c r="B10" s="54" t="s">
        <v>146</v>
      </c>
      <c r="C10" s="54" t="s">
        <v>167</v>
      </c>
      <c r="D10" s="54" t="s">
        <v>139</v>
      </c>
      <c r="E10" s="55">
        <v>1</v>
      </c>
      <c r="F10" s="56" t="s">
        <v>137</v>
      </c>
      <c r="G10" s="54" t="str">
        <f t="shared" si="0"/>
        <v>UKDDN/ABCD/XYZ38</v>
      </c>
      <c r="H10" s="57" t="s">
        <v>197</v>
      </c>
      <c r="I10" s="58" t="s">
        <v>138</v>
      </c>
      <c r="J10" s="58">
        <v>141</v>
      </c>
      <c r="K10" s="54" t="s">
        <v>5</v>
      </c>
      <c r="L10" s="56" t="s">
        <v>105</v>
      </c>
      <c r="M10" s="59">
        <v>20</v>
      </c>
      <c r="N10" s="59">
        <v>0</v>
      </c>
      <c r="O10" s="59">
        <v>4</v>
      </c>
      <c r="P10" s="59">
        <v>3</v>
      </c>
      <c r="Q10" s="59">
        <v>1</v>
      </c>
      <c r="R10" s="60">
        <f t="shared" si="9"/>
        <v>28</v>
      </c>
      <c r="S10" s="61">
        <v>30000</v>
      </c>
      <c r="T10" s="61">
        <v>1497</v>
      </c>
      <c r="U10" s="61">
        <v>0</v>
      </c>
      <c r="V10" s="61">
        <v>0</v>
      </c>
      <c r="W10" s="61">
        <v>0</v>
      </c>
      <c r="X10" s="61">
        <v>3494</v>
      </c>
      <c r="Y10" s="61">
        <f t="shared" si="1"/>
        <v>34991</v>
      </c>
      <c r="Z10" s="59">
        <f t="shared" si="10"/>
        <v>30000</v>
      </c>
      <c r="AA10" s="59">
        <f t="shared" si="11"/>
        <v>1497</v>
      </c>
      <c r="AB10" s="59">
        <f t="shared" si="12"/>
        <v>0</v>
      </c>
      <c r="AC10" s="59">
        <f t="shared" si="13"/>
        <v>0</v>
      </c>
      <c r="AD10" s="59">
        <f t="shared" si="14"/>
        <v>0</v>
      </c>
      <c r="AE10" s="59">
        <f t="shared" si="15"/>
        <v>3494</v>
      </c>
      <c r="AF10" s="62">
        <f t="shared" si="16"/>
        <v>34991</v>
      </c>
      <c r="AG10" s="59">
        <f t="shared" si="17"/>
        <v>1800</v>
      </c>
      <c r="AH10" s="59">
        <f t="shared" si="18"/>
        <v>0</v>
      </c>
      <c r="AI10" s="62"/>
      <c r="AJ10" s="62">
        <v>2000</v>
      </c>
      <c r="AK10" s="63">
        <f t="shared" si="19"/>
        <v>3800</v>
      </c>
      <c r="AL10" s="61">
        <f t="shared" si="20"/>
        <v>31191</v>
      </c>
      <c r="AM10" s="61" t="s">
        <v>197</v>
      </c>
      <c r="AN10" s="64" t="s">
        <v>189</v>
      </c>
      <c r="AO10" s="56" t="s">
        <v>55</v>
      </c>
      <c r="AP10" s="56" t="s">
        <v>52</v>
      </c>
      <c r="AQ10" s="55"/>
    </row>
    <row r="11" spans="1:43" x14ac:dyDescent="0.2">
      <c r="A11" s="54">
        <f t="shared" si="21"/>
        <v>8</v>
      </c>
      <c r="B11" s="54" t="s">
        <v>147</v>
      </c>
      <c r="C11" s="54" t="s">
        <v>168</v>
      </c>
      <c r="D11" s="54" t="s">
        <v>139</v>
      </c>
      <c r="E11" s="55">
        <v>1</v>
      </c>
      <c r="F11" s="56" t="s">
        <v>137</v>
      </c>
      <c r="G11" s="54" t="str">
        <f t="shared" si="0"/>
        <v>UKDDN/ABCD/XYZ50</v>
      </c>
      <c r="H11" s="57" t="s">
        <v>198</v>
      </c>
      <c r="I11" s="58" t="s">
        <v>138</v>
      </c>
      <c r="J11" s="58">
        <v>186</v>
      </c>
      <c r="K11" s="54" t="s">
        <v>3</v>
      </c>
      <c r="L11" s="56" t="s">
        <v>111</v>
      </c>
      <c r="M11" s="59">
        <v>20</v>
      </c>
      <c r="N11" s="59">
        <v>0</v>
      </c>
      <c r="O11" s="59">
        <v>4</v>
      </c>
      <c r="P11" s="59">
        <v>3</v>
      </c>
      <c r="Q11" s="59">
        <v>1</v>
      </c>
      <c r="R11" s="60">
        <f t="shared" si="9"/>
        <v>28</v>
      </c>
      <c r="S11" s="61">
        <v>30000</v>
      </c>
      <c r="T11" s="61">
        <v>21000</v>
      </c>
      <c r="U11" s="61">
        <v>7000</v>
      </c>
      <c r="V11" s="61">
        <v>2800</v>
      </c>
      <c r="W11" s="61">
        <v>0</v>
      </c>
      <c r="X11" s="61">
        <v>0</v>
      </c>
      <c r="Y11" s="61">
        <f t="shared" si="1"/>
        <v>60800</v>
      </c>
      <c r="Z11" s="59">
        <f t="shared" si="10"/>
        <v>30000</v>
      </c>
      <c r="AA11" s="59">
        <f t="shared" si="11"/>
        <v>21000</v>
      </c>
      <c r="AB11" s="59">
        <f t="shared" si="12"/>
        <v>7000</v>
      </c>
      <c r="AC11" s="59">
        <f t="shared" si="13"/>
        <v>2800</v>
      </c>
      <c r="AD11" s="59">
        <f t="shared" si="14"/>
        <v>0</v>
      </c>
      <c r="AE11" s="59">
        <f t="shared" si="15"/>
        <v>0</v>
      </c>
      <c r="AF11" s="62">
        <f t="shared" si="16"/>
        <v>60800</v>
      </c>
      <c r="AG11" s="59">
        <f t="shared" si="17"/>
        <v>1800</v>
      </c>
      <c r="AH11" s="59">
        <f t="shared" si="18"/>
        <v>0</v>
      </c>
      <c r="AI11" s="62"/>
      <c r="AJ11" s="62">
        <v>5000</v>
      </c>
      <c r="AK11" s="63">
        <f t="shared" si="19"/>
        <v>6800</v>
      </c>
      <c r="AL11" s="61">
        <f t="shared" si="20"/>
        <v>54000</v>
      </c>
      <c r="AM11" s="61" t="s">
        <v>198</v>
      </c>
      <c r="AN11" s="64" t="s">
        <v>189</v>
      </c>
      <c r="AO11" s="56" t="s">
        <v>47</v>
      </c>
      <c r="AP11" s="56" t="s">
        <v>48</v>
      </c>
      <c r="AQ11" s="55"/>
    </row>
    <row r="12" spans="1:43" x14ac:dyDescent="0.2">
      <c r="A12" s="54">
        <f t="shared" si="21"/>
        <v>9</v>
      </c>
      <c r="B12" s="54" t="s">
        <v>148</v>
      </c>
      <c r="C12" s="54" t="s">
        <v>169</v>
      </c>
      <c r="D12" s="54" t="s">
        <v>139</v>
      </c>
      <c r="E12" s="55">
        <v>1</v>
      </c>
      <c r="F12" s="56" t="s">
        <v>137</v>
      </c>
      <c r="G12" s="54" t="str">
        <f t="shared" si="0"/>
        <v>UKDDN/ABCD/XYZ54</v>
      </c>
      <c r="H12" s="57" t="s">
        <v>199</v>
      </c>
      <c r="I12" s="58" t="s">
        <v>138</v>
      </c>
      <c r="J12" s="58">
        <v>200</v>
      </c>
      <c r="K12" s="54" t="s">
        <v>6</v>
      </c>
      <c r="L12" s="56" t="s">
        <v>107</v>
      </c>
      <c r="M12" s="59">
        <v>21</v>
      </c>
      <c r="N12" s="59">
        <v>0</v>
      </c>
      <c r="O12" s="59">
        <v>4</v>
      </c>
      <c r="P12" s="59">
        <v>3</v>
      </c>
      <c r="Q12" s="59">
        <v>0</v>
      </c>
      <c r="R12" s="60">
        <f t="shared" si="9"/>
        <v>28</v>
      </c>
      <c r="S12" s="61">
        <v>30000</v>
      </c>
      <c r="T12" s="61">
        <v>3295</v>
      </c>
      <c r="U12" s="61">
        <v>0</v>
      </c>
      <c r="V12" s="61">
        <v>0</v>
      </c>
      <c r="W12" s="61">
        <v>0</v>
      </c>
      <c r="X12" s="61">
        <v>9884</v>
      </c>
      <c r="Y12" s="61">
        <f t="shared" si="1"/>
        <v>43179</v>
      </c>
      <c r="Z12" s="59">
        <f t="shared" si="10"/>
        <v>30000</v>
      </c>
      <c r="AA12" s="59">
        <f t="shared" si="11"/>
        <v>3295</v>
      </c>
      <c r="AB12" s="59">
        <f t="shared" si="12"/>
        <v>0</v>
      </c>
      <c r="AC12" s="59">
        <f t="shared" si="13"/>
        <v>0</v>
      </c>
      <c r="AD12" s="59">
        <f t="shared" si="14"/>
        <v>0</v>
      </c>
      <c r="AE12" s="59">
        <f t="shared" si="15"/>
        <v>9884</v>
      </c>
      <c r="AF12" s="62">
        <f t="shared" si="16"/>
        <v>43179</v>
      </c>
      <c r="AG12" s="59">
        <f t="shared" si="17"/>
        <v>1800</v>
      </c>
      <c r="AH12" s="59">
        <f t="shared" si="18"/>
        <v>0</v>
      </c>
      <c r="AI12" s="62"/>
      <c r="AJ12" s="62"/>
      <c r="AK12" s="63">
        <f t="shared" si="19"/>
        <v>1800</v>
      </c>
      <c r="AL12" s="61">
        <f t="shared" si="20"/>
        <v>41379</v>
      </c>
      <c r="AM12" s="61" t="s">
        <v>199</v>
      </c>
      <c r="AN12" s="64" t="s">
        <v>189</v>
      </c>
      <c r="AO12" s="56" t="s">
        <v>47</v>
      </c>
      <c r="AP12" s="56" t="s">
        <v>49</v>
      </c>
      <c r="AQ12" s="55"/>
    </row>
    <row r="13" spans="1:43" x14ac:dyDescent="0.2">
      <c r="A13" s="54">
        <f t="shared" si="21"/>
        <v>10</v>
      </c>
      <c r="B13" s="54" t="s">
        <v>149</v>
      </c>
      <c r="C13" s="54" t="s">
        <v>170</v>
      </c>
      <c r="D13" s="54" t="s">
        <v>139</v>
      </c>
      <c r="E13" s="55">
        <v>1</v>
      </c>
      <c r="F13" s="56" t="s">
        <v>137</v>
      </c>
      <c r="G13" s="54" t="str">
        <f t="shared" si="0"/>
        <v>UKDDN/ABCD/XYZ58</v>
      </c>
      <c r="H13" s="57" t="s">
        <v>200</v>
      </c>
      <c r="I13" s="58" t="s">
        <v>138</v>
      </c>
      <c r="J13" s="58">
        <v>214</v>
      </c>
      <c r="K13" s="54" t="s">
        <v>6</v>
      </c>
      <c r="L13" s="56" t="s">
        <v>110</v>
      </c>
      <c r="M13" s="59">
        <v>20</v>
      </c>
      <c r="N13" s="59">
        <v>0</v>
      </c>
      <c r="O13" s="59">
        <v>4</v>
      </c>
      <c r="P13" s="59">
        <v>3</v>
      </c>
      <c r="Q13" s="59">
        <v>1</v>
      </c>
      <c r="R13" s="60">
        <f t="shared" si="9"/>
        <v>28</v>
      </c>
      <c r="S13" s="61">
        <v>30000</v>
      </c>
      <c r="T13" s="61">
        <v>2288</v>
      </c>
      <c r="U13" s="61">
        <v>0</v>
      </c>
      <c r="V13" s="61">
        <v>0</v>
      </c>
      <c r="W13" s="61">
        <v>0</v>
      </c>
      <c r="X13" s="61">
        <v>5338</v>
      </c>
      <c r="Y13" s="61">
        <f t="shared" si="1"/>
        <v>37626</v>
      </c>
      <c r="Z13" s="59">
        <f t="shared" si="10"/>
        <v>30000</v>
      </c>
      <c r="AA13" s="59">
        <f t="shared" si="11"/>
        <v>2288</v>
      </c>
      <c r="AB13" s="59">
        <f t="shared" si="12"/>
        <v>0</v>
      </c>
      <c r="AC13" s="59">
        <f t="shared" si="13"/>
        <v>0</v>
      </c>
      <c r="AD13" s="59">
        <f t="shared" si="14"/>
        <v>0</v>
      </c>
      <c r="AE13" s="59">
        <f t="shared" si="15"/>
        <v>5338</v>
      </c>
      <c r="AF13" s="62">
        <f t="shared" si="16"/>
        <v>37626</v>
      </c>
      <c r="AG13" s="59">
        <f t="shared" si="17"/>
        <v>1800</v>
      </c>
      <c r="AH13" s="59">
        <f t="shared" si="18"/>
        <v>0</v>
      </c>
      <c r="AI13" s="62"/>
      <c r="AJ13" s="62"/>
      <c r="AK13" s="63">
        <f t="shared" si="19"/>
        <v>1800</v>
      </c>
      <c r="AL13" s="61">
        <f t="shared" si="20"/>
        <v>35826</v>
      </c>
      <c r="AM13" s="61" t="s">
        <v>200</v>
      </c>
      <c r="AN13" s="64" t="s">
        <v>189</v>
      </c>
      <c r="AO13" s="56" t="s">
        <v>55</v>
      </c>
      <c r="AP13" s="56" t="s">
        <v>52</v>
      </c>
      <c r="AQ13" s="55"/>
    </row>
    <row r="14" spans="1:43" x14ac:dyDescent="0.2">
      <c r="A14" s="54">
        <f t="shared" si="21"/>
        <v>11</v>
      </c>
      <c r="B14" s="54" t="s">
        <v>150</v>
      </c>
      <c r="C14" s="54" t="s">
        <v>171</v>
      </c>
      <c r="D14" s="54" t="s">
        <v>139</v>
      </c>
      <c r="E14" s="55">
        <v>1</v>
      </c>
      <c r="F14" s="56" t="s">
        <v>137</v>
      </c>
      <c r="G14" s="54" t="str">
        <f t="shared" si="0"/>
        <v>UKDDN/ABCD/XYZ64</v>
      </c>
      <c r="H14" s="57" t="s">
        <v>201</v>
      </c>
      <c r="I14" s="58" t="s">
        <v>138</v>
      </c>
      <c r="J14" s="58">
        <v>221</v>
      </c>
      <c r="K14" s="54" t="s">
        <v>5</v>
      </c>
      <c r="L14" s="56" t="s">
        <v>105</v>
      </c>
      <c r="M14" s="59">
        <v>19</v>
      </c>
      <c r="N14" s="59">
        <v>0</v>
      </c>
      <c r="O14" s="59">
        <v>4</v>
      </c>
      <c r="P14" s="59">
        <v>3</v>
      </c>
      <c r="Q14" s="59">
        <v>2</v>
      </c>
      <c r="R14" s="60">
        <f t="shared" si="9"/>
        <v>28</v>
      </c>
      <c r="S14" s="61">
        <v>30000</v>
      </c>
      <c r="T14" s="61">
        <v>2430</v>
      </c>
      <c r="U14" s="61">
        <v>0</v>
      </c>
      <c r="V14" s="61">
        <v>0</v>
      </c>
      <c r="W14" s="61">
        <v>0</v>
      </c>
      <c r="X14" s="61">
        <v>5669</v>
      </c>
      <c r="Y14" s="61">
        <f t="shared" si="1"/>
        <v>38099</v>
      </c>
      <c r="Z14" s="59">
        <f t="shared" si="10"/>
        <v>30000</v>
      </c>
      <c r="AA14" s="59">
        <f t="shared" si="11"/>
        <v>2430</v>
      </c>
      <c r="AB14" s="59">
        <f t="shared" si="12"/>
        <v>0</v>
      </c>
      <c r="AC14" s="59">
        <f t="shared" si="13"/>
        <v>0</v>
      </c>
      <c r="AD14" s="59">
        <f t="shared" si="14"/>
        <v>0</v>
      </c>
      <c r="AE14" s="59">
        <f t="shared" si="15"/>
        <v>5669</v>
      </c>
      <c r="AF14" s="62">
        <f t="shared" si="16"/>
        <v>38099</v>
      </c>
      <c r="AG14" s="59">
        <f t="shared" si="17"/>
        <v>1800</v>
      </c>
      <c r="AH14" s="59">
        <f t="shared" si="18"/>
        <v>0</v>
      </c>
      <c r="AI14" s="62"/>
      <c r="AJ14" s="62"/>
      <c r="AK14" s="63">
        <f t="shared" si="19"/>
        <v>1800</v>
      </c>
      <c r="AL14" s="61">
        <f t="shared" si="20"/>
        <v>36299</v>
      </c>
      <c r="AM14" s="61" t="s">
        <v>201</v>
      </c>
      <c r="AN14" s="64" t="s">
        <v>189</v>
      </c>
      <c r="AO14" s="56" t="s">
        <v>50</v>
      </c>
      <c r="AP14" s="56" t="s">
        <v>51</v>
      </c>
      <c r="AQ14" s="55"/>
    </row>
    <row r="15" spans="1:43" x14ac:dyDescent="0.2">
      <c r="A15" s="54">
        <f t="shared" si="21"/>
        <v>12</v>
      </c>
      <c r="B15" s="54" t="s">
        <v>151</v>
      </c>
      <c r="C15" s="54" t="s">
        <v>172</v>
      </c>
      <c r="D15" s="54" t="s">
        <v>139</v>
      </c>
      <c r="E15" s="55">
        <v>1</v>
      </c>
      <c r="F15" s="56" t="s">
        <v>137</v>
      </c>
      <c r="G15" s="54" t="str">
        <f t="shared" si="0"/>
        <v>UKDDN/ABCD/XYZ70</v>
      </c>
      <c r="H15" s="57" t="s">
        <v>202</v>
      </c>
      <c r="I15" s="58" t="s">
        <v>138</v>
      </c>
      <c r="J15" s="58">
        <v>226</v>
      </c>
      <c r="K15" s="54" t="s">
        <v>6</v>
      </c>
      <c r="L15" s="56" t="s">
        <v>9</v>
      </c>
      <c r="M15" s="59">
        <v>20</v>
      </c>
      <c r="N15" s="59">
        <v>0</v>
      </c>
      <c r="O15" s="59">
        <v>4</v>
      </c>
      <c r="P15" s="59">
        <v>3</v>
      </c>
      <c r="Q15" s="59">
        <v>1</v>
      </c>
      <c r="R15" s="60">
        <f t="shared" si="9"/>
        <v>28</v>
      </c>
      <c r="S15" s="61">
        <v>30000</v>
      </c>
      <c r="T15" s="61">
        <v>1635</v>
      </c>
      <c r="U15" s="61">
        <v>0</v>
      </c>
      <c r="V15" s="61">
        <v>0</v>
      </c>
      <c r="W15" s="61">
        <v>0</v>
      </c>
      <c r="X15" s="61">
        <v>3035</v>
      </c>
      <c r="Y15" s="61">
        <f t="shared" si="1"/>
        <v>34670</v>
      </c>
      <c r="Z15" s="59">
        <f t="shared" si="10"/>
        <v>30000</v>
      </c>
      <c r="AA15" s="59">
        <f t="shared" si="11"/>
        <v>1635</v>
      </c>
      <c r="AB15" s="59">
        <f t="shared" si="12"/>
        <v>0</v>
      </c>
      <c r="AC15" s="59">
        <f t="shared" si="13"/>
        <v>0</v>
      </c>
      <c r="AD15" s="59">
        <f t="shared" si="14"/>
        <v>0</v>
      </c>
      <c r="AE15" s="59">
        <f t="shared" si="15"/>
        <v>3035</v>
      </c>
      <c r="AF15" s="62">
        <f t="shared" si="16"/>
        <v>34670</v>
      </c>
      <c r="AG15" s="59">
        <f t="shared" si="17"/>
        <v>1800</v>
      </c>
      <c r="AH15" s="59">
        <f t="shared" si="18"/>
        <v>0</v>
      </c>
      <c r="AI15" s="62"/>
      <c r="AJ15" s="62"/>
      <c r="AK15" s="63">
        <f t="shared" si="19"/>
        <v>1800</v>
      </c>
      <c r="AL15" s="61">
        <f t="shared" si="20"/>
        <v>32870</v>
      </c>
      <c r="AM15" s="61" t="s">
        <v>202</v>
      </c>
      <c r="AN15" s="64" t="s">
        <v>189</v>
      </c>
      <c r="AO15" s="56" t="s">
        <v>55</v>
      </c>
      <c r="AP15" s="56" t="s">
        <v>52</v>
      </c>
      <c r="AQ15" s="55"/>
    </row>
    <row r="16" spans="1:43" x14ac:dyDescent="0.2">
      <c r="A16" s="54">
        <f t="shared" si="21"/>
        <v>13</v>
      </c>
      <c r="B16" s="54" t="s">
        <v>152</v>
      </c>
      <c r="C16" s="54" t="s">
        <v>173</v>
      </c>
      <c r="D16" s="54" t="s">
        <v>139</v>
      </c>
      <c r="E16" s="55">
        <v>1</v>
      </c>
      <c r="F16" s="56" t="s">
        <v>137</v>
      </c>
      <c r="G16" s="54" t="str">
        <f t="shared" si="0"/>
        <v>UKDDN/ABCD/XYZ71</v>
      </c>
      <c r="H16" s="57" t="s">
        <v>203</v>
      </c>
      <c r="I16" s="58" t="s">
        <v>138</v>
      </c>
      <c r="J16" s="58">
        <v>229</v>
      </c>
      <c r="K16" s="54" t="s">
        <v>3</v>
      </c>
      <c r="L16" s="56" t="s">
        <v>128</v>
      </c>
      <c r="M16" s="59">
        <v>21</v>
      </c>
      <c r="N16" s="59">
        <v>0</v>
      </c>
      <c r="O16" s="59">
        <v>4</v>
      </c>
      <c r="P16" s="59">
        <v>3</v>
      </c>
      <c r="Q16" s="59">
        <v>0</v>
      </c>
      <c r="R16" s="60">
        <f t="shared" si="9"/>
        <v>28</v>
      </c>
      <c r="S16" s="61">
        <v>30000</v>
      </c>
      <c r="T16" s="61">
        <v>2244</v>
      </c>
      <c r="U16" s="61">
        <v>0</v>
      </c>
      <c r="V16" s="61">
        <v>0</v>
      </c>
      <c r="W16" s="61">
        <v>0</v>
      </c>
      <c r="X16" s="61">
        <v>4167</v>
      </c>
      <c r="Y16" s="61">
        <f t="shared" si="1"/>
        <v>36411</v>
      </c>
      <c r="Z16" s="59">
        <f t="shared" si="10"/>
        <v>30000</v>
      </c>
      <c r="AA16" s="59">
        <f t="shared" si="11"/>
        <v>2244</v>
      </c>
      <c r="AB16" s="59">
        <f t="shared" si="12"/>
        <v>0</v>
      </c>
      <c r="AC16" s="59">
        <f t="shared" si="13"/>
        <v>0</v>
      </c>
      <c r="AD16" s="59">
        <f t="shared" si="14"/>
        <v>0</v>
      </c>
      <c r="AE16" s="59">
        <f t="shared" si="15"/>
        <v>4167</v>
      </c>
      <c r="AF16" s="62">
        <f t="shared" si="16"/>
        <v>36411</v>
      </c>
      <c r="AG16" s="59">
        <f t="shared" si="17"/>
        <v>1800</v>
      </c>
      <c r="AH16" s="59">
        <f t="shared" si="18"/>
        <v>0</v>
      </c>
      <c r="AI16" s="62"/>
      <c r="AJ16" s="62">
        <v>1000</v>
      </c>
      <c r="AK16" s="63">
        <f t="shared" si="19"/>
        <v>2800</v>
      </c>
      <c r="AL16" s="61">
        <f t="shared" si="20"/>
        <v>33611</v>
      </c>
      <c r="AM16" s="61" t="s">
        <v>203</v>
      </c>
      <c r="AN16" s="64" t="s">
        <v>189</v>
      </c>
      <c r="AO16" s="56" t="s">
        <v>55</v>
      </c>
      <c r="AP16" s="56" t="s">
        <v>52</v>
      </c>
      <c r="AQ16" s="55"/>
    </row>
    <row r="17" spans="1:43" x14ac:dyDescent="0.2">
      <c r="A17" s="54">
        <f t="shared" si="21"/>
        <v>14</v>
      </c>
      <c r="B17" s="54" t="s">
        <v>153</v>
      </c>
      <c r="C17" s="54" t="s">
        <v>174</v>
      </c>
      <c r="D17" s="54" t="s">
        <v>139</v>
      </c>
      <c r="E17" s="55">
        <v>1</v>
      </c>
      <c r="F17" s="56" t="s">
        <v>137</v>
      </c>
      <c r="G17" s="54" t="str">
        <f t="shared" si="0"/>
        <v>UKDDN/ABCD/XYZ76</v>
      </c>
      <c r="H17" s="57" t="s">
        <v>204</v>
      </c>
      <c r="I17" s="58" t="s">
        <v>138</v>
      </c>
      <c r="J17" s="58">
        <v>236</v>
      </c>
      <c r="K17" s="54" t="s">
        <v>3</v>
      </c>
      <c r="L17" s="56" t="s">
        <v>129</v>
      </c>
      <c r="M17" s="59">
        <v>21</v>
      </c>
      <c r="N17" s="59">
        <v>0</v>
      </c>
      <c r="O17" s="59">
        <v>4</v>
      </c>
      <c r="P17" s="59">
        <v>3</v>
      </c>
      <c r="Q17" s="59">
        <v>0</v>
      </c>
      <c r="R17" s="60">
        <f t="shared" si="9"/>
        <v>28</v>
      </c>
      <c r="S17" s="61">
        <v>30000</v>
      </c>
      <c r="T17" s="61">
        <v>1796</v>
      </c>
      <c r="U17" s="61">
        <v>0</v>
      </c>
      <c r="V17" s="61">
        <v>0</v>
      </c>
      <c r="W17" s="61">
        <v>0</v>
      </c>
      <c r="X17" s="61">
        <v>7182</v>
      </c>
      <c r="Y17" s="61">
        <f t="shared" si="1"/>
        <v>38978</v>
      </c>
      <c r="Z17" s="59">
        <f t="shared" si="10"/>
        <v>30000</v>
      </c>
      <c r="AA17" s="59">
        <f t="shared" si="11"/>
        <v>1796</v>
      </c>
      <c r="AB17" s="59">
        <f t="shared" si="12"/>
        <v>0</v>
      </c>
      <c r="AC17" s="59">
        <f t="shared" si="13"/>
        <v>0</v>
      </c>
      <c r="AD17" s="59">
        <f t="shared" si="14"/>
        <v>0</v>
      </c>
      <c r="AE17" s="59">
        <f t="shared" si="15"/>
        <v>7182</v>
      </c>
      <c r="AF17" s="62">
        <f t="shared" si="16"/>
        <v>38978</v>
      </c>
      <c r="AG17" s="59">
        <f t="shared" si="17"/>
        <v>1800</v>
      </c>
      <c r="AH17" s="59">
        <f t="shared" si="18"/>
        <v>0</v>
      </c>
      <c r="AI17" s="62"/>
      <c r="AJ17" s="62"/>
      <c r="AK17" s="63">
        <f t="shared" si="19"/>
        <v>1800</v>
      </c>
      <c r="AL17" s="61">
        <f t="shared" si="20"/>
        <v>37178</v>
      </c>
      <c r="AM17" s="61" t="s">
        <v>204</v>
      </c>
      <c r="AN17" s="64" t="s">
        <v>189</v>
      </c>
      <c r="AO17" s="56" t="s">
        <v>55</v>
      </c>
      <c r="AP17" s="56" t="s">
        <v>52</v>
      </c>
      <c r="AQ17" s="55"/>
    </row>
    <row r="18" spans="1:43" x14ac:dyDescent="0.2">
      <c r="A18" s="54">
        <f t="shared" si="21"/>
        <v>15</v>
      </c>
      <c r="B18" s="54" t="s">
        <v>154</v>
      </c>
      <c r="C18" s="54" t="s">
        <v>175</v>
      </c>
      <c r="D18" s="54" t="s">
        <v>139</v>
      </c>
      <c r="E18" s="55">
        <v>1</v>
      </c>
      <c r="F18" s="56" t="s">
        <v>137</v>
      </c>
      <c r="G18" s="54" t="str">
        <f t="shared" si="0"/>
        <v>UKDDN/ABCD/XYZ80</v>
      </c>
      <c r="H18" s="57" t="s">
        <v>205</v>
      </c>
      <c r="I18" s="58" t="s">
        <v>138</v>
      </c>
      <c r="J18" s="58">
        <v>245</v>
      </c>
      <c r="K18" s="54" t="s">
        <v>5</v>
      </c>
      <c r="L18" s="56" t="s">
        <v>126</v>
      </c>
      <c r="M18" s="59">
        <v>21</v>
      </c>
      <c r="N18" s="59">
        <v>0</v>
      </c>
      <c r="O18" s="59">
        <v>4</v>
      </c>
      <c r="P18" s="59">
        <v>3</v>
      </c>
      <c r="Q18" s="59">
        <v>0</v>
      </c>
      <c r="R18" s="60">
        <f t="shared" si="9"/>
        <v>28</v>
      </c>
      <c r="S18" s="61">
        <v>30000</v>
      </c>
      <c r="T18" s="61">
        <v>13652.8</v>
      </c>
      <c r="U18" s="61">
        <v>5600</v>
      </c>
      <c r="V18" s="61">
        <v>0</v>
      </c>
      <c r="W18" s="61">
        <v>0</v>
      </c>
      <c r="X18" s="61">
        <v>0</v>
      </c>
      <c r="Y18" s="61">
        <f t="shared" si="1"/>
        <v>49252.800000000003</v>
      </c>
      <c r="Z18" s="59">
        <f t="shared" si="10"/>
        <v>30000</v>
      </c>
      <c r="AA18" s="59">
        <f t="shared" si="11"/>
        <v>13653</v>
      </c>
      <c r="AB18" s="59">
        <f t="shared" si="12"/>
        <v>5600</v>
      </c>
      <c r="AC18" s="59">
        <f t="shared" si="13"/>
        <v>0</v>
      </c>
      <c r="AD18" s="59">
        <f t="shared" si="14"/>
        <v>0</v>
      </c>
      <c r="AE18" s="59">
        <f t="shared" si="15"/>
        <v>0</v>
      </c>
      <c r="AF18" s="62">
        <f t="shared" si="16"/>
        <v>49253</v>
      </c>
      <c r="AG18" s="59">
        <f t="shared" si="17"/>
        <v>1800</v>
      </c>
      <c r="AH18" s="59">
        <f t="shared" si="18"/>
        <v>0</v>
      </c>
      <c r="AI18" s="62"/>
      <c r="AJ18" s="62"/>
      <c r="AK18" s="63">
        <f t="shared" si="19"/>
        <v>1800</v>
      </c>
      <c r="AL18" s="61">
        <f t="shared" si="20"/>
        <v>47453</v>
      </c>
      <c r="AM18" s="61" t="s">
        <v>205</v>
      </c>
      <c r="AN18" s="64" t="s">
        <v>189</v>
      </c>
      <c r="AO18" s="56" t="s">
        <v>55</v>
      </c>
      <c r="AP18" s="56" t="s">
        <v>52</v>
      </c>
      <c r="AQ18" s="55"/>
    </row>
    <row r="19" spans="1:43" x14ac:dyDescent="0.2">
      <c r="A19" s="54">
        <f t="shared" si="21"/>
        <v>16</v>
      </c>
      <c r="B19" s="54" t="s">
        <v>155</v>
      </c>
      <c r="C19" s="54" t="s">
        <v>176</v>
      </c>
      <c r="D19" s="54" t="s">
        <v>139</v>
      </c>
      <c r="E19" s="55">
        <v>1</v>
      </c>
      <c r="F19" s="56" t="s">
        <v>137</v>
      </c>
      <c r="G19" s="54" t="str">
        <f t="shared" si="0"/>
        <v>UKDDN/ABCD/XYZ86</v>
      </c>
      <c r="H19" s="57" t="s">
        <v>206</v>
      </c>
      <c r="I19" s="58" t="s">
        <v>138</v>
      </c>
      <c r="J19" s="58">
        <v>259</v>
      </c>
      <c r="K19" s="54" t="s">
        <v>13</v>
      </c>
      <c r="L19" s="56" t="s">
        <v>109</v>
      </c>
      <c r="M19" s="59">
        <v>21</v>
      </c>
      <c r="N19" s="59">
        <v>0</v>
      </c>
      <c r="O19" s="59">
        <v>4</v>
      </c>
      <c r="P19" s="59">
        <v>3</v>
      </c>
      <c r="Q19" s="59">
        <v>0</v>
      </c>
      <c r="R19" s="60">
        <f t="shared" si="9"/>
        <v>28</v>
      </c>
      <c r="S19" s="61">
        <v>30000</v>
      </c>
      <c r="T19" s="61">
        <v>12296</v>
      </c>
      <c r="U19" s="61">
        <v>5700</v>
      </c>
      <c r="V19" s="61">
        <v>0</v>
      </c>
      <c r="W19" s="61">
        <v>0</v>
      </c>
      <c r="X19" s="61">
        <v>0</v>
      </c>
      <c r="Y19" s="61">
        <f t="shared" si="1"/>
        <v>47996</v>
      </c>
      <c r="Z19" s="59">
        <f t="shared" si="10"/>
        <v>30000</v>
      </c>
      <c r="AA19" s="59">
        <f t="shared" si="11"/>
        <v>12296</v>
      </c>
      <c r="AB19" s="59">
        <f t="shared" si="12"/>
        <v>5700</v>
      </c>
      <c r="AC19" s="59">
        <f t="shared" si="13"/>
        <v>0</v>
      </c>
      <c r="AD19" s="59">
        <f t="shared" si="14"/>
        <v>0</v>
      </c>
      <c r="AE19" s="59">
        <f t="shared" si="15"/>
        <v>0</v>
      </c>
      <c r="AF19" s="62">
        <f t="shared" si="16"/>
        <v>47996</v>
      </c>
      <c r="AG19" s="59">
        <f t="shared" si="17"/>
        <v>1800</v>
      </c>
      <c r="AH19" s="59">
        <f t="shared" si="18"/>
        <v>0</v>
      </c>
      <c r="AI19" s="62"/>
      <c r="AJ19" s="62"/>
      <c r="AK19" s="63">
        <f t="shared" si="19"/>
        <v>1800</v>
      </c>
      <c r="AL19" s="61">
        <f t="shared" si="20"/>
        <v>46196</v>
      </c>
      <c r="AM19" s="61" t="s">
        <v>206</v>
      </c>
      <c r="AN19" s="64" t="s">
        <v>189</v>
      </c>
      <c r="AO19" s="56" t="s">
        <v>40</v>
      </c>
      <c r="AP19" s="56" t="s">
        <v>41</v>
      </c>
      <c r="AQ19" s="55"/>
    </row>
    <row r="20" spans="1:43" x14ac:dyDescent="0.2">
      <c r="A20" s="54">
        <f t="shared" si="21"/>
        <v>17</v>
      </c>
      <c r="B20" s="54" t="s">
        <v>156</v>
      </c>
      <c r="C20" s="54" t="s">
        <v>177</v>
      </c>
      <c r="D20" s="54" t="s">
        <v>139</v>
      </c>
      <c r="E20" s="55">
        <v>1</v>
      </c>
      <c r="F20" s="56" t="s">
        <v>137</v>
      </c>
      <c r="G20" s="54" t="str">
        <f t="shared" si="0"/>
        <v>UKDDN/ABCD/XYZ94</v>
      </c>
      <c r="H20" s="57" t="s">
        <v>207</v>
      </c>
      <c r="I20" s="58" t="s">
        <v>138</v>
      </c>
      <c r="J20" s="58">
        <v>294</v>
      </c>
      <c r="K20" s="54" t="s">
        <v>4</v>
      </c>
      <c r="L20" s="56" t="s">
        <v>112</v>
      </c>
      <c r="M20" s="59">
        <v>20</v>
      </c>
      <c r="N20" s="59">
        <v>0</v>
      </c>
      <c r="O20" s="59">
        <v>4</v>
      </c>
      <c r="P20" s="59">
        <v>3</v>
      </c>
      <c r="Q20" s="59">
        <v>1</v>
      </c>
      <c r="R20" s="60">
        <f t="shared" si="9"/>
        <v>28</v>
      </c>
      <c r="S20" s="61">
        <v>30000</v>
      </c>
      <c r="T20" s="61">
        <v>19000</v>
      </c>
      <c r="U20" s="61">
        <v>4750</v>
      </c>
      <c r="V20" s="61">
        <v>0</v>
      </c>
      <c r="W20" s="61">
        <v>0</v>
      </c>
      <c r="X20" s="61">
        <v>2000</v>
      </c>
      <c r="Y20" s="61">
        <f t="shared" si="1"/>
        <v>55750</v>
      </c>
      <c r="Z20" s="59">
        <f t="shared" si="10"/>
        <v>30000</v>
      </c>
      <c r="AA20" s="59">
        <f t="shared" si="11"/>
        <v>19000</v>
      </c>
      <c r="AB20" s="59">
        <f t="shared" si="12"/>
        <v>4750</v>
      </c>
      <c r="AC20" s="59">
        <f t="shared" si="13"/>
        <v>0</v>
      </c>
      <c r="AD20" s="59">
        <f t="shared" si="14"/>
        <v>0</v>
      </c>
      <c r="AE20" s="59">
        <f t="shared" si="15"/>
        <v>2000</v>
      </c>
      <c r="AF20" s="62">
        <f t="shared" si="16"/>
        <v>55750</v>
      </c>
      <c r="AG20" s="59">
        <f t="shared" si="17"/>
        <v>1800</v>
      </c>
      <c r="AH20" s="59">
        <f t="shared" si="18"/>
        <v>0</v>
      </c>
      <c r="AI20" s="62"/>
      <c r="AJ20" s="62"/>
      <c r="AK20" s="63">
        <f t="shared" si="19"/>
        <v>1800</v>
      </c>
      <c r="AL20" s="61">
        <f t="shared" si="20"/>
        <v>53950</v>
      </c>
      <c r="AM20" s="61" t="s">
        <v>207</v>
      </c>
      <c r="AN20" s="64" t="s">
        <v>189</v>
      </c>
      <c r="AO20" s="56" t="s">
        <v>47</v>
      </c>
      <c r="AP20" s="56" t="s">
        <v>48</v>
      </c>
      <c r="AQ20" s="55"/>
    </row>
    <row r="21" spans="1:43" x14ac:dyDescent="0.2">
      <c r="A21" s="54">
        <f>+A20+1</f>
        <v>18</v>
      </c>
      <c r="B21" s="54" t="s">
        <v>157</v>
      </c>
      <c r="C21" s="54" t="s">
        <v>178</v>
      </c>
      <c r="D21" s="54" t="s">
        <v>139</v>
      </c>
      <c r="E21" s="55">
        <v>1</v>
      </c>
      <c r="F21" s="56" t="s">
        <v>137</v>
      </c>
      <c r="G21" s="54" t="str">
        <f t="shared" si="0"/>
        <v>UKDDN/ABCD/XYZ96</v>
      </c>
      <c r="H21" s="57" t="s">
        <v>208</v>
      </c>
      <c r="I21" s="58" t="s">
        <v>138</v>
      </c>
      <c r="J21" s="58">
        <v>307</v>
      </c>
      <c r="K21" s="54" t="s">
        <v>4</v>
      </c>
      <c r="L21" s="56" t="s">
        <v>12</v>
      </c>
      <c r="M21" s="59">
        <v>20</v>
      </c>
      <c r="N21" s="59">
        <v>0</v>
      </c>
      <c r="O21" s="59">
        <v>3</v>
      </c>
      <c r="P21" s="59">
        <v>3</v>
      </c>
      <c r="Q21" s="59">
        <v>2</v>
      </c>
      <c r="R21" s="60">
        <f t="shared" si="9"/>
        <v>28</v>
      </c>
      <c r="S21" s="61">
        <v>30000</v>
      </c>
      <c r="T21" s="61">
        <v>1491</v>
      </c>
      <c r="U21" s="61">
        <v>0</v>
      </c>
      <c r="V21" s="61">
        <v>0</v>
      </c>
      <c r="W21" s="61">
        <v>0</v>
      </c>
      <c r="X21" s="61">
        <v>2770</v>
      </c>
      <c r="Y21" s="61">
        <f t="shared" si="1"/>
        <v>34261</v>
      </c>
      <c r="Z21" s="59">
        <f t="shared" si="10"/>
        <v>30000</v>
      </c>
      <c r="AA21" s="59">
        <f t="shared" si="11"/>
        <v>1491</v>
      </c>
      <c r="AB21" s="59">
        <f t="shared" si="12"/>
        <v>0</v>
      </c>
      <c r="AC21" s="59">
        <f t="shared" si="13"/>
        <v>0</v>
      </c>
      <c r="AD21" s="59">
        <f t="shared" si="14"/>
        <v>0</v>
      </c>
      <c r="AE21" s="59">
        <f t="shared" si="15"/>
        <v>2770</v>
      </c>
      <c r="AF21" s="62">
        <f t="shared" si="16"/>
        <v>34261</v>
      </c>
      <c r="AG21" s="59">
        <f t="shared" si="17"/>
        <v>1800</v>
      </c>
      <c r="AH21" s="59">
        <f t="shared" si="18"/>
        <v>0</v>
      </c>
      <c r="AI21" s="62"/>
      <c r="AJ21" s="62"/>
      <c r="AK21" s="63">
        <f t="shared" si="19"/>
        <v>1800</v>
      </c>
      <c r="AL21" s="61">
        <f t="shared" si="20"/>
        <v>32461</v>
      </c>
      <c r="AM21" s="61" t="s">
        <v>208</v>
      </c>
      <c r="AN21" s="64" t="s">
        <v>189</v>
      </c>
      <c r="AO21" s="56" t="s">
        <v>42</v>
      </c>
      <c r="AP21" s="56" t="s">
        <v>46</v>
      </c>
      <c r="AQ21" s="55"/>
    </row>
    <row r="22" spans="1:43" x14ac:dyDescent="0.2">
      <c r="A22" s="54">
        <f t="shared" ref="A22:A32" si="22">+A21+1</f>
        <v>19</v>
      </c>
      <c r="B22" s="54" t="s">
        <v>158</v>
      </c>
      <c r="C22" s="54" t="s">
        <v>179</v>
      </c>
      <c r="D22" s="54" t="s">
        <v>139</v>
      </c>
      <c r="E22" s="55">
        <v>1</v>
      </c>
      <c r="F22" s="56" t="s">
        <v>137</v>
      </c>
      <c r="G22" s="54" t="str">
        <f t="shared" si="0"/>
        <v>UKDDN/ABCD/XYZ97</v>
      </c>
      <c r="H22" s="57" t="s">
        <v>209</v>
      </c>
      <c r="I22" s="58" t="s">
        <v>138</v>
      </c>
      <c r="J22" s="58">
        <v>308</v>
      </c>
      <c r="K22" s="54" t="s">
        <v>75</v>
      </c>
      <c r="L22" s="56" t="s">
        <v>15</v>
      </c>
      <c r="M22" s="59">
        <v>20</v>
      </c>
      <c r="N22" s="59">
        <v>0</v>
      </c>
      <c r="O22" s="59">
        <v>4</v>
      </c>
      <c r="P22" s="59">
        <v>3</v>
      </c>
      <c r="Q22" s="59">
        <v>1</v>
      </c>
      <c r="R22" s="60">
        <f t="shared" si="9"/>
        <v>28</v>
      </c>
      <c r="S22" s="61">
        <v>30000</v>
      </c>
      <c r="T22" s="61">
        <v>2965.5</v>
      </c>
      <c r="U22" s="61">
        <v>0</v>
      </c>
      <c r="V22" s="61">
        <v>0</v>
      </c>
      <c r="W22" s="61">
        <v>0</v>
      </c>
      <c r="X22" s="61">
        <v>6919.5</v>
      </c>
      <c r="Y22" s="61">
        <f t="shared" si="1"/>
        <v>39885</v>
      </c>
      <c r="Z22" s="59">
        <f t="shared" si="10"/>
        <v>30000</v>
      </c>
      <c r="AA22" s="59">
        <f t="shared" si="11"/>
        <v>2966</v>
      </c>
      <c r="AB22" s="59">
        <f t="shared" si="12"/>
        <v>0</v>
      </c>
      <c r="AC22" s="59">
        <f t="shared" si="13"/>
        <v>0</v>
      </c>
      <c r="AD22" s="59">
        <f t="shared" si="14"/>
        <v>0</v>
      </c>
      <c r="AE22" s="59">
        <f t="shared" si="15"/>
        <v>6920</v>
      </c>
      <c r="AF22" s="62">
        <f t="shared" si="16"/>
        <v>39886</v>
      </c>
      <c r="AG22" s="59">
        <f t="shared" si="17"/>
        <v>1800</v>
      </c>
      <c r="AH22" s="59">
        <f t="shared" si="18"/>
        <v>0</v>
      </c>
      <c r="AI22" s="62"/>
      <c r="AJ22" s="62"/>
      <c r="AK22" s="63">
        <f t="shared" si="19"/>
        <v>1800</v>
      </c>
      <c r="AL22" s="61">
        <f t="shared" si="20"/>
        <v>38086</v>
      </c>
      <c r="AM22" s="61" t="s">
        <v>209</v>
      </c>
      <c r="AN22" s="64" t="s">
        <v>189</v>
      </c>
      <c r="AO22" s="56" t="s">
        <v>55</v>
      </c>
      <c r="AP22" s="56" t="s">
        <v>52</v>
      </c>
      <c r="AQ22" s="55"/>
    </row>
    <row r="23" spans="1:43" x14ac:dyDescent="0.2">
      <c r="A23" s="54">
        <f t="shared" si="22"/>
        <v>20</v>
      </c>
      <c r="B23" s="54" t="s">
        <v>159</v>
      </c>
      <c r="C23" s="54" t="s">
        <v>180</v>
      </c>
      <c r="D23" s="54" t="s">
        <v>139</v>
      </c>
      <c r="E23" s="55">
        <v>1</v>
      </c>
      <c r="F23" s="56" t="s">
        <v>137</v>
      </c>
      <c r="G23" s="54" t="str">
        <f t="shared" si="0"/>
        <v>UKDDN/ABCD/XYZ98</v>
      </c>
      <c r="H23" s="57" t="s">
        <v>210</v>
      </c>
      <c r="I23" s="58" t="s">
        <v>138</v>
      </c>
      <c r="J23" s="58">
        <v>316</v>
      </c>
      <c r="K23" s="54" t="s">
        <v>13</v>
      </c>
      <c r="L23" s="56" t="s">
        <v>106</v>
      </c>
      <c r="M23" s="59">
        <v>19</v>
      </c>
      <c r="N23" s="59">
        <v>0</v>
      </c>
      <c r="O23" s="59">
        <v>4</v>
      </c>
      <c r="P23" s="59">
        <v>3</v>
      </c>
      <c r="Q23" s="59">
        <v>2</v>
      </c>
      <c r="R23" s="60">
        <f t="shared" si="9"/>
        <v>28</v>
      </c>
      <c r="S23" s="61">
        <v>30000</v>
      </c>
      <c r="T23" s="61">
        <v>1555</v>
      </c>
      <c r="U23" s="61">
        <v>0</v>
      </c>
      <c r="V23" s="61">
        <v>0</v>
      </c>
      <c r="W23" s="61">
        <v>0</v>
      </c>
      <c r="X23" s="61">
        <v>3628</v>
      </c>
      <c r="Y23" s="61">
        <f t="shared" si="1"/>
        <v>35183</v>
      </c>
      <c r="Z23" s="59">
        <f t="shared" si="10"/>
        <v>30000</v>
      </c>
      <c r="AA23" s="59">
        <f t="shared" si="11"/>
        <v>1555</v>
      </c>
      <c r="AB23" s="59">
        <f t="shared" si="12"/>
        <v>0</v>
      </c>
      <c r="AC23" s="59">
        <f t="shared" si="13"/>
        <v>0</v>
      </c>
      <c r="AD23" s="59">
        <f t="shared" si="14"/>
        <v>0</v>
      </c>
      <c r="AE23" s="59">
        <f t="shared" si="15"/>
        <v>3628</v>
      </c>
      <c r="AF23" s="62">
        <f t="shared" si="16"/>
        <v>35183</v>
      </c>
      <c r="AG23" s="59">
        <f t="shared" si="17"/>
        <v>1800</v>
      </c>
      <c r="AH23" s="59">
        <f t="shared" si="18"/>
        <v>0</v>
      </c>
      <c r="AI23" s="62"/>
      <c r="AJ23" s="62"/>
      <c r="AK23" s="63">
        <f t="shared" si="19"/>
        <v>1800</v>
      </c>
      <c r="AL23" s="61">
        <f t="shared" si="20"/>
        <v>33383</v>
      </c>
      <c r="AM23" s="61" t="s">
        <v>210</v>
      </c>
      <c r="AN23" s="64" t="s">
        <v>189</v>
      </c>
      <c r="AO23" s="56" t="s">
        <v>40</v>
      </c>
      <c r="AP23" s="56" t="s">
        <v>53</v>
      </c>
      <c r="AQ23" s="55"/>
    </row>
    <row r="24" spans="1:43" x14ac:dyDescent="0.2">
      <c r="A24" s="54">
        <f t="shared" si="22"/>
        <v>21</v>
      </c>
      <c r="B24" s="54" t="s">
        <v>160</v>
      </c>
      <c r="C24" s="54" t="s">
        <v>181</v>
      </c>
      <c r="D24" s="54" t="s">
        <v>139</v>
      </c>
      <c r="E24" s="55">
        <v>1</v>
      </c>
      <c r="F24" s="56" t="s">
        <v>137</v>
      </c>
      <c r="G24" s="54" t="str">
        <f t="shared" si="0"/>
        <v>UKDDN/ABCD/XYZ99</v>
      </c>
      <c r="H24" s="57" t="s">
        <v>211</v>
      </c>
      <c r="I24" s="58" t="s">
        <v>138</v>
      </c>
      <c r="J24" s="58">
        <v>316</v>
      </c>
      <c r="K24" s="54" t="s">
        <v>4</v>
      </c>
      <c r="L24" s="56" t="s">
        <v>14</v>
      </c>
      <c r="M24" s="59">
        <v>21</v>
      </c>
      <c r="N24" s="59">
        <v>0</v>
      </c>
      <c r="O24" s="59">
        <v>4</v>
      </c>
      <c r="P24" s="59">
        <v>3</v>
      </c>
      <c r="Q24" s="59">
        <v>0</v>
      </c>
      <c r="R24" s="60">
        <f t="shared" si="9"/>
        <v>28</v>
      </c>
      <c r="S24" s="61">
        <v>30000</v>
      </c>
      <c r="T24" s="61">
        <v>1974</v>
      </c>
      <c r="U24" s="61">
        <v>0</v>
      </c>
      <c r="V24" s="61">
        <v>0</v>
      </c>
      <c r="W24" s="61">
        <v>0</v>
      </c>
      <c r="X24" s="61">
        <v>5921</v>
      </c>
      <c r="Y24" s="61">
        <f t="shared" si="1"/>
        <v>37895</v>
      </c>
      <c r="Z24" s="59">
        <f t="shared" si="10"/>
        <v>30000</v>
      </c>
      <c r="AA24" s="59">
        <f t="shared" si="11"/>
        <v>1974</v>
      </c>
      <c r="AB24" s="59">
        <f t="shared" si="12"/>
        <v>0</v>
      </c>
      <c r="AC24" s="59">
        <f t="shared" si="13"/>
        <v>0</v>
      </c>
      <c r="AD24" s="59">
        <f t="shared" si="14"/>
        <v>0</v>
      </c>
      <c r="AE24" s="59">
        <f t="shared" si="15"/>
        <v>5921</v>
      </c>
      <c r="AF24" s="62">
        <f t="shared" si="16"/>
        <v>37895</v>
      </c>
      <c r="AG24" s="59">
        <f t="shared" si="17"/>
        <v>1800</v>
      </c>
      <c r="AH24" s="59">
        <f t="shared" si="18"/>
        <v>0</v>
      </c>
      <c r="AI24" s="62"/>
      <c r="AJ24" s="62"/>
      <c r="AK24" s="63">
        <f t="shared" si="19"/>
        <v>1800</v>
      </c>
      <c r="AL24" s="61">
        <f t="shared" si="20"/>
        <v>36095</v>
      </c>
      <c r="AM24" s="61" t="s">
        <v>211</v>
      </c>
      <c r="AN24" s="64" t="s">
        <v>189</v>
      </c>
      <c r="AO24" s="56" t="s">
        <v>40</v>
      </c>
      <c r="AP24" s="56" t="s">
        <v>41</v>
      </c>
      <c r="AQ24" s="55"/>
    </row>
    <row r="25" spans="1:43" x14ac:dyDescent="0.2">
      <c r="A25" s="54">
        <f t="shared" si="22"/>
        <v>22</v>
      </c>
      <c r="B25" s="54" t="s">
        <v>82</v>
      </c>
      <c r="C25" s="54" t="s">
        <v>182</v>
      </c>
      <c r="D25" s="54" t="s">
        <v>139</v>
      </c>
      <c r="E25" s="55">
        <v>1</v>
      </c>
      <c r="F25" s="56" t="s">
        <v>137</v>
      </c>
      <c r="G25" s="54" t="str">
        <f t="shared" si="0"/>
        <v>UKDDN/ABCD/C101</v>
      </c>
      <c r="H25" s="57" t="s">
        <v>192</v>
      </c>
      <c r="I25" s="58" t="s">
        <v>138</v>
      </c>
      <c r="J25" s="58">
        <v>319</v>
      </c>
      <c r="K25" s="54" t="s">
        <v>3</v>
      </c>
      <c r="L25" s="56" t="s">
        <v>130</v>
      </c>
      <c r="M25" s="59">
        <v>19</v>
      </c>
      <c r="N25" s="59">
        <v>0</v>
      </c>
      <c r="O25" s="59">
        <v>4</v>
      </c>
      <c r="P25" s="59">
        <v>3</v>
      </c>
      <c r="Q25" s="59">
        <v>2</v>
      </c>
      <c r="R25" s="60">
        <f t="shared" si="9"/>
        <v>28</v>
      </c>
      <c r="S25" s="61">
        <v>30000</v>
      </c>
      <c r="T25" s="61">
        <v>1800</v>
      </c>
      <c r="U25" s="61">
        <v>0</v>
      </c>
      <c r="V25" s="61">
        <v>0</v>
      </c>
      <c r="W25" s="61">
        <v>0</v>
      </c>
      <c r="X25" s="61">
        <v>1049</v>
      </c>
      <c r="Y25" s="61">
        <f t="shared" si="1"/>
        <v>32849</v>
      </c>
      <c r="Z25" s="59">
        <f t="shared" si="10"/>
        <v>30000</v>
      </c>
      <c r="AA25" s="59">
        <f t="shared" si="11"/>
        <v>1800</v>
      </c>
      <c r="AB25" s="59">
        <f t="shared" si="12"/>
        <v>0</v>
      </c>
      <c r="AC25" s="59">
        <f t="shared" si="13"/>
        <v>0</v>
      </c>
      <c r="AD25" s="59">
        <f t="shared" si="14"/>
        <v>0</v>
      </c>
      <c r="AE25" s="59">
        <f t="shared" si="15"/>
        <v>1049</v>
      </c>
      <c r="AF25" s="62">
        <f t="shared" si="16"/>
        <v>32849</v>
      </c>
      <c r="AG25" s="59">
        <f t="shared" si="17"/>
        <v>1800</v>
      </c>
      <c r="AH25" s="59">
        <f t="shared" si="18"/>
        <v>0</v>
      </c>
      <c r="AI25" s="62"/>
      <c r="AJ25" s="62">
        <v>1000</v>
      </c>
      <c r="AK25" s="63">
        <f t="shared" si="19"/>
        <v>2800</v>
      </c>
      <c r="AL25" s="61">
        <f t="shared" si="20"/>
        <v>30049</v>
      </c>
      <c r="AM25" s="61" t="s">
        <v>192</v>
      </c>
      <c r="AN25" s="64" t="s">
        <v>189</v>
      </c>
      <c r="AO25" s="56" t="s">
        <v>40</v>
      </c>
      <c r="AP25" s="56" t="s">
        <v>41</v>
      </c>
      <c r="AQ25" s="55"/>
    </row>
    <row r="26" spans="1:43" x14ac:dyDescent="0.2">
      <c r="A26" s="54">
        <f t="shared" si="22"/>
        <v>23</v>
      </c>
      <c r="B26" s="54" t="s">
        <v>83</v>
      </c>
      <c r="C26" s="54" t="s">
        <v>183</v>
      </c>
      <c r="D26" s="54" t="s">
        <v>139</v>
      </c>
      <c r="E26" s="55">
        <v>1</v>
      </c>
      <c r="F26" s="56" t="s">
        <v>137</v>
      </c>
      <c r="G26" s="54" t="str">
        <f t="shared" si="0"/>
        <v>UKDDN/ABCD/C106</v>
      </c>
      <c r="H26" s="57" t="s">
        <v>212</v>
      </c>
      <c r="I26" s="58" t="s">
        <v>138</v>
      </c>
      <c r="J26" s="58">
        <v>326</v>
      </c>
      <c r="K26" s="54" t="s">
        <v>3</v>
      </c>
      <c r="L26" s="56" t="s">
        <v>108</v>
      </c>
      <c r="M26" s="59">
        <v>14</v>
      </c>
      <c r="N26" s="59">
        <v>0</v>
      </c>
      <c r="O26" s="59">
        <v>4</v>
      </c>
      <c r="P26" s="59">
        <v>3</v>
      </c>
      <c r="Q26" s="59">
        <v>7</v>
      </c>
      <c r="R26" s="60">
        <f t="shared" si="9"/>
        <v>28</v>
      </c>
      <c r="S26" s="61">
        <v>30000</v>
      </c>
      <c r="T26" s="61">
        <v>14483.84</v>
      </c>
      <c r="U26" s="61">
        <v>1800</v>
      </c>
      <c r="V26" s="61">
        <v>0</v>
      </c>
      <c r="W26" s="61">
        <v>0</v>
      </c>
      <c r="X26" s="61">
        <v>0</v>
      </c>
      <c r="Y26" s="61">
        <f t="shared" si="1"/>
        <v>46283.839999999997</v>
      </c>
      <c r="Z26" s="59">
        <f t="shared" si="10"/>
        <v>30000</v>
      </c>
      <c r="AA26" s="59">
        <f t="shared" si="11"/>
        <v>14484</v>
      </c>
      <c r="AB26" s="59">
        <f t="shared" si="12"/>
        <v>1800</v>
      </c>
      <c r="AC26" s="59">
        <f t="shared" si="13"/>
        <v>0</v>
      </c>
      <c r="AD26" s="59">
        <f t="shared" si="14"/>
        <v>0</v>
      </c>
      <c r="AE26" s="59">
        <f t="shared" si="15"/>
        <v>0</v>
      </c>
      <c r="AF26" s="62">
        <f t="shared" si="16"/>
        <v>46284</v>
      </c>
      <c r="AG26" s="59">
        <f t="shared" si="17"/>
        <v>1800</v>
      </c>
      <c r="AH26" s="59">
        <f t="shared" si="18"/>
        <v>0</v>
      </c>
      <c r="AI26" s="62"/>
      <c r="AJ26" s="62"/>
      <c r="AK26" s="63">
        <f t="shared" si="19"/>
        <v>1800</v>
      </c>
      <c r="AL26" s="61">
        <f t="shared" si="20"/>
        <v>44484</v>
      </c>
      <c r="AM26" s="61" t="s">
        <v>212</v>
      </c>
      <c r="AN26" s="64" t="s">
        <v>189</v>
      </c>
      <c r="AO26" s="56" t="s">
        <v>55</v>
      </c>
      <c r="AP26" s="56" t="s">
        <v>52</v>
      </c>
      <c r="AQ26" s="55"/>
    </row>
    <row r="27" spans="1:43" x14ac:dyDescent="0.2">
      <c r="A27" s="54">
        <f t="shared" si="22"/>
        <v>24</v>
      </c>
      <c r="B27" s="54" t="s">
        <v>84</v>
      </c>
      <c r="C27" s="54" t="s">
        <v>184</v>
      </c>
      <c r="D27" s="54" t="s">
        <v>139</v>
      </c>
      <c r="E27" s="55">
        <v>1</v>
      </c>
      <c r="F27" s="56" t="s">
        <v>137</v>
      </c>
      <c r="G27" s="54" t="str">
        <f t="shared" si="0"/>
        <v>UKDDN/ABCD/C111</v>
      </c>
      <c r="H27" s="57" t="s">
        <v>213</v>
      </c>
      <c r="I27" s="58" t="s">
        <v>138</v>
      </c>
      <c r="J27" s="58">
        <v>340</v>
      </c>
      <c r="K27" s="54" t="s">
        <v>4</v>
      </c>
      <c r="L27" s="56" t="s">
        <v>8</v>
      </c>
      <c r="M27" s="59">
        <v>19</v>
      </c>
      <c r="N27" s="59">
        <v>0</v>
      </c>
      <c r="O27" s="59">
        <v>4</v>
      </c>
      <c r="P27" s="59">
        <v>3</v>
      </c>
      <c r="Q27" s="59">
        <v>2</v>
      </c>
      <c r="R27" s="60">
        <f t="shared" si="9"/>
        <v>28</v>
      </c>
      <c r="S27" s="61">
        <v>30000</v>
      </c>
      <c r="T27" s="61">
        <v>1468</v>
      </c>
      <c r="U27" s="61">
        <v>0</v>
      </c>
      <c r="V27" s="61">
        <v>0</v>
      </c>
      <c r="W27" s="61">
        <v>0</v>
      </c>
      <c r="X27" s="61">
        <v>3426</v>
      </c>
      <c r="Y27" s="61">
        <f t="shared" si="1"/>
        <v>34894</v>
      </c>
      <c r="Z27" s="59">
        <f t="shared" si="10"/>
        <v>30000</v>
      </c>
      <c r="AA27" s="59">
        <f t="shared" si="11"/>
        <v>1468</v>
      </c>
      <c r="AB27" s="59">
        <f t="shared" si="12"/>
        <v>0</v>
      </c>
      <c r="AC27" s="59">
        <f t="shared" si="13"/>
        <v>0</v>
      </c>
      <c r="AD27" s="59">
        <f t="shared" si="14"/>
        <v>0</v>
      </c>
      <c r="AE27" s="59">
        <f t="shared" si="15"/>
        <v>3426</v>
      </c>
      <c r="AF27" s="62">
        <f t="shared" si="16"/>
        <v>34894</v>
      </c>
      <c r="AG27" s="59">
        <f t="shared" si="17"/>
        <v>1800</v>
      </c>
      <c r="AH27" s="59">
        <f t="shared" si="18"/>
        <v>0</v>
      </c>
      <c r="AI27" s="62"/>
      <c r="AJ27" s="62"/>
      <c r="AK27" s="63">
        <f t="shared" si="19"/>
        <v>1800</v>
      </c>
      <c r="AL27" s="61">
        <f t="shared" si="20"/>
        <v>33094</v>
      </c>
      <c r="AM27" s="61" t="s">
        <v>213</v>
      </c>
      <c r="AN27" s="64" t="s">
        <v>189</v>
      </c>
      <c r="AO27" s="56" t="s">
        <v>40</v>
      </c>
      <c r="AP27" s="56" t="s">
        <v>41</v>
      </c>
      <c r="AQ27" s="55"/>
    </row>
    <row r="28" spans="1:43" x14ac:dyDescent="0.2">
      <c r="A28" s="54">
        <f t="shared" si="22"/>
        <v>25</v>
      </c>
      <c r="B28" s="54" t="s">
        <v>85</v>
      </c>
      <c r="C28" s="54" t="s">
        <v>185</v>
      </c>
      <c r="D28" s="54" t="s">
        <v>139</v>
      </c>
      <c r="E28" s="55">
        <v>1</v>
      </c>
      <c r="F28" s="56" t="s">
        <v>137</v>
      </c>
      <c r="G28" s="54" t="str">
        <f t="shared" si="0"/>
        <v>UKDDN/ABCD/C118</v>
      </c>
      <c r="H28" s="57" t="s">
        <v>214</v>
      </c>
      <c r="I28" s="58" t="s">
        <v>138</v>
      </c>
      <c r="J28" s="58">
        <v>354</v>
      </c>
      <c r="K28" s="54" t="s">
        <v>4</v>
      </c>
      <c r="L28" s="56" t="s">
        <v>8</v>
      </c>
      <c r="M28" s="59">
        <v>19</v>
      </c>
      <c r="N28" s="59">
        <v>0</v>
      </c>
      <c r="O28" s="59">
        <v>4</v>
      </c>
      <c r="P28" s="59">
        <v>3</v>
      </c>
      <c r="Q28" s="59">
        <v>2</v>
      </c>
      <c r="R28" s="60">
        <f t="shared" si="9"/>
        <v>28</v>
      </c>
      <c r="S28" s="61">
        <v>30000</v>
      </c>
      <c r="T28" s="61">
        <v>1716</v>
      </c>
      <c r="U28" s="61">
        <v>0</v>
      </c>
      <c r="V28" s="61">
        <v>0</v>
      </c>
      <c r="W28" s="61">
        <v>0</v>
      </c>
      <c r="X28" s="61">
        <v>2574</v>
      </c>
      <c r="Y28" s="61">
        <f t="shared" si="1"/>
        <v>34290</v>
      </c>
      <c r="Z28" s="59">
        <f t="shared" si="10"/>
        <v>30000</v>
      </c>
      <c r="AA28" s="59">
        <f t="shared" si="11"/>
        <v>1716</v>
      </c>
      <c r="AB28" s="59">
        <f t="shared" si="12"/>
        <v>0</v>
      </c>
      <c r="AC28" s="59">
        <f t="shared" si="13"/>
        <v>0</v>
      </c>
      <c r="AD28" s="59">
        <f t="shared" si="14"/>
        <v>0</v>
      </c>
      <c r="AE28" s="59">
        <f t="shared" si="15"/>
        <v>2574</v>
      </c>
      <c r="AF28" s="62">
        <f t="shared" si="16"/>
        <v>34290</v>
      </c>
      <c r="AG28" s="59">
        <f t="shared" si="17"/>
        <v>1800</v>
      </c>
      <c r="AH28" s="59">
        <f t="shared" si="18"/>
        <v>0</v>
      </c>
      <c r="AI28" s="62"/>
      <c r="AJ28" s="62"/>
      <c r="AK28" s="63">
        <f t="shared" si="19"/>
        <v>1800</v>
      </c>
      <c r="AL28" s="61">
        <f t="shared" si="20"/>
        <v>32490</v>
      </c>
      <c r="AM28" s="61" t="s">
        <v>214</v>
      </c>
      <c r="AN28" s="64" t="s">
        <v>189</v>
      </c>
      <c r="AO28" s="56" t="s">
        <v>40</v>
      </c>
      <c r="AP28" s="56" t="s">
        <v>54</v>
      </c>
      <c r="AQ28" s="55"/>
    </row>
    <row r="29" spans="1:43" x14ac:dyDescent="0.2">
      <c r="A29" s="54">
        <f t="shared" si="22"/>
        <v>26</v>
      </c>
      <c r="B29" s="54" t="s">
        <v>86</v>
      </c>
      <c r="C29" s="54" t="s">
        <v>186</v>
      </c>
      <c r="D29" s="54" t="s">
        <v>139</v>
      </c>
      <c r="E29" s="55">
        <v>1</v>
      </c>
      <c r="F29" s="56" t="s">
        <v>137</v>
      </c>
      <c r="G29" s="54" t="str">
        <f t="shared" si="0"/>
        <v>UKDDN/ABCD/C127</v>
      </c>
      <c r="H29" s="57" t="s">
        <v>215</v>
      </c>
      <c r="I29" s="58" t="s">
        <v>138</v>
      </c>
      <c r="J29" s="58">
        <v>27</v>
      </c>
      <c r="K29" s="54" t="s">
        <v>4</v>
      </c>
      <c r="L29" s="56" t="s">
        <v>8</v>
      </c>
      <c r="M29" s="59">
        <v>21</v>
      </c>
      <c r="N29" s="59">
        <v>0</v>
      </c>
      <c r="O29" s="59">
        <v>4</v>
      </c>
      <c r="P29" s="59">
        <v>3</v>
      </c>
      <c r="Q29" s="59">
        <v>0</v>
      </c>
      <c r="R29" s="60">
        <f t="shared" si="9"/>
        <v>28</v>
      </c>
      <c r="S29" s="61">
        <v>30000</v>
      </c>
      <c r="T29" s="61">
        <v>1700</v>
      </c>
      <c r="U29" s="61">
        <v>0</v>
      </c>
      <c r="V29" s="61">
        <v>0</v>
      </c>
      <c r="W29" s="61">
        <v>0</v>
      </c>
      <c r="X29" s="61">
        <v>1700</v>
      </c>
      <c r="Y29" s="61">
        <f t="shared" si="1"/>
        <v>33400</v>
      </c>
      <c r="Z29" s="59">
        <f t="shared" si="10"/>
        <v>30000</v>
      </c>
      <c r="AA29" s="59">
        <f t="shared" si="11"/>
        <v>1700</v>
      </c>
      <c r="AB29" s="59">
        <f t="shared" si="12"/>
        <v>0</v>
      </c>
      <c r="AC29" s="59">
        <f t="shared" si="13"/>
        <v>0</v>
      </c>
      <c r="AD29" s="59">
        <f t="shared" si="14"/>
        <v>0</v>
      </c>
      <c r="AE29" s="59">
        <f t="shared" si="15"/>
        <v>1700</v>
      </c>
      <c r="AF29" s="62">
        <f t="shared" si="16"/>
        <v>33400</v>
      </c>
      <c r="AG29" s="59">
        <f t="shared" si="17"/>
        <v>1800</v>
      </c>
      <c r="AH29" s="59">
        <f t="shared" si="18"/>
        <v>0</v>
      </c>
      <c r="AI29" s="62"/>
      <c r="AJ29" s="62"/>
      <c r="AK29" s="63">
        <f t="shared" si="19"/>
        <v>1800</v>
      </c>
      <c r="AL29" s="61">
        <f t="shared" si="20"/>
        <v>31600</v>
      </c>
      <c r="AM29" s="61" t="s">
        <v>215</v>
      </c>
      <c r="AN29" s="64" t="s">
        <v>189</v>
      </c>
      <c r="AO29" s="56" t="s">
        <v>42</v>
      </c>
      <c r="AP29" s="56" t="s">
        <v>123</v>
      </c>
      <c r="AQ29" s="55"/>
    </row>
    <row r="30" spans="1:43" x14ac:dyDescent="0.2">
      <c r="A30" s="54">
        <f t="shared" si="22"/>
        <v>27</v>
      </c>
      <c r="B30" s="54" t="s">
        <v>87</v>
      </c>
      <c r="C30" s="54" t="s">
        <v>187</v>
      </c>
      <c r="D30" s="54" t="s">
        <v>139</v>
      </c>
      <c r="E30" s="55">
        <v>1</v>
      </c>
      <c r="F30" s="56" t="s">
        <v>137</v>
      </c>
      <c r="G30" s="54" t="str">
        <f t="shared" si="0"/>
        <v>UKDDN/ABCD/C132</v>
      </c>
      <c r="H30" s="57" t="s">
        <v>216</v>
      </c>
      <c r="I30" s="58" t="s">
        <v>138</v>
      </c>
      <c r="J30" s="58">
        <v>61</v>
      </c>
      <c r="K30" s="54" t="s">
        <v>6</v>
      </c>
      <c r="L30" s="56" t="s">
        <v>127</v>
      </c>
      <c r="M30" s="59">
        <v>15</v>
      </c>
      <c r="N30" s="59">
        <v>0</v>
      </c>
      <c r="O30" s="59">
        <v>4</v>
      </c>
      <c r="P30" s="59">
        <v>3</v>
      </c>
      <c r="Q30" s="59">
        <v>6</v>
      </c>
      <c r="R30" s="60">
        <f t="shared" si="9"/>
        <v>28</v>
      </c>
      <c r="S30" s="61">
        <v>30000</v>
      </c>
      <c r="T30" s="61">
        <v>19500</v>
      </c>
      <c r="U30" s="61">
        <v>8000</v>
      </c>
      <c r="V30" s="61">
        <v>5000</v>
      </c>
      <c r="W30" s="61">
        <v>1500</v>
      </c>
      <c r="X30" s="61">
        <v>3000</v>
      </c>
      <c r="Y30" s="61">
        <f t="shared" si="1"/>
        <v>67000</v>
      </c>
      <c r="Z30" s="59">
        <f t="shared" si="10"/>
        <v>30000</v>
      </c>
      <c r="AA30" s="59">
        <f t="shared" si="11"/>
        <v>19500</v>
      </c>
      <c r="AB30" s="59">
        <f t="shared" si="12"/>
        <v>8000</v>
      </c>
      <c r="AC30" s="59">
        <f t="shared" si="13"/>
        <v>5000</v>
      </c>
      <c r="AD30" s="59">
        <f t="shared" si="14"/>
        <v>1500</v>
      </c>
      <c r="AE30" s="59">
        <f t="shared" si="15"/>
        <v>3000</v>
      </c>
      <c r="AF30" s="62">
        <f t="shared" si="16"/>
        <v>67000</v>
      </c>
      <c r="AG30" s="59">
        <f t="shared" si="17"/>
        <v>1800</v>
      </c>
      <c r="AH30" s="59">
        <f t="shared" si="18"/>
        <v>0</v>
      </c>
      <c r="AI30" s="62"/>
      <c r="AJ30" s="62">
        <v>10000</v>
      </c>
      <c r="AK30" s="63">
        <f t="shared" si="19"/>
        <v>11800</v>
      </c>
      <c r="AL30" s="61">
        <f t="shared" si="20"/>
        <v>55200</v>
      </c>
      <c r="AM30" s="61" t="s">
        <v>216</v>
      </c>
      <c r="AN30" s="64" t="s">
        <v>189</v>
      </c>
      <c r="AO30" s="56" t="s">
        <v>42</v>
      </c>
      <c r="AP30" s="56" t="s">
        <v>73</v>
      </c>
      <c r="AQ30" s="55"/>
    </row>
    <row r="31" spans="1:43" x14ac:dyDescent="0.2">
      <c r="A31" s="54">
        <f t="shared" si="22"/>
        <v>28</v>
      </c>
      <c r="B31" s="54" t="s">
        <v>88</v>
      </c>
      <c r="C31" s="54" t="s">
        <v>188</v>
      </c>
      <c r="D31" s="54" t="s">
        <v>139</v>
      </c>
      <c r="E31" s="55">
        <v>1</v>
      </c>
      <c r="F31" s="56" t="s">
        <v>137</v>
      </c>
      <c r="G31" s="54" t="str">
        <f t="shared" si="0"/>
        <v>UKDDN/ABCD/C139</v>
      </c>
      <c r="H31" s="57" t="s">
        <v>217</v>
      </c>
      <c r="I31" s="58" t="s">
        <v>138</v>
      </c>
      <c r="J31" s="58">
        <v>129</v>
      </c>
      <c r="K31" s="54" t="s">
        <v>6</v>
      </c>
      <c r="L31" s="56" t="s">
        <v>9</v>
      </c>
      <c r="M31" s="59">
        <v>20</v>
      </c>
      <c r="N31" s="59">
        <v>0</v>
      </c>
      <c r="O31" s="59">
        <v>4</v>
      </c>
      <c r="P31" s="59">
        <v>3</v>
      </c>
      <c r="Q31" s="59">
        <v>1</v>
      </c>
      <c r="R31" s="60">
        <f t="shared" si="9"/>
        <v>28</v>
      </c>
      <c r="S31" s="61">
        <v>30000</v>
      </c>
      <c r="T31" s="61">
        <v>1365</v>
      </c>
      <c r="U31" s="61">
        <v>0</v>
      </c>
      <c r="V31" s="61">
        <v>0</v>
      </c>
      <c r="W31" s="61">
        <v>0</v>
      </c>
      <c r="X31" s="61">
        <v>2536</v>
      </c>
      <c r="Y31" s="61">
        <f t="shared" si="1"/>
        <v>33901</v>
      </c>
      <c r="Z31" s="59">
        <f t="shared" si="10"/>
        <v>30000</v>
      </c>
      <c r="AA31" s="59">
        <f t="shared" si="11"/>
        <v>1365</v>
      </c>
      <c r="AB31" s="59">
        <f t="shared" si="12"/>
        <v>0</v>
      </c>
      <c r="AC31" s="59">
        <f t="shared" si="13"/>
        <v>0</v>
      </c>
      <c r="AD31" s="59">
        <f t="shared" si="14"/>
        <v>0</v>
      </c>
      <c r="AE31" s="59">
        <f t="shared" si="15"/>
        <v>2536</v>
      </c>
      <c r="AF31" s="62">
        <f t="shared" si="16"/>
        <v>33901</v>
      </c>
      <c r="AG31" s="59">
        <f t="shared" si="17"/>
        <v>1800</v>
      </c>
      <c r="AH31" s="59">
        <f t="shared" si="18"/>
        <v>0</v>
      </c>
      <c r="AI31" s="62"/>
      <c r="AJ31" s="62">
        <v>1000</v>
      </c>
      <c r="AK31" s="63">
        <f t="shared" si="19"/>
        <v>2800</v>
      </c>
      <c r="AL31" s="61">
        <f t="shared" si="20"/>
        <v>31101</v>
      </c>
      <c r="AM31" s="61" t="s">
        <v>217</v>
      </c>
      <c r="AN31" s="64" t="s">
        <v>189</v>
      </c>
      <c r="AO31" s="56" t="s">
        <v>55</v>
      </c>
      <c r="AP31" s="56" t="s">
        <v>52</v>
      </c>
      <c r="AQ31" s="55"/>
    </row>
    <row r="32" spans="1:43" x14ac:dyDescent="0.2">
      <c r="A32" s="54">
        <f t="shared" si="22"/>
        <v>29</v>
      </c>
      <c r="B32" s="54" t="s">
        <v>132</v>
      </c>
      <c r="C32" s="54" t="s">
        <v>135</v>
      </c>
      <c r="D32" s="54" t="s">
        <v>39</v>
      </c>
      <c r="E32" s="55">
        <v>100310540447</v>
      </c>
      <c r="F32" s="56">
        <v>1213330946</v>
      </c>
      <c r="G32" s="54" t="str">
        <f t="shared" ref="G32" si="23">D32&amp;"/"&amp;B32</f>
        <v>UKDDN/1032062/C232</v>
      </c>
      <c r="H32" s="57" t="s">
        <v>218</v>
      </c>
      <c r="I32" s="58" t="s">
        <v>138</v>
      </c>
      <c r="J32" s="58">
        <v>44595</v>
      </c>
      <c r="K32" s="54" t="s">
        <v>6</v>
      </c>
      <c r="L32" s="56" t="s">
        <v>136</v>
      </c>
      <c r="M32" s="59">
        <v>1</v>
      </c>
      <c r="N32" s="59">
        <v>0</v>
      </c>
      <c r="O32" s="59">
        <v>1</v>
      </c>
      <c r="P32" s="59">
        <v>0</v>
      </c>
      <c r="Q32" s="59">
        <v>0</v>
      </c>
      <c r="R32" s="60">
        <f t="shared" ref="R32" si="24">SUM(M32:Q32)-N32</f>
        <v>2</v>
      </c>
      <c r="S32" s="61">
        <v>30000</v>
      </c>
      <c r="T32" s="61">
        <f t="shared" ref="T32" si="25">+S32*20%</f>
        <v>6000</v>
      </c>
      <c r="U32" s="61">
        <v>0</v>
      </c>
      <c r="V32" s="61">
        <v>0</v>
      </c>
      <c r="W32" s="61">
        <v>0</v>
      </c>
      <c r="X32" s="61">
        <v>3340</v>
      </c>
      <c r="Y32" s="61">
        <f t="shared" ref="Y32" si="26">SUM(S32:X32)</f>
        <v>39340</v>
      </c>
      <c r="Z32" s="59">
        <f t="shared" ref="Z32" si="27">ROUND(S32/28*R32,0)</f>
        <v>2143</v>
      </c>
      <c r="AA32" s="59">
        <f t="shared" ref="AA32" si="28">ROUND(T32/28*R32,0)</f>
        <v>429</v>
      </c>
      <c r="AB32" s="59">
        <f t="shared" ref="AB32" si="29">ROUND(U32/28*R32,0)</f>
        <v>0</v>
      </c>
      <c r="AC32" s="59">
        <f t="shared" ref="AC32" si="30">ROUND(V32/28*R32,0)</f>
        <v>0</v>
      </c>
      <c r="AD32" s="59">
        <f t="shared" ref="AD32" si="31">ROUND(W32/28*R32,0)</f>
        <v>0</v>
      </c>
      <c r="AE32" s="59">
        <f t="shared" ref="AE32" si="32">ROUND(X32/28*R32,0)</f>
        <v>239</v>
      </c>
      <c r="AF32" s="62">
        <f t="shared" ref="AF32" si="33">SUM(Z32:AE32)</f>
        <v>2811</v>
      </c>
      <c r="AG32" s="59">
        <f t="shared" ref="AG32" si="34">IF(Z32&gt;15000,1800,ROUND((Z32*0.12),0))</f>
        <v>257</v>
      </c>
      <c r="AH32" s="59">
        <f t="shared" ref="AH32" si="35">IF((S32+T32+U32+V32+W32+X32)&lt;21000,ROUNDUP(((Z32+AA32+AB32+AC32+AD32+AE32)*0.0075),0),0)</f>
        <v>0</v>
      </c>
      <c r="AI32" s="62"/>
      <c r="AJ32" s="62"/>
      <c r="AK32" s="63">
        <f t="shared" ref="AK32" si="36">SUM(AG32:AJ32)</f>
        <v>257</v>
      </c>
      <c r="AL32" s="61">
        <f t="shared" ref="AL32" si="37">ROUND(AF32-AK32,0.5)</f>
        <v>2554</v>
      </c>
      <c r="AM32" s="61" t="s">
        <v>218</v>
      </c>
      <c r="AN32" s="64" t="s">
        <v>134</v>
      </c>
      <c r="AO32" s="65" t="s">
        <v>42</v>
      </c>
      <c r="AP32" s="65" t="s">
        <v>133</v>
      </c>
      <c r="AQ32" s="55"/>
    </row>
    <row r="33" spans="1:43" x14ac:dyDescent="0.2">
      <c r="AL33" s="41"/>
    </row>
    <row r="34" spans="1:43" x14ac:dyDescent="0.2">
      <c r="Y34" s="41" t="e">
        <f>+#REF!*8.33%</f>
        <v>#REF!</v>
      </c>
    </row>
    <row r="36" spans="1:43" s="40" customFormat="1" x14ac:dyDescent="0.2">
      <c r="A36" s="39"/>
      <c r="B36" s="39"/>
      <c r="C36" s="39"/>
      <c r="D36" s="39"/>
      <c r="E36" s="39"/>
      <c r="F36" s="39"/>
      <c r="G36" s="39"/>
      <c r="H36" s="39"/>
      <c r="K36" s="39"/>
      <c r="R36" s="39"/>
      <c r="Z36" s="41"/>
      <c r="AQ36" s="39"/>
    </row>
    <row r="37" spans="1:43" s="40" customFormat="1" x14ac:dyDescent="0.2">
      <c r="A37" s="39"/>
      <c r="B37" s="39"/>
      <c r="C37" s="39"/>
      <c r="D37" s="39"/>
      <c r="E37" s="39"/>
      <c r="F37" s="39"/>
      <c r="G37" s="39"/>
      <c r="H37" s="39"/>
      <c r="K37" s="39"/>
      <c r="R37" s="39"/>
      <c r="Y37" s="41"/>
      <c r="AQ37" s="39"/>
    </row>
  </sheetData>
  <phoneticPr fontId="27" type="noConversion"/>
  <pageMargins left="0.62992125984251968" right="0.23622047244094491" top="0.39" bottom="0.31496062992125984" header="0.31496062992125984" footer="0.31496062992125984"/>
  <pageSetup paperSize="9" scale="27" fitToHeight="2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27"/>
  <sheetViews>
    <sheetView tabSelected="1" topLeftCell="A3" zoomScale="85" zoomScaleNormal="85" zoomScaleSheetLayoutView="100" workbookViewId="0">
      <selection activeCell="B27" sqref="B27"/>
    </sheetView>
  </sheetViews>
  <sheetFormatPr defaultRowHeight="15.75" x14ac:dyDescent="0.2"/>
  <cols>
    <col min="1" max="1" width="37.85546875" style="28" customWidth="1"/>
    <col min="2" max="2" width="17.42578125" style="28" customWidth="1"/>
    <col min="3" max="3" width="14.42578125" style="28" customWidth="1"/>
    <col min="4" max="4" width="17.140625" style="28" bestFit="1" customWidth="1"/>
    <col min="5" max="5" width="11.85546875" style="28" bestFit="1" customWidth="1"/>
    <col min="6" max="6" width="13.85546875" style="28" customWidth="1"/>
    <col min="7" max="7" width="17.7109375" style="28" customWidth="1"/>
    <col min="8" max="8" width="0.28515625" style="28" customWidth="1"/>
    <col min="9" max="256" width="9.140625" style="28"/>
    <col min="257" max="257" width="41" style="28" customWidth="1"/>
    <col min="258" max="258" width="12.5703125" style="28" customWidth="1"/>
    <col min="259" max="259" width="17.28515625" style="28" customWidth="1"/>
    <col min="260" max="260" width="18" style="28" customWidth="1"/>
    <col min="261" max="261" width="23.7109375" style="28" customWidth="1"/>
    <col min="262" max="263" width="17.28515625" style="28" customWidth="1"/>
    <col min="264" max="264" width="0.28515625" style="28" customWidth="1"/>
    <col min="265" max="512" width="9.140625" style="28"/>
    <col min="513" max="513" width="41" style="28" customWidth="1"/>
    <col min="514" max="514" width="12.5703125" style="28" customWidth="1"/>
    <col min="515" max="515" width="17.28515625" style="28" customWidth="1"/>
    <col min="516" max="516" width="18" style="28" customWidth="1"/>
    <col min="517" max="517" width="23.7109375" style="28" customWidth="1"/>
    <col min="518" max="519" width="17.28515625" style="28" customWidth="1"/>
    <col min="520" max="520" width="0.28515625" style="28" customWidth="1"/>
    <col min="521" max="768" width="9.140625" style="28"/>
    <col min="769" max="769" width="41" style="28" customWidth="1"/>
    <col min="770" max="770" width="12.5703125" style="28" customWidth="1"/>
    <col min="771" max="771" width="17.28515625" style="28" customWidth="1"/>
    <col min="772" max="772" width="18" style="28" customWidth="1"/>
    <col min="773" max="773" width="23.7109375" style="28" customWidth="1"/>
    <col min="774" max="775" width="17.28515625" style="28" customWidth="1"/>
    <col min="776" max="776" width="0.28515625" style="28" customWidth="1"/>
    <col min="777" max="1024" width="9.140625" style="28"/>
    <col min="1025" max="1025" width="41" style="28" customWidth="1"/>
    <col min="1026" max="1026" width="12.5703125" style="28" customWidth="1"/>
    <col min="1027" max="1027" width="17.28515625" style="28" customWidth="1"/>
    <col min="1028" max="1028" width="18" style="28" customWidth="1"/>
    <col min="1029" max="1029" width="23.7109375" style="28" customWidth="1"/>
    <col min="1030" max="1031" width="17.28515625" style="28" customWidth="1"/>
    <col min="1032" max="1032" width="0.28515625" style="28" customWidth="1"/>
    <col min="1033" max="1280" width="9.140625" style="28"/>
    <col min="1281" max="1281" width="41" style="28" customWidth="1"/>
    <col min="1282" max="1282" width="12.5703125" style="28" customWidth="1"/>
    <col min="1283" max="1283" width="17.28515625" style="28" customWidth="1"/>
    <col min="1284" max="1284" width="18" style="28" customWidth="1"/>
    <col min="1285" max="1285" width="23.7109375" style="28" customWidth="1"/>
    <col min="1286" max="1287" width="17.28515625" style="28" customWidth="1"/>
    <col min="1288" max="1288" width="0.28515625" style="28" customWidth="1"/>
    <col min="1289" max="1536" width="9.140625" style="28"/>
    <col min="1537" max="1537" width="41" style="28" customWidth="1"/>
    <col min="1538" max="1538" width="12.5703125" style="28" customWidth="1"/>
    <col min="1539" max="1539" width="17.28515625" style="28" customWidth="1"/>
    <col min="1540" max="1540" width="18" style="28" customWidth="1"/>
    <col min="1541" max="1541" width="23.7109375" style="28" customWidth="1"/>
    <col min="1542" max="1543" width="17.28515625" style="28" customWidth="1"/>
    <col min="1544" max="1544" width="0.28515625" style="28" customWidth="1"/>
    <col min="1545" max="1792" width="9.140625" style="28"/>
    <col min="1793" max="1793" width="41" style="28" customWidth="1"/>
    <col min="1794" max="1794" width="12.5703125" style="28" customWidth="1"/>
    <col min="1795" max="1795" width="17.28515625" style="28" customWidth="1"/>
    <col min="1796" max="1796" width="18" style="28" customWidth="1"/>
    <col min="1797" max="1797" width="23.7109375" style="28" customWidth="1"/>
    <col min="1798" max="1799" width="17.28515625" style="28" customWidth="1"/>
    <col min="1800" max="1800" width="0.28515625" style="28" customWidth="1"/>
    <col min="1801" max="2048" width="9.140625" style="28"/>
    <col min="2049" max="2049" width="41" style="28" customWidth="1"/>
    <col min="2050" max="2050" width="12.5703125" style="28" customWidth="1"/>
    <col min="2051" max="2051" width="17.28515625" style="28" customWidth="1"/>
    <col min="2052" max="2052" width="18" style="28" customWidth="1"/>
    <col min="2053" max="2053" width="23.7109375" style="28" customWidth="1"/>
    <col min="2054" max="2055" width="17.28515625" style="28" customWidth="1"/>
    <col min="2056" max="2056" width="0.28515625" style="28" customWidth="1"/>
    <col min="2057" max="2304" width="9.140625" style="28"/>
    <col min="2305" max="2305" width="41" style="28" customWidth="1"/>
    <col min="2306" max="2306" width="12.5703125" style="28" customWidth="1"/>
    <col min="2307" max="2307" width="17.28515625" style="28" customWidth="1"/>
    <col min="2308" max="2308" width="18" style="28" customWidth="1"/>
    <col min="2309" max="2309" width="23.7109375" style="28" customWidth="1"/>
    <col min="2310" max="2311" width="17.28515625" style="28" customWidth="1"/>
    <col min="2312" max="2312" width="0.28515625" style="28" customWidth="1"/>
    <col min="2313" max="2560" width="9.140625" style="28"/>
    <col min="2561" max="2561" width="41" style="28" customWidth="1"/>
    <col min="2562" max="2562" width="12.5703125" style="28" customWidth="1"/>
    <col min="2563" max="2563" width="17.28515625" style="28" customWidth="1"/>
    <col min="2564" max="2564" width="18" style="28" customWidth="1"/>
    <col min="2565" max="2565" width="23.7109375" style="28" customWidth="1"/>
    <col min="2566" max="2567" width="17.28515625" style="28" customWidth="1"/>
    <col min="2568" max="2568" width="0.28515625" style="28" customWidth="1"/>
    <col min="2569" max="2816" width="9.140625" style="28"/>
    <col min="2817" max="2817" width="41" style="28" customWidth="1"/>
    <col min="2818" max="2818" width="12.5703125" style="28" customWidth="1"/>
    <col min="2819" max="2819" width="17.28515625" style="28" customWidth="1"/>
    <col min="2820" max="2820" width="18" style="28" customWidth="1"/>
    <col min="2821" max="2821" width="23.7109375" style="28" customWidth="1"/>
    <col min="2822" max="2823" width="17.28515625" style="28" customWidth="1"/>
    <col min="2824" max="2824" width="0.28515625" style="28" customWidth="1"/>
    <col min="2825" max="3072" width="9.140625" style="28"/>
    <col min="3073" max="3073" width="41" style="28" customWidth="1"/>
    <col min="3074" max="3074" width="12.5703125" style="28" customWidth="1"/>
    <col min="3075" max="3075" width="17.28515625" style="28" customWidth="1"/>
    <col min="3076" max="3076" width="18" style="28" customWidth="1"/>
    <col min="3077" max="3077" width="23.7109375" style="28" customWidth="1"/>
    <col min="3078" max="3079" width="17.28515625" style="28" customWidth="1"/>
    <col min="3080" max="3080" width="0.28515625" style="28" customWidth="1"/>
    <col min="3081" max="3328" width="9.140625" style="28"/>
    <col min="3329" max="3329" width="41" style="28" customWidth="1"/>
    <col min="3330" max="3330" width="12.5703125" style="28" customWidth="1"/>
    <col min="3331" max="3331" width="17.28515625" style="28" customWidth="1"/>
    <col min="3332" max="3332" width="18" style="28" customWidth="1"/>
    <col min="3333" max="3333" width="23.7109375" style="28" customWidth="1"/>
    <col min="3334" max="3335" width="17.28515625" style="28" customWidth="1"/>
    <col min="3336" max="3336" width="0.28515625" style="28" customWidth="1"/>
    <col min="3337" max="3584" width="9.140625" style="28"/>
    <col min="3585" max="3585" width="41" style="28" customWidth="1"/>
    <col min="3586" max="3586" width="12.5703125" style="28" customWidth="1"/>
    <col min="3587" max="3587" width="17.28515625" style="28" customWidth="1"/>
    <col min="3588" max="3588" width="18" style="28" customWidth="1"/>
    <col min="3589" max="3589" width="23.7109375" style="28" customWidth="1"/>
    <col min="3590" max="3591" width="17.28515625" style="28" customWidth="1"/>
    <col min="3592" max="3592" width="0.28515625" style="28" customWidth="1"/>
    <col min="3593" max="3840" width="9.140625" style="28"/>
    <col min="3841" max="3841" width="41" style="28" customWidth="1"/>
    <col min="3842" max="3842" width="12.5703125" style="28" customWidth="1"/>
    <col min="3843" max="3843" width="17.28515625" style="28" customWidth="1"/>
    <col min="3844" max="3844" width="18" style="28" customWidth="1"/>
    <col min="3845" max="3845" width="23.7109375" style="28" customWidth="1"/>
    <col min="3846" max="3847" width="17.28515625" style="28" customWidth="1"/>
    <col min="3848" max="3848" width="0.28515625" style="28" customWidth="1"/>
    <col min="3849" max="4096" width="9.140625" style="28"/>
    <col min="4097" max="4097" width="41" style="28" customWidth="1"/>
    <col min="4098" max="4098" width="12.5703125" style="28" customWidth="1"/>
    <col min="4099" max="4099" width="17.28515625" style="28" customWidth="1"/>
    <col min="4100" max="4100" width="18" style="28" customWidth="1"/>
    <col min="4101" max="4101" width="23.7109375" style="28" customWidth="1"/>
    <col min="4102" max="4103" width="17.28515625" style="28" customWidth="1"/>
    <col min="4104" max="4104" width="0.28515625" style="28" customWidth="1"/>
    <col min="4105" max="4352" width="9.140625" style="28"/>
    <col min="4353" max="4353" width="41" style="28" customWidth="1"/>
    <col min="4354" max="4354" width="12.5703125" style="28" customWidth="1"/>
    <col min="4355" max="4355" width="17.28515625" style="28" customWidth="1"/>
    <col min="4356" max="4356" width="18" style="28" customWidth="1"/>
    <col min="4357" max="4357" width="23.7109375" style="28" customWidth="1"/>
    <col min="4358" max="4359" width="17.28515625" style="28" customWidth="1"/>
    <col min="4360" max="4360" width="0.28515625" style="28" customWidth="1"/>
    <col min="4361" max="4608" width="9.140625" style="28"/>
    <col min="4609" max="4609" width="41" style="28" customWidth="1"/>
    <col min="4610" max="4610" width="12.5703125" style="28" customWidth="1"/>
    <col min="4611" max="4611" width="17.28515625" style="28" customWidth="1"/>
    <col min="4612" max="4612" width="18" style="28" customWidth="1"/>
    <col min="4613" max="4613" width="23.7109375" style="28" customWidth="1"/>
    <col min="4614" max="4615" width="17.28515625" style="28" customWidth="1"/>
    <col min="4616" max="4616" width="0.28515625" style="28" customWidth="1"/>
    <col min="4617" max="4864" width="9.140625" style="28"/>
    <col min="4865" max="4865" width="41" style="28" customWidth="1"/>
    <col min="4866" max="4866" width="12.5703125" style="28" customWidth="1"/>
    <col min="4867" max="4867" width="17.28515625" style="28" customWidth="1"/>
    <col min="4868" max="4868" width="18" style="28" customWidth="1"/>
    <col min="4869" max="4869" width="23.7109375" style="28" customWidth="1"/>
    <col min="4870" max="4871" width="17.28515625" style="28" customWidth="1"/>
    <col min="4872" max="4872" width="0.28515625" style="28" customWidth="1"/>
    <col min="4873" max="5120" width="9.140625" style="28"/>
    <col min="5121" max="5121" width="41" style="28" customWidth="1"/>
    <col min="5122" max="5122" width="12.5703125" style="28" customWidth="1"/>
    <col min="5123" max="5123" width="17.28515625" style="28" customWidth="1"/>
    <col min="5124" max="5124" width="18" style="28" customWidth="1"/>
    <col min="5125" max="5125" width="23.7109375" style="28" customWidth="1"/>
    <col min="5126" max="5127" width="17.28515625" style="28" customWidth="1"/>
    <col min="5128" max="5128" width="0.28515625" style="28" customWidth="1"/>
    <col min="5129" max="5376" width="9.140625" style="28"/>
    <col min="5377" max="5377" width="41" style="28" customWidth="1"/>
    <col min="5378" max="5378" width="12.5703125" style="28" customWidth="1"/>
    <col min="5379" max="5379" width="17.28515625" style="28" customWidth="1"/>
    <col min="5380" max="5380" width="18" style="28" customWidth="1"/>
    <col min="5381" max="5381" width="23.7109375" style="28" customWidth="1"/>
    <col min="5382" max="5383" width="17.28515625" style="28" customWidth="1"/>
    <col min="5384" max="5384" width="0.28515625" style="28" customWidth="1"/>
    <col min="5385" max="5632" width="9.140625" style="28"/>
    <col min="5633" max="5633" width="41" style="28" customWidth="1"/>
    <col min="5634" max="5634" width="12.5703125" style="28" customWidth="1"/>
    <col min="5635" max="5635" width="17.28515625" style="28" customWidth="1"/>
    <col min="5636" max="5636" width="18" style="28" customWidth="1"/>
    <col min="5637" max="5637" width="23.7109375" style="28" customWidth="1"/>
    <col min="5638" max="5639" width="17.28515625" style="28" customWidth="1"/>
    <col min="5640" max="5640" width="0.28515625" style="28" customWidth="1"/>
    <col min="5641" max="5888" width="9.140625" style="28"/>
    <col min="5889" max="5889" width="41" style="28" customWidth="1"/>
    <col min="5890" max="5890" width="12.5703125" style="28" customWidth="1"/>
    <col min="5891" max="5891" width="17.28515625" style="28" customWidth="1"/>
    <col min="5892" max="5892" width="18" style="28" customWidth="1"/>
    <col min="5893" max="5893" width="23.7109375" style="28" customWidth="1"/>
    <col min="5894" max="5895" width="17.28515625" style="28" customWidth="1"/>
    <col min="5896" max="5896" width="0.28515625" style="28" customWidth="1"/>
    <col min="5897" max="6144" width="9.140625" style="28"/>
    <col min="6145" max="6145" width="41" style="28" customWidth="1"/>
    <col min="6146" max="6146" width="12.5703125" style="28" customWidth="1"/>
    <col min="6147" max="6147" width="17.28515625" style="28" customWidth="1"/>
    <col min="6148" max="6148" width="18" style="28" customWidth="1"/>
    <col min="6149" max="6149" width="23.7109375" style="28" customWidth="1"/>
    <col min="6150" max="6151" width="17.28515625" style="28" customWidth="1"/>
    <col min="6152" max="6152" width="0.28515625" style="28" customWidth="1"/>
    <col min="6153" max="6400" width="9.140625" style="28"/>
    <col min="6401" max="6401" width="41" style="28" customWidth="1"/>
    <col min="6402" max="6402" width="12.5703125" style="28" customWidth="1"/>
    <col min="6403" max="6403" width="17.28515625" style="28" customWidth="1"/>
    <col min="6404" max="6404" width="18" style="28" customWidth="1"/>
    <col min="6405" max="6405" width="23.7109375" style="28" customWidth="1"/>
    <col min="6406" max="6407" width="17.28515625" style="28" customWidth="1"/>
    <col min="6408" max="6408" width="0.28515625" style="28" customWidth="1"/>
    <col min="6409" max="6656" width="9.140625" style="28"/>
    <col min="6657" max="6657" width="41" style="28" customWidth="1"/>
    <col min="6658" max="6658" width="12.5703125" style="28" customWidth="1"/>
    <col min="6659" max="6659" width="17.28515625" style="28" customWidth="1"/>
    <col min="6660" max="6660" width="18" style="28" customWidth="1"/>
    <col min="6661" max="6661" width="23.7109375" style="28" customWidth="1"/>
    <col min="6662" max="6663" width="17.28515625" style="28" customWidth="1"/>
    <col min="6664" max="6664" width="0.28515625" style="28" customWidth="1"/>
    <col min="6665" max="6912" width="9.140625" style="28"/>
    <col min="6913" max="6913" width="41" style="28" customWidth="1"/>
    <col min="6914" max="6914" width="12.5703125" style="28" customWidth="1"/>
    <col min="6915" max="6915" width="17.28515625" style="28" customWidth="1"/>
    <col min="6916" max="6916" width="18" style="28" customWidth="1"/>
    <col min="6917" max="6917" width="23.7109375" style="28" customWidth="1"/>
    <col min="6918" max="6919" width="17.28515625" style="28" customWidth="1"/>
    <col min="6920" max="6920" width="0.28515625" style="28" customWidth="1"/>
    <col min="6921" max="7168" width="9.140625" style="28"/>
    <col min="7169" max="7169" width="41" style="28" customWidth="1"/>
    <col min="7170" max="7170" width="12.5703125" style="28" customWidth="1"/>
    <col min="7171" max="7171" width="17.28515625" style="28" customWidth="1"/>
    <col min="7172" max="7172" width="18" style="28" customWidth="1"/>
    <col min="7173" max="7173" width="23.7109375" style="28" customWidth="1"/>
    <col min="7174" max="7175" width="17.28515625" style="28" customWidth="1"/>
    <col min="7176" max="7176" width="0.28515625" style="28" customWidth="1"/>
    <col min="7177" max="7424" width="9.140625" style="28"/>
    <col min="7425" max="7425" width="41" style="28" customWidth="1"/>
    <col min="7426" max="7426" width="12.5703125" style="28" customWidth="1"/>
    <col min="7427" max="7427" width="17.28515625" style="28" customWidth="1"/>
    <col min="7428" max="7428" width="18" style="28" customWidth="1"/>
    <col min="7429" max="7429" width="23.7109375" style="28" customWidth="1"/>
    <col min="7430" max="7431" width="17.28515625" style="28" customWidth="1"/>
    <col min="7432" max="7432" width="0.28515625" style="28" customWidth="1"/>
    <col min="7433" max="7680" width="9.140625" style="28"/>
    <col min="7681" max="7681" width="41" style="28" customWidth="1"/>
    <col min="7682" max="7682" width="12.5703125" style="28" customWidth="1"/>
    <col min="7683" max="7683" width="17.28515625" style="28" customWidth="1"/>
    <col min="7684" max="7684" width="18" style="28" customWidth="1"/>
    <col min="7685" max="7685" width="23.7109375" style="28" customWidth="1"/>
    <col min="7686" max="7687" width="17.28515625" style="28" customWidth="1"/>
    <col min="7688" max="7688" width="0.28515625" style="28" customWidth="1"/>
    <col min="7689" max="7936" width="9.140625" style="28"/>
    <col min="7937" max="7937" width="41" style="28" customWidth="1"/>
    <col min="7938" max="7938" width="12.5703125" style="28" customWidth="1"/>
    <col min="7939" max="7939" width="17.28515625" style="28" customWidth="1"/>
    <col min="7940" max="7940" width="18" style="28" customWidth="1"/>
    <col min="7941" max="7941" width="23.7109375" style="28" customWidth="1"/>
    <col min="7942" max="7943" width="17.28515625" style="28" customWidth="1"/>
    <col min="7944" max="7944" width="0.28515625" style="28" customWidth="1"/>
    <col min="7945" max="8192" width="9.140625" style="28"/>
    <col min="8193" max="8193" width="41" style="28" customWidth="1"/>
    <col min="8194" max="8194" width="12.5703125" style="28" customWidth="1"/>
    <col min="8195" max="8195" width="17.28515625" style="28" customWidth="1"/>
    <col min="8196" max="8196" width="18" style="28" customWidth="1"/>
    <col min="8197" max="8197" width="23.7109375" style="28" customWidth="1"/>
    <col min="8198" max="8199" width="17.28515625" style="28" customWidth="1"/>
    <col min="8200" max="8200" width="0.28515625" style="28" customWidth="1"/>
    <col min="8201" max="8448" width="9.140625" style="28"/>
    <col min="8449" max="8449" width="41" style="28" customWidth="1"/>
    <col min="8450" max="8450" width="12.5703125" style="28" customWidth="1"/>
    <col min="8451" max="8451" width="17.28515625" style="28" customWidth="1"/>
    <col min="8452" max="8452" width="18" style="28" customWidth="1"/>
    <col min="8453" max="8453" width="23.7109375" style="28" customWidth="1"/>
    <col min="8454" max="8455" width="17.28515625" style="28" customWidth="1"/>
    <col min="8456" max="8456" width="0.28515625" style="28" customWidth="1"/>
    <col min="8457" max="8704" width="9.140625" style="28"/>
    <col min="8705" max="8705" width="41" style="28" customWidth="1"/>
    <col min="8706" max="8706" width="12.5703125" style="28" customWidth="1"/>
    <col min="8707" max="8707" width="17.28515625" style="28" customWidth="1"/>
    <col min="8708" max="8708" width="18" style="28" customWidth="1"/>
    <col min="8709" max="8709" width="23.7109375" style="28" customWidth="1"/>
    <col min="8710" max="8711" width="17.28515625" style="28" customWidth="1"/>
    <col min="8712" max="8712" width="0.28515625" style="28" customWidth="1"/>
    <col min="8713" max="8960" width="9.140625" style="28"/>
    <col min="8961" max="8961" width="41" style="28" customWidth="1"/>
    <col min="8962" max="8962" width="12.5703125" style="28" customWidth="1"/>
    <col min="8963" max="8963" width="17.28515625" style="28" customWidth="1"/>
    <col min="8964" max="8964" width="18" style="28" customWidth="1"/>
    <col min="8965" max="8965" width="23.7109375" style="28" customWidth="1"/>
    <col min="8966" max="8967" width="17.28515625" style="28" customWidth="1"/>
    <col min="8968" max="8968" width="0.28515625" style="28" customWidth="1"/>
    <col min="8969" max="9216" width="9.140625" style="28"/>
    <col min="9217" max="9217" width="41" style="28" customWidth="1"/>
    <col min="9218" max="9218" width="12.5703125" style="28" customWidth="1"/>
    <col min="9219" max="9219" width="17.28515625" style="28" customWidth="1"/>
    <col min="9220" max="9220" width="18" style="28" customWidth="1"/>
    <col min="9221" max="9221" width="23.7109375" style="28" customWidth="1"/>
    <col min="9222" max="9223" width="17.28515625" style="28" customWidth="1"/>
    <col min="9224" max="9224" width="0.28515625" style="28" customWidth="1"/>
    <col min="9225" max="9472" width="9.140625" style="28"/>
    <col min="9473" max="9473" width="41" style="28" customWidth="1"/>
    <col min="9474" max="9474" width="12.5703125" style="28" customWidth="1"/>
    <col min="9475" max="9475" width="17.28515625" style="28" customWidth="1"/>
    <col min="9476" max="9476" width="18" style="28" customWidth="1"/>
    <col min="9477" max="9477" width="23.7109375" style="28" customWidth="1"/>
    <col min="9478" max="9479" width="17.28515625" style="28" customWidth="1"/>
    <col min="9480" max="9480" width="0.28515625" style="28" customWidth="1"/>
    <col min="9481" max="9728" width="9.140625" style="28"/>
    <col min="9729" max="9729" width="41" style="28" customWidth="1"/>
    <col min="9730" max="9730" width="12.5703125" style="28" customWidth="1"/>
    <col min="9731" max="9731" width="17.28515625" style="28" customWidth="1"/>
    <col min="9732" max="9732" width="18" style="28" customWidth="1"/>
    <col min="9733" max="9733" width="23.7109375" style="28" customWidth="1"/>
    <col min="9734" max="9735" width="17.28515625" style="28" customWidth="1"/>
    <col min="9736" max="9736" width="0.28515625" style="28" customWidth="1"/>
    <col min="9737" max="9984" width="9.140625" style="28"/>
    <col min="9985" max="9985" width="41" style="28" customWidth="1"/>
    <col min="9986" max="9986" width="12.5703125" style="28" customWidth="1"/>
    <col min="9987" max="9987" width="17.28515625" style="28" customWidth="1"/>
    <col min="9988" max="9988" width="18" style="28" customWidth="1"/>
    <col min="9989" max="9989" width="23.7109375" style="28" customWidth="1"/>
    <col min="9990" max="9991" width="17.28515625" style="28" customWidth="1"/>
    <col min="9992" max="9992" width="0.28515625" style="28" customWidth="1"/>
    <col min="9993" max="10240" width="9.140625" style="28"/>
    <col min="10241" max="10241" width="41" style="28" customWidth="1"/>
    <col min="10242" max="10242" width="12.5703125" style="28" customWidth="1"/>
    <col min="10243" max="10243" width="17.28515625" style="28" customWidth="1"/>
    <col min="10244" max="10244" width="18" style="28" customWidth="1"/>
    <col min="10245" max="10245" width="23.7109375" style="28" customWidth="1"/>
    <col min="10246" max="10247" width="17.28515625" style="28" customWidth="1"/>
    <col min="10248" max="10248" width="0.28515625" style="28" customWidth="1"/>
    <col min="10249" max="10496" width="9.140625" style="28"/>
    <col min="10497" max="10497" width="41" style="28" customWidth="1"/>
    <col min="10498" max="10498" width="12.5703125" style="28" customWidth="1"/>
    <col min="10499" max="10499" width="17.28515625" style="28" customWidth="1"/>
    <col min="10500" max="10500" width="18" style="28" customWidth="1"/>
    <col min="10501" max="10501" width="23.7109375" style="28" customWidth="1"/>
    <col min="10502" max="10503" width="17.28515625" style="28" customWidth="1"/>
    <col min="10504" max="10504" width="0.28515625" style="28" customWidth="1"/>
    <col min="10505" max="10752" width="9.140625" style="28"/>
    <col min="10753" max="10753" width="41" style="28" customWidth="1"/>
    <col min="10754" max="10754" width="12.5703125" style="28" customWidth="1"/>
    <col min="10755" max="10755" width="17.28515625" style="28" customWidth="1"/>
    <col min="10756" max="10756" width="18" style="28" customWidth="1"/>
    <col min="10757" max="10757" width="23.7109375" style="28" customWidth="1"/>
    <col min="10758" max="10759" width="17.28515625" style="28" customWidth="1"/>
    <col min="10760" max="10760" width="0.28515625" style="28" customWidth="1"/>
    <col min="10761" max="11008" width="9.140625" style="28"/>
    <col min="11009" max="11009" width="41" style="28" customWidth="1"/>
    <col min="11010" max="11010" width="12.5703125" style="28" customWidth="1"/>
    <col min="11011" max="11011" width="17.28515625" style="28" customWidth="1"/>
    <col min="11012" max="11012" width="18" style="28" customWidth="1"/>
    <col min="11013" max="11013" width="23.7109375" style="28" customWidth="1"/>
    <col min="11014" max="11015" width="17.28515625" style="28" customWidth="1"/>
    <col min="11016" max="11016" width="0.28515625" style="28" customWidth="1"/>
    <col min="11017" max="11264" width="9.140625" style="28"/>
    <col min="11265" max="11265" width="41" style="28" customWidth="1"/>
    <col min="11266" max="11266" width="12.5703125" style="28" customWidth="1"/>
    <col min="11267" max="11267" width="17.28515625" style="28" customWidth="1"/>
    <col min="11268" max="11268" width="18" style="28" customWidth="1"/>
    <col min="11269" max="11269" width="23.7109375" style="28" customWidth="1"/>
    <col min="11270" max="11271" width="17.28515625" style="28" customWidth="1"/>
    <col min="11272" max="11272" width="0.28515625" style="28" customWidth="1"/>
    <col min="11273" max="11520" width="9.140625" style="28"/>
    <col min="11521" max="11521" width="41" style="28" customWidth="1"/>
    <col min="11522" max="11522" width="12.5703125" style="28" customWidth="1"/>
    <col min="11523" max="11523" width="17.28515625" style="28" customWidth="1"/>
    <col min="11524" max="11524" width="18" style="28" customWidth="1"/>
    <col min="11525" max="11525" width="23.7109375" style="28" customWidth="1"/>
    <col min="11526" max="11527" width="17.28515625" style="28" customWidth="1"/>
    <col min="11528" max="11528" width="0.28515625" style="28" customWidth="1"/>
    <col min="11529" max="11776" width="9.140625" style="28"/>
    <col min="11777" max="11777" width="41" style="28" customWidth="1"/>
    <col min="11778" max="11778" width="12.5703125" style="28" customWidth="1"/>
    <col min="11779" max="11779" width="17.28515625" style="28" customWidth="1"/>
    <col min="11780" max="11780" width="18" style="28" customWidth="1"/>
    <col min="11781" max="11781" width="23.7109375" style="28" customWidth="1"/>
    <col min="11782" max="11783" width="17.28515625" style="28" customWidth="1"/>
    <col min="11784" max="11784" width="0.28515625" style="28" customWidth="1"/>
    <col min="11785" max="12032" width="9.140625" style="28"/>
    <col min="12033" max="12033" width="41" style="28" customWidth="1"/>
    <col min="12034" max="12034" width="12.5703125" style="28" customWidth="1"/>
    <col min="12035" max="12035" width="17.28515625" style="28" customWidth="1"/>
    <col min="12036" max="12036" width="18" style="28" customWidth="1"/>
    <col min="12037" max="12037" width="23.7109375" style="28" customWidth="1"/>
    <col min="12038" max="12039" width="17.28515625" style="28" customWidth="1"/>
    <col min="12040" max="12040" width="0.28515625" style="28" customWidth="1"/>
    <col min="12041" max="12288" width="9.140625" style="28"/>
    <col min="12289" max="12289" width="41" style="28" customWidth="1"/>
    <col min="12290" max="12290" width="12.5703125" style="28" customWidth="1"/>
    <col min="12291" max="12291" width="17.28515625" style="28" customWidth="1"/>
    <col min="12292" max="12292" width="18" style="28" customWidth="1"/>
    <col min="12293" max="12293" width="23.7109375" style="28" customWidth="1"/>
    <col min="12294" max="12295" width="17.28515625" style="28" customWidth="1"/>
    <col min="12296" max="12296" width="0.28515625" style="28" customWidth="1"/>
    <col min="12297" max="12544" width="9.140625" style="28"/>
    <col min="12545" max="12545" width="41" style="28" customWidth="1"/>
    <col min="12546" max="12546" width="12.5703125" style="28" customWidth="1"/>
    <col min="12547" max="12547" width="17.28515625" style="28" customWidth="1"/>
    <col min="12548" max="12548" width="18" style="28" customWidth="1"/>
    <col min="12549" max="12549" width="23.7109375" style="28" customWidth="1"/>
    <col min="12550" max="12551" width="17.28515625" style="28" customWidth="1"/>
    <col min="12552" max="12552" width="0.28515625" style="28" customWidth="1"/>
    <col min="12553" max="12800" width="9.140625" style="28"/>
    <col min="12801" max="12801" width="41" style="28" customWidth="1"/>
    <col min="12802" max="12802" width="12.5703125" style="28" customWidth="1"/>
    <col min="12803" max="12803" width="17.28515625" style="28" customWidth="1"/>
    <col min="12804" max="12804" width="18" style="28" customWidth="1"/>
    <col min="12805" max="12805" width="23.7109375" style="28" customWidth="1"/>
    <col min="12806" max="12807" width="17.28515625" style="28" customWidth="1"/>
    <col min="12808" max="12808" width="0.28515625" style="28" customWidth="1"/>
    <col min="12809" max="13056" width="9.140625" style="28"/>
    <col min="13057" max="13057" width="41" style="28" customWidth="1"/>
    <col min="13058" max="13058" width="12.5703125" style="28" customWidth="1"/>
    <col min="13059" max="13059" width="17.28515625" style="28" customWidth="1"/>
    <col min="13060" max="13060" width="18" style="28" customWidth="1"/>
    <col min="13061" max="13061" width="23.7109375" style="28" customWidth="1"/>
    <col min="13062" max="13063" width="17.28515625" style="28" customWidth="1"/>
    <col min="13064" max="13064" width="0.28515625" style="28" customWidth="1"/>
    <col min="13065" max="13312" width="9.140625" style="28"/>
    <col min="13313" max="13313" width="41" style="28" customWidth="1"/>
    <col min="13314" max="13314" width="12.5703125" style="28" customWidth="1"/>
    <col min="13315" max="13315" width="17.28515625" style="28" customWidth="1"/>
    <col min="13316" max="13316" width="18" style="28" customWidth="1"/>
    <col min="13317" max="13317" width="23.7109375" style="28" customWidth="1"/>
    <col min="13318" max="13319" width="17.28515625" style="28" customWidth="1"/>
    <col min="13320" max="13320" width="0.28515625" style="28" customWidth="1"/>
    <col min="13321" max="13568" width="9.140625" style="28"/>
    <col min="13569" max="13569" width="41" style="28" customWidth="1"/>
    <col min="13570" max="13570" width="12.5703125" style="28" customWidth="1"/>
    <col min="13571" max="13571" width="17.28515625" style="28" customWidth="1"/>
    <col min="13572" max="13572" width="18" style="28" customWidth="1"/>
    <col min="13573" max="13573" width="23.7109375" style="28" customWidth="1"/>
    <col min="13574" max="13575" width="17.28515625" style="28" customWidth="1"/>
    <col min="13576" max="13576" width="0.28515625" style="28" customWidth="1"/>
    <col min="13577" max="13824" width="9.140625" style="28"/>
    <col min="13825" max="13825" width="41" style="28" customWidth="1"/>
    <col min="13826" max="13826" width="12.5703125" style="28" customWidth="1"/>
    <col min="13827" max="13827" width="17.28515625" style="28" customWidth="1"/>
    <col min="13828" max="13828" width="18" style="28" customWidth="1"/>
    <col min="13829" max="13829" width="23.7109375" style="28" customWidth="1"/>
    <col min="13830" max="13831" width="17.28515625" style="28" customWidth="1"/>
    <col min="13832" max="13832" width="0.28515625" style="28" customWidth="1"/>
    <col min="13833" max="14080" width="9.140625" style="28"/>
    <col min="14081" max="14081" width="41" style="28" customWidth="1"/>
    <col min="14082" max="14082" width="12.5703125" style="28" customWidth="1"/>
    <col min="14083" max="14083" width="17.28515625" style="28" customWidth="1"/>
    <col min="14084" max="14084" width="18" style="28" customWidth="1"/>
    <col min="14085" max="14085" width="23.7109375" style="28" customWidth="1"/>
    <col min="14086" max="14087" width="17.28515625" style="28" customWidth="1"/>
    <col min="14088" max="14088" width="0.28515625" style="28" customWidth="1"/>
    <col min="14089" max="14336" width="9.140625" style="28"/>
    <col min="14337" max="14337" width="41" style="28" customWidth="1"/>
    <col min="14338" max="14338" width="12.5703125" style="28" customWidth="1"/>
    <col min="14339" max="14339" width="17.28515625" style="28" customWidth="1"/>
    <col min="14340" max="14340" width="18" style="28" customWidth="1"/>
    <col min="14341" max="14341" width="23.7109375" style="28" customWidth="1"/>
    <col min="14342" max="14343" width="17.28515625" style="28" customWidth="1"/>
    <col min="14344" max="14344" width="0.28515625" style="28" customWidth="1"/>
    <col min="14345" max="14592" width="9.140625" style="28"/>
    <col min="14593" max="14593" width="41" style="28" customWidth="1"/>
    <col min="14594" max="14594" width="12.5703125" style="28" customWidth="1"/>
    <col min="14595" max="14595" width="17.28515625" style="28" customWidth="1"/>
    <col min="14596" max="14596" width="18" style="28" customWidth="1"/>
    <col min="14597" max="14597" width="23.7109375" style="28" customWidth="1"/>
    <col min="14598" max="14599" width="17.28515625" style="28" customWidth="1"/>
    <col min="14600" max="14600" width="0.28515625" style="28" customWidth="1"/>
    <col min="14601" max="14848" width="9.140625" style="28"/>
    <col min="14849" max="14849" width="41" style="28" customWidth="1"/>
    <col min="14850" max="14850" width="12.5703125" style="28" customWidth="1"/>
    <col min="14851" max="14851" width="17.28515625" style="28" customWidth="1"/>
    <col min="14852" max="14852" width="18" style="28" customWidth="1"/>
    <col min="14853" max="14853" width="23.7109375" style="28" customWidth="1"/>
    <col min="14854" max="14855" width="17.28515625" style="28" customWidth="1"/>
    <col min="14856" max="14856" width="0.28515625" style="28" customWidth="1"/>
    <col min="14857" max="15104" width="9.140625" style="28"/>
    <col min="15105" max="15105" width="41" style="28" customWidth="1"/>
    <col min="15106" max="15106" width="12.5703125" style="28" customWidth="1"/>
    <col min="15107" max="15107" width="17.28515625" style="28" customWidth="1"/>
    <col min="15108" max="15108" width="18" style="28" customWidth="1"/>
    <col min="15109" max="15109" width="23.7109375" style="28" customWidth="1"/>
    <col min="15110" max="15111" width="17.28515625" style="28" customWidth="1"/>
    <col min="15112" max="15112" width="0.28515625" style="28" customWidth="1"/>
    <col min="15113" max="15360" width="9.140625" style="28"/>
    <col min="15361" max="15361" width="41" style="28" customWidth="1"/>
    <col min="15362" max="15362" width="12.5703125" style="28" customWidth="1"/>
    <col min="15363" max="15363" width="17.28515625" style="28" customWidth="1"/>
    <col min="15364" max="15364" width="18" style="28" customWidth="1"/>
    <col min="15365" max="15365" width="23.7109375" style="28" customWidth="1"/>
    <col min="15366" max="15367" width="17.28515625" style="28" customWidth="1"/>
    <col min="15368" max="15368" width="0.28515625" style="28" customWidth="1"/>
    <col min="15369" max="15616" width="9.140625" style="28"/>
    <col min="15617" max="15617" width="41" style="28" customWidth="1"/>
    <col min="15618" max="15618" width="12.5703125" style="28" customWidth="1"/>
    <col min="15619" max="15619" width="17.28515625" style="28" customWidth="1"/>
    <col min="15620" max="15620" width="18" style="28" customWidth="1"/>
    <col min="15621" max="15621" width="23.7109375" style="28" customWidth="1"/>
    <col min="15622" max="15623" width="17.28515625" style="28" customWidth="1"/>
    <col min="15624" max="15624" width="0.28515625" style="28" customWidth="1"/>
    <col min="15625" max="15872" width="9.140625" style="28"/>
    <col min="15873" max="15873" width="41" style="28" customWidth="1"/>
    <col min="15874" max="15874" width="12.5703125" style="28" customWidth="1"/>
    <col min="15875" max="15875" width="17.28515625" style="28" customWidth="1"/>
    <col min="15876" max="15876" width="18" style="28" customWidth="1"/>
    <col min="15877" max="15877" width="23.7109375" style="28" customWidth="1"/>
    <col min="15878" max="15879" width="17.28515625" style="28" customWidth="1"/>
    <col min="15880" max="15880" width="0.28515625" style="28" customWidth="1"/>
    <col min="15881" max="16128" width="9.140625" style="28"/>
    <col min="16129" max="16129" width="41" style="28" customWidth="1"/>
    <col min="16130" max="16130" width="12.5703125" style="28" customWidth="1"/>
    <col min="16131" max="16131" width="17.28515625" style="28" customWidth="1"/>
    <col min="16132" max="16132" width="18" style="28" customWidth="1"/>
    <col min="16133" max="16133" width="23.7109375" style="28" customWidth="1"/>
    <col min="16134" max="16135" width="17.28515625" style="28" customWidth="1"/>
    <col min="16136" max="16136" width="0.28515625" style="28" customWidth="1"/>
    <col min="16137" max="16384" width="9.140625" style="28"/>
  </cols>
  <sheetData>
    <row r="1" spans="1:8" s="2" customFormat="1" ht="24" x14ac:dyDescent="0.2">
      <c r="A1" s="68" t="s">
        <v>219</v>
      </c>
      <c r="B1" s="69"/>
      <c r="C1" s="69"/>
      <c r="D1" s="69"/>
      <c r="E1" s="69"/>
      <c r="F1" s="69"/>
      <c r="G1" s="70"/>
      <c r="H1" s="1"/>
    </row>
    <row r="2" spans="1:8" s="2" customFormat="1" ht="19.5" x14ac:dyDescent="0.2">
      <c r="A2" s="77" t="s">
        <v>220</v>
      </c>
      <c r="B2" s="78"/>
      <c r="C2" s="78"/>
      <c r="D2" s="78"/>
      <c r="E2" s="78"/>
      <c r="F2" s="78"/>
      <c r="G2" s="79"/>
      <c r="H2" s="1"/>
    </row>
    <row r="3" spans="1:8" s="2" customFormat="1" ht="16.5" x14ac:dyDescent="0.2">
      <c r="A3" s="74" t="s">
        <v>57</v>
      </c>
      <c r="B3" s="75"/>
      <c r="C3" s="75"/>
      <c r="D3" s="75"/>
      <c r="E3" s="75"/>
      <c r="F3" s="75"/>
      <c r="G3" s="76"/>
      <c r="H3" s="1"/>
    </row>
    <row r="4" spans="1:8" s="2" customFormat="1" ht="16.5" x14ac:dyDescent="0.2">
      <c r="A4" s="74" t="s">
        <v>58</v>
      </c>
      <c r="B4" s="75"/>
      <c r="C4" s="75"/>
      <c r="D4" s="75"/>
      <c r="E4" s="75"/>
      <c r="F4" s="75"/>
      <c r="G4" s="76"/>
      <c r="H4" s="1"/>
    </row>
    <row r="5" spans="1:8" s="2" customFormat="1" ht="16.5" x14ac:dyDescent="0.2">
      <c r="A5" s="3"/>
      <c r="B5" s="4"/>
      <c r="C5" s="4"/>
      <c r="D5" s="4"/>
      <c r="E5" s="4"/>
      <c r="F5" s="4"/>
      <c r="G5" s="5"/>
      <c r="H5" s="1"/>
    </row>
    <row r="6" spans="1:8" s="2" customFormat="1" ht="16.5" x14ac:dyDescent="0.2">
      <c r="A6" s="3" t="s">
        <v>91</v>
      </c>
      <c r="B6" s="6" t="str">
        <f>VLOOKUP(B7,'Salary Mar-22'!B:L,11,0)</f>
        <v>Chemist-FG</v>
      </c>
      <c r="C6" s="4"/>
      <c r="D6" s="7"/>
      <c r="E6" s="7"/>
      <c r="F6" s="6" t="s">
        <v>59</v>
      </c>
      <c r="G6" s="8">
        <f>+'Salary Mar-22'!H1</f>
        <v>44621</v>
      </c>
      <c r="H6" s="1"/>
    </row>
    <row r="7" spans="1:8" s="2" customFormat="1" ht="16.5" x14ac:dyDescent="0.2">
      <c r="A7" s="3" t="s">
        <v>90</v>
      </c>
      <c r="B7" s="9" t="s">
        <v>132</v>
      </c>
      <c r="C7" s="4"/>
      <c r="D7" s="7"/>
      <c r="E7" s="7"/>
      <c r="F7" s="6" t="s">
        <v>60</v>
      </c>
      <c r="G7" s="10">
        <f>VLOOKUP(B7,'Salary Mar-22'!B:F,5,0)</f>
        <v>1213330946</v>
      </c>
      <c r="H7" s="1"/>
    </row>
    <row r="8" spans="1:8" s="2" customFormat="1" ht="16.5" x14ac:dyDescent="0.2">
      <c r="A8" s="3" t="s">
        <v>89</v>
      </c>
      <c r="B8" s="6" t="str">
        <f>VLOOKUP(B7,'Salary Mar-22'!B:L,7,0)</f>
        <v>Sample 31</v>
      </c>
      <c r="C8" s="4"/>
      <c r="D8" s="4"/>
      <c r="E8" s="7"/>
      <c r="F8" s="6" t="s">
        <v>61</v>
      </c>
      <c r="G8" s="11">
        <f>VLOOKUP(B7,'Salary Mar-22'!B:E,4,0)</f>
        <v>100310540447</v>
      </c>
      <c r="H8" s="1"/>
    </row>
    <row r="9" spans="1:8" s="2" customFormat="1" ht="16.5" x14ac:dyDescent="0.2">
      <c r="A9" s="29" t="s">
        <v>92</v>
      </c>
      <c r="B9" s="6" t="str">
        <f>VLOOKUP(B7,'Salary Mar-22'!B:L,10,0)</f>
        <v>Quality</v>
      </c>
      <c r="C9" s="4"/>
      <c r="D9" s="4"/>
      <c r="E9" s="7"/>
      <c r="F9" s="6" t="s">
        <v>101</v>
      </c>
      <c r="G9" s="12"/>
      <c r="H9" s="1"/>
    </row>
    <row r="10" spans="1:8" s="2" customFormat="1" ht="16.5" x14ac:dyDescent="0.2">
      <c r="A10" s="29"/>
      <c r="B10" s="30"/>
      <c r="C10" s="4"/>
      <c r="D10" s="4"/>
      <c r="E10" s="7"/>
      <c r="F10" s="6" t="s">
        <v>96</v>
      </c>
      <c r="G10" s="12" t="e">
        <v>#N/A</v>
      </c>
      <c r="H10" s="1"/>
    </row>
    <row r="11" spans="1:8" s="2" customFormat="1" ht="16.5" x14ac:dyDescent="0.2">
      <c r="A11" s="3"/>
      <c r="B11" s="6"/>
      <c r="C11" s="4"/>
      <c r="D11" s="4"/>
      <c r="E11" s="7"/>
      <c r="F11" s="6" t="s">
        <v>94</v>
      </c>
      <c r="G11" s="12" t="e">
        <v>#N/A</v>
      </c>
      <c r="H11" s="1"/>
    </row>
    <row r="12" spans="1:8" s="2" customFormat="1" ht="16.5" x14ac:dyDescent="0.2">
      <c r="A12" s="3"/>
      <c r="B12" s="6"/>
      <c r="C12" s="4"/>
      <c r="D12" s="4"/>
      <c r="E12" s="7"/>
      <c r="F12" s="6" t="s">
        <v>95</v>
      </c>
      <c r="G12" s="12" t="e">
        <v>#N/A</v>
      </c>
      <c r="H12" s="1"/>
    </row>
    <row r="13" spans="1:8" s="33" customFormat="1" ht="16.5" x14ac:dyDescent="0.2">
      <c r="A13" s="72" t="s">
        <v>76</v>
      </c>
      <c r="B13" s="72"/>
      <c r="C13" s="31"/>
      <c r="D13" s="31" t="s">
        <v>62</v>
      </c>
      <c r="E13" s="31" t="s">
        <v>63</v>
      </c>
      <c r="F13" s="72" t="s">
        <v>64</v>
      </c>
      <c r="G13" s="72"/>
      <c r="H13" s="32"/>
    </row>
    <row r="14" spans="1:8" s="2" customFormat="1" ht="16.5" x14ac:dyDescent="0.2">
      <c r="A14" s="14" t="s">
        <v>98</v>
      </c>
      <c r="B14" s="13">
        <f>VLOOKUP(B7,'Salary Mar-22'!B:M,12,0)</f>
        <v>1</v>
      </c>
      <c r="C14" s="14" t="s">
        <v>78</v>
      </c>
      <c r="D14" s="15">
        <f>VLOOKUP(B7,'Salary Mar-22'!B:S,18,0)</f>
        <v>30000</v>
      </c>
      <c r="E14" s="16">
        <f>VLOOKUP(B7,'Salary Mar-22'!B:Z,25,0)</f>
        <v>2143</v>
      </c>
      <c r="F14" s="14" t="s">
        <v>30</v>
      </c>
      <c r="G14" s="17">
        <f>VLOOKUP(B7,'Salary Mar-22'!B:AG,32,0)</f>
        <v>257</v>
      </c>
      <c r="H14" s="1"/>
    </row>
    <row r="15" spans="1:8" s="2" customFormat="1" ht="16.5" x14ac:dyDescent="0.2">
      <c r="A15" s="13" t="s">
        <v>97</v>
      </c>
      <c r="B15" s="13">
        <f>VLOOKUP(B7,'Salary Mar-22'!B:N,13,0)</f>
        <v>0</v>
      </c>
      <c r="C15" s="13" t="s">
        <v>26</v>
      </c>
      <c r="D15" s="18">
        <f>VLOOKUP(B7,'Salary Mar-22'!B:T,19,0)</f>
        <v>6000</v>
      </c>
      <c r="E15" s="17">
        <f>VLOOKUP(B7,'Salary Mar-22'!B:AA,26,0)</f>
        <v>429</v>
      </c>
      <c r="F15" s="13" t="s">
        <v>31</v>
      </c>
      <c r="G15" s="17">
        <f>VLOOKUP(B7,'Salary Mar-22'!B:AH,33,0)</f>
        <v>0</v>
      </c>
      <c r="H15" s="1"/>
    </row>
    <row r="16" spans="1:8" s="2" customFormat="1" ht="16.5" x14ac:dyDescent="0.2">
      <c r="A16" s="13" t="s">
        <v>56</v>
      </c>
      <c r="B16" s="13">
        <f>VLOOKUP(B7,'Salary Mar-22'!B:Q,16,0)</f>
        <v>0</v>
      </c>
      <c r="C16" s="13" t="s">
        <v>77</v>
      </c>
      <c r="D16" s="18">
        <f>VLOOKUP(B7,'Salary Mar-22'!B:U,20,0)</f>
        <v>0</v>
      </c>
      <c r="E16" s="17">
        <f>VLOOKUP(B7,'Salary Mar-22'!B:AB,27,0)</f>
        <v>0</v>
      </c>
      <c r="F16" s="13" t="s">
        <v>65</v>
      </c>
      <c r="G16" s="17">
        <f>VLOOKUP(B7,'Salary Mar-22'!B:AI,34,0)</f>
        <v>0</v>
      </c>
      <c r="H16" s="1"/>
    </row>
    <row r="17" spans="1:8" s="2" customFormat="1" ht="16.5" x14ac:dyDescent="0.2">
      <c r="A17" s="13" t="s">
        <v>99</v>
      </c>
      <c r="B17" s="13">
        <f>VLOOKUP(B7,'Salary Mar-22'!B:O,14,0)</f>
        <v>1</v>
      </c>
      <c r="C17" s="13" t="s">
        <v>79</v>
      </c>
      <c r="D17" s="18">
        <f>VLOOKUP(B7,'Salary Mar-22'!B:V,21,0)</f>
        <v>0</v>
      </c>
      <c r="E17" s="17">
        <f>VLOOKUP(B7,'Salary Mar-22'!B:AC,28,0)</f>
        <v>0</v>
      </c>
      <c r="F17" s="13" t="s">
        <v>66</v>
      </c>
      <c r="G17" s="17">
        <f>VLOOKUP(B7,'Salary Mar-22'!B:AJ,35,0)</f>
        <v>0</v>
      </c>
      <c r="H17" s="1"/>
    </row>
    <row r="18" spans="1:8" s="2" customFormat="1" ht="16.5" x14ac:dyDescent="0.2">
      <c r="A18" s="13" t="s">
        <v>100</v>
      </c>
      <c r="B18" s="13">
        <f>VLOOKUP(B7,'Salary Mar-22'!B:P,15,0)</f>
        <v>0</v>
      </c>
      <c r="C18" s="13" t="s">
        <v>80</v>
      </c>
      <c r="D18" s="18">
        <f>VLOOKUP(B7,'Salary Mar-22'!B:W,22,0)</f>
        <v>0</v>
      </c>
      <c r="E18" s="17">
        <f>VLOOKUP(B7,'Salary Mar-22'!B:AD,29,0)</f>
        <v>0</v>
      </c>
      <c r="F18" s="19"/>
      <c r="G18" s="17"/>
      <c r="H18" s="1"/>
    </row>
    <row r="19" spans="1:8" s="2" customFormat="1" ht="16.5" x14ac:dyDescent="0.2">
      <c r="A19" s="13"/>
      <c r="B19" s="13"/>
      <c r="C19" s="13" t="s">
        <v>81</v>
      </c>
      <c r="D19" s="18">
        <f>VLOOKUP(B7,'Salary Mar-22'!B:X,23,0)</f>
        <v>3340</v>
      </c>
      <c r="E19" s="17">
        <f>VLOOKUP(B7,'Salary Mar-22'!B:AE,30,0)</f>
        <v>239</v>
      </c>
      <c r="F19" s="19"/>
      <c r="G19" s="17"/>
      <c r="H19" s="1"/>
    </row>
    <row r="20" spans="1:8" s="2" customFormat="1" ht="16.5" x14ac:dyDescent="0.2">
      <c r="A20" s="13" t="s">
        <v>67</v>
      </c>
      <c r="B20" s="13">
        <f>SUM(B14:B18)-B15</f>
        <v>2</v>
      </c>
      <c r="C20" s="13" t="s">
        <v>68</v>
      </c>
      <c r="D20" s="18">
        <f>SUM(D14:D19)</f>
        <v>39340</v>
      </c>
      <c r="E20" s="18">
        <f>SUM(E14:E19)</f>
        <v>2811</v>
      </c>
      <c r="F20" s="18" t="s">
        <v>68</v>
      </c>
      <c r="G20" s="18">
        <f>SUM(G14:G19)</f>
        <v>257</v>
      </c>
      <c r="H20" s="1"/>
    </row>
    <row r="21" spans="1:8" s="2" customFormat="1" ht="16.5" x14ac:dyDescent="0.2">
      <c r="A21" s="13" t="s">
        <v>69</v>
      </c>
      <c r="B21" s="71" t="s">
        <v>70</v>
      </c>
      <c r="C21" s="71"/>
      <c r="D21" s="20"/>
      <c r="E21" s="13" t="s">
        <v>34</v>
      </c>
      <c r="F21" s="21">
        <f>ROUND(E20-G20,0)</f>
        <v>2554</v>
      </c>
      <c r="G21" s="20"/>
      <c r="H21" s="1"/>
    </row>
    <row r="22" spans="1:8" s="2" customFormat="1" ht="16.5" x14ac:dyDescent="0.2">
      <c r="A22" s="13" t="s">
        <v>71</v>
      </c>
      <c r="B22" s="71" t="str">
        <f>VLOOKUP(B7,'Salary Mar-22'!B:AM,38,0)</f>
        <v>Sample 31</v>
      </c>
      <c r="C22" s="71"/>
      <c r="D22" s="20"/>
      <c r="E22" s="20"/>
      <c r="F22" s="20"/>
      <c r="G22" s="20"/>
      <c r="H22" s="1"/>
    </row>
    <row r="23" spans="1:8" s="2" customFormat="1" ht="16.5" x14ac:dyDescent="0.2">
      <c r="A23" s="13" t="s">
        <v>72</v>
      </c>
      <c r="B23" s="73" t="str">
        <f>VLOOKUP(B7,'Salary Mar-22'!B:AN,39,0)</f>
        <v>0419000104345384</v>
      </c>
      <c r="C23" s="73"/>
      <c r="D23" s="20"/>
      <c r="E23" s="20"/>
      <c r="F23" s="20"/>
      <c r="G23" s="20"/>
      <c r="H23" s="1"/>
    </row>
    <row r="24" spans="1:8" s="2" customFormat="1" ht="16.5" x14ac:dyDescent="0.2">
      <c r="A24" s="13" t="s">
        <v>37</v>
      </c>
      <c r="B24" s="66" t="str">
        <f>VLOOKUP(B7,'Salary Mar-22'!B:AP,41,0)</f>
        <v>PUNB0041900</v>
      </c>
      <c r="C24" s="67"/>
      <c r="D24" s="20"/>
      <c r="E24" s="20"/>
      <c r="F24" s="20"/>
      <c r="G24" s="20"/>
      <c r="H24" s="1"/>
    </row>
    <row r="25" spans="1:8" s="2" customFormat="1" ht="16.5" x14ac:dyDescent="0.2">
      <c r="A25" s="22"/>
      <c r="B25" s="7"/>
      <c r="C25" s="7"/>
      <c r="D25" s="7"/>
      <c r="E25" s="4"/>
      <c r="F25" s="4"/>
      <c r="G25" s="23"/>
      <c r="H25" s="1"/>
    </row>
    <row r="26" spans="1:8" s="2" customFormat="1" ht="16.5" x14ac:dyDescent="0.2">
      <c r="A26" s="24" t="s">
        <v>93</v>
      </c>
      <c r="B26" s="7"/>
      <c r="C26" s="7"/>
      <c r="D26" s="7"/>
      <c r="E26" s="4"/>
      <c r="F26" s="4"/>
      <c r="G26" s="5"/>
      <c r="H26" s="1"/>
    </row>
    <row r="27" spans="1:8" s="2" customFormat="1" x14ac:dyDescent="0.2">
      <c r="A27" s="25"/>
      <c r="B27" s="26"/>
      <c r="C27" s="26"/>
      <c r="D27" s="26"/>
      <c r="E27" s="26"/>
      <c r="F27" s="26"/>
      <c r="G27" s="27"/>
      <c r="H27" s="1"/>
    </row>
  </sheetData>
  <protectedRanges>
    <protectedRange sqref="B7" name="Range1_1_1"/>
  </protectedRanges>
  <mergeCells count="10">
    <mergeCell ref="B24:C24"/>
    <mergeCell ref="A1:G1"/>
    <mergeCell ref="B21:C21"/>
    <mergeCell ref="F13:G13"/>
    <mergeCell ref="B22:C22"/>
    <mergeCell ref="B23:C23"/>
    <mergeCell ref="A4:G4"/>
    <mergeCell ref="A3:G3"/>
    <mergeCell ref="A13:B13"/>
    <mergeCell ref="A2:G2"/>
  </mergeCells>
  <conditionalFormatting sqref="C7">
    <cfRule type="iconSet" priority="91">
      <iconSet>
        <cfvo type="percent" val="0"/>
        <cfvo type="percent" val="33"/>
        <cfvo type="percent" val="67"/>
      </iconSet>
    </cfRule>
  </conditionalFormatting>
  <pageMargins left="0.4" right="0.19685039370078741" top="0.46" bottom="0.6" header="0.2" footer="0.31496062992125984"/>
  <pageSetup paperSize="9" scale="76" fitToHeight="4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 Mar-22</vt:lpstr>
      <vt:lpstr>Payslip 25B</vt:lpstr>
      <vt:lpstr>'Payslip 25B'!Print_Area</vt:lpstr>
      <vt:lpstr>'Salary Mar-22'!Print_Titles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Sharavan</dc:creator>
  <cp:lastModifiedBy>Vishal Sharma</cp:lastModifiedBy>
  <cp:lastPrinted>2022-05-17T18:35:02Z</cp:lastPrinted>
  <dcterms:created xsi:type="dcterms:W3CDTF">2007-07-25T06:52:47Z</dcterms:created>
  <dcterms:modified xsi:type="dcterms:W3CDTF">2022-05-17T18:36:24Z</dcterms:modified>
</cp:coreProperties>
</file>