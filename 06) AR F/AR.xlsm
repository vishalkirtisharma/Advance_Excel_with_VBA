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Vishal Sharma\Desktop\New folder (8)\06) AR\"/>
    </mc:Choice>
  </mc:AlternateContent>
  <bookViews>
    <workbookView xWindow="0" yWindow="0" windowWidth="20490" windowHeight="7755" firstSheet="2" activeTab="3"/>
  </bookViews>
  <sheets>
    <sheet name="Outstanding data + Overdue" sheetId="13" state="veryHidden" r:id="rId1"/>
    <sheet name="Ledger &amp; Group" sheetId="11" state="veryHidden" r:id="rId2"/>
    <sheet name="Unreconciled AR" sheetId="26" r:id="rId3"/>
    <sheet name="All" sheetId="12" r:id="rId4"/>
    <sheet name="Timeline data AR" sheetId="16" state="veryHidden" r:id="rId5"/>
    <sheet name="Raw Data" sheetId="14" r:id="rId6"/>
  </sheets>
  <functionGroups builtInGroupCount="18"/>
  <definedNames>
    <definedName name="_xlnm._FilterDatabase" localSheetId="3" hidden="1">All!#REF!</definedName>
    <definedName name="_xlnm._FilterDatabase" localSheetId="1" hidden="1">'Ledger &amp; Group'!$A$1:$D$41</definedName>
    <definedName name="_xlnm._FilterDatabase" localSheetId="0" hidden="1">'Outstanding data + Overdue'!$A$1:$CIY$615</definedName>
    <definedName name="_xlnm._FilterDatabase" localSheetId="5" hidden="1">'Raw Data'!$A$6:$AG$351</definedName>
    <definedName name="_xlnm._FilterDatabase" localSheetId="2" hidden="1">'Unreconciled AR'!$A$1:$F$1</definedName>
    <definedName name="ap">#REF!</definedName>
    <definedName name="check" localSheetId="4">'Outstanding data + Overdue'!#REF!</definedName>
    <definedName name="check">'Outstanding data + Overdue'!#REF!</definedName>
    <definedName name="Customer_OS">All!$J$1</definedName>
    <definedName name="GSOS">All!$J$2</definedName>
    <definedName name="lebhai" localSheetId="4">'Outstanding data + Overdue'!#REF!</definedName>
    <definedName name="lebhai">'Outstanding data + Overdue'!#REF!</definedName>
    <definedName name="lee" localSheetId="4">'Outstanding data + Overdue'!#REF!</definedName>
    <definedName name="lee">'Outstanding data + Overdue'!#REF!</definedName>
    <definedName name="napta" localSheetId="4">'Raw Data'!#REF!</definedName>
    <definedName name="napta">'Raw Data'!#REF!</definedName>
    <definedName name="Slicer_Customer">#N/A</definedName>
    <definedName name="Slicer_Customer2">#N/A</definedName>
    <definedName name="Slicer_Status">#N/A</definedName>
    <definedName name="Slicer_Status2">#N/A</definedName>
    <definedName name="test">'Outstanding data + Overdue'!$A$1:$AM$346</definedName>
  </definedNames>
  <calcPr calcId="152511"/>
  <pivotCaches>
    <pivotCache cacheId="84" r:id="rId7"/>
    <pivotCache cacheId="89"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F2" i="13" l="1"/>
  <c r="G2" i="13" s="1"/>
  <c r="F3" i="13"/>
  <c r="G3" i="13" s="1"/>
  <c r="F4" i="13"/>
  <c r="G4" i="13" s="1"/>
  <c r="F5" i="13"/>
  <c r="G5" i="13" s="1"/>
  <c r="F6" i="13"/>
  <c r="G6" i="13" s="1"/>
  <c r="F7" i="13"/>
  <c r="G7" i="13" s="1"/>
  <c r="F8" i="13"/>
  <c r="G8" i="13" s="1"/>
  <c r="F9" i="13"/>
  <c r="G9" i="13" s="1"/>
  <c r="F10" i="13"/>
  <c r="G10" i="13" s="1"/>
  <c r="F11" i="13"/>
  <c r="G11" i="13" s="1"/>
  <c r="F12" i="13"/>
  <c r="G12" i="13" s="1"/>
  <c r="F13" i="13"/>
  <c r="G13" i="13" s="1"/>
  <c r="F14" i="13"/>
  <c r="G14" i="13" s="1"/>
  <c r="F15" i="13"/>
  <c r="G15" i="13" s="1"/>
  <c r="F16" i="13"/>
  <c r="G16" i="13" s="1"/>
  <c r="F17" i="13"/>
  <c r="G17" i="13" s="1"/>
  <c r="F18" i="13"/>
  <c r="G18" i="13" s="1"/>
  <c r="F19" i="13"/>
  <c r="G19" i="13" s="1"/>
  <c r="F20" i="13"/>
  <c r="G20" i="13" s="1"/>
  <c r="F21" i="13"/>
  <c r="G21" i="13" s="1"/>
  <c r="F22" i="13"/>
  <c r="G22" i="13" s="1"/>
  <c r="F23" i="13"/>
  <c r="G23" i="13" s="1"/>
  <c r="F24" i="13"/>
  <c r="G24" i="13" s="1"/>
  <c r="F25" i="13"/>
  <c r="G25" i="13" s="1"/>
  <c r="F26" i="13"/>
  <c r="G26" i="13" s="1"/>
  <c r="F27" i="13"/>
  <c r="G27" i="13" s="1"/>
  <c r="F28" i="13"/>
  <c r="G28" i="13" s="1"/>
  <c r="F29" i="13"/>
  <c r="G29" i="13" s="1"/>
  <c r="F30" i="13"/>
  <c r="G30" i="13" s="1"/>
  <c r="F31" i="13"/>
  <c r="G31" i="13" s="1"/>
  <c r="F32" i="13"/>
  <c r="G32" i="13" s="1"/>
  <c r="F33" i="13"/>
  <c r="G33" i="13" s="1"/>
  <c r="F34" i="13"/>
  <c r="G34" i="13" s="1"/>
  <c r="F35" i="13"/>
  <c r="G35" i="13" s="1"/>
  <c r="F36" i="13"/>
  <c r="G36" i="13" s="1"/>
  <c r="F37" i="13"/>
  <c r="G37" i="13" s="1"/>
  <c r="F38" i="13"/>
  <c r="G38" i="13" s="1"/>
  <c r="F39" i="13"/>
  <c r="G39" i="13" s="1"/>
  <c r="F40" i="13"/>
  <c r="G40" i="13" s="1"/>
  <c r="F41" i="13"/>
  <c r="G41" i="13" s="1"/>
  <c r="F42" i="13"/>
  <c r="G42" i="13" s="1"/>
  <c r="F43" i="13"/>
  <c r="G43" i="13" s="1"/>
  <c r="F44" i="13"/>
  <c r="G44" i="13" s="1"/>
  <c r="F45" i="13"/>
  <c r="G45" i="13" s="1"/>
  <c r="F46" i="13"/>
  <c r="G46" i="13" s="1"/>
  <c r="F47" i="13"/>
  <c r="G47" i="13" s="1"/>
  <c r="F48" i="13"/>
  <c r="G48" i="13" s="1"/>
  <c r="F49" i="13"/>
  <c r="G49" i="13" s="1"/>
  <c r="F50" i="13"/>
  <c r="G50" i="13" s="1"/>
  <c r="F51" i="13"/>
  <c r="G51" i="13" s="1"/>
  <c r="F52" i="13"/>
  <c r="G52" i="13" s="1"/>
  <c r="F53" i="13"/>
  <c r="G53" i="13" s="1"/>
  <c r="F54" i="13"/>
  <c r="G54" i="13" s="1"/>
  <c r="F55" i="13"/>
  <c r="G55" i="13" s="1"/>
  <c r="F56" i="13"/>
  <c r="G56" i="13" s="1"/>
  <c r="F57" i="13"/>
  <c r="G57" i="13" s="1"/>
  <c r="F58" i="13"/>
  <c r="G58" i="13" s="1"/>
  <c r="F59" i="13"/>
  <c r="G59" i="13" s="1"/>
  <c r="F60" i="13"/>
  <c r="G60" i="13" s="1"/>
  <c r="F61" i="13"/>
  <c r="G61" i="13" s="1"/>
  <c r="F62" i="13"/>
  <c r="G62" i="13" s="1"/>
  <c r="F63" i="13"/>
  <c r="G63" i="13" s="1"/>
  <c r="F64" i="13"/>
  <c r="G64" i="13" s="1"/>
  <c r="F65" i="13"/>
  <c r="G65" i="13" s="1"/>
  <c r="F66" i="13"/>
  <c r="G66" i="13" s="1"/>
  <c r="F67" i="13"/>
  <c r="G67" i="13" s="1"/>
  <c r="F68" i="13"/>
  <c r="G68" i="13" s="1"/>
  <c r="F69" i="13"/>
  <c r="G69" i="13" s="1"/>
  <c r="F70" i="13"/>
  <c r="G70" i="13" s="1"/>
  <c r="F71" i="13"/>
  <c r="G71" i="13" s="1"/>
  <c r="F72" i="13"/>
  <c r="G72" i="13" s="1"/>
  <c r="F73" i="13"/>
  <c r="G73" i="13" s="1"/>
  <c r="F74" i="13"/>
  <c r="G74" i="13" s="1"/>
  <c r="F75" i="13"/>
  <c r="G75" i="13" s="1"/>
  <c r="F76" i="13"/>
  <c r="G76" i="13" s="1"/>
  <c r="F77" i="13"/>
  <c r="G77" i="13" s="1"/>
  <c r="F78" i="13"/>
  <c r="G78" i="13" s="1"/>
  <c r="F79" i="13"/>
  <c r="G79" i="13" s="1"/>
  <c r="F80" i="13"/>
  <c r="G80" i="13" s="1"/>
  <c r="F81" i="13"/>
  <c r="G81" i="13" s="1"/>
  <c r="F82" i="13"/>
  <c r="G82" i="13" s="1"/>
  <c r="F83" i="13"/>
  <c r="G83" i="13" s="1"/>
  <c r="F84" i="13"/>
  <c r="G84" i="13" s="1"/>
  <c r="F85" i="13"/>
  <c r="G85" i="13" s="1"/>
  <c r="F86" i="13"/>
  <c r="G86" i="13" s="1"/>
  <c r="F87" i="13"/>
  <c r="G87" i="13" s="1"/>
  <c r="F88" i="13"/>
  <c r="G88" i="13" s="1"/>
  <c r="F89" i="13"/>
  <c r="G89" i="13" s="1"/>
  <c r="F90" i="13"/>
  <c r="G90" i="13" s="1"/>
  <c r="F91" i="13"/>
  <c r="G91" i="13" s="1"/>
  <c r="F92" i="13"/>
  <c r="G92" i="13" s="1"/>
  <c r="F93" i="13"/>
  <c r="G93" i="13" s="1"/>
  <c r="F94" i="13"/>
  <c r="G94" i="13" s="1"/>
  <c r="F95" i="13"/>
  <c r="G95" i="13" s="1"/>
  <c r="F96" i="13"/>
  <c r="G96" i="13" s="1"/>
  <c r="F97" i="13"/>
  <c r="G97" i="13" s="1"/>
  <c r="F98" i="13"/>
  <c r="G98" i="13" s="1"/>
  <c r="F99" i="13"/>
  <c r="G99" i="13" s="1"/>
  <c r="F100" i="13"/>
  <c r="G100" i="13" s="1"/>
  <c r="F101" i="13"/>
  <c r="G101" i="13" s="1"/>
  <c r="F102" i="13"/>
  <c r="G102" i="13" s="1"/>
  <c r="F103" i="13"/>
  <c r="G103" i="13" s="1"/>
  <c r="F104" i="13"/>
  <c r="G104" i="13" s="1"/>
  <c r="F105" i="13"/>
  <c r="G105" i="13" s="1"/>
  <c r="F106" i="13"/>
  <c r="G106" i="13" s="1"/>
  <c r="F107" i="13"/>
  <c r="G107" i="13" s="1"/>
  <c r="F108" i="13"/>
  <c r="G108" i="13" s="1"/>
  <c r="F109" i="13"/>
  <c r="G109" i="13" s="1"/>
  <c r="F110" i="13"/>
  <c r="G110" i="13" s="1"/>
  <c r="F111" i="13"/>
  <c r="G111" i="13" s="1"/>
  <c r="F112" i="13"/>
  <c r="G112" i="13" s="1"/>
  <c r="F113" i="13"/>
  <c r="G113" i="13" s="1"/>
  <c r="F114" i="13"/>
  <c r="G114" i="13" s="1"/>
  <c r="F115" i="13"/>
  <c r="G115" i="13" s="1"/>
  <c r="F116" i="13"/>
  <c r="G116" i="13" s="1"/>
  <c r="F117" i="13"/>
  <c r="G117" i="13" s="1"/>
  <c r="F118" i="13"/>
  <c r="G118" i="13" s="1"/>
  <c r="F119" i="13"/>
  <c r="G119" i="13" s="1"/>
  <c r="F120" i="13"/>
  <c r="G120" i="13" s="1"/>
  <c r="F121" i="13"/>
  <c r="G121" i="13" s="1"/>
  <c r="F122" i="13"/>
  <c r="G122" i="13" s="1"/>
  <c r="F123" i="13"/>
  <c r="G123" i="13" s="1"/>
  <c r="F124" i="13"/>
  <c r="G124" i="13" s="1"/>
  <c r="F125" i="13"/>
  <c r="G125" i="13" s="1"/>
  <c r="F126" i="13"/>
  <c r="G126" i="13" s="1"/>
  <c r="F127" i="13"/>
  <c r="G127" i="13" s="1"/>
  <c r="F128" i="13"/>
  <c r="G128" i="13" s="1"/>
  <c r="F129" i="13"/>
  <c r="G129" i="13" s="1"/>
  <c r="F130" i="13"/>
  <c r="G130" i="13" s="1"/>
  <c r="F131" i="13"/>
  <c r="G131" i="13" s="1"/>
  <c r="F132" i="13"/>
  <c r="G132" i="13" s="1"/>
  <c r="F133" i="13"/>
  <c r="G133" i="13" s="1"/>
  <c r="F134" i="13"/>
  <c r="G134" i="13" s="1"/>
  <c r="F135" i="13"/>
  <c r="G135" i="13" s="1"/>
  <c r="F136" i="13"/>
  <c r="G136" i="13" s="1"/>
  <c r="F137" i="13"/>
  <c r="G137" i="13" s="1"/>
  <c r="F138" i="13"/>
  <c r="G138" i="13" s="1"/>
  <c r="F139" i="13"/>
  <c r="G139" i="13" s="1"/>
  <c r="F140" i="13"/>
  <c r="G140" i="13" s="1"/>
  <c r="F141" i="13"/>
  <c r="G141" i="13" s="1"/>
  <c r="F142" i="13"/>
  <c r="G142" i="13" s="1"/>
  <c r="F143" i="13"/>
  <c r="G143" i="13" s="1"/>
  <c r="F144" i="13"/>
  <c r="G144" i="13" s="1"/>
  <c r="F145" i="13"/>
  <c r="G145" i="13" s="1"/>
  <c r="F146" i="13"/>
  <c r="G146" i="13" s="1"/>
  <c r="F147" i="13"/>
  <c r="G147" i="13" s="1"/>
  <c r="F148" i="13"/>
  <c r="G148" i="13" s="1"/>
  <c r="F149" i="13"/>
  <c r="G149" i="13" s="1"/>
  <c r="F150" i="13"/>
  <c r="G150" i="13" s="1"/>
  <c r="F151" i="13"/>
  <c r="G151" i="13" s="1"/>
  <c r="F152" i="13"/>
  <c r="G152" i="13" s="1"/>
  <c r="F153" i="13"/>
  <c r="G153" i="13" s="1"/>
  <c r="F154" i="13"/>
  <c r="G154" i="13" s="1"/>
  <c r="F155" i="13"/>
  <c r="G155" i="13" s="1"/>
  <c r="F156" i="13"/>
  <c r="G156" i="13" s="1"/>
  <c r="F157" i="13"/>
  <c r="G157" i="13" s="1"/>
  <c r="F158" i="13"/>
  <c r="G158" i="13" s="1"/>
  <c r="F159" i="13"/>
  <c r="G159" i="13" s="1"/>
  <c r="F160" i="13"/>
  <c r="G160" i="13" s="1"/>
  <c r="F161" i="13"/>
  <c r="G161" i="13" s="1"/>
  <c r="F162" i="13"/>
  <c r="G162" i="13" s="1"/>
  <c r="F163" i="13"/>
  <c r="G163" i="13" s="1"/>
  <c r="F164" i="13"/>
  <c r="G164" i="13" s="1"/>
  <c r="F165" i="13"/>
  <c r="G165" i="13" s="1"/>
  <c r="F166" i="13"/>
  <c r="G166" i="13" s="1"/>
  <c r="F167" i="13"/>
  <c r="G167" i="13" s="1"/>
  <c r="F168" i="13"/>
  <c r="G168" i="13" s="1"/>
  <c r="F169" i="13"/>
  <c r="G169" i="13" s="1"/>
  <c r="F170" i="13"/>
  <c r="G170" i="13" s="1"/>
  <c r="F171" i="13"/>
  <c r="G171" i="13" s="1"/>
  <c r="F172" i="13"/>
  <c r="G172" i="13" s="1"/>
  <c r="F173" i="13"/>
  <c r="G173" i="13" s="1"/>
  <c r="F174" i="13"/>
  <c r="G174" i="13" s="1"/>
  <c r="F175" i="13"/>
  <c r="G175" i="13" s="1"/>
  <c r="F176" i="13"/>
  <c r="G176" i="13" s="1"/>
  <c r="F177" i="13"/>
  <c r="G177" i="13" s="1"/>
  <c r="F178" i="13"/>
  <c r="G178" i="13" s="1"/>
  <c r="F179" i="13"/>
  <c r="G179" i="13" s="1"/>
  <c r="F180" i="13"/>
  <c r="G180" i="13" s="1"/>
  <c r="F181" i="13"/>
  <c r="G181" i="13" s="1"/>
  <c r="F182" i="13"/>
  <c r="G182" i="13" s="1"/>
  <c r="F183" i="13"/>
  <c r="G183" i="13" s="1"/>
  <c r="F184" i="13"/>
  <c r="G184" i="13" s="1"/>
  <c r="F185" i="13"/>
  <c r="G185" i="13" s="1"/>
  <c r="F186" i="13"/>
  <c r="G186" i="13" s="1"/>
  <c r="F187" i="13"/>
  <c r="G187" i="13" s="1"/>
  <c r="F188" i="13"/>
  <c r="G188" i="13" s="1"/>
  <c r="F189" i="13"/>
  <c r="G189" i="13" s="1"/>
  <c r="F190" i="13"/>
  <c r="G190" i="13" s="1"/>
  <c r="F191" i="13"/>
  <c r="G191" i="13" s="1"/>
  <c r="F192" i="13"/>
  <c r="G192" i="13" s="1"/>
  <c r="F193" i="13"/>
  <c r="G193" i="13" s="1"/>
  <c r="F194" i="13"/>
  <c r="G194" i="13" s="1"/>
  <c r="F195" i="13"/>
  <c r="G195" i="13" s="1"/>
  <c r="F196" i="13"/>
  <c r="G196" i="13" s="1"/>
  <c r="F197" i="13"/>
  <c r="G197" i="13" s="1"/>
  <c r="F198" i="13"/>
  <c r="G198" i="13" s="1"/>
  <c r="F199" i="13"/>
  <c r="G199" i="13" s="1"/>
  <c r="F200" i="13"/>
  <c r="G200" i="13" s="1"/>
  <c r="F201" i="13"/>
  <c r="G201" i="13" s="1"/>
  <c r="F202" i="13"/>
  <c r="G202" i="13" s="1"/>
  <c r="F203" i="13"/>
  <c r="G203" i="13" s="1"/>
  <c r="F204" i="13"/>
  <c r="G204" i="13" s="1"/>
  <c r="F205" i="13"/>
  <c r="G205" i="13" s="1"/>
  <c r="F206" i="13"/>
  <c r="G206" i="13" s="1"/>
  <c r="F207" i="13"/>
  <c r="G207" i="13" s="1"/>
  <c r="F208" i="13"/>
  <c r="G208" i="13" s="1"/>
  <c r="F209" i="13"/>
  <c r="G209" i="13" s="1"/>
  <c r="F210" i="13"/>
  <c r="G210" i="13" s="1"/>
  <c r="F211" i="13"/>
  <c r="G211" i="13" s="1"/>
  <c r="F212" i="13"/>
  <c r="G212" i="13" s="1"/>
  <c r="F213" i="13"/>
  <c r="G213" i="13" s="1"/>
  <c r="F214" i="13"/>
  <c r="G214" i="13" s="1"/>
  <c r="F215" i="13"/>
  <c r="G215" i="13" s="1"/>
  <c r="F216" i="13"/>
  <c r="G216" i="13" s="1"/>
  <c r="F217" i="13"/>
  <c r="G217" i="13" s="1"/>
  <c r="F218" i="13"/>
  <c r="G218" i="13" s="1"/>
  <c r="F219" i="13"/>
  <c r="G219" i="13" s="1"/>
  <c r="F220" i="13"/>
  <c r="G220" i="13" s="1"/>
  <c r="F221" i="13"/>
  <c r="G221" i="13" s="1"/>
  <c r="F222" i="13"/>
  <c r="G222" i="13" s="1"/>
  <c r="F223" i="13"/>
  <c r="G223" i="13" s="1"/>
  <c r="F224" i="13"/>
  <c r="G224" i="13" s="1"/>
  <c r="F225" i="13"/>
  <c r="G225" i="13" s="1"/>
  <c r="F226" i="13"/>
  <c r="G226" i="13" s="1"/>
  <c r="F227" i="13"/>
  <c r="G227" i="13" s="1"/>
  <c r="F228" i="13"/>
  <c r="G228" i="13" s="1"/>
  <c r="F229" i="13"/>
  <c r="G229" i="13" s="1"/>
  <c r="F230" i="13"/>
  <c r="G230" i="13" s="1"/>
  <c r="F231" i="13"/>
  <c r="G231" i="13" s="1"/>
  <c r="F232" i="13"/>
  <c r="G232" i="13" s="1"/>
  <c r="F233" i="13"/>
  <c r="G233" i="13" s="1"/>
  <c r="F234" i="13"/>
  <c r="G234" i="13" s="1"/>
  <c r="F235" i="13"/>
  <c r="G235" i="13" s="1"/>
  <c r="F236" i="13"/>
  <c r="G236" i="13" s="1"/>
  <c r="F237" i="13"/>
  <c r="G237" i="13" s="1"/>
  <c r="F238" i="13"/>
  <c r="G238" i="13" s="1"/>
  <c r="F239" i="13"/>
  <c r="G239" i="13" s="1"/>
  <c r="F240" i="13"/>
  <c r="G240" i="13" s="1"/>
  <c r="F241" i="13"/>
  <c r="G241" i="13" s="1"/>
  <c r="F242" i="13"/>
  <c r="G242" i="13" s="1"/>
  <c r="F243" i="13"/>
  <c r="G243" i="13" s="1"/>
  <c r="F244" i="13"/>
  <c r="G244" i="13" s="1"/>
  <c r="F245" i="13"/>
  <c r="G245" i="13" s="1"/>
  <c r="F246" i="13"/>
  <c r="G246" i="13" s="1"/>
  <c r="F247" i="13"/>
  <c r="G247" i="13" s="1"/>
  <c r="F248" i="13"/>
  <c r="G248" i="13" s="1"/>
  <c r="F249" i="13"/>
  <c r="G249" i="13" s="1"/>
  <c r="F250" i="13"/>
  <c r="G250" i="13" s="1"/>
  <c r="F251" i="13"/>
  <c r="G251" i="13" s="1"/>
  <c r="F252" i="13"/>
  <c r="G252" i="13" s="1"/>
  <c r="F253" i="13"/>
  <c r="G253" i="13" s="1"/>
  <c r="F254" i="13"/>
  <c r="G254" i="13" s="1"/>
  <c r="F255" i="13"/>
  <c r="G255" i="13" s="1"/>
  <c r="F256" i="13"/>
  <c r="G256" i="13" s="1"/>
  <c r="F257" i="13"/>
  <c r="G257" i="13" s="1"/>
  <c r="F258" i="13"/>
  <c r="G258" i="13" s="1"/>
  <c r="F259" i="13"/>
  <c r="G259" i="13" s="1"/>
  <c r="F260" i="13"/>
  <c r="G260" i="13" s="1"/>
  <c r="F261" i="13"/>
  <c r="G261" i="13" s="1"/>
  <c r="F262" i="13"/>
  <c r="G262" i="13" s="1"/>
  <c r="F263" i="13"/>
  <c r="G263" i="13" s="1"/>
  <c r="F264" i="13"/>
  <c r="G264" i="13" s="1"/>
  <c r="F265" i="13"/>
  <c r="G265" i="13" s="1"/>
  <c r="F266" i="13"/>
  <c r="G266" i="13" s="1"/>
  <c r="F267" i="13"/>
  <c r="G267" i="13" s="1"/>
  <c r="F268" i="13"/>
  <c r="G268" i="13" s="1"/>
  <c r="F269" i="13"/>
  <c r="G269" i="13" s="1"/>
  <c r="F270" i="13"/>
  <c r="G270" i="13" s="1"/>
  <c r="F271" i="13"/>
  <c r="G271" i="13" s="1"/>
  <c r="F272" i="13"/>
  <c r="G272" i="13" s="1"/>
  <c r="F273" i="13"/>
  <c r="G273" i="13" s="1"/>
  <c r="F274" i="13"/>
  <c r="G274" i="13" s="1"/>
  <c r="F275" i="13"/>
  <c r="G275" i="13" s="1"/>
  <c r="F276" i="13"/>
  <c r="G276" i="13" s="1"/>
  <c r="F277" i="13"/>
  <c r="G277" i="13" s="1"/>
  <c r="F278" i="13"/>
  <c r="G278" i="13" s="1"/>
  <c r="F279" i="13"/>
  <c r="G279" i="13" s="1"/>
  <c r="F280" i="13"/>
  <c r="G280" i="13" s="1"/>
  <c r="F281" i="13"/>
  <c r="G281" i="13" s="1"/>
  <c r="F282" i="13"/>
  <c r="G282" i="13" s="1"/>
  <c r="F283" i="13"/>
  <c r="G283" i="13" s="1"/>
  <c r="F284" i="13"/>
  <c r="G284" i="13" s="1"/>
  <c r="F285" i="13"/>
  <c r="G285" i="13" s="1"/>
  <c r="F286" i="13"/>
  <c r="G286" i="13" s="1"/>
  <c r="F287" i="13"/>
  <c r="G287" i="13" s="1"/>
  <c r="F288" i="13"/>
  <c r="G288" i="13" s="1"/>
  <c r="F289" i="13"/>
  <c r="G289" i="13" s="1"/>
  <c r="F290" i="13"/>
  <c r="G290" i="13" s="1"/>
  <c r="F291" i="13"/>
  <c r="G291" i="13" s="1"/>
  <c r="F292" i="13"/>
  <c r="G292" i="13" s="1"/>
  <c r="F293" i="13"/>
  <c r="G293" i="13" s="1"/>
  <c r="F294" i="13"/>
  <c r="G294" i="13" s="1"/>
  <c r="F295" i="13"/>
  <c r="G295" i="13" s="1"/>
  <c r="F296" i="13"/>
  <c r="G296" i="13" s="1"/>
  <c r="F297" i="13"/>
  <c r="G297" i="13" s="1"/>
  <c r="F298" i="13"/>
  <c r="G298" i="13" s="1"/>
  <c r="F299" i="13"/>
  <c r="G299" i="13" s="1"/>
  <c r="F300" i="13"/>
  <c r="G300" i="13" s="1"/>
  <c r="F301" i="13"/>
  <c r="G301" i="13" s="1"/>
  <c r="F302" i="13"/>
  <c r="G302" i="13" s="1"/>
  <c r="F303" i="13"/>
  <c r="G303" i="13" s="1"/>
  <c r="F304" i="13"/>
  <c r="G304" i="13" s="1"/>
  <c r="F305" i="13"/>
  <c r="G305" i="13" s="1"/>
  <c r="F306" i="13"/>
  <c r="G306" i="13" s="1"/>
  <c r="F307" i="13"/>
  <c r="G307" i="13" s="1"/>
  <c r="F308" i="13"/>
  <c r="G308" i="13" s="1"/>
  <c r="F309" i="13"/>
  <c r="G309" i="13" s="1"/>
  <c r="F310" i="13"/>
  <c r="G310" i="13" s="1"/>
  <c r="F311" i="13"/>
  <c r="G311" i="13" s="1"/>
  <c r="F312" i="13"/>
  <c r="G312" i="13" s="1"/>
  <c r="F313" i="13"/>
  <c r="G313" i="13" s="1"/>
  <c r="F314" i="13"/>
  <c r="G314" i="13" s="1"/>
  <c r="F315" i="13"/>
  <c r="G315" i="13" s="1"/>
  <c r="F316" i="13"/>
  <c r="G316" i="13" s="1"/>
  <c r="F317" i="13"/>
  <c r="G317" i="13" s="1"/>
  <c r="F318" i="13"/>
  <c r="G318" i="13" s="1"/>
  <c r="F319" i="13"/>
  <c r="G319" i="13" s="1"/>
  <c r="F320" i="13"/>
  <c r="G320" i="13" s="1"/>
  <c r="F321" i="13"/>
  <c r="G321" i="13" s="1"/>
  <c r="F322" i="13"/>
  <c r="G322" i="13" s="1"/>
  <c r="F323" i="13"/>
  <c r="G323" i="13" s="1"/>
  <c r="F324" i="13"/>
  <c r="G324" i="13" s="1"/>
  <c r="F325" i="13"/>
  <c r="G325" i="13" s="1"/>
  <c r="F326" i="13"/>
  <c r="G326" i="13" s="1"/>
  <c r="F327" i="13"/>
  <c r="G327" i="13" s="1"/>
  <c r="F328" i="13"/>
  <c r="G328" i="13" s="1"/>
  <c r="F329" i="13"/>
  <c r="G329" i="13" s="1"/>
  <c r="F330" i="13"/>
  <c r="G330" i="13" s="1"/>
  <c r="F331" i="13"/>
  <c r="G331" i="13" s="1"/>
  <c r="F332" i="13"/>
  <c r="G332" i="13" s="1"/>
  <c r="F333" i="13"/>
  <c r="G333" i="13" s="1"/>
  <c r="F334" i="13"/>
  <c r="G334" i="13" s="1"/>
  <c r="F335" i="13"/>
  <c r="G335" i="13" s="1"/>
  <c r="F336" i="13"/>
  <c r="G336" i="13" s="1"/>
  <c r="F337" i="13"/>
  <c r="G337" i="13" s="1"/>
  <c r="F338" i="13"/>
  <c r="G338" i="13" s="1"/>
  <c r="F339" i="13"/>
  <c r="G339" i="13" s="1"/>
  <c r="F340" i="13"/>
  <c r="G340" i="13" s="1"/>
  <c r="F341" i="13"/>
  <c r="G341" i="13" s="1"/>
  <c r="F342" i="13"/>
  <c r="G342" i="13" s="1"/>
  <c r="F343" i="13"/>
  <c r="G343" i="13" s="1"/>
  <c r="F344" i="13"/>
  <c r="G344" i="13" s="1"/>
  <c r="F345" i="13"/>
  <c r="G345" i="13" s="1"/>
  <c r="F346" i="13"/>
  <c r="G346" i="13" s="1"/>
  <c r="C2" i="13"/>
  <c r="D2" i="13" s="1"/>
  <c r="E2" i="13" s="1"/>
  <c r="C3" i="13"/>
  <c r="D3" i="13" s="1"/>
  <c r="E3" i="13" s="1"/>
  <c r="C4" i="13"/>
  <c r="D4" i="13" s="1"/>
  <c r="E4" i="13" s="1"/>
  <c r="C5" i="13"/>
  <c r="D5" i="13" s="1"/>
  <c r="E5" i="13" s="1"/>
  <c r="C6" i="13"/>
  <c r="D6" i="13" s="1"/>
  <c r="E6" i="13" s="1"/>
  <c r="C7" i="13"/>
  <c r="D7" i="13" s="1"/>
  <c r="E7" i="13" s="1"/>
  <c r="C8" i="13"/>
  <c r="D8" i="13" s="1"/>
  <c r="E8" i="13" s="1"/>
  <c r="C9" i="13"/>
  <c r="D9" i="13" s="1"/>
  <c r="E9" i="13" s="1"/>
  <c r="C10" i="13"/>
  <c r="D10" i="13" s="1"/>
  <c r="E10" i="13" s="1"/>
  <c r="C11" i="13"/>
  <c r="D11" i="13" s="1"/>
  <c r="E11" i="13" s="1"/>
  <c r="C12" i="13"/>
  <c r="D12" i="13" s="1"/>
  <c r="E12" i="13" s="1"/>
  <c r="C13" i="13"/>
  <c r="D13" i="13" s="1"/>
  <c r="E13" i="13" s="1"/>
  <c r="C14" i="13"/>
  <c r="D14" i="13" s="1"/>
  <c r="E14" i="13" s="1"/>
  <c r="C15" i="13"/>
  <c r="D15" i="13" s="1"/>
  <c r="E15" i="13" s="1"/>
  <c r="C16" i="13"/>
  <c r="D16" i="13" s="1"/>
  <c r="E16" i="13" s="1"/>
  <c r="C17" i="13"/>
  <c r="D17" i="13" s="1"/>
  <c r="E17" i="13" s="1"/>
  <c r="C18" i="13"/>
  <c r="D18" i="13" s="1"/>
  <c r="E18" i="13" s="1"/>
  <c r="C19" i="13"/>
  <c r="D19" i="13" s="1"/>
  <c r="E19" i="13" s="1"/>
  <c r="C20" i="13"/>
  <c r="D20" i="13" s="1"/>
  <c r="E20" i="13" s="1"/>
  <c r="C21" i="13"/>
  <c r="D21" i="13" s="1"/>
  <c r="E21" i="13" s="1"/>
  <c r="C22" i="13"/>
  <c r="D22" i="13" s="1"/>
  <c r="E22" i="13" s="1"/>
  <c r="C23" i="13"/>
  <c r="D23" i="13" s="1"/>
  <c r="E23" i="13" s="1"/>
  <c r="C24" i="13"/>
  <c r="D24" i="13" s="1"/>
  <c r="E24" i="13" s="1"/>
  <c r="C25" i="13"/>
  <c r="D25" i="13" s="1"/>
  <c r="E25" i="13" s="1"/>
  <c r="C26" i="13"/>
  <c r="D26" i="13" s="1"/>
  <c r="E26" i="13" s="1"/>
  <c r="C27" i="13"/>
  <c r="D27" i="13" s="1"/>
  <c r="E27" i="13" s="1"/>
  <c r="C28" i="13"/>
  <c r="D28" i="13" s="1"/>
  <c r="E28" i="13" s="1"/>
  <c r="C29" i="13"/>
  <c r="D29" i="13" s="1"/>
  <c r="E29" i="13" s="1"/>
  <c r="C30" i="13"/>
  <c r="D30" i="13" s="1"/>
  <c r="E30" i="13" s="1"/>
  <c r="C31" i="13"/>
  <c r="D31" i="13" s="1"/>
  <c r="E31" i="13" s="1"/>
  <c r="C32" i="13"/>
  <c r="D32" i="13" s="1"/>
  <c r="E32" i="13" s="1"/>
  <c r="C33" i="13"/>
  <c r="D33" i="13" s="1"/>
  <c r="E33" i="13" s="1"/>
  <c r="C34" i="13"/>
  <c r="D34" i="13" s="1"/>
  <c r="E34" i="13" s="1"/>
  <c r="C35" i="13"/>
  <c r="D35" i="13" s="1"/>
  <c r="E35" i="13" s="1"/>
  <c r="C36" i="13"/>
  <c r="D36" i="13" s="1"/>
  <c r="E36" i="13" s="1"/>
  <c r="C37" i="13"/>
  <c r="D37" i="13" s="1"/>
  <c r="E37" i="13" s="1"/>
  <c r="C38" i="13"/>
  <c r="D38" i="13" s="1"/>
  <c r="E38" i="13" s="1"/>
  <c r="C39" i="13"/>
  <c r="D39" i="13" s="1"/>
  <c r="E39" i="13" s="1"/>
  <c r="C40" i="13"/>
  <c r="D40" i="13" s="1"/>
  <c r="E40" i="13" s="1"/>
  <c r="C41" i="13"/>
  <c r="D41" i="13" s="1"/>
  <c r="E41" i="13" s="1"/>
  <c r="C42" i="13"/>
  <c r="D42" i="13" s="1"/>
  <c r="E42" i="13" s="1"/>
  <c r="C43" i="13"/>
  <c r="D43" i="13" s="1"/>
  <c r="E43" i="13" s="1"/>
  <c r="C44" i="13"/>
  <c r="D44" i="13" s="1"/>
  <c r="E44" i="13" s="1"/>
  <c r="C45" i="13"/>
  <c r="D45" i="13" s="1"/>
  <c r="E45" i="13" s="1"/>
  <c r="C46" i="13"/>
  <c r="D46" i="13" s="1"/>
  <c r="E46" i="13" s="1"/>
  <c r="C47" i="13"/>
  <c r="D47" i="13" s="1"/>
  <c r="E47" i="13" s="1"/>
  <c r="C48" i="13"/>
  <c r="D48" i="13" s="1"/>
  <c r="E48" i="13" s="1"/>
  <c r="C49" i="13"/>
  <c r="D49" i="13" s="1"/>
  <c r="E49" i="13" s="1"/>
  <c r="C50" i="13"/>
  <c r="D50" i="13" s="1"/>
  <c r="E50" i="13" s="1"/>
  <c r="C51" i="13"/>
  <c r="D51" i="13" s="1"/>
  <c r="E51" i="13" s="1"/>
  <c r="C52" i="13"/>
  <c r="D52" i="13" s="1"/>
  <c r="E52" i="13" s="1"/>
  <c r="C53" i="13"/>
  <c r="D53" i="13" s="1"/>
  <c r="E53" i="13" s="1"/>
  <c r="C54" i="13"/>
  <c r="D54" i="13" s="1"/>
  <c r="E54" i="13" s="1"/>
  <c r="C55" i="13"/>
  <c r="D55" i="13" s="1"/>
  <c r="E55" i="13" s="1"/>
  <c r="C56" i="13"/>
  <c r="D56" i="13" s="1"/>
  <c r="E56" i="13" s="1"/>
  <c r="C57" i="13"/>
  <c r="D57" i="13" s="1"/>
  <c r="E57" i="13" s="1"/>
  <c r="C58" i="13"/>
  <c r="D58" i="13" s="1"/>
  <c r="E58" i="13" s="1"/>
  <c r="C59" i="13"/>
  <c r="D59" i="13" s="1"/>
  <c r="E59" i="13" s="1"/>
  <c r="C60" i="13"/>
  <c r="D60" i="13" s="1"/>
  <c r="E60" i="13" s="1"/>
  <c r="C61" i="13"/>
  <c r="D61" i="13" s="1"/>
  <c r="E61" i="13" s="1"/>
  <c r="C62" i="13"/>
  <c r="D62" i="13" s="1"/>
  <c r="E62" i="13" s="1"/>
  <c r="C63" i="13"/>
  <c r="D63" i="13" s="1"/>
  <c r="E63" i="13" s="1"/>
  <c r="C64" i="13"/>
  <c r="D64" i="13" s="1"/>
  <c r="E64" i="13" s="1"/>
  <c r="C65" i="13"/>
  <c r="D65" i="13" s="1"/>
  <c r="E65" i="13" s="1"/>
  <c r="C66" i="13"/>
  <c r="D66" i="13" s="1"/>
  <c r="E66" i="13" s="1"/>
  <c r="C67" i="13"/>
  <c r="D67" i="13" s="1"/>
  <c r="E67" i="13" s="1"/>
  <c r="C68" i="13"/>
  <c r="D68" i="13" s="1"/>
  <c r="E68" i="13" s="1"/>
  <c r="C69" i="13"/>
  <c r="D69" i="13" s="1"/>
  <c r="E69" i="13" s="1"/>
  <c r="C70" i="13"/>
  <c r="D70" i="13" s="1"/>
  <c r="E70" i="13" s="1"/>
  <c r="C71" i="13"/>
  <c r="D71" i="13" s="1"/>
  <c r="E71" i="13" s="1"/>
  <c r="C72" i="13"/>
  <c r="D72" i="13" s="1"/>
  <c r="E72" i="13" s="1"/>
  <c r="C73" i="13"/>
  <c r="D73" i="13" s="1"/>
  <c r="E73" i="13" s="1"/>
  <c r="C74" i="13"/>
  <c r="D74" i="13" s="1"/>
  <c r="E74" i="13" s="1"/>
  <c r="C75" i="13"/>
  <c r="D75" i="13" s="1"/>
  <c r="E75" i="13" s="1"/>
  <c r="C76" i="13"/>
  <c r="D76" i="13" s="1"/>
  <c r="E76" i="13" s="1"/>
  <c r="C77" i="13"/>
  <c r="D77" i="13" s="1"/>
  <c r="E77" i="13" s="1"/>
  <c r="C78" i="13"/>
  <c r="D78" i="13" s="1"/>
  <c r="E78" i="13" s="1"/>
  <c r="C79" i="13"/>
  <c r="D79" i="13" s="1"/>
  <c r="E79" i="13" s="1"/>
  <c r="C80" i="13"/>
  <c r="D80" i="13" s="1"/>
  <c r="E80" i="13" s="1"/>
  <c r="C81" i="13"/>
  <c r="D81" i="13" s="1"/>
  <c r="E81" i="13" s="1"/>
  <c r="C82" i="13"/>
  <c r="D82" i="13" s="1"/>
  <c r="E82" i="13" s="1"/>
  <c r="C83" i="13"/>
  <c r="D83" i="13" s="1"/>
  <c r="E83" i="13" s="1"/>
  <c r="C84" i="13"/>
  <c r="D84" i="13" s="1"/>
  <c r="E84" i="13" s="1"/>
  <c r="C85" i="13"/>
  <c r="D85" i="13" s="1"/>
  <c r="E85" i="13" s="1"/>
  <c r="C86" i="13"/>
  <c r="D86" i="13" s="1"/>
  <c r="E86" i="13" s="1"/>
  <c r="C87" i="13"/>
  <c r="D87" i="13" s="1"/>
  <c r="E87" i="13" s="1"/>
  <c r="C88" i="13"/>
  <c r="D88" i="13" s="1"/>
  <c r="E88" i="13" s="1"/>
  <c r="C89" i="13"/>
  <c r="D89" i="13" s="1"/>
  <c r="E89" i="13" s="1"/>
  <c r="C90" i="13"/>
  <c r="D90" i="13" s="1"/>
  <c r="E90" i="13" s="1"/>
  <c r="C91" i="13"/>
  <c r="D91" i="13" s="1"/>
  <c r="E91" i="13" s="1"/>
  <c r="C92" i="13"/>
  <c r="D92" i="13" s="1"/>
  <c r="E92" i="13" s="1"/>
  <c r="C93" i="13"/>
  <c r="D93" i="13" s="1"/>
  <c r="E93" i="13" s="1"/>
  <c r="C94" i="13"/>
  <c r="D94" i="13" s="1"/>
  <c r="E94" i="13" s="1"/>
  <c r="C95" i="13"/>
  <c r="D95" i="13" s="1"/>
  <c r="E95" i="13" s="1"/>
  <c r="C96" i="13"/>
  <c r="D96" i="13" s="1"/>
  <c r="E96" i="13" s="1"/>
  <c r="C97" i="13"/>
  <c r="D97" i="13" s="1"/>
  <c r="E97" i="13" s="1"/>
  <c r="C98" i="13"/>
  <c r="D98" i="13" s="1"/>
  <c r="E98" i="13" s="1"/>
  <c r="C99" i="13"/>
  <c r="D99" i="13" s="1"/>
  <c r="E99" i="13" s="1"/>
  <c r="C100" i="13"/>
  <c r="D100" i="13" s="1"/>
  <c r="E100" i="13" s="1"/>
  <c r="C101" i="13"/>
  <c r="D101" i="13" s="1"/>
  <c r="E101" i="13" s="1"/>
  <c r="C102" i="13"/>
  <c r="D102" i="13" s="1"/>
  <c r="E102" i="13" s="1"/>
  <c r="C103" i="13"/>
  <c r="D103" i="13" s="1"/>
  <c r="E103" i="13" s="1"/>
  <c r="C104" i="13"/>
  <c r="D104" i="13" s="1"/>
  <c r="E104" i="13" s="1"/>
  <c r="C105" i="13"/>
  <c r="D105" i="13" s="1"/>
  <c r="E105" i="13" s="1"/>
  <c r="C106" i="13"/>
  <c r="D106" i="13" s="1"/>
  <c r="E106" i="13" s="1"/>
  <c r="C107" i="13"/>
  <c r="D107" i="13" s="1"/>
  <c r="E107" i="13" s="1"/>
  <c r="C108" i="13"/>
  <c r="D108" i="13" s="1"/>
  <c r="E108" i="13" s="1"/>
  <c r="C109" i="13"/>
  <c r="D109" i="13" s="1"/>
  <c r="E109" i="13" s="1"/>
  <c r="C110" i="13"/>
  <c r="D110" i="13" s="1"/>
  <c r="E110" i="13" s="1"/>
  <c r="C111" i="13"/>
  <c r="D111" i="13" s="1"/>
  <c r="E111" i="13" s="1"/>
  <c r="C112" i="13"/>
  <c r="D112" i="13" s="1"/>
  <c r="E112" i="13" s="1"/>
  <c r="C113" i="13"/>
  <c r="D113" i="13" s="1"/>
  <c r="E113" i="13" s="1"/>
  <c r="C114" i="13"/>
  <c r="D114" i="13" s="1"/>
  <c r="E114" i="13" s="1"/>
  <c r="C115" i="13"/>
  <c r="D115" i="13" s="1"/>
  <c r="E115" i="13" s="1"/>
  <c r="C116" i="13"/>
  <c r="D116" i="13" s="1"/>
  <c r="E116" i="13" s="1"/>
  <c r="C117" i="13"/>
  <c r="D117" i="13" s="1"/>
  <c r="E117" i="13" s="1"/>
  <c r="C118" i="13"/>
  <c r="D118" i="13" s="1"/>
  <c r="E118" i="13" s="1"/>
  <c r="C119" i="13"/>
  <c r="D119" i="13" s="1"/>
  <c r="E119" i="13" s="1"/>
  <c r="C120" i="13"/>
  <c r="D120" i="13" s="1"/>
  <c r="E120" i="13" s="1"/>
  <c r="C121" i="13"/>
  <c r="D121" i="13" s="1"/>
  <c r="E121" i="13" s="1"/>
  <c r="C122" i="13"/>
  <c r="D122" i="13" s="1"/>
  <c r="E122" i="13" s="1"/>
  <c r="C123" i="13"/>
  <c r="D123" i="13" s="1"/>
  <c r="E123" i="13" s="1"/>
  <c r="C124" i="13"/>
  <c r="D124" i="13" s="1"/>
  <c r="E124" i="13" s="1"/>
  <c r="C125" i="13"/>
  <c r="D125" i="13" s="1"/>
  <c r="E125" i="13" s="1"/>
  <c r="C126" i="13"/>
  <c r="D126" i="13" s="1"/>
  <c r="E126" i="13" s="1"/>
  <c r="C127" i="13"/>
  <c r="D127" i="13" s="1"/>
  <c r="E127" i="13" s="1"/>
  <c r="C128" i="13"/>
  <c r="D128" i="13" s="1"/>
  <c r="E128" i="13" s="1"/>
  <c r="C129" i="13"/>
  <c r="D129" i="13" s="1"/>
  <c r="E129" i="13" s="1"/>
  <c r="C130" i="13"/>
  <c r="D130" i="13" s="1"/>
  <c r="E130" i="13" s="1"/>
  <c r="C131" i="13"/>
  <c r="D131" i="13" s="1"/>
  <c r="E131" i="13" s="1"/>
  <c r="C132" i="13"/>
  <c r="D132" i="13" s="1"/>
  <c r="E132" i="13" s="1"/>
  <c r="C133" i="13"/>
  <c r="D133" i="13" s="1"/>
  <c r="E133" i="13" s="1"/>
  <c r="C134" i="13"/>
  <c r="D134" i="13" s="1"/>
  <c r="E134" i="13" s="1"/>
  <c r="C135" i="13"/>
  <c r="D135" i="13" s="1"/>
  <c r="E135" i="13" s="1"/>
  <c r="C136" i="13"/>
  <c r="D136" i="13" s="1"/>
  <c r="E136" i="13" s="1"/>
  <c r="C137" i="13"/>
  <c r="D137" i="13" s="1"/>
  <c r="E137" i="13" s="1"/>
  <c r="C138" i="13"/>
  <c r="D138" i="13" s="1"/>
  <c r="E138" i="13" s="1"/>
  <c r="C139" i="13"/>
  <c r="D139" i="13" s="1"/>
  <c r="E139" i="13" s="1"/>
  <c r="C140" i="13"/>
  <c r="D140" i="13" s="1"/>
  <c r="E140" i="13" s="1"/>
  <c r="C141" i="13"/>
  <c r="D141" i="13" s="1"/>
  <c r="E141" i="13" s="1"/>
  <c r="C142" i="13"/>
  <c r="D142" i="13" s="1"/>
  <c r="E142" i="13" s="1"/>
  <c r="C143" i="13"/>
  <c r="D143" i="13" s="1"/>
  <c r="E143" i="13" s="1"/>
  <c r="C144" i="13"/>
  <c r="D144" i="13" s="1"/>
  <c r="E144" i="13" s="1"/>
  <c r="C145" i="13"/>
  <c r="D145" i="13" s="1"/>
  <c r="E145" i="13" s="1"/>
  <c r="C146" i="13"/>
  <c r="D146" i="13" s="1"/>
  <c r="E146" i="13" s="1"/>
  <c r="C147" i="13"/>
  <c r="D147" i="13" s="1"/>
  <c r="E147" i="13" s="1"/>
  <c r="C148" i="13"/>
  <c r="D148" i="13" s="1"/>
  <c r="E148" i="13" s="1"/>
  <c r="C149" i="13"/>
  <c r="D149" i="13" s="1"/>
  <c r="E149" i="13" s="1"/>
  <c r="C150" i="13"/>
  <c r="D150" i="13" s="1"/>
  <c r="E150" i="13" s="1"/>
  <c r="C151" i="13"/>
  <c r="D151" i="13" s="1"/>
  <c r="E151" i="13" s="1"/>
  <c r="C152" i="13"/>
  <c r="D152" i="13" s="1"/>
  <c r="E152" i="13" s="1"/>
  <c r="C153" i="13"/>
  <c r="D153" i="13" s="1"/>
  <c r="E153" i="13" s="1"/>
  <c r="C154" i="13"/>
  <c r="D154" i="13" s="1"/>
  <c r="E154" i="13" s="1"/>
  <c r="C155" i="13"/>
  <c r="D155" i="13" s="1"/>
  <c r="E155" i="13" s="1"/>
  <c r="C156" i="13"/>
  <c r="D156" i="13" s="1"/>
  <c r="E156" i="13" s="1"/>
  <c r="C157" i="13"/>
  <c r="D157" i="13" s="1"/>
  <c r="E157" i="13" s="1"/>
  <c r="C158" i="13"/>
  <c r="D158" i="13" s="1"/>
  <c r="E158" i="13" s="1"/>
  <c r="C159" i="13"/>
  <c r="D159" i="13" s="1"/>
  <c r="E159" i="13" s="1"/>
  <c r="C160" i="13"/>
  <c r="D160" i="13" s="1"/>
  <c r="E160" i="13" s="1"/>
  <c r="C161" i="13"/>
  <c r="D161" i="13" s="1"/>
  <c r="E161" i="13" s="1"/>
  <c r="C162" i="13"/>
  <c r="D162" i="13" s="1"/>
  <c r="E162" i="13" s="1"/>
  <c r="C163" i="13"/>
  <c r="D163" i="13" s="1"/>
  <c r="E163" i="13" s="1"/>
  <c r="C164" i="13"/>
  <c r="D164" i="13" s="1"/>
  <c r="E164" i="13" s="1"/>
  <c r="C165" i="13"/>
  <c r="D165" i="13" s="1"/>
  <c r="E165" i="13" s="1"/>
  <c r="C166" i="13"/>
  <c r="D166" i="13" s="1"/>
  <c r="E166" i="13" s="1"/>
  <c r="C167" i="13"/>
  <c r="D167" i="13" s="1"/>
  <c r="E167" i="13" s="1"/>
  <c r="C168" i="13"/>
  <c r="D168" i="13" s="1"/>
  <c r="E168" i="13" s="1"/>
  <c r="C169" i="13"/>
  <c r="D169" i="13" s="1"/>
  <c r="E169" i="13" s="1"/>
  <c r="C170" i="13"/>
  <c r="D170" i="13" s="1"/>
  <c r="E170" i="13" s="1"/>
  <c r="C171" i="13"/>
  <c r="D171" i="13" s="1"/>
  <c r="E171" i="13" s="1"/>
  <c r="C172" i="13"/>
  <c r="D172" i="13" s="1"/>
  <c r="E172" i="13" s="1"/>
  <c r="C173" i="13"/>
  <c r="D173" i="13" s="1"/>
  <c r="E173" i="13" s="1"/>
  <c r="C174" i="13"/>
  <c r="D174" i="13" s="1"/>
  <c r="E174" i="13" s="1"/>
  <c r="C175" i="13"/>
  <c r="D175" i="13" s="1"/>
  <c r="E175" i="13" s="1"/>
  <c r="C176" i="13"/>
  <c r="D176" i="13" s="1"/>
  <c r="E176" i="13" s="1"/>
  <c r="C177" i="13"/>
  <c r="D177" i="13" s="1"/>
  <c r="E177" i="13" s="1"/>
  <c r="C178" i="13"/>
  <c r="D178" i="13" s="1"/>
  <c r="E178" i="13" s="1"/>
  <c r="C179" i="13"/>
  <c r="D179" i="13" s="1"/>
  <c r="E179" i="13" s="1"/>
  <c r="C180" i="13"/>
  <c r="D180" i="13" s="1"/>
  <c r="E180" i="13" s="1"/>
  <c r="C181" i="13"/>
  <c r="D181" i="13" s="1"/>
  <c r="E181" i="13" s="1"/>
  <c r="C182" i="13"/>
  <c r="D182" i="13" s="1"/>
  <c r="E182" i="13" s="1"/>
  <c r="C183" i="13"/>
  <c r="D183" i="13" s="1"/>
  <c r="E183" i="13" s="1"/>
  <c r="C184" i="13"/>
  <c r="D184" i="13" s="1"/>
  <c r="E184" i="13" s="1"/>
  <c r="C185" i="13"/>
  <c r="D185" i="13" s="1"/>
  <c r="E185" i="13" s="1"/>
  <c r="C186" i="13"/>
  <c r="D186" i="13" s="1"/>
  <c r="E186" i="13" s="1"/>
  <c r="C187" i="13"/>
  <c r="D187" i="13" s="1"/>
  <c r="E187" i="13" s="1"/>
  <c r="C188" i="13"/>
  <c r="D188" i="13" s="1"/>
  <c r="E188" i="13" s="1"/>
  <c r="C189" i="13"/>
  <c r="D189" i="13" s="1"/>
  <c r="E189" i="13" s="1"/>
  <c r="C190" i="13"/>
  <c r="D190" i="13" s="1"/>
  <c r="E190" i="13" s="1"/>
  <c r="C191" i="13"/>
  <c r="D191" i="13" s="1"/>
  <c r="E191" i="13" s="1"/>
  <c r="C192" i="13"/>
  <c r="D192" i="13" s="1"/>
  <c r="E192" i="13" s="1"/>
  <c r="C193" i="13"/>
  <c r="D193" i="13" s="1"/>
  <c r="E193" i="13" s="1"/>
  <c r="C194" i="13"/>
  <c r="D194" i="13" s="1"/>
  <c r="E194" i="13" s="1"/>
  <c r="C195" i="13"/>
  <c r="D195" i="13" s="1"/>
  <c r="E195" i="13" s="1"/>
  <c r="C196" i="13"/>
  <c r="D196" i="13" s="1"/>
  <c r="E196" i="13" s="1"/>
  <c r="C197" i="13"/>
  <c r="D197" i="13" s="1"/>
  <c r="E197" i="13" s="1"/>
  <c r="C198" i="13"/>
  <c r="D198" i="13" s="1"/>
  <c r="E198" i="13" s="1"/>
  <c r="C199" i="13"/>
  <c r="D199" i="13" s="1"/>
  <c r="E199" i="13" s="1"/>
  <c r="C200" i="13"/>
  <c r="D200" i="13" s="1"/>
  <c r="E200" i="13" s="1"/>
  <c r="C201" i="13"/>
  <c r="D201" i="13" s="1"/>
  <c r="E201" i="13" s="1"/>
  <c r="C202" i="13"/>
  <c r="D202" i="13" s="1"/>
  <c r="E202" i="13" s="1"/>
  <c r="C203" i="13"/>
  <c r="D203" i="13" s="1"/>
  <c r="E203" i="13" s="1"/>
  <c r="C204" i="13"/>
  <c r="D204" i="13" s="1"/>
  <c r="E204" i="13" s="1"/>
  <c r="C205" i="13"/>
  <c r="D205" i="13" s="1"/>
  <c r="E205" i="13" s="1"/>
  <c r="C206" i="13"/>
  <c r="D206" i="13" s="1"/>
  <c r="E206" i="13" s="1"/>
  <c r="C207" i="13"/>
  <c r="D207" i="13" s="1"/>
  <c r="E207" i="13" s="1"/>
  <c r="C208" i="13"/>
  <c r="D208" i="13" s="1"/>
  <c r="E208" i="13" s="1"/>
  <c r="C209" i="13"/>
  <c r="D209" i="13" s="1"/>
  <c r="E209" i="13" s="1"/>
  <c r="C210" i="13"/>
  <c r="D210" i="13" s="1"/>
  <c r="E210" i="13" s="1"/>
  <c r="C211" i="13"/>
  <c r="D211" i="13" s="1"/>
  <c r="E211" i="13" s="1"/>
  <c r="C212" i="13"/>
  <c r="D212" i="13" s="1"/>
  <c r="E212" i="13" s="1"/>
  <c r="C213" i="13"/>
  <c r="D213" i="13" s="1"/>
  <c r="E213" i="13" s="1"/>
  <c r="C214" i="13"/>
  <c r="D214" i="13" s="1"/>
  <c r="E214" i="13" s="1"/>
  <c r="C215" i="13"/>
  <c r="D215" i="13" s="1"/>
  <c r="E215" i="13" s="1"/>
  <c r="C216" i="13"/>
  <c r="D216" i="13" s="1"/>
  <c r="E216" i="13" s="1"/>
  <c r="C217" i="13"/>
  <c r="D217" i="13" s="1"/>
  <c r="E217" i="13" s="1"/>
  <c r="C218" i="13"/>
  <c r="D218" i="13" s="1"/>
  <c r="E218" i="13" s="1"/>
  <c r="C219" i="13"/>
  <c r="D219" i="13" s="1"/>
  <c r="E219" i="13" s="1"/>
  <c r="C220" i="13"/>
  <c r="D220" i="13" s="1"/>
  <c r="E220" i="13" s="1"/>
  <c r="C221" i="13"/>
  <c r="D221" i="13" s="1"/>
  <c r="E221" i="13" s="1"/>
  <c r="C222" i="13"/>
  <c r="D222" i="13" s="1"/>
  <c r="E222" i="13" s="1"/>
  <c r="C223" i="13"/>
  <c r="D223" i="13" s="1"/>
  <c r="E223" i="13" s="1"/>
  <c r="C224" i="13"/>
  <c r="D224" i="13" s="1"/>
  <c r="E224" i="13" s="1"/>
  <c r="C225" i="13"/>
  <c r="D225" i="13" s="1"/>
  <c r="E225" i="13" s="1"/>
  <c r="C226" i="13"/>
  <c r="D226" i="13" s="1"/>
  <c r="E226" i="13" s="1"/>
  <c r="C227" i="13"/>
  <c r="D227" i="13" s="1"/>
  <c r="E227" i="13" s="1"/>
  <c r="C228" i="13"/>
  <c r="D228" i="13" s="1"/>
  <c r="E228" i="13" s="1"/>
  <c r="C229" i="13"/>
  <c r="D229" i="13" s="1"/>
  <c r="E229" i="13" s="1"/>
  <c r="C230" i="13"/>
  <c r="D230" i="13" s="1"/>
  <c r="E230" i="13" s="1"/>
  <c r="C231" i="13"/>
  <c r="D231" i="13" s="1"/>
  <c r="E231" i="13" s="1"/>
  <c r="C232" i="13"/>
  <c r="D232" i="13" s="1"/>
  <c r="E232" i="13" s="1"/>
  <c r="C233" i="13"/>
  <c r="D233" i="13" s="1"/>
  <c r="E233" i="13" s="1"/>
  <c r="C234" i="13"/>
  <c r="D234" i="13" s="1"/>
  <c r="E234" i="13" s="1"/>
  <c r="C235" i="13"/>
  <c r="D235" i="13" s="1"/>
  <c r="E235" i="13" s="1"/>
  <c r="C236" i="13"/>
  <c r="D236" i="13" s="1"/>
  <c r="E236" i="13" s="1"/>
  <c r="C237" i="13"/>
  <c r="D237" i="13" s="1"/>
  <c r="E237" i="13" s="1"/>
  <c r="C238" i="13"/>
  <c r="D238" i="13" s="1"/>
  <c r="E238" i="13" s="1"/>
  <c r="C239" i="13"/>
  <c r="D239" i="13" s="1"/>
  <c r="E239" i="13" s="1"/>
  <c r="C240" i="13"/>
  <c r="D240" i="13" s="1"/>
  <c r="E240" i="13" s="1"/>
  <c r="C241" i="13"/>
  <c r="D241" i="13" s="1"/>
  <c r="E241" i="13" s="1"/>
  <c r="C242" i="13"/>
  <c r="D242" i="13" s="1"/>
  <c r="E242" i="13" s="1"/>
  <c r="C243" i="13"/>
  <c r="D243" i="13" s="1"/>
  <c r="E243" i="13" s="1"/>
  <c r="C244" i="13"/>
  <c r="D244" i="13" s="1"/>
  <c r="E244" i="13" s="1"/>
  <c r="C245" i="13"/>
  <c r="D245" i="13" s="1"/>
  <c r="E245" i="13" s="1"/>
  <c r="C246" i="13"/>
  <c r="D246" i="13" s="1"/>
  <c r="E246" i="13" s="1"/>
  <c r="C247" i="13"/>
  <c r="D247" i="13" s="1"/>
  <c r="E247" i="13" s="1"/>
  <c r="C248" i="13"/>
  <c r="D248" i="13" s="1"/>
  <c r="E248" i="13" s="1"/>
  <c r="C249" i="13"/>
  <c r="D249" i="13" s="1"/>
  <c r="E249" i="13" s="1"/>
  <c r="C250" i="13"/>
  <c r="D250" i="13" s="1"/>
  <c r="E250" i="13" s="1"/>
  <c r="C251" i="13"/>
  <c r="D251" i="13" s="1"/>
  <c r="E251" i="13" s="1"/>
  <c r="C252" i="13"/>
  <c r="D252" i="13" s="1"/>
  <c r="E252" i="13" s="1"/>
  <c r="C253" i="13"/>
  <c r="D253" i="13" s="1"/>
  <c r="E253" i="13" s="1"/>
  <c r="C254" i="13"/>
  <c r="D254" i="13" s="1"/>
  <c r="E254" i="13" s="1"/>
  <c r="C255" i="13"/>
  <c r="D255" i="13" s="1"/>
  <c r="E255" i="13" s="1"/>
  <c r="C256" i="13"/>
  <c r="D256" i="13" s="1"/>
  <c r="E256" i="13" s="1"/>
  <c r="C257" i="13"/>
  <c r="D257" i="13" s="1"/>
  <c r="E257" i="13" s="1"/>
  <c r="C258" i="13"/>
  <c r="D258" i="13" s="1"/>
  <c r="E258" i="13" s="1"/>
  <c r="C259" i="13"/>
  <c r="D259" i="13" s="1"/>
  <c r="E259" i="13" s="1"/>
  <c r="C260" i="13"/>
  <c r="D260" i="13" s="1"/>
  <c r="E260" i="13" s="1"/>
  <c r="C261" i="13"/>
  <c r="D261" i="13" s="1"/>
  <c r="E261" i="13" s="1"/>
  <c r="C262" i="13"/>
  <c r="D262" i="13" s="1"/>
  <c r="E262" i="13" s="1"/>
  <c r="C263" i="13"/>
  <c r="D263" i="13" s="1"/>
  <c r="E263" i="13" s="1"/>
  <c r="C264" i="13"/>
  <c r="D264" i="13" s="1"/>
  <c r="E264" i="13" s="1"/>
  <c r="C265" i="13"/>
  <c r="D265" i="13" s="1"/>
  <c r="E265" i="13" s="1"/>
  <c r="C266" i="13"/>
  <c r="D266" i="13" s="1"/>
  <c r="E266" i="13" s="1"/>
  <c r="C267" i="13"/>
  <c r="D267" i="13" s="1"/>
  <c r="E267" i="13" s="1"/>
  <c r="C268" i="13"/>
  <c r="D268" i="13" s="1"/>
  <c r="E268" i="13" s="1"/>
  <c r="C269" i="13"/>
  <c r="D269" i="13" s="1"/>
  <c r="E269" i="13" s="1"/>
  <c r="C270" i="13"/>
  <c r="D270" i="13" s="1"/>
  <c r="E270" i="13" s="1"/>
  <c r="C271" i="13"/>
  <c r="D271" i="13" s="1"/>
  <c r="E271" i="13" s="1"/>
  <c r="C272" i="13"/>
  <c r="D272" i="13" s="1"/>
  <c r="E272" i="13" s="1"/>
  <c r="C273" i="13"/>
  <c r="D273" i="13" s="1"/>
  <c r="E273" i="13" s="1"/>
  <c r="C274" i="13"/>
  <c r="D274" i="13" s="1"/>
  <c r="E274" i="13" s="1"/>
  <c r="C275" i="13"/>
  <c r="D275" i="13" s="1"/>
  <c r="E275" i="13" s="1"/>
  <c r="C276" i="13"/>
  <c r="D276" i="13" s="1"/>
  <c r="E276" i="13" s="1"/>
  <c r="C277" i="13"/>
  <c r="D277" i="13" s="1"/>
  <c r="E277" i="13" s="1"/>
  <c r="C278" i="13"/>
  <c r="D278" i="13" s="1"/>
  <c r="E278" i="13" s="1"/>
  <c r="C279" i="13"/>
  <c r="D279" i="13" s="1"/>
  <c r="E279" i="13" s="1"/>
  <c r="C280" i="13"/>
  <c r="D280" i="13" s="1"/>
  <c r="E280" i="13" s="1"/>
  <c r="C281" i="13"/>
  <c r="D281" i="13" s="1"/>
  <c r="E281" i="13" s="1"/>
  <c r="C282" i="13"/>
  <c r="D282" i="13" s="1"/>
  <c r="E282" i="13" s="1"/>
  <c r="C283" i="13"/>
  <c r="D283" i="13" s="1"/>
  <c r="E283" i="13" s="1"/>
  <c r="C284" i="13"/>
  <c r="D284" i="13" s="1"/>
  <c r="E284" i="13" s="1"/>
  <c r="C285" i="13"/>
  <c r="D285" i="13" s="1"/>
  <c r="E285" i="13" s="1"/>
  <c r="C286" i="13"/>
  <c r="D286" i="13" s="1"/>
  <c r="E286" i="13" s="1"/>
  <c r="C287" i="13"/>
  <c r="D287" i="13" s="1"/>
  <c r="E287" i="13" s="1"/>
  <c r="C288" i="13"/>
  <c r="D288" i="13" s="1"/>
  <c r="E288" i="13" s="1"/>
  <c r="C289" i="13"/>
  <c r="D289" i="13" s="1"/>
  <c r="E289" i="13" s="1"/>
  <c r="C290" i="13"/>
  <c r="D290" i="13" s="1"/>
  <c r="E290" i="13" s="1"/>
  <c r="C291" i="13"/>
  <c r="D291" i="13" s="1"/>
  <c r="E291" i="13" s="1"/>
  <c r="C292" i="13"/>
  <c r="D292" i="13" s="1"/>
  <c r="E292" i="13" s="1"/>
  <c r="C293" i="13"/>
  <c r="D293" i="13" s="1"/>
  <c r="E293" i="13" s="1"/>
  <c r="C294" i="13"/>
  <c r="D294" i="13" s="1"/>
  <c r="E294" i="13" s="1"/>
  <c r="C295" i="13"/>
  <c r="D295" i="13" s="1"/>
  <c r="E295" i="13" s="1"/>
  <c r="C296" i="13"/>
  <c r="D296" i="13" s="1"/>
  <c r="E296" i="13" s="1"/>
  <c r="C297" i="13"/>
  <c r="D297" i="13" s="1"/>
  <c r="E297" i="13" s="1"/>
  <c r="C298" i="13"/>
  <c r="D298" i="13" s="1"/>
  <c r="E298" i="13" s="1"/>
  <c r="C299" i="13"/>
  <c r="D299" i="13" s="1"/>
  <c r="E299" i="13" s="1"/>
  <c r="C300" i="13"/>
  <c r="D300" i="13" s="1"/>
  <c r="E300" i="13" s="1"/>
  <c r="C301" i="13"/>
  <c r="D301" i="13" s="1"/>
  <c r="E301" i="13" s="1"/>
  <c r="C302" i="13"/>
  <c r="D302" i="13" s="1"/>
  <c r="E302" i="13" s="1"/>
  <c r="C303" i="13"/>
  <c r="D303" i="13" s="1"/>
  <c r="E303" i="13" s="1"/>
  <c r="C304" i="13"/>
  <c r="D304" i="13" s="1"/>
  <c r="E304" i="13" s="1"/>
  <c r="C305" i="13"/>
  <c r="D305" i="13" s="1"/>
  <c r="E305" i="13" s="1"/>
  <c r="C306" i="13"/>
  <c r="D306" i="13" s="1"/>
  <c r="E306" i="13" s="1"/>
  <c r="C307" i="13"/>
  <c r="D307" i="13" s="1"/>
  <c r="E307" i="13" s="1"/>
  <c r="C308" i="13"/>
  <c r="D308" i="13" s="1"/>
  <c r="E308" i="13" s="1"/>
  <c r="C309" i="13"/>
  <c r="D309" i="13" s="1"/>
  <c r="E309" i="13" s="1"/>
  <c r="C310" i="13"/>
  <c r="D310" i="13" s="1"/>
  <c r="E310" i="13" s="1"/>
  <c r="C311" i="13"/>
  <c r="D311" i="13" s="1"/>
  <c r="E311" i="13" s="1"/>
  <c r="C312" i="13"/>
  <c r="D312" i="13" s="1"/>
  <c r="E312" i="13" s="1"/>
  <c r="C313" i="13"/>
  <c r="D313" i="13" s="1"/>
  <c r="E313" i="13" s="1"/>
  <c r="C314" i="13"/>
  <c r="D314" i="13" s="1"/>
  <c r="E314" i="13" s="1"/>
  <c r="C315" i="13"/>
  <c r="D315" i="13" s="1"/>
  <c r="E315" i="13" s="1"/>
  <c r="C316" i="13"/>
  <c r="D316" i="13" s="1"/>
  <c r="E316" i="13" s="1"/>
  <c r="C317" i="13"/>
  <c r="D317" i="13" s="1"/>
  <c r="E317" i="13" s="1"/>
  <c r="C318" i="13"/>
  <c r="D318" i="13" s="1"/>
  <c r="E318" i="13" s="1"/>
  <c r="C319" i="13"/>
  <c r="D319" i="13" s="1"/>
  <c r="E319" i="13" s="1"/>
  <c r="C320" i="13"/>
  <c r="D320" i="13" s="1"/>
  <c r="E320" i="13" s="1"/>
  <c r="C321" i="13"/>
  <c r="D321" i="13" s="1"/>
  <c r="E321" i="13" s="1"/>
  <c r="C322" i="13"/>
  <c r="D322" i="13" s="1"/>
  <c r="E322" i="13" s="1"/>
  <c r="C323" i="13"/>
  <c r="D323" i="13" s="1"/>
  <c r="E323" i="13" s="1"/>
  <c r="C324" i="13"/>
  <c r="D324" i="13" s="1"/>
  <c r="E324" i="13" s="1"/>
  <c r="C325" i="13"/>
  <c r="D325" i="13" s="1"/>
  <c r="E325" i="13" s="1"/>
  <c r="C326" i="13"/>
  <c r="D326" i="13" s="1"/>
  <c r="E326" i="13" s="1"/>
  <c r="C327" i="13"/>
  <c r="D327" i="13" s="1"/>
  <c r="E327" i="13" s="1"/>
  <c r="C328" i="13"/>
  <c r="D328" i="13" s="1"/>
  <c r="E328" i="13" s="1"/>
  <c r="C329" i="13"/>
  <c r="D329" i="13" s="1"/>
  <c r="E329" i="13" s="1"/>
  <c r="C330" i="13"/>
  <c r="D330" i="13" s="1"/>
  <c r="E330" i="13" s="1"/>
  <c r="C331" i="13"/>
  <c r="D331" i="13" s="1"/>
  <c r="E331" i="13" s="1"/>
  <c r="C332" i="13"/>
  <c r="D332" i="13" s="1"/>
  <c r="E332" i="13" s="1"/>
  <c r="C333" i="13"/>
  <c r="D333" i="13" s="1"/>
  <c r="E333" i="13" s="1"/>
  <c r="C334" i="13"/>
  <c r="D334" i="13" s="1"/>
  <c r="E334" i="13" s="1"/>
  <c r="C335" i="13"/>
  <c r="D335" i="13" s="1"/>
  <c r="E335" i="13" s="1"/>
  <c r="C336" i="13"/>
  <c r="D336" i="13" s="1"/>
  <c r="E336" i="13" s="1"/>
  <c r="C337" i="13"/>
  <c r="D337" i="13" s="1"/>
  <c r="E337" i="13" s="1"/>
  <c r="C338" i="13"/>
  <c r="D338" i="13" s="1"/>
  <c r="E338" i="13" s="1"/>
  <c r="C339" i="13"/>
  <c r="D339" i="13" s="1"/>
  <c r="E339" i="13" s="1"/>
  <c r="C340" i="13"/>
  <c r="D340" i="13" s="1"/>
  <c r="E340" i="13" s="1"/>
  <c r="C341" i="13"/>
  <c r="D341" i="13" s="1"/>
  <c r="E341" i="13" s="1"/>
  <c r="C342" i="13"/>
  <c r="D342" i="13" s="1"/>
  <c r="E342" i="13" s="1"/>
  <c r="C343" i="13"/>
  <c r="D343" i="13" s="1"/>
  <c r="E343" i="13" s="1"/>
  <c r="C344" i="13"/>
  <c r="D344" i="13" s="1"/>
  <c r="E344" i="13" s="1"/>
  <c r="C345" i="13"/>
  <c r="D345" i="13" s="1"/>
  <c r="E345" i="13" s="1"/>
  <c r="C346" i="13"/>
  <c r="D346" i="13" s="1"/>
  <c r="E346" i="13"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A5" i="12" l="1"/>
</calcChain>
</file>

<file path=xl/sharedStrings.xml><?xml version="1.0" encoding="utf-8"?>
<sst xmlns="http://schemas.openxmlformats.org/spreadsheetml/2006/main" count="12666" uniqueCount="547">
  <si>
    <t>Customer</t>
  </si>
  <si>
    <t>State</t>
  </si>
  <si>
    <t>Group</t>
  </si>
  <si>
    <t>Sub Group</t>
  </si>
  <si>
    <t>Due Date</t>
  </si>
  <si>
    <t>Inv.No.</t>
  </si>
  <si>
    <t>Inv.Date</t>
  </si>
  <si>
    <t>Narration</t>
  </si>
  <si>
    <t>INR</t>
  </si>
  <si>
    <t>ARTSANA INDIA PRIVATE LIMITED</t>
  </si>
  <si>
    <t>ARTSANA INDIA PVT LTD- MUMBAI</t>
  </si>
  <si>
    <t>ARTSANA INDIA PVT LTD-NEW DELHI</t>
  </si>
  <si>
    <t>CAVINKARE HO CHENNAI</t>
  </si>
  <si>
    <t>DNI22021-0441</t>
  </si>
  <si>
    <t>CAVINKARE PRIVATE LIMITED GHAZIABAD</t>
  </si>
  <si>
    <t>CAVINKARE PRIVATE LIMITED HYDERABAD</t>
  </si>
  <si>
    <t>CAVINKARE PRIVATE LIMITED JAIPUR</t>
  </si>
  <si>
    <t>CAVINKARE PRIVATE LIMITED LUCKNOW</t>
  </si>
  <si>
    <t>CAVINKARE PRIVATE LIMITED VIJAYWADA</t>
  </si>
  <si>
    <t>CAVINKARE PRIVATE LTD BANGALORE</t>
  </si>
  <si>
    <t>CAVINKARE PRIVATE LTD CHENNAI</t>
  </si>
  <si>
    <t>CAVINKARE PVT LTD AHMEDABAD</t>
  </si>
  <si>
    <t>SI-22021-0107</t>
  </si>
  <si>
    <t>CAVINKARE PVT LTD ASSAM</t>
  </si>
  <si>
    <t>CAVINKARE PVT LTD CALCUTTA</t>
  </si>
  <si>
    <t>CAVINKARE PVT LTD CUTTACK</t>
  </si>
  <si>
    <t>CAVINKARE PVT LTD INDORE</t>
  </si>
  <si>
    <t>CAVINKARE PVT LTD MUMBAI</t>
  </si>
  <si>
    <t>CAVINKARE PVT LTD NAGPUR</t>
  </si>
  <si>
    <t>CAVINKARE PVT LTD PATNA</t>
  </si>
  <si>
    <t>CAVINKARE PVT LTD ZIRAKPUR</t>
  </si>
  <si>
    <t>CAVINKARE PVT LTD-PUDUCHERRY</t>
  </si>
  <si>
    <t>CAVINKARE PVT. LTD UNIT I</t>
  </si>
  <si>
    <t>DABUR INDIA LIMITED ( KANPUR )</t>
  </si>
  <si>
    <t>DABUR INDIA LIMITED ( VARANASI )</t>
  </si>
  <si>
    <t>DHARAM PRIYA GAUTAM</t>
  </si>
  <si>
    <t>HELIOS PACKAGING PVT LTD</t>
  </si>
  <si>
    <t>JYOTHY LABS LIMITED ( FORMERLY KNOWN AS JYOTHY LABORATORIES  LIMITED)</t>
  </si>
  <si>
    <t>JYOTHY</t>
  </si>
  <si>
    <t>ADV</t>
  </si>
  <si>
    <t>Credit period</t>
  </si>
  <si>
    <t>Status</t>
  </si>
  <si>
    <t>Grand Total</t>
  </si>
  <si>
    <t>Total</t>
  </si>
  <si>
    <t>DABUR INDIA LIMITED DADRI</t>
  </si>
  <si>
    <t>Ledger Name</t>
  </si>
  <si>
    <t>IIE Sidcul Haridwar 249403</t>
  </si>
  <si>
    <t>Artsana</t>
  </si>
  <si>
    <t>Cavinkare</t>
  </si>
  <si>
    <t>Dabur</t>
  </si>
  <si>
    <t xml:space="preserve">HELIOS </t>
  </si>
  <si>
    <t>Credit Period</t>
  </si>
  <si>
    <t>CN22021-0003</t>
  </si>
  <si>
    <t>CN22021-0004</t>
  </si>
  <si>
    <t>CN22021-0005</t>
  </si>
  <si>
    <t>GANGOTRI GUEST HOUSE</t>
  </si>
  <si>
    <t>PYR22021-1231</t>
  </si>
  <si>
    <t>Day even after due</t>
  </si>
  <si>
    <t>Fund Receipt</t>
  </si>
  <si>
    <t>ADITYA PRINT-N-PACK</t>
  </si>
  <si>
    <t>GLOBAL TRADE LINKERS</t>
  </si>
  <si>
    <t>ADJUSTMENT</t>
  </si>
  <si>
    <t>Forecasting for funds receipt</t>
  </si>
  <si>
    <t>G B KULKARNI</t>
  </si>
  <si>
    <t>JYOTHY LABS LIMITED (FORMERLY KNOWN AS JYOTHY LABORATORIES LTD.),</t>
  </si>
  <si>
    <t>CHENNAI STORE</t>
  </si>
  <si>
    <t>DABUR INDIA LTD.</t>
  </si>
  <si>
    <t>31-03-2021</t>
  </si>
  <si>
    <t>PYR22021-1830</t>
  </si>
  <si>
    <t>PYR22021-1871</t>
  </si>
  <si>
    <t>PYR22021-1909</t>
  </si>
  <si>
    <t>CAVINKARE PVT. LTD R &amp; D</t>
  </si>
  <si>
    <t>#N/A</t>
  </si>
  <si>
    <t>Sum of TOTAL</t>
  </si>
  <si>
    <t>DABUR INDIA LTD.,UNIT-3-SBD</t>
  </si>
  <si>
    <t>PYR22122-0046</t>
  </si>
  <si>
    <t>DN22122-0013</t>
  </si>
  <si>
    <t>CNI22021-1608</t>
  </si>
  <si>
    <t>TO</t>
  </si>
  <si>
    <t>CC</t>
  </si>
  <si>
    <t>Price Class</t>
  </si>
  <si>
    <t>Sales Area</t>
  </si>
  <si>
    <t>Territory</t>
  </si>
  <si>
    <t>Sub Territory</t>
  </si>
  <si>
    <t>City</t>
  </si>
  <si>
    <t>Division</t>
  </si>
  <si>
    <t>Sub Division</t>
  </si>
  <si>
    <t>Sales Person</t>
  </si>
  <si>
    <t>Project No.</t>
  </si>
  <si>
    <t>Agent</t>
  </si>
  <si>
    <t>Cur</t>
  </si>
  <si>
    <t>Ex.Rate</t>
  </si>
  <si>
    <t>Cr. Days</t>
  </si>
  <si>
    <t>Aging Days</t>
  </si>
  <si>
    <t>Acct.Type.</t>
  </si>
  <si>
    <t>Cust.GRN Date</t>
  </si>
  <si>
    <t>Cust.Ref.No</t>
  </si>
  <si>
    <t>Inv.Amt</t>
  </si>
  <si>
    <t>Due Amount</t>
  </si>
  <si>
    <t>CURRENT</t>
  </si>
  <si>
    <t>ABOVE</t>
  </si>
  <si>
    <t>On Account</t>
  </si>
  <si>
    <t>TOTAL</t>
  </si>
  <si>
    <t>GENERAL</t>
  </si>
  <si>
    <t>DOMESTIC</t>
  </si>
  <si>
    <t>INTER STATE</t>
  </si>
  <si>
    <t>INSTITUITIONAL GROUP</t>
  </si>
  <si>
    <t>'</t>
  </si>
  <si>
    <t>SALES OF</t>
  </si>
  <si>
    <t>AR</t>
  </si>
  <si>
    <t>DIRECT CUSTOMERS</t>
  </si>
  <si>
    <t>LOCAL</t>
  </si>
  <si>
    <t>HARIDWAR</t>
  </si>
  <si>
    <t>UTTARKHAND</t>
  </si>
  <si>
    <t>TOWARDS CK ADJUST ENTRY</t>
  </si>
  <si>
    <t>19-07-2021</t>
  </si>
  <si>
    <t>BEING AMOUNT CREDIT TO CUSTOMER DUE TO RATE DIFF. ISSUE (INVOICE RATE = 799 RS.-PO RATE = 687 RS.=DIFF. 112 RS. ) , AS PER MAIL ENCLOSED.</t>
  </si>
  <si>
    <t>Bank Receipt For:CAVINKARE PRIVATE LIMITED ERODE ,CAVINKARE PRIVATE LIMITED GHAZIABAD ,CAVINKARE PRIVATE LIMITED JAIPUR ,CAVINKARE PRIVATE LIMITED LUCKNOW ,CAVINKARE PRIVATE LIMITED VIJAYWADA ,CAVINKARE PVT LTD AHMEDABAD ,CAVINKARE PVT LTD ASSAM ,CAVINKA</t>
  </si>
  <si>
    <t>Bank Receipt For:CAVINKARE PRIVATE LIMITED HYDERABAD ,CAVINKARE PRIVATE LIMITED JAIPUR ,CAVINKARE PVT LTD AHMEDABAD ,CAVINKARE PVT LTD CUTTACK ,CAVINKARE PVT LTD MUMBAI ,CAVINKARE PVT LTD MUMBAI</t>
  </si>
  <si>
    <t>RECEIPT AGAINST INVOICES</t>
  </si>
  <si>
    <t>Bank Receipt For:CAVINKARE PRIVATE LIMITED GHAZIABAD ,CAVINKARE PRIVATE LIMITED HYDERABAD ,CAVINKARE PRIVATE LIMITED JAIPUR ,CAVINKARE PRIVATE LTD BANGALORE ,CAVINKARE PVT LTD AHMEDABAD ,CAVINKARE PVT LTD CALCUTTA ,CAVINKARE PVT LTD INDORE ,CAVINKARE PVT</t>
  </si>
  <si>
    <t>CAVIN KARE GROUP</t>
  </si>
  <si>
    <t>BEING AMOUNT DEBIT TO CUSTOMER DUE TO SCREEN PRINTING COST , AS PER MAIL ENCLOSED.</t>
  </si>
  <si>
    <t>SI-22021-1647</t>
  </si>
  <si>
    <t>24-12-2020</t>
  </si>
  <si>
    <t>CN22021-0024</t>
  </si>
  <si>
    <t>BEING CREADIT NOT ISSUE FOR FREIGHT CHARGE ( FREIGHT AMOUNT WILL PAID TO DABUR) AS PER MAIL ENCLOSED.</t>
  </si>
  <si>
    <t>CN22021-0025</t>
  </si>
  <si>
    <t>CN22021-0029</t>
  </si>
  <si>
    <t>SI-22021-1370</t>
  </si>
  <si>
    <t>SI-22021-2031</t>
  </si>
  <si>
    <t>DNT22122-0006</t>
  </si>
  <si>
    <t>BEING DEBIT NOTE RAISE FOR TCS AGST RECEIPT FOR THE MONTH OF MAY 2021 @ 0.1%</t>
  </si>
  <si>
    <t>CN22021-0023</t>
  </si>
  <si>
    <t>03-06-2020</t>
  </si>
  <si>
    <t>2021-0343</t>
  </si>
  <si>
    <t>CN22021-0022</t>
  </si>
  <si>
    <t>29-05-2020</t>
  </si>
  <si>
    <t>2020-0301</t>
  </si>
  <si>
    <t>CN22021-0026</t>
  </si>
  <si>
    <t>11-06-2020</t>
  </si>
  <si>
    <t>2021-0418</t>
  </si>
  <si>
    <t>SI-22021-1808</t>
  </si>
  <si>
    <t>27-01-2021</t>
  </si>
  <si>
    <t>SI-22021-1139</t>
  </si>
  <si>
    <t>22-09-2020</t>
  </si>
  <si>
    <t>SI-22021-1716</t>
  </si>
  <si>
    <t>06-01-2021</t>
  </si>
  <si>
    <t>SI-22021-1650</t>
  </si>
  <si>
    <t>SI-21920-0860</t>
  </si>
  <si>
    <t>12-09-2019</t>
  </si>
  <si>
    <t>SI-21920-0876</t>
  </si>
  <si>
    <t>16-09-2019</t>
  </si>
  <si>
    <t>SI-21920-0877</t>
  </si>
  <si>
    <t>SI-21920-0861</t>
  </si>
  <si>
    <t>31-03-2020</t>
  </si>
  <si>
    <t>CNI21920-1239</t>
  </si>
  <si>
    <t>SALES ADJUST</t>
  </si>
  <si>
    <t>21-05-2020</t>
  </si>
  <si>
    <t>PYR22021-0176</t>
  </si>
  <si>
    <t>NEFT INWARD NEFT IN UTR CITIN20070778955 FROM JYOTHY LABORATORIES LTD. AXISCN00XX4XXX37TX .43, SHIVSHAKTHI INDUSTRIAL ESTATE,.ANDHERI - KURLA ROAD, MAROL, MUMBAEAST , AXIS BANK</t>
  </si>
  <si>
    <t>04-08-2020</t>
  </si>
  <si>
    <t>PYR22021-0500</t>
  </si>
  <si>
    <t>NEFT INWARD NEFT IN UTR CITIN20109678656 FROM JYOTHY LABORATORIES LTD. AXISCN00XX7XXX34TX .43, SHIVSHAKTHI INDUSTRIAL ESTATE,.ANDHERI - KURLA ROAD, MAROL, MUMBAEAST , AXIS BANK</t>
  </si>
  <si>
    <t>4.8.20</t>
  </si>
  <si>
    <t>DNI22021-1476</t>
  </si>
  <si>
    <t>ADJUSTED</t>
  </si>
  <si>
    <t>SI-22021-1587</t>
  </si>
  <si>
    <t>12-12-2020</t>
  </si>
  <si>
    <t>CNI22021-1499</t>
  </si>
  <si>
    <t>18-08-2021</t>
  </si>
  <si>
    <t>Own Brand</t>
  </si>
  <si>
    <t>Select file you want to create</t>
  </si>
  <si>
    <t>BEING DEBIT NOTE RAISE FOR TCS AGST RECEIPT FOR THE MONTH OF JUN 2021 @0.1%</t>
  </si>
  <si>
    <t>DNT22122-0011</t>
  </si>
  <si>
    <t>OS</t>
  </si>
  <si>
    <t>ARTSANA INDIA PVT LTD- HARYANA</t>
  </si>
  <si>
    <t>BHUVNE KUMAR</t>
  </si>
  <si>
    <t>DN22122-0032</t>
  </si>
  <si>
    <t>DN22122-0027</t>
  </si>
  <si>
    <t>DNI22122-1007</t>
  </si>
  <si>
    <t>DNT22122-0017</t>
  </si>
  <si>
    <t>SI-22122-0596</t>
  </si>
  <si>
    <t>GARDENIA HOTEL</t>
  </si>
  <si>
    <t>Sales No</t>
  </si>
  <si>
    <t>Receipt no</t>
  </si>
  <si>
    <t>DN22122-0062</t>
  </si>
  <si>
    <t>DN22122-0075</t>
  </si>
  <si>
    <t>31-60</t>
  </si>
  <si>
    <t>DN22122-0078</t>
  </si>
  <si>
    <t>DN22122-0079</t>
  </si>
  <si>
    <t>Due on Today</t>
  </si>
  <si>
    <t>Overdue days</t>
  </si>
  <si>
    <t>DN22122-0104</t>
  </si>
  <si>
    <t>DN22122-0105</t>
  </si>
  <si>
    <t>DN22122-0106</t>
  </si>
  <si>
    <t>DN22122-0107</t>
  </si>
  <si>
    <t>CN22122-0016</t>
  </si>
  <si>
    <t>DN22122-0108</t>
  </si>
  <si>
    <t>DN22122-0109</t>
  </si>
  <si>
    <t>31-03-2022</t>
  </si>
  <si>
    <t>SI-22223-0007</t>
  </si>
  <si>
    <t>SI-22223-0006</t>
  </si>
  <si>
    <t>SI-22223-0008</t>
  </si>
  <si>
    <t>SI-22223-0004</t>
  </si>
  <si>
    <t>SI-22223-0009</t>
  </si>
  <si>
    <t>SI-22223-0001</t>
  </si>
  <si>
    <t>SI-22223-0003</t>
  </si>
  <si>
    <t>SI-22223-0005</t>
  </si>
  <si>
    <t>SI-22223-0013</t>
  </si>
  <si>
    <t>SI-22223-0011</t>
  </si>
  <si>
    <t>SI-22223-0015</t>
  </si>
  <si>
    <t>SI-22223-0019</t>
  </si>
  <si>
    <t>SI-22223-0020</t>
  </si>
  <si>
    <t>SI-22223-0018</t>
  </si>
  <si>
    <t>SI-22223-0021</t>
  </si>
  <si>
    <t>SI-22223-0022</t>
  </si>
  <si>
    <t>SI-22223-0024</t>
  </si>
  <si>
    <t>SI-22223-0023</t>
  </si>
  <si>
    <t>SI-22223-0030</t>
  </si>
  <si>
    <t>SI-22223-0031</t>
  </si>
  <si>
    <t>SI-22223-0034</t>
  </si>
  <si>
    <t>SI-22223-0029</t>
  </si>
  <si>
    <t>SI-22223-0032</t>
  </si>
  <si>
    <t>SI-22223-0036</t>
  </si>
  <si>
    <t>SI-22223-0033</t>
  </si>
  <si>
    <t>SI-22223-0025</t>
  </si>
  <si>
    <t>SI-22223-0026</t>
  </si>
  <si>
    <t>SI-22223-0041</t>
  </si>
  <si>
    <t>SI-22223-0040</t>
  </si>
  <si>
    <t>SI-22223-0043</t>
  </si>
  <si>
    <t>SI-22223-0042</t>
  </si>
  <si>
    <t>SI-22223-0039</t>
  </si>
  <si>
    <t>CN22223-0001</t>
  </si>
  <si>
    <t>DN22223-0001</t>
  </si>
  <si>
    <t>SI-22223-0046</t>
  </si>
  <si>
    <t>SI-22223-0048</t>
  </si>
  <si>
    <t>SI-22223-0055</t>
  </si>
  <si>
    <t>SI-22223-0059</t>
  </si>
  <si>
    <t>SI-22223-0063</t>
  </si>
  <si>
    <t>SI-22223-0045</t>
  </si>
  <si>
    <t>SI-22223-0058</t>
  </si>
  <si>
    <t>SI-22223-0065</t>
  </si>
  <si>
    <t>SI-22223-0062</t>
  </si>
  <si>
    <t>SI-22223-0047</t>
  </si>
  <si>
    <t>SI-22223-0060</t>
  </si>
  <si>
    <t>SI-22223-0050</t>
  </si>
  <si>
    <t>SI-22223-0054</t>
  </si>
  <si>
    <t>SI-22223-0056</t>
  </si>
  <si>
    <t>SI-22223-0051</t>
  </si>
  <si>
    <t>SI-22223-0057</t>
  </si>
  <si>
    <t>SI-22223-0049</t>
  </si>
  <si>
    <t>SI-22223-0069</t>
  </si>
  <si>
    <t>SI-22223-0077</t>
  </si>
  <si>
    <t>SI-22223-0071</t>
  </si>
  <si>
    <t>SI-22223-0068</t>
  </si>
  <si>
    <t>SI-22223-0074</t>
  </si>
  <si>
    <t>SI-22223-0070</t>
  </si>
  <si>
    <t>SI-22223-0076</t>
  </si>
  <si>
    <t>SI-22223-0075</t>
  </si>
  <si>
    <t>SI-22223-0072</t>
  </si>
  <si>
    <t>SI-22223-0085</t>
  </si>
  <si>
    <t>SI-22223-0080</t>
  </si>
  <si>
    <t>SI-22223-0081</t>
  </si>
  <si>
    <t>SI-22223-0082</t>
  </si>
  <si>
    <t>SI-22223-0078</t>
  </si>
  <si>
    <t>SI-22223-0083</t>
  </si>
  <si>
    <t>SI-22223-0084</t>
  </si>
  <si>
    <t>SI-22223-0086</t>
  </si>
  <si>
    <t>SI-22223-0087</t>
  </si>
  <si>
    <t>SI-22223-0089</t>
  </si>
  <si>
    <t>SI-22223-0094</t>
  </si>
  <si>
    <t>SI-22223-0092</t>
  </si>
  <si>
    <t>SI-22223-0095</t>
  </si>
  <si>
    <t>SI-22223-0090</t>
  </si>
  <si>
    <t>SI-22223-0091</t>
  </si>
  <si>
    <t>SI-22223-0088</t>
  </si>
  <si>
    <t>SI-22223-0093</t>
  </si>
  <si>
    <t>SI-22223-0096</t>
  </si>
  <si>
    <t>SI-22223-0104</t>
  </si>
  <si>
    <t>SI-22223-0103</t>
  </si>
  <si>
    <t>SI-22223-0099</t>
  </si>
  <si>
    <t>SI-22223-0102</t>
  </si>
  <si>
    <t>SI-22223-0098</t>
  </si>
  <si>
    <t>SI-22223-0101</t>
  </si>
  <si>
    <t>SI-22223-0100</t>
  </si>
  <si>
    <t>SI-22223-0107</t>
  </si>
  <si>
    <t>SI-22223-0109</t>
  </si>
  <si>
    <t>SI-22223-0110</t>
  </si>
  <si>
    <t>SI-22223-0112</t>
  </si>
  <si>
    <t>SI-22223-0111</t>
  </si>
  <si>
    <t>SI-22223-0121</t>
  </si>
  <si>
    <t>SI-22223-0117</t>
  </si>
  <si>
    <t>SI-22223-0114</t>
  </si>
  <si>
    <t>SI-22223-0115</t>
  </si>
  <si>
    <t>SI-22223-0118</t>
  </si>
  <si>
    <t>SI-22223-0122</t>
  </si>
  <si>
    <t>SI-22223-0120</t>
  </si>
  <si>
    <t>SI-22223-0119</t>
  </si>
  <si>
    <t>DN22223-0005</t>
  </si>
  <si>
    <t>DN22223-0006</t>
  </si>
  <si>
    <t>SI-22223-0124</t>
  </si>
  <si>
    <t>SI-22223-0125</t>
  </si>
  <si>
    <t>SI-22223-0123</t>
  </si>
  <si>
    <t>SI-22223-0130</t>
  </si>
  <si>
    <t>SI-22223-0132</t>
  </si>
  <si>
    <t>SI-22223-0133</t>
  </si>
  <si>
    <t>SI-22223-0129</t>
  </si>
  <si>
    <t>SI-22223-0131</t>
  </si>
  <si>
    <t>02-05-2022</t>
  </si>
  <si>
    <t>SI-22223-0135</t>
  </si>
  <si>
    <t>SI-22223-0128</t>
  </si>
  <si>
    <t>SI-22223-0134</t>
  </si>
  <si>
    <t>SI-22223-0138</t>
  </si>
  <si>
    <t>SI-22223-0139</t>
  </si>
  <si>
    <t>SI-22223-0136</t>
  </si>
  <si>
    <t>SI-22223-0137</t>
  </si>
  <si>
    <t>SI-22223-0140</t>
  </si>
  <si>
    <t>SI-22223-0152</t>
  </si>
  <si>
    <t>SI-22223-0143</t>
  </si>
  <si>
    <t>SI-22223-0150</t>
  </si>
  <si>
    <t>SI-22223-0151</t>
  </si>
  <si>
    <t>SI-22223-0153</t>
  </si>
  <si>
    <t>SI-22223-0141</t>
  </si>
  <si>
    <t>SI-22223-0142</t>
  </si>
  <si>
    <t>SI-22223-0148</t>
  </si>
  <si>
    <t>SI-22223-0149</t>
  </si>
  <si>
    <t>SI-22223-0144</t>
  </si>
  <si>
    <t>Due</t>
  </si>
  <si>
    <t>SI-22223-0157</t>
  </si>
  <si>
    <t>SI-22223-0160</t>
  </si>
  <si>
    <t>SI-22223-0158</t>
  </si>
  <si>
    <t>SI-22223-0159</t>
  </si>
  <si>
    <t>SI-22223-0162</t>
  </si>
  <si>
    <t>SI-22223-0163</t>
  </si>
  <si>
    <t>SI-22223-0168</t>
  </si>
  <si>
    <t>SI-22223-0164</t>
  </si>
  <si>
    <t>SI-22223-0165</t>
  </si>
  <si>
    <t>07-05-2022</t>
  </si>
  <si>
    <t>SI-22223-0170</t>
  </si>
  <si>
    <t>SI-22223-0166</t>
  </si>
  <si>
    <t>SI-22223-0169</t>
  </si>
  <si>
    <t>SI-22223-0167</t>
  </si>
  <si>
    <t>SAP DO No.</t>
  </si>
  <si>
    <t>Cust.Po.No</t>
  </si>
  <si>
    <t>SI-22223-0172</t>
  </si>
  <si>
    <t>SI-22223-0180</t>
  </si>
  <si>
    <t>SI-22223-0177</t>
  </si>
  <si>
    <t>SI-22223-0171</t>
  </si>
  <si>
    <t>SI-22223-0181</t>
  </si>
  <si>
    <t>SI-22223-0178</t>
  </si>
  <si>
    <t>SI-22223-0182</t>
  </si>
  <si>
    <t>SI-22223-0175</t>
  </si>
  <si>
    <t>SI-22223-0173</t>
  </si>
  <si>
    <t>SI-22223-0174</t>
  </si>
  <si>
    <t>BEING AMOUNT CREDIT TO CUSTOMER DUE TO SHORT MATERIAL SEND, AS PER MAIL ENCOLOSED</t>
  </si>
  <si>
    <t>BEING AMOUNT CREDIT TO CUSTOMER DUE TO SHORT MATERIAL SEND , AS PER MAIL ENCLOSED</t>
  </si>
  <si>
    <t>BEING AMOUNT DEBIT TO CUSTOMER DUE TO ADDITIONAL TESTING CHARGES, AS PER MAIL ENCLOSED</t>
  </si>
  <si>
    <t>BEING AMOUNT DEBIT TO CUSTOMER DUE TO EXCESS MATERIAL SEND , AS PER INV. ENCLOSED.</t>
  </si>
  <si>
    <t>BEING AMOUNT DEBIT TO CUSTOMER DUE TO EXCESS MATEIAL SEND THIS INV. , AS PER MAIL ENCLOSED.</t>
  </si>
  <si>
    <t>SI-22223-0188</t>
  </si>
  <si>
    <t>BEING DEBIT NOTE ISSUE FOR RATE DIFFERENCE FOUND BETWEEN ACTUAL AND INVOICE PRICE</t>
  </si>
  <si>
    <t>SI-22223-0183</t>
  </si>
  <si>
    <t>SI-22223-0189</t>
  </si>
  <si>
    <t>SI-22223-0184</t>
  </si>
  <si>
    <t>SI-22223-0185</t>
  </si>
  <si>
    <t>BEING AMOUNT DEBIT TO CUSTOMER DUE TO RATE DIFF ISSUE( ACTUAL RATE IS 694.83 &amp; INV. RATE IS 688.87 , DIFF 5.96), AS PER MAIL ENCLOSED.</t>
  </si>
  <si>
    <t>SI-22223-0186</t>
  </si>
  <si>
    <t>SI-22223-0187</t>
  </si>
  <si>
    <t>Bank Receipt For:CAVINKARE PVT. LTD R &amp; D(AR) ,CAVINKARE PVT LTD PATNA ,CAVINKARE PRIVATE LIMITED HYDERABAD ,CAVINKARE PRIVATE LIMITED JAIPUR ,CAVINKARE PRIVATE LIMITED LUCKNOW ,CAVINKARE PVT. LTD UNIT I HARIDWAR ,TDS RECEIVABLE CUSTOMER 194Q ,ROUND OFF</t>
  </si>
  <si>
    <t>BEING AMOUNT DEBIT TO CUSTOMER DUE TO TRAIL LAMINATE CLAIM, AS PER MAIL ENCLOSED</t>
  </si>
  <si>
    <t>BEING AMOUNT DEBIT TO CUSTOMER DUE TO SCREEN PRINTING CHARGES, AS PER MAIL ENCLOSED</t>
  </si>
  <si>
    <t>BEING AMOUNT DEBIT TO CUSTOMER DUE TO NMS RM/PM CHARGE, AS PER MAIL ENCLOSED</t>
  </si>
  <si>
    <t>BEING AMOUNT DEBIT TO CUSTOMER DUE TO SCREEN PRINTING CHARGS.</t>
  </si>
  <si>
    <t>BEING AMOUNT DEBIT TO CUSTOMER DUE TO AUG'21 RECONCILATION ADJUSMENT, AS PER MAIL ENCLOSED</t>
  </si>
  <si>
    <t>BEING AMOUNT DEBIT TO CUSTOMER DUE TO SEP,21 TO OCT,21 RECONCILATION ADJUSMENT, AS PER MAIL ENCLOSED</t>
  </si>
  <si>
    <t>BEING AMOUNT DEBIT TO CUSTOMER DUE TO NOV,21 TO DEC,21 RECONCILATION ADJUSMENT, AS PER MAIL ENCLOSED</t>
  </si>
  <si>
    <t>BEING AMOUNT DEBIT TO CUSTOMER DUE TO JAN,22 RECONCILATION ADJUSMENT, AS PER MAIL ENCLOSED</t>
  </si>
  <si>
    <t>BEING AMOUNT DEBIT TO CUSTOMER DUE TO RBA , AS PER MAIL ENCLOSED.</t>
  </si>
  <si>
    <t>BEING DEBIT NOTE RAISE FOR TCS AGST RECEIPT FOR THE MONTH OF JULY 2021 @0.1%</t>
  </si>
  <si>
    <t>SI-22122-0800</t>
  </si>
  <si>
    <t>30-09-2021</t>
  </si>
  <si>
    <t>SI-22122-1102</t>
  </si>
  <si>
    <t>01-04-2022</t>
  </si>
  <si>
    <t>SI-22223-0002</t>
  </si>
  <si>
    <t>02-11-2021</t>
  </si>
  <si>
    <t>SI-22122-1310</t>
  </si>
  <si>
    <t>19-02-2022</t>
  </si>
  <si>
    <t>SI-22122-1845</t>
  </si>
  <si>
    <t>SI-22122-2029</t>
  </si>
  <si>
    <t>23-09-2021</t>
  </si>
  <si>
    <t>SI-22122-1055</t>
  </si>
  <si>
    <t>10-01-2022</t>
  </si>
  <si>
    <t>SI-22122-1658</t>
  </si>
  <si>
    <t>02-03-2022</t>
  </si>
  <si>
    <t>SI-22122-1892</t>
  </si>
  <si>
    <t>SI-22122-2032</t>
  </si>
  <si>
    <t>CN22122-0015</t>
  </si>
  <si>
    <t>BEING AMOUNT CREDIT TO CUSTOMER DUE TO MATERIAL QUALITY ISSUE BY CUSTOMER, AS PER MAIL ENCLOSED.</t>
  </si>
  <si>
    <t>18-09-2021</t>
  </si>
  <si>
    <t>SI-2/2122-0984</t>
  </si>
  <si>
    <t>13-09-2021</t>
  </si>
  <si>
    <t>SI-22122-0984</t>
  </si>
  <si>
    <t>SI-22223-0191</t>
  </si>
  <si>
    <t>SI-22223-0194</t>
  </si>
  <si>
    <t>SI-22223-0197</t>
  </si>
  <si>
    <t>SI-22223-0190</t>
  </si>
  <si>
    <t>SI-22223-0192</t>
  </si>
  <si>
    <t>SI-22223-0193</t>
  </si>
  <si>
    <t>SI-22223-0196</t>
  </si>
  <si>
    <t>SI-22223-0198</t>
  </si>
  <si>
    <t>SI-22223-0219</t>
  </si>
  <si>
    <t>13-05-2022</t>
  </si>
  <si>
    <t>SI-22223-0201</t>
  </si>
  <si>
    <t>SI-22223-0202</t>
  </si>
  <si>
    <t>14-05-2022</t>
  </si>
  <si>
    <t>SI-22223-0211</t>
  </si>
  <si>
    <t>SI-22223-0218</t>
  </si>
  <si>
    <t>SI-22223-0217</t>
  </si>
  <si>
    <t>SI-22223-0199</t>
  </si>
  <si>
    <t>SI-22223-0204</t>
  </si>
  <si>
    <t>SI-22223-0210</t>
  </si>
  <si>
    <t>SI-22223-0207</t>
  </si>
  <si>
    <t>SI-22223-0215</t>
  </si>
  <si>
    <t>SI-22223-0214</t>
  </si>
  <si>
    <t>SI-22223-0208</t>
  </si>
  <si>
    <t>SI-22223-0213</t>
  </si>
  <si>
    <t>SI-22223-0200</t>
  </si>
  <si>
    <t>SI-22223-0203</t>
  </si>
  <si>
    <t>SI-22223-0209</t>
  </si>
  <si>
    <t>ABC@gmail.com</t>
  </si>
  <si>
    <t>xyz@gmail.com</t>
  </si>
  <si>
    <t>XYZ</t>
  </si>
  <si>
    <t>ABC</t>
  </si>
  <si>
    <t>ABCD-1862</t>
  </si>
  <si>
    <t>ABCD-1961</t>
  </si>
  <si>
    <t>ABCD-1983</t>
  </si>
  <si>
    <t>ABCD-2017</t>
  </si>
  <si>
    <t>ABCD-2023</t>
  </si>
  <si>
    <t>ABCD-1589</t>
  </si>
  <si>
    <t>ABCD-1623</t>
  </si>
  <si>
    <t>ABCD-1653</t>
  </si>
  <si>
    <t>ABCD-1654</t>
  </si>
  <si>
    <t>ABCD-1736</t>
  </si>
  <si>
    <t>ABCD-1949</t>
  </si>
  <si>
    <t>ABCD-1960</t>
  </si>
  <si>
    <t>ABCD-1984</t>
  </si>
  <si>
    <t>ABCD-2016</t>
  </si>
  <si>
    <t>ABCD-2024</t>
  </si>
  <si>
    <t>ABCD-1901</t>
  </si>
  <si>
    <t>ABCD-1948</t>
  </si>
  <si>
    <t>ABCD-1972</t>
  </si>
  <si>
    <t>ABCD-1977</t>
  </si>
  <si>
    <t>ABCD-1988</t>
  </si>
  <si>
    <t>ABCD-2018</t>
  </si>
  <si>
    <t>ABCD-2035</t>
  </si>
  <si>
    <t>ABCD-1066</t>
  </si>
  <si>
    <t>ABCD-1153</t>
  </si>
  <si>
    <t>ABCD-1966</t>
  </si>
  <si>
    <t>ABCD-1973</t>
  </si>
  <si>
    <t>ABCD-1974</t>
  </si>
  <si>
    <t>ABCD-1989</t>
  </si>
  <si>
    <t>ABCD-1992</t>
  </si>
  <si>
    <t>ABCD-1999</t>
  </si>
  <si>
    <t>ABCD-2007</t>
  </si>
  <si>
    <t>ABCD-2012</t>
  </si>
  <si>
    <t>ABCD-2022</t>
  </si>
  <si>
    <t>ABCD-2025</t>
  </si>
  <si>
    <t>ABCD-2026</t>
  </si>
  <si>
    <t>ABCD-2028</t>
  </si>
  <si>
    <t>ABCD-1124</t>
  </si>
  <si>
    <t>ABCD-1185</t>
  </si>
  <si>
    <t>ABCD-1151</t>
  </si>
  <si>
    <t>ABCD-1388</t>
  </si>
  <si>
    <t>ABCD-1964</t>
  </si>
  <si>
    <t>ABCD-1971</t>
  </si>
  <si>
    <t>ABCD-1986</t>
  </si>
  <si>
    <t>ABCD-1996</t>
  </si>
  <si>
    <t>ABCD-2006</t>
  </si>
  <si>
    <t>ABCD-2010</t>
  </si>
  <si>
    <t>ABCD-2021</t>
  </si>
  <si>
    <t>ABCD-1975</t>
  </si>
  <si>
    <t>ABCD-1990</t>
  </si>
  <si>
    <t>ABCD-1995</t>
  </si>
  <si>
    <t>ABCD-1997</t>
  </si>
  <si>
    <t>ABCD-2004</t>
  </si>
  <si>
    <t>ABCD-2015</t>
  </si>
  <si>
    <t>ABCD-2020</t>
  </si>
  <si>
    <t>ABCD-1147</t>
  </si>
  <si>
    <t>ABCD-1982</t>
  </si>
  <si>
    <t>ABCD-1903</t>
  </si>
  <si>
    <t>ABCD-1993</t>
  </si>
  <si>
    <t>ABCD-1144</t>
  </si>
  <si>
    <t>ABCD-1612</t>
  </si>
  <si>
    <t>ABCD-1866</t>
  </si>
  <si>
    <t>ABCD-1936</t>
  </si>
  <si>
    <t>ABCD-1967</t>
  </si>
  <si>
    <t>ABCD-2009</t>
  </si>
  <si>
    <t>ABCD-1149</t>
  </si>
  <si>
    <t>ABCD-1970</t>
  </si>
  <si>
    <t>ABCD-1987</t>
  </si>
  <si>
    <t>ABCD-1998</t>
  </si>
  <si>
    <t>ABCD-1959</t>
  </si>
  <si>
    <t>ABCD-1557</t>
  </si>
  <si>
    <t>ABCD-1979</t>
  </si>
  <si>
    <t>ABCD-2002</t>
  </si>
  <si>
    <t>ABCD-2011</t>
  </si>
  <si>
    <t>ABCD-1143</t>
  </si>
  <si>
    <t>ABCD-1159</t>
  </si>
  <si>
    <t>ABCD-1354</t>
  </si>
  <si>
    <t>ABCD-1379</t>
  </si>
  <si>
    <t>ABCD-1393</t>
  </si>
  <si>
    <t>ABCD-1434</t>
  </si>
  <si>
    <t>ABCD-1475</t>
  </si>
  <si>
    <t>ABCD-1592</t>
  </si>
  <si>
    <t>ABCD-1627</t>
  </si>
  <si>
    <t>ABCD-1660</t>
  </si>
  <si>
    <t>ABCD-1689</t>
  </si>
  <si>
    <t>ABCD-1962</t>
  </si>
  <si>
    <t>ABCD-1981</t>
  </si>
  <si>
    <t>ABCD-1958</t>
  </si>
  <si>
    <t>ABCD-1985</t>
  </si>
  <si>
    <t>ABCD-2000</t>
  </si>
  <si>
    <t>ABCD-2001</t>
  </si>
  <si>
    <t>ABCD-2005</t>
  </si>
  <si>
    <t>ABCD-1963</t>
  </si>
  <si>
    <t>ABCD-1991</t>
  </si>
  <si>
    <t>ABCD-1976</t>
  </si>
  <si>
    <t>ABCD-2003</t>
  </si>
  <si>
    <t>ABCD-1543</t>
  </si>
  <si>
    <t>ABCD-1978</t>
  </si>
  <si>
    <t>ABCD-1980</t>
  </si>
  <si>
    <t>ABCD-1860</t>
  </si>
  <si>
    <t>ABCD-0596</t>
  </si>
  <si>
    <t>ABCD-0800</t>
  </si>
  <si>
    <t>ABCD-1102</t>
  </si>
  <si>
    <t>ABCD-1310</t>
  </si>
  <si>
    <t>ABCD-1845</t>
  </si>
  <si>
    <t>ABCD-2029</t>
  </si>
  <si>
    <t>ABCD-1055</t>
  </si>
  <si>
    <t>ABCD-1658</t>
  </si>
  <si>
    <t>ABCD-1892</t>
  </si>
  <si>
    <t>ABCD-2032</t>
  </si>
  <si>
    <t>ABCD-0984</t>
  </si>
  <si>
    <t>ABC Limited</t>
  </si>
  <si>
    <t>Plot no: 1234</t>
  </si>
  <si>
    <t>Outstanding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</si>
</sst>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1" x14ac:knownFonts="1">
    <font>
      <sz val="1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color rgb="FFFFFF00"/>
      <name val="Times New Roman"/>
      <family val="1"/>
    </font>
    <font>
      <sz val="10"/>
      <name val="Calibri"/>
      <family val="2"/>
      <scheme val="minor"/>
    </font>
    <font>
      <b/>
      <sz val="11"/>
      <name val="Calibri"/>
      <family val="2"/>
      <scheme val="minor"/>
    </font>
    <font>
      <b/>
      <sz val="18"/>
      <color theme="1"/>
      <name val="Arial"/>
      <family val="2"/>
    </font>
    <font>
      <b/>
      <sz val="14"/>
      <color theme="1"/>
      <name val="Calibri"/>
      <family val="2"/>
      <scheme val="minor"/>
    </font>
    <font>
      <b/>
      <sz val="22"/>
      <name val="Calibri"/>
      <family val="2"/>
      <scheme val="minor"/>
    </font>
    <font>
      <u/>
      <sz val="11"/>
      <color theme="10"/>
      <name val="Calibri"/>
      <family val="2"/>
      <scheme val="minor"/>
    </font>
    <font>
      <b/>
      <sz val="14"/>
      <name val="Calibri"/>
      <family val="2"/>
      <scheme val="minor"/>
    </font>
    <font>
      <sz val="8"/>
      <color rgb="FF000000"/>
      <name val="Arial"/>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8000"/>
        <bgColor indexed="64"/>
      </patternFill>
    </fill>
    <fill>
      <patternFill patternType="solid">
        <fgColor theme="4"/>
        <bgColor indexed="64"/>
      </patternFill>
    </fill>
    <fill>
      <patternFill patternType="solid">
        <fgColor rgb="FFF7F6F6"/>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59">
    <xf numFmtId="0" fontId="0" fillId="0" borderId="0">
      <alignment vertical="top"/>
    </xf>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0" fontId="4" fillId="0" borderId="0"/>
    <xf numFmtId="0" fontId="3" fillId="0" borderId="0"/>
    <xf numFmtId="0" fontId="28" fillId="0" borderId="0" applyNumberFormat="0" applyFill="0" applyBorder="0" applyAlignment="0" applyProtection="0">
      <alignment vertical="top"/>
    </xf>
    <xf numFmtId="0" fontId="2"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cellStyleXfs>
  <cellXfs count="51">
    <xf numFmtId="0" fontId="0" fillId="0" borderId="0" xfId="0">
      <alignment vertical="top"/>
    </xf>
    <xf numFmtId="0" fontId="22" fillId="33" borderId="10" xfId="0" applyFont="1" applyFill="1" applyBorder="1" applyAlignment="1">
      <alignment vertical="top" wrapText="1"/>
    </xf>
    <xf numFmtId="0" fontId="24" fillId="0" borderId="0" xfId="0" applyFont="1">
      <alignment vertical="top"/>
    </xf>
    <xf numFmtId="164" fontId="26" fillId="0" borderId="0" xfId="0" applyNumberFormat="1" applyFont="1" applyAlignment="1"/>
    <xf numFmtId="0" fontId="23" fillId="0" borderId="0" xfId="0" applyFont="1" applyAlignment="1">
      <alignment vertical="top" wrapText="1"/>
    </xf>
    <xf numFmtId="0" fontId="0" fillId="0" borderId="0" xfId="0" applyAlignment="1">
      <alignment vertical="top" wrapText="1"/>
    </xf>
    <xf numFmtId="0" fontId="23" fillId="0" borderId="10" xfId="0" applyFont="1" applyBorder="1" applyAlignment="1">
      <alignment vertical="top"/>
    </xf>
    <xf numFmtId="0" fontId="0" fillId="0" borderId="10" xfId="0" applyBorder="1">
      <alignment vertical="top"/>
    </xf>
    <xf numFmtId="0" fontId="23" fillId="0" borderId="10" xfId="0" applyFont="1" applyFill="1" applyBorder="1" applyAlignment="1">
      <alignment vertical="top"/>
    </xf>
    <xf numFmtId="0" fontId="0" fillId="0" borderId="0" xfId="0" applyAlignment="1">
      <alignment vertical="top"/>
    </xf>
    <xf numFmtId="0" fontId="0" fillId="0" borderId="10" xfId="0" applyFont="1" applyBorder="1">
      <alignment vertical="top"/>
    </xf>
    <xf numFmtId="0" fontId="0" fillId="0" borderId="0" xfId="0" applyNumberFormat="1">
      <alignment vertical="top"/>
    </xf>
    <xf numFmtId="0" fontId="0" fillId="0" borderId="10" xfId="0" pivotButton="1" applyBorder="1">
      <alignment vertical="top"/>
    </xf>
    <xf numFmtId="0" fontId="0" fillId="0" borderId="12" xfId="0" pivotButton="1" applyBorder="1">
      <alignment vertical="top"/>
    </xf>
    <xf numFmtId="0" fontId="0" fillId="0" borderId="12" xfId="0" applyBorder="1">
      <alignment vertical="top"/>
    </xf>
    <xf numFmtId="0" fontId="24" fillId="34" borderId="10" xfId="0" applyFont="1" applyFill="1" applyBorder="1" applyAlignment="1">
      <alignment vertical="top"/>
    </xf>
    <xf numFmtId="0" fontId="24" fillId="34" borderId="10" xfId="0" applyFont="1" applyFill="1" applyBorder="1">
      <alignment vertical="top"/>
    </xf>
    <xf numFmtId="0" fontId="24" fillId="0" borderId="0" xfId="0" applyFont="1" applyAlignment="1">
      <alignment vertical="top"/>
    </xf>
    <xf numFmtId="0" fontId="24" fillId="0" borderId="10" xfId="0" applyFont="1" applyFill="1" applyBorder="1">
      <alignment vertical="top"/>
    </xf>
    <xf numFmtId="0" fontId="0" fillId="0" borderId="10" xfId="0" applyFont="1" applyFill="1" applyBorder="1">
      <alignment vertical="top"/>
    </xf>
    <xf numFmtId="0" fontId="0" fillId="0" borderId="0" xfId="0" applyFont="1" applyFill="1">
      <alignment vertical="top"/>
    </xf>
    <xf numFmtId="0" fontId="0" fillId="0" borderId="0" xfId="0" applyFont="1">
      <alignment vertical="top"/>
    </xf>
    <xf numFmtId="0" fontId="24" fillId="0" borderId="10" xfId="0" applyFont="1" applyBorder="1">
      <alignment vertical="top"/>
    </xf>
    <xf numFmtId="0" fontId="0" fillId="0" borderId="13" xfId="0" applyBorder="1" applyAlignment="1">
      <alignment horizontal="center" vertical="top"/>
    </xf>
    <xf numFmtId="0" fontId="0" fillId="0" borderId="12" xfId="0" applyBorder="1" applyAlignment="1">
      <alignment horizontal="center" vertical="top"/>
    </xf>
    <xf numFmtId="0" fontId="0" fillId="0" borderId="10" xfId="0" applyNumberFormat="1" applyBorder="1">
      <alignment vertical="top"/>
    </xf>
    <xf numFmtId="0" fontId="29" fillId="0" borderId="0" xfId="0" applyFont="1" applyAlignment="1">
      <alignment vertical="top"/>
    </xf>
    <xf numFmtId="0" fontId="28" fillId="0" borderId="0" xfId="44">
      <alignment vertical="top"/>
    </xf>
    <xf numFmtId="0" fontId="0" fillId="0" borderId="0" xfId="0">
      <alignment vertical="top"/>
    </xf>
    <xf numFmtId="0" fontId="22" fillId="33" borderId="11" xfId="0" applyFont="1" applyFill="1" applyBorder="1" applyAlignment="1">
      <alignment vertical="top" wrapText="1"/>
    </xf>
    <xf numFmtId="15" fontId="24" fillId="0" borderId="10" xfId="0" applyNumberFormat="1" applyFont="1" applyBorder="1">
      <alignment vertical="top"/>
    </xf>
    <xf numFmtId="0" fontId="0" fillId="0" borderId="0" xfId="0" quotePrefix="1">
      <alignment vertical="top"/>
    </xf>
    <xf numFmtId="0" fontId="28" fillId="0" borderId="10" xfId="44" quotePrefix="1" applyBorder="1">
      <alignment vertical="top"/>
    </xf>
    <xf numFmtId="0" fontId="0" fillId="0" borderId="0" xfId="0" applyNumberFormat="1" applyAlignment="1">
      <alignment vertical="top"/>
    </xf>
    <xf numFmtId="0" fontId="24" fillId="0" borderId="0" xfId="0" applyNumberFormat="1" applyFont="1" applyFill="1" applyBorder="1">
      <alignment vertical="top"/>
    </xf>
    <xf numFmtId="0" fontId="24" fillId="0" borderId="10" xfId="0" applyNumberFormat="1" applyFont="1" applyBorder="1">
      <alignment vertical="top"/>
    </xf>
    <xf numFmtId="4" fontId="30" fillId="35" borderId="0" xfId="0" applyNumberFormat="1" applyFont="1" applyFill="1" applyAlignment="1">
      <alignment horizontal="right" vertical="center" wrapText="1"/>
    </xf>
    <xf numFmtId="4" fontId="0" fillId="0" borderId="0" xfId="0" applyNumberFormat="1" applyFont="1" applyFill="1">
      <alignment vertical="top"/>
    </xf>
    <xf numFmtId="0" fontId="24" fillId="0" borderId="0" xfId="0" applyNumberFormat="1" applyFont="1" applyBorder="1">
      <alignment vertical="top"/>
    </xf>
    <xf numFmtId="4" fontId="30" fillId="35" borderId="0" xfId="0" applyNumberFormat="1" applyFont="1" applyFill="1" applyBorder="1" applyAlignment="1">
      <alignment horizontal="right" vertical="center" wrapText="1"/>
    </xf>
    <xf numFmtId="4" fontId="0" fillId="0" borderId="0" xfId="0" applyNumberFormat="1" applyFont="1" applyFill="1" applyBorder="1">
      <alignment vertical="top"/>
    </xf>
    <xf numFmtId="0" fontId="0" fillId="0" borderId="0" xfId="0" applyFont="1" applyFill="1" applyBorder="1">
      <alignment vertical="top"/>
    </xf>
    <xf numFmtId="4" fontId="24" fillId="0" borderId="0" xfId="0" applyNumberFormat="1" applyFont="1" applyBorder="1">
      <alignment vertical="top"/>
    </xf>
    <xf numFmtId="3" fontId="24" fillId="0" borderId="10" xfId="0" applyNumberFormat="1" applyFont="1" applyFill="1" applyBorder="1">
      <alignment vertical="top"/>
    </xf>
    <xf numFmtId="0" fontId="24" fillId="0" borderId="10" xfId="0" pivotButton="1" applyFont="1" applyBorder="1">
      <alignment vertical="top"/>
    </xf>
    <xf numFmtId="14" fontId="23" fillId="0" borderId="0" xfId="0" applyNumberFormat="1" applyFont="1" applyAlignment="1">
      <alignment vertical="top" wrapText="1"/>
    </xf>
    <xf numFmtId="14" fontId="24" fillId="0" borderId="10" xfId="0" applyNumberFormat="1" applyFont="1" applyBorder="1">
      <alignment vertical="top"/>
    </xf>
    <xf numFmtId="49" fontId="25" fillId="0" borderId="0" xfId="0" applyNumberFormat="1" applyFont="1" applyAlignment="1"/>
    <xf numFmtId="0" fontId="0" fillId="0" borderId="0" xfId="0" applyAlignment="1"/>
    <xf numFmtId="0" fontId="27" fillId="0" borderId="0" xfId="0" applyFont="1" applyAlignment="1">
      <alignment horizontal="center" vertical="top"/>
    </xf>
    <xf numFmtId="0" fontId="0" fillId="0" borderId="10" xfId="0" applyFont="1" applyBorder="1" applyAlignment="1">
      <alignment vertical="top"/>
    </xf>
  </cellXfs>
  <cellStyles count="59">
    <cellStyle name="20% - Accent1" xfId="19" builtinId="30" customBuiltin="1"/>
    <cellStyle name="20% - Accent1 2" xfId="47"/>
    <cellStyle name="20% - Accent2" xfId="23" builtinId="34" customBuiltin="1"/>
    <cellStyle name="20% - Accent2 2" xfId="49"/>
    <cellStyle name="20% - Accent3" xfId="27" builtinId="38" customBuiltin="1"/>
    <cellStyle name="20% - Accent3 2" xfId="51"/>
    <cellStyle name="20% - Accent4" xfId="31" builtinId="42" customBuiltin="1"/>
    <cellStyle name="20% - Accent4 2" xfId="53"/>
    <cellStyle name="20% - Accent5" xfId="35" builtinId="46" customBuiltin="1"/>
    <cellStyle name="20% - Accent5 2" xfId="55"/>
    <cellStyle name="20% - Accent6" xfId="39" builtinId="50" customBuiltin="1"/>
    <cellStyle name="20% - Accent6 2" xfId="57"/>
    <cellStyle name="40% - Accent1" xfId="20" builtinId="31" customBuiltin="1"/>
    <cellStyle name="40% - Accent1 2" xfId="48"/>
    <cellStyle name="40% - Accent2" xfId="24" builtinId="35" customBuiltin="1"/>
    <cellStyle name="40% - Accent2 2" xfId="50"/>
    <cellStyle name="40% - Accent3" xfId="28" builtinId="39" customBuiltin="1"/>
    <cellStyle name="40% - Accent3 2" xfId="52"/>
    <cellStyle name="40% - Accent4" xfId="32" builtinId="43" customBuiltin="1"/>
    <cellStyle name="40% - Accent4 2" xfId="54"/>
    <cellStyle name="40% - Accent5" xfId="36" builtinId="47" customBuiltin="1"/>
    <cellStyle name="40% - Accent5 2" xfId="56"/>
    <cellStyle name="40% - Accent6" xfId="40" builtinId="51" customBuiltin="1"/>
    <cellStyle name="40% - Accent6 2" xfId="58"/>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2" xfId="42"/>
    <cellStyle name="Normal 3" xfId="43"/>
    <cellStyle name="Normal 3 2" xfId="45"/>
    <cellStyle name="Note" xfId="15" builtinId="10" customBuiltin="1"/>
    <cellStyle name="Note 2" xfId="46"/>
    <cellStyle name="Output" xfId="10" builtinId="21" customBuiltin="1"/>
    <cellStyle name="Title" xfId="1" builtinId="15" customBuiltin="1"/>
    <cellStyle name="Total" xfId="17" builtinId="25" customBuiltin="1"/>
    <cellStyle name="Warning Text" xfId="14" builtinId="11" customBuiltin="1"/>
  </cellStyles>
  <dxfs count="90">
    <dxf>
      <font>
        <b val="0"/>
        <i val="0"/>
        <strike val="0"/>
        <condense val="0"/>
        <extend val="0"/>
        <outline val="0"/>
        <shadow val="0"/>
        <u val="none"/>
        <vertAlign val="baseline"/>
        <sz val="11"/>
        <color auto="1"/>
        <name val="Calibri"/>
        <scheme val="minor"/>
      </font>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right/>
        <top/>
        <bottom/>
        <vertical/>
        <horizontal/>
      </border>
    </dxf>
    <dxf>
      <border>
        <left/>
        <right/>
        <top/>
        <bottom/>
        <vertical/>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3" formatCode="#,##0"/>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font>
    </dxf>
    <dxf>
      <font>
        <b/>
      </font>
    </dxf>
    <dxf>
      <font>
        <b/>
      </font>
    </dxf>
    <dxf>
      <font>
        <b/>
      </font>
    </dxf>
    <dxf>
      <font>
        <b/>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bottom/>
      </border>
    </dxf>
    <dxf>
      <font>
        <b/>
        <i val="0"/>
      </font>
      <fill>
        <patternFill>
          <bgColor theme="4"/>
        </patternFill>
      </fill>
    </dxf>
    <dxf>
      <font>
        <b/>
        <i val="0"/>
      </font>
      <fill>
        <patternFill>
          <bgColor theme="4"/>
        </patternFill>
      </fill>
    </dxf>
    <dxf>
      <font>
        <strike val="0"/>
      </font>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PivotTable Style 1" table="0" count="1">
      <tableStyleElement type="firstRowStripe" dxfId="89"/>
    </tableStyle>
    <tableStyle name="PivotTable Style 2" table="0" count="3">
      <tableStyleElement type="wholeTable" dxfId="88"/>
      <tableStyleElement type="headerRow" dxfId="87"/>
      <tableStyleElement type="totalRow" dxfId="8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7</xdr:row>
          <xdr:rowOff>161925</xdr:rowOff>
        </xdr:from>
        <xdr:to>
          <xdr:col>1</xdr:col>
          <xdr:colOff>1038225</xdr:colOff>
          <xdr:row>9</xdr:row>
          <xdr:rowOff>57150</xdr:rowOff>
        </xdr:to>
        <xdr:sp macro="" textlink="">
          <xdr:nvSpPr>
            <xdr:cNvPr id="5124" name="OSGS" hidden="1">
              <a:extLst>
                <a:ext uri="{63B3BB69-23CF-44E3-9099-C40C66FF867C}">
                  <a14:compatExt spid="_x0000_s5124"/>
                </a:ext>
                <a:ext uri="{FF2B5EF4-FFF2-40B4-BE49-F238E27FC236}">
                  <a16:creationId xmlns="" xmlns:a16="http://schemas.microsoft.com/office/drawing/2014/main" id="{00000000-0008-0000-11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19050</xdr:colOff>
      <xdr:row>0</xdr:row>
      <xdr:rowOff>19050</xdr:rowOff>
    </xdr:from>
    <xdr:to>
      <xdr:col>11</xdr:col>
      <xdr:colOff>66675</xdr:colOff>
      <xdr:row>2</xdr:row>
      <xdr:rowOff>133350</xdr:rowOff>
    </xdr:to>
    <xdr:sp macro="[0]!Macro1" textlink="">
      <xdr:nvSpPr>
        <xdr:cNvPr id="2" name="Rounded Rectangle 1">
          <a:extLst>
            <a:ext uri="{FF2B5EF4-FFF2-40B4-BE49-F238E27FC236}">
              <a16:creationId xmlns="" xmlns:a16="http://schemas.microsoft.com/office/drawing/2014/main" id="{00000000-0008-0000-1100-000002000000}"/>
            </a:ext>
          </a:extLst>
        </xdr:cNvPr>
        <xdr:cNvSpPr/>
      </xdr:nvSpPr>
      <xdr:spPr>
        <a:xfrm>
          <a:off x="9925050" y="19050"/>
          <a:ext cx="18764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Click to Generate Overdue details</a:t>
          </a:r>
        </a:p>
      </xdr:txBody>
    </xdr:sp>
    <xdr:clientData/>
  </xdr:twoCellAnchor>
  <xdr:twoCellAnchor editAs="oneCell">
    <xdr:from>
      <xdr:col>4</xdr:col>
      <xdr:colOff>66675</xdr:colOff>
      <xdr:row>0</xdr:row>
      <xdr:rowOff>0</xdr:rowOff>
    </xdr:from>
    <xdr:to>
      <xdr:col>6</xdr:col>
      <xdr:colOff>342900</xdr:colOff>
      <xdr:row>4</xdr:row>
      <xdr:rowOff>142875</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 xmlns:a16="http://schemas.microsoft.com/office/drawing/2014/main" id="{00000000-0008-0000-1100-000004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7410450" y="0"/>
              <a:ext cx="1828800" cy="1104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0</xdr:colOff>
      <xdr:row>4</xdr:row>
      <xdr:rowOff>0</xdr:rowOff>
    </xdr:from>
    <xdr:to>
      <xdr:col>11</xdr:col>
      <xdr:colOff>85725</xdr:colOff>
      <xdr:row>6</xdr:row>
      <xdr:rowOff>142875</xdr:rowOff>
    </xdr:to>
    <xdr:sp macro="[0]!Macro5" textlink="">
      <xdr:nvSpPr>
        <xdr:cNvPr id="5" name="Rounded Rectangle 4">
          <a:extLst>
            <a:ext uri="{FF2B5EF4-FFF2-40B4-BE49-F238E27FC236}">
              <a16:creationId xmlns="" xmlns:a16="http://schemas.microsoft.com/office/drawing/2014/main" id="{00000000-0008-0000-1100-000005000000}"/>
            </a:ext>
          </a:extLst>
        </xdr:cNvPr>
        <xdr:cNvSpPr/>
      </xdr:nvSpPr>
      <xdr:spPr>
        <a:xfrm>
          <a:off x="9972675" y="962025"/>
          <a:ext cx="1914525" cy="523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Generate</a:t>
          </a:r>
          <a:r>
            <a:rPr lang="en-IN" sz="2000"/>
            <a:t> </a:t>
          </a:r>
          <a:r>
            <a:rPr lang="en-IN" sz="2000" b="1"/>
            <a:t>Sheet</a:t>
          </a:r>
        </a:p>
      </xdr:txBody>
    </xdr:sp>
    <xdr:clientData/>
  </xdr:twoCellAnchor>
  <xdr:twoCellAnchor editAs="oneCell">
    <xdr:from>
      <xdr:col>4</xdr:col>
      <xdr:colOff>66675</xdr:colOff>
      <xdr:row>4</xdr:row>
      <xdr:rowOff>152401</xdr:rowOff>
    </xdr:from>
    <xdr:to>
      <xdr:col>6</xdr:col>
      <xdr:colOff>342900</xdr:colOff>
      <xdr:row>10</xdr:row>
      <xdr:rowOff>0</xdr:rowOff>
    </xdr:to>
    <mc:AlternateContent xmlns:mc="http://schemas.openxmlformats.org/markup-compatibility/2006" xmlns:a14="http://schemas.microsoft.com/office/drawing/2010/main">
      <mc:Choice Requires="a14">
        <xdr:graphicFrame macro="">
          <xdr:nvGraphicFramePr>
            <xdr:cNvPr id="3" name="Customer">
              <a:extLst>
                <a:ext uri="{FF2B5EF4-FFF2-40B4-BE49-F238E27FC236}">
                  <a16:creationId xmlns="" xmlns:a16="http://schemas.microsoft.com/office/drawing/2014/main" id="{00000000-0008-0000-1100-000003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7410450" y="1114426"/>
              <a:ext cx="1828800" cy="990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xdr:col>
          <xdr:colOff>123825</xdr:colOff>
          <xdr:row>1</xdr:row>
          <xdr:rowOff>38100</xdr:rowOff>
        </xdr:from>
        <xdr:to>
          <xdr:col>4</xdr:col>
          <xdr:colOff>47625</xdr:colOff>
          <xdr:row>9</xdr:row>
          <xdr:rowOff>152400</xdr:rowOff>
        </xdr:to>
        <xdr:sp macro="" textlink="">
          <xdr:nvSpPr>
            <xdr:cNvPr id="5122" name="LB1" hidden="1">
              <a:extLst>
                <a:ext uri="{63B3BB69-23CF-44E3-9099-C40C66FF867C}">
                  <a14:compatExt spid="_x0000_s5122"/>
                </a:ext>
                <a:ext uri="{FF2B5EF4-FFF2-40B4-BE49-F238E27FC236}">
                  <a16:creationId xmlns="" xmlns:a16="http://schemas.microsoft.com/office/drawing/2014/main" id="{00000000-0008-0000-1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1047750</xdr:colOff>
          <xdr:row>7</xdr:row>
          <xdr:rowOff>180975</xdr:rowOff>
        </xdr:from>
        <xdr:to>
          <xdr:col>1</xdr:col>
          <xdr:colOff>2800350</xdr:colOff>
          <xdr:row>9</xdr:row>
          <xdr:rowOff>57150</xdr:rowOff>
        </xdr:to>
        <xdr:sp macro="" textlink="">
          <xdr:nvSpPr>
            <xdr:cNvPr id="5123" name="CustomerOS" hidden="1">
              <a:extLst>
                <a:ext uri="{63B3BB69-23CF-44E3-9099-C40C66FF867C}">
                  <a14:compatExt spid="_x0000_s5123"/>
                </a:ext>
                <a:ext uri="{FF2B5EF4-FFF2-40B4-BE49-F238E27FC236}">
                  <a16:creationId xmlns="" xmlns:a16="http://schemas.microsoft.com/office/drawing/2014/main" id="{00000000-0008-0000-11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0</xdr:row>
          <xdr:rowOff>19050</xdr:rowOff>
        </xdr:from>
        <xdr:to>
          <xdr:col>4</xdr:col>
          <xdr:colOff>104775</xdr:colOff>
          <xdr:row>0</xdr:row>
          <xdr:rowOff>228600</xdr:rowOff>
        </xdr:to>
        <xdr:sp macro="" textlink="">
          <xdr:nvSpPr>
            <xdr:cNvPr id="5126" name="Label1" hidden="1">
              <a:extLst>
                <a:ext uri="{63B3BB69-23CF-44E3-9099-C40C66FF867C}">
                  <a14:compatExt spid="_x0000_s5126"/>
                </a:ext>
                <a:ext uri="{FF2B5EF4-FFF2-40B4-BE49-F238E27FC236}">
                  <a16:creationId xmlns="" xmlns:a16="http://schemas.microsoft.com/office/drawing/2014/main" id="{00000000-0008-0000-1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16</xdr:row>
      <xdr:rowOff>152400</xdr:rowOff>
    </xdr:from>
    <xdr:to>
      <xdr:col>4</xdr:col>
      <xdr:colOff>704849</xdr:colOff>
      <xdr:row>27</xdr:row>
      <xdr:rowOff>133815</xdr:rowOff>
    </xdr:to>
    <xdr:grpSp>
      <xdr:nvGrpSpPr>
        <xdr:cNvPr id="4" name="Group 3">
          <a:extLst>
            <a:ext uri="{FF2B5EF4-FFF2-40B4-BE49-F238E27FC236}">
              <a16:creationId xmlns="" xmlns:a16="http://schemas.microsoft.com/office/drawing/2014/main" id="{00000000-0008-0000-1200-000004000000}"/>
            </a:ext>
          </a:extLst>
        </xdr:cNvPr>
        <xdr:cNvGrpSpPr/>
      </xdr:nvGrpSpPr>
      <xdr:grpSpPr>
        <a:xfrm>
          <a:off x="0" y="2990850"/>
          <a:ext cx="3733799" cy="2076915"/>
          <a:chOff x="0" y="3638550"/>
          <a:chExt cx="3733799" cy="2076915"/>
        </a:xfrm>
      </xdr:grpSpPr>
      <mc:AlternateContent xmlns:mc="http://schemas.openxmlformats.org/markup-compatibility/2006" xmlns:a14="http://schemas.microsoft.com/office/drawing/2010/main">
        <mc:Choice Requires="a14">
          <xdr:graphicFrame macro="">
            <xdr:nvGraphicFramePr>
              <xdr:cNvPr id="3" name="Customer 2">
                <a:extLst>
                  <a:ext uri="{FF2B5EF4-FFF2-40B4-BE49-F238E27FC236}">
                    <a16:creationId xmlns="" xmlns:a16="http://schemas.microsoft.com/office/drawing/2014/main" id="{00000000-0008-0000-1200-000003000000}"/>
                  </a:ext>
                </a:extLst>
              </xdr:cNvPr>
              <xdr:cNvGraphicFramePr/>
            </xdr:nvGraphicFramePr>
            <xdr:xfrm>
              <a:off x="0" y="3638550"/>
              <a:ext cx="1809750" cy="2076915"/>
            </xdr:xfrm>
            <a:graphic>
              <a:graphicData uri="http://schemas.microsoft.com/office/drawing/2010/slicer">
                <sle:slicer xmlns:sle="http://schemas.microsoft.com/office/drawing/2010/slicer" name="Customer 2"/>
              </a:graphicData>
            </a:graphic>
          </xdr:graphicFrame>
        </mc:Choice>
        <mc:Fallback xmlns="">
          <xdr:sp macro="" textlink="">
            <xdr:nvSpPr>
              <xdr:cNvPr id="0" name=""/>
              <xdr:cNvSpPr>
                <a:spLocks noTextEdit="1"/>
              </xdr:cNvSpPr>
            </xdr:nvSpPr>
            <xdr:spPr>
              <a:xfrm>
                <a:off x="0" y="3638550"/>
                <a:ext cx="1809750" cy="20769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Status 2">
                <a:extLst>
                  <a:ext uri="{FF2B5EF4-FFF2-40B4-BE49-F238E27FC236}">
                    <a16:creationId xmlns="" xmlns:a16="http://schemas.microsoft.com/office/drawing/2014/main" id="{00000000-0008-0000-1200-000007000000}"/>
                  </a:ext>
                </a:extLst>
              </xdr:cNvPr>
              <xdr:cNvGraphicFramePr/>
            </xdr:nvGraphicFramePr>
            <xdr:xfrm>
              <a:off x="1801210" y="3638550"/>
              <a:ext cx="1932589" cy="207645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1801210" y="3638550"/>
                <a:ext cx="1932589" cy="2076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0</xdr:colOff>
      <xdr:row>13</xdr:row>
      <xdr:rowOff>0</xdr:rowOff>
    </xdr:from>
    <xdr:to>
      <xdr:col>1</xdr:col>
      <xdr:colOff>552449</xdr:colOff>
      <xdr:row>16</xdr:row>
      <xdr:rowOff>114300</xdr:rowOff>
    </xdr:to>
    <xdr:sp macro="[0]!Macro2" textlink="">
      <xdr:nvSpPr>
        <xdr:cNvPr id="9" name="Rounded Rectangle 8">
          <a:extLst>
            <a:ext uri="{FF2B5EF4-FFF2-40B4-BE49-F238E27FC236}">
              <a16:creationId xmlns="" xmlns:a16="http://schemas.microsoft.com/office/drawing/2014/main" id="{00000000-0008-0000-1200-000009000000}"/>
            </a:ext>
          </a:extLst>
        </xdr:cNvPr>
        <xdr:cNvSpPr/>
      </xdr:nvSpPr>
      <xdr:spPr>
        <a:xfrm>
          <a:off x="0" y="2457450"/>
          <a:ext cx="1438274" cy="685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Click to Generate Overdue details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0</xdr:rowOff>
    </xdr:from>
    <xdr:to>
      <xdr:col>2</xdr:col>
      <xdr:colOff>133350</xdr:colOff>
      <xdr:row>3</xdr:row>
      <xdr:rowOff>114300</xdr:rowOff>
    </xdr:to>
    <xdr:sp macro="[0]!Macro2" textlink="">
      <xdr:nvSpPr>
        <xdr:cNvPr id="3" name="Rounded Rectangle 2">
          <a:extLst>
            <a:ext uri="{FF2B5EF4-FFF2-40B4-BE49-F238E27FC236}">
              <a16:creationId xmlns="" xmlns:a16="http://schemas.microsoft.com/office/drawing/2014/main" id="{00000000-0008-0000-1400-000003000000}"/>
            </a:ext>
          </a:extLst>
        </xdr:cNvPr>
        <xdr:cNvSpPr/>
      </xdr:nvSpPr>
      <xdr:spPr>
        <a:xfrm>
          <a:off x="0" y="190500"/>
          <a:ext cx="1352550"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IN" sz="1100" b="1">
              <a:solidFill>
                <a:schemeClr val="lt1"/>
              </a:solidFill>
              <a:effectLst/>
              <a:latin typeface="+mn-lt"/>
              <a:ea typeface="+mn-ea"/>
              <a:cs typeface="+mn-cs"/>
            </a:rPr>
            <a:t>Click to Generate Overdue details</a:t>
          </a:r>
          <a:endParaRPr lang="en-IN">
            <a:effectLst/>
          </a:endParaRPr>
        </a:p>
        <a:p>
          <a:pPr algn="l"/>
          <a:endParaRPr lang="en-IN" sz="1100"/>
        </a:p>
      </xdr:txBody>
    </xdr:sp>
    <xdr:clientData/>
  </xdr:twoCellAnchor>
  <xdr:twoCellAnchor>
    <xdr:from>
      <xdr:col>3</xdr:col>
      <xdr:colOff>0</xdr:colOff>
      <xdr:row>1</xdr:row>
      <xdr:rowOff>0</xdr:rowOff>
    </xdr:from>
    <xdr:to>
      <xdr:col>5</xdr:col>
      <xdr:colOff>9525</xdr:colOff>
      <xdr:row>3</xdr:row>
      <xdr:rowOff>95250</xdr:rowOff>
    </xdr:to>
    <xdr:sp macro="" textlink="">
      <xdr:nvSpPr>
        <xdr:cNvPr id="2" name="Rounded Rectangle 1">
          <a:extLst>
            <a:ext uri="{FF2B5EF4-FFF2-40B4-BE49-F238E27FC236}">
              <a16:creationId xmlns="" xmlns:a16="http://schemas.microsoft.com/office/drawing/2014/main" id="{00000000-0008-0000-1400-000002000000}"/>
            </a:ext>
          </a:extLst>
        </xdr:cNvPr>
        <xdr:cNvSpPr/>
      </xdr:nvSpPr>
      <xdr:spPr>
        <a:xfrm>
          <a:off x="1828800" y="190500"/>
          <a:ext cx="12287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t>Clear Data</a:t>
          </a:r>
          <a:endParaRPr lang="en-IN" sz="1600" b="1"/>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Vishal Sharma" refreshedDate="44699.535440162035" createdVersion="3" refreshedVersion="5" minRefreshableVersion="3" recordCount="345">
  <cacheSource type="worksheet">
    <worksheetSource name="test"/>
  </cacheSource>
  <cacheFields count="39">
    <cacheField name="Ledger Name" numFmtId="0">
      <sharedItems count="39">
        <s v="ARTSANA INDIA PRIVATE LIMITED"/>
        <s v="ARTSANA INDIA PVT LTD- HARYANA"/>
        <s v="ARTSANA INDIA PVT LTD- MUMBAI"/>
        <s v="ARTSANA INDIA PVT LTD-NEW DELHI"/>
        <s v="BHUVNE KUMAR"/>
        <s v="CAVINKARE HO CHENNAI"/>
        <s v="CAVINKARE PRIVATE LIMITED GHAZIABAD"/>
        <s v="CAVINKARE PRIVATE LIMITED HYDERABAD"/>
        <s v="CAVINKARE PRIVATE LIMITED JAIPUR"/>
        <s v="CAVINKARE PRIVATE LIMITED LUCKNOW"/>
        <s v="CAVINKARE PRIVATE LIMITED VIJAYWADA"/>
        <s v="CAVINKARE PRIVATE LTD BANGALORE"/>
        <s v="CAVINKARE PRIVATE LTD CHENNAI"/>
        <s v="CAVINKARE PVT LTD AHMEDABAD"/>
        <s v="CAVINKARE PVT LTD ASSAM"/>
        <s v="CAVINKARE PVT LTD CALCUTTA"/>
        <s v="CAVINKARE PVT LTD CUTTACK"/>
        <s v="CAVINKARE PVT LTD INDORE"/>
        <s v="CAVINKARE PVT LTD MUMBAI"/>
        <s v="CAVINKARE PVT LTD NAGPUR"/>
        <s v="CAVINKARE PVT LTD PATNA"/>
        <s v="CAVINKARE PVT LTD ZIRAKPUR"/>
        <s v="CAVINKARE PVT LTD-PUDUCHERRY"/>
        <s v="CAVINKARE PVT. LTD R &amp; D"/>
        <s v="CAVINKARE PVT. LTD UNIT I"/>
        <s v="CHENNAI STORE"/>
        <s v="DABUR INDIA LIMITED ( KANPUR )"/>
        <s v="DABUR INDIA LIMITED ( VARANASI )"/>
        <s v="DABUR INDIA LIMITED DADRI"/>
        <s v="DABUR INDIA LTD."/>
        <s v="DABUR INDIA LTD.,UNIT-3-SBD"/>
        <s v="DHARAM PRIYA GAUTAM"/>
        <s v="G B KULKARNI"/>
        <s v="GANGOTRI GUEST HOUSE"/>
        <s v="GARDENIA HOTEL"/>
        <s v="GLOBAL TRADE LINKERS"/>
        <s v="HELIOS PACKAGING PVT LTD"/>
        <s v="JYOTHY LABS LIMITED ( FORMERLY KNOWN AS JYOTHY LABORATORIES  LIMITED)"/>
        <s v="JYOTHY LABS LIMITED (FORMERLY KNOWN AS JYOTHY LABORATORIES LTD.),"/>
      </sharedItems>
    </cacheField>
    <cacheField name="Customer" numFmtId="0">
      <sharedItems count="6">
        <s v="Artsana"/>
        <s v="Own Brand"/>
        <s v="Cavinkare"/>
        <s v="Dabur"/>
        <s v="HELIOS "/>
        <s v="JYOTHY"/>
      </sharedItems>
    </cacheField>
    <cacheField name="Credit Period" numFmtId="0">
      <sharedItems containsSemiMixedTypes="0" containsString="0" containsNumber="1" containsInteger="1" minValue="30" maxValue="60"/>
    </cacheField>
    <cacheField name="Due Date" numFmtId="14">
      <sharedItems containsSemiMixedTypes="0" containsNonDate="0" containsDate="1" containsString="0" minDate="1900-02-01T00:00:00" maxDate="2022-07-18T00:00:00" count="125">
        <d v="1900-03-24T00:00:00"/>
        <d v="1900-04-16T00:00:00"/>
        <d v="1900-04-22T00:00:00"/>
        <d v="1900-04-28T00:00:00"/>
        <d v="1900-05-11T00:00:00"/>
        <d v="1900-05-20T00:00:00"/>
        <d v="1900-05-27T00:00:00"/>
        <d v="1900-06-02T00:00:00"/>
        <d v="1901-01-27T00:00:00"/>
        <d v="1900-02-01T00:00:00"/>
        <d v="1900-02-06T00:00:00"/>
        <d v="1900-02-26T00:00:00"/>
        <d v="1900-04-13T00:00:00"/>
        <d v="1900-04-27T00:00:00"/>
        <d v="1900-06-03T00:00:00"/>
        <d v="1900-04-23T00:00:00"/>
        <d v="1900-05-14T00:00:00"/>
        <d v="1901-01-01T00:00:00"/>
        <d v="1900-04-02T00:00:00"/>
        <d v="1900-04-20T00:00:00"/>
        <d v="1900-04-21T00:00:00"/>
        <d v="1900-04-30T00:00:00"/>
        <d v="1900-06-01T00:00:00"/>
        <d v="1900-10-24T00:00:00"/>
        <d v="1900-10-12T00:00:00"/>
        <d v="2022-07-17T00:00:00"/>
        <d v="1900-12-04T00:00:00"/>
        <d v="1900-12-12T00:00:00"/>
        <d v="1900-06-15T00:00:00"/>
        <d v="1900-07-03T00:00:00"/>
        <d v="1900-07-05T00:00:00"/>
        <d v="1900-07-07T00:00:00"/>
        <d v="1900-07-09T00:00:00"/>
        <d v="1900-07-10T00:00:00"/>
        <d v="1900-07-12T00:00:00"/>
        <d v="1900-07-13T00:00:00"/>
        <d v="1900-12-08T00:00:00"/>
        <d v="1901-01-18T00:00:00"/>
        <d v="1900-05-19T00:00:00"/>
        <d v="1900-05-23T00:00:00"/>
        <d v="1900-05-25T00:00:00"/>
        <d v="1900-05-26T00:00:00"/>
        <d v="1900-05-28T00:00:00"/>
        <d v="1900-06-04T00:00:00"/>
        <d v="1900-06-05T00:00:00"/>
        <d v="1900-06-07T00:00:00"/>
        <d v="1900-06-08T00:00:00"/>
        <d v="1900-06-10T00:00:00"/>
        <d v="1900-06-11T00:00:00"/>
        <d v="1900-06-13T00:00:00"/>
        <d v="1900-06-14T00:00:00"/>
        <d v="1900-06-17T00:00:00"/>
        <d v="1900-06-18T00:00:00"/>
        <d v="1900-06-20T00:00:00"/>
        <d v="1900-06-21T00:00:00"/>
        <d v="1900-06-24T00:00:00"/>
        <d v="1900-06-25T00:00:00"/>
        <d v="1900-06-26T00:00:00"/>
        <d v="1900-06-28T00:00:00"/>
        <d v="1900-06-29T00:00:00"/>
        <d v="1900-07-01T00:00:00"/>
        <d v="1900-07-02T00:00:00"/>
        <d v="1900-07-04T00:00:00"/>
        <d v="1900-07-06T00:00:00"/>
        <d v="1900-07-08T00:00:00"/>
        <d v="1900-07-11T00:00:00"/>
        <d v="1900-07-15T00:00:00"/>
        <d v="1900-05-21T00:00:00"/>
        <d v="1900-08-22T00:00:00"/>
        <d v="1900-08-23T00:00:00"/>
        <d v="1900-11-06T00:00:00"/>
        <d v="1900-12-07T00:00:00"/>
        <d v="1900-05-22T00:00:00"/>
        <d v="1900-05-03T00:00:00"/>
        <d v="1900-05-24T00:00:00"/>
        <d v="1901-03-01T00:00:00"/>
        <d v="1900-05-10T00:00:00"/>
        <d v="1900-06-19T00:00:00"/>
        <d v="1900-06-22T00:00:00"/>
        <d v="1900-05-30T00:00:00"/>
        <d v="1900-05-16T00:00:00"/>
        <d v="1900-06-06T00:00:00"/>
        <d v="1900-10-04T00:00:00"/>
        <d v="1901-02-18T00:00:00"/>
        <d v="1900-06-12T00:00:00"/>
        <d v="1901-01-14T00:00:00"/>
        <d v="1901-01-17T00:00:00"/>
        <d v="1901-01-19T00:00:00"/>
        <d v="1901-01-26T00:00:00"/>
        <d v="1901-02-02T00:00:00"/>
        <d v="1901-02-26T00:00:00"/>
        <d v="1900-03-03T00:00:00"/>
        <d v="1900-03-11T00:00:00"/>
        <d v="1900-03-18T00:00:00"/>
        <d v="1901-01-08T00:00:00"/>
        <d v="1900-04-10T00:00:00"/>
        <d v="1900-06-16T00:00:00"/>
        <d v="1900-11-14T00:00:00"/>
        <d v="1901-02-16T00:00:00"/>
        <d v="1900-03-05T00:00:00"/>
        <d v="1900-03-20T00:00:00"/>
        <d v="1900-03-21T00:00:00"/>
        <d v="1901-01-23T00:00:00"/>
        <d v="1900-10-25T00:00:00"/>
        <d v="1900-10-30T00:00:00"/>
        <d v="1900-11-30T00:00:00"/>
        <d v="1900-04-12T00:00:00"/>
        <d v="1900-06-30T00:00:00"/>
        <d v="1900-07-30T00:00:00"/>
        <d v="1900-08-30T00:00:00"/>
        <d v="1900-02-25T00:00:00"/>
        <d v="1900-08-18T00:00:00"/>
        <d v="1900-10-22T00:00:00"/>
        <d v="1900-02-04T00:00:00"/>
        <d v="1900-09-17T00:00:00"/>
        <d v="1900-05-01T00:00:00"/>
        <d v="1900-12-02T00:00:00"/>
        <d v="1900-10-23T00:00:00"/>
        <d v="1900-02-08T00:00:00"/>
        <d v="1900-04-01T00:00:00"/>
        <d v="1900-03-01T00:00:00"/>
        <d v="1900-10-13T00:00:00"/>
        <d v="1900-10-16T00:00:00"/>
        <d v="1900-09-03T00:00:00"/>
        <d v="1901-01-11T00:00:00"/>
      </sharedItems>
    </cacheField>
    <cacheField name="Status" numFmtId="0">
      <sharedItems count="2">
        <s v="Due"/>
        <s v="Outstanding"/>
      </sharedItems>
    </cacheField>
    <cacheField name="Day even after due" numFmtId="0">
      <sharedItems containsSemiMixedTypes="0" containsString="0" containsNumber="1" containsInteger="1" minValue="0" maxValue="44696" count="118">
        <n v="44645"/>
        <n v="44622"/>
        <n v="44616"/>
        <n v="44610"/>
        <n v="44597"/>
        <n v="44588"/>
        <n v="44581"/>
        <n v="44575"/>
        <n v="44336"/>
        <n v="44696"/>
        <n v="44691"/>
        <n v="44671"/>
        <n v="44625"/>
        <n v="44611"/>
        <n v="44574"/>
        <n v="44615"/>
        <n v="44594"/>
        <n v="44362"/>
        <n v="44636"/>
        <n v="44618"/>
        <n v="44617"/>
        <n v="44608"/>
        <n v="44576"/>
        <n v="44431"/>
        <n v="44473"/>
        <n v="0"/>
        <n v="44420"/>
        <n v="44412"/>
        <n v="44592"/>
        <n v="44572"/>
        <n v="44570"/>
        <n v="44568"/>
        <n v="44567"/>
        <n v="44565"/>
        <n v="44564"/>
        <n v="44416"/>
        <n v="44375"/>
        <n v="44619"/>
        <n v="44613"/>
        <n v="44612"/>
        <n v="44605"/>
        <n v="44604"/>
        <n v="44603"/>
        <n v="44602"/>
        <n v="44600"/>
        <n v="44599"/>
        <n v="44596"/>
        <n v="44593"/>
        <n v="44590"/>
        <n v="44589"/>
        <n v="44587"/>
        <n v="44586"/>
        <n v="44583"/>
        <n v="44582"/>
        <n v="44579"/>
        <n v="44578"/>
        <n v="44573"/>
        <n v="44571"/>
        <n v="44569"/>
        <n v="44566"/>
        <n v="44562"/>
        <n v="44524"/>
        <n v="44523"/>
        <n v="44448"/>
        <n v="44417"/>
        <n v="44635"/>
        <n v="44614"/>
        <n v="44333"/>
        <n v="44628"/>
        <n v="44585"/>
        <n v="44606"/>
        <n v="44601"/>
        <n v="44481"/>
        <n v="44344"/>
        <n v="44595"/>
        <n v="44379"/>
        <n v="44376"/>
        <n v="44374"/>
        <n v="44367"/>
        <n v="44360"/>
        <n v="44688"/>
        <n v="44681"/>
        <n v="44385"/>
        <n v="44666"/>
        <n v="44658"/>
        <n v="44652"/>
        <n v="44591"/>
        <n v="44440"/>
        <n v="44346"/>
        <n v="44694"/>
        <n v="44679"/>
        <n v="44678"/>
        <n v="44340"/>
        <n v="44430"/>
        <n v="44425"/>
        <n v="44394"/>
        <n v="44626"/>
        <n v="44547"/>
        <n v="44517"/>
        <n v="44486"/>
        <n v="44672"/>
        <n v="44498"/>
        <n v="44433"/>
        <n v="44693"/>
        <n v="44468"/>
        <n v="44607"/>
        <n v="44392"/>
        <n v="44649"/>
        <n v="44432"/>
        <n v="44689"/>
        <n v="44637"/>
        <n v="44668"/>
        <n v="44442"/>
        <n v="44443"/>
        <n v="44439"/>
        <n v="44557"/>
        <n v="44482"/>
        <n v="44352"/>
      </sharedItems>
    </cacheField>
    <cacheField name="Fund Receipt" numFmtId="0">
      <sharedItems/>
    </cacheField>
    <cacheField name="Price Class" numFmtId="0">
      <sharedItems containsBlank="1"/>
    </cacheField>
    <cacheField name="Sales Area" numFmtId="0">
      <sharedItems/>
    </cacheField>
    <cacheField name="Territory" numFmtId="0">
      <sharedItems/>
    </cacheField>
    <cacheField name="Sub Territory" numFmtId="0">
      <sharedItems containsBlank="1"/>
    </cacheField>
    <cacheField name="City" numFmtId="0">
      <sharedItems/>
    </cacheField>
    <cacheField name="State" numFmtId="0">
      <sharedItems/>
    </cacheField>
    <cacheField name="Group" numFmtId="0">
      <sharedItems/>
    </cacheField>
    <cacheField name="Sub Group" numFmtId="0">
      <sharedItems/>
    </cacheField>
    <cacheField name="Division" numFmtId="0">
      <sharedItems containsNonDate="0" containsString="0" containsBlank="1"/>
    </cacheField>
    <cacheField name="Sub Division" numFmtId="0">
      <sharedItems containsNonDate="0" containsString="0" containsBlank="1"/>
    </cacheField>
    <cacheField name="Sales Person" numFmtId="0">
      <sharedItems/>
    </cacheField>
    <cacheField name="Project No." numFmtId="0">
      <sharedItems containsNonDate="0" containsString="0" containsBlank="1"/>
    </cacheField>
    <cacheField name="Agent" numFmtId="0">
      <sharedItems/>
    </cacheField>
    <cacheField name="Due Date2" numFmtId="14">
      <sharedItems containsSemiMixedTypes="0" containsNonDate="0" containsDate="1" containsString="0" minDate="1900-01-02T00:00:00" maxDate="2022-05-19T00:00:00"/>
    </cacheField>
    <cacheField name="Inv.No." numFmtId="0">
      <sharedItems count="345">
        <s v="ABCD-1862"/>
        <s v="ABCD-1961"/>
        <s v="ABCD-1983"/>
        <s v="ABCD-2017"/>
        <s v="ABCD-2023"/>
        <s v="SI-22223-0041"/>
        <s v="SI-22223-0086"/>
        <s v="SI-22223-0121"/>
        <s v="SI-22223-0140"/>
        <s v="ABCD-1589"/>
        <s v="ABCD-1623"/>
        <s v="ABCD-1653"/>
        <s v="ABCD-1654"/>
        <s v="ABCD-1736"/>
        <s v="ABCD-1949"/>
        <s v="ABCD-1960"/>
        <s v="ABCD-1984"/>
        <s v="ABCD-2016"/>
        <s v="ABCD-2024"/>
        <s v="SI-22223-0040"/>
        <s v="SI-22223-0085"/>
        <s v="SI-22223-0117"/>
        <s v="SI-22223-0152"/>
        <s v="CN22122-0016"/>
        <s v="CN22223-0001"/>
        <s v="DN22122-0062"/>
        <s v="DN22122-0108"/>
        <s v="DN22223-0001"/>
        <s v="ABCD-1901"/>
        <s v="ABCD-1948"/>
        <s v="ABCD-1972"/>
        <s v="ABCD-1977"/>
        <s v="ABCD-1988"/>
        <s v="ABCD-2018"/>
        <s v="ABCD-2035"/>
        <s v="SI-22223-0043"/>
        <s v="SI-22223-0087"/>
        <s v="SI-22223-0114"/>
        <s v="SI-22223-0115"/>
        <s v="SI-22223-0138"/>
        <s v="ABCD-1066"/>
        <s v="DNI22021-0441"/>
        <s v="ABCD-1153"/>
        <s v="ABCD-1966"/>
        <s v="ABCD-1973"/>
        <s v="ABCD-1974"/>
        <s v="ABCD-1989"/>
        <s v="ABCD-1992"/>
        <s v="ABCD-1999"/>
        <s v="ABCD-2007"/>
        <s v="ABCD-2012"/>
        <s v="ABCD-2022"/>
        <s v="ABCD-2025"/>
        <s v="ABCD-2026"/>
        <s v="ABCD-2028"/>
        <s v="SI-22223-0013"/>
        <s v="SI-22223-0015"/>
        <s v="SI-22223-0019"/>
        <s v="SI-22223-0021"/>
        <s v="SI-22223-0030"/>
        <s v="SI-22223-0031"/>
        <s v="SI-22223-0034"/>
        <s v="SI-22223-0046"/>
        <s v="SI-22223-0048"/>
        <s v="SI-22223-0055"/>
        <s v="SI-22223-0059"/>
        <s v="SI-22223-0063"/>
        <s v="SI-22223-0069"/>
        <s v="SI-22223-0077"/>
        <s v="SI-22223-0080"/>
        <s v="SI-22223-0081"/>
        <s v="SI-22223-0089"/>
        <s v="SI-22223-0107"/>
        <s v="SI-22223-0118"/>
        <s v="SI-22223-0122"/>
        <s v="SI-22223-0130"/>
        <s v="SI-22223-0139"/>
        <s v="SI-22223-0143"/>
        <s v="SI-22223-0157"/>
        <s v="SI-22223-0172"/>
        <s v="SI-22223-0180"/>
        <s v="SI-22223-0219"/>
        <s v="ABCD-1124"/>
        <s v="ABCD-1185"/>
        <s v="SI-22223-0071"/>
        <s v="SI-22223-0150"/>
        <s v="SI-22223-0151"/>
        <s v="SI-22223-0153"/>
        <s v="SI-22223-0162"/>
        <s v="SI-22223-0163"/>
        <s v="SI-22223-0168"/>
        <s v="SI-22223-0177"/>
        <s v="SI-22223-0188"/>
        <s v="SI-22223-0191"/>
        <s v="SI-22223-0201"/>
        <s v="SI-22223-0202"/>
        <s v="SI-22223-0211"/>
        <s v="ABCD-1151"/>
        <s v="ABCD-1388"/>
        <s v="ABCD-1964"/>
        <s v="ABCD-1971"/>
        <s v="ABCD-1986"/>
        <s v="ABCD-1996"/>
        <s v="ABCD-2006"/>
        <s v="ABCD-2010"/>
        <s v="ABCD-2021"/>
        <s v="SI-22223-0007"/>
        <s v="SI-22223-0011"/>
        <s v="SI-22223-0020"/>
        <s v="SI-22223-0022"/>
        <s v="SI-22223-0029"/>
        <s v="SI-22223-0032"/>
        <s v="SI-22223-0042"/>
        <s v="SI-22223-0045"/>
        <s v="SI-22223-0058"/>
        <s v="SI-22223-0065"/>
        <s v="SI-22223-0068"/>
        <s v="SI-22223-0074"/>
        <s v="SI-22223-0082"/>
        <s v="SI-22223-0094"/>
        <s v="SI-22223-0096"/>
        <s v="SI-22223-0104"/>
        <s v="SI-22223-0112"/>
        <s v="SI-22223-0120"/>
        <s v="SI-22223-0124"/>
        <s v="SI-22223-0132"/>
        <s v="SI-22223-0136"/>
        <s v="SI-22223-0141"/>
        <s v="SI-22223-0160"/>
        <s v="SI-22223-0171"/>
        <s v="SI-22223-0181"/>
        <s v="SI-22223-0194"/>
        <s v="SI-22223-0197"/>
        <s v="SI-22223-0218"/>
        <s v="ABCD-1975"/>
        <s v="ABCD-1990"/>
        <s v="ABCD-1995"/>
        <s v="ABCD-1997"/>
        <s v="ABCD-2004"/>
        <s v="ABCD-2015"/>
        <s v="ABCD-2020"/>
        <s v="SI-22223-0006"/>
        <s v="SI-22223-0008"/>
        <s v="SI-22223-0036"/>
        <s v="SI-22223-0062"/>
        <s v="SI-22223-0070"/>
        <s v="SI-22223-0092"/>
        <s v="SI-22223-0119"/>
        <s v="SI-22223-0142"/>
        <s v="SI-22223-0217"/>
        <s v="CN22021-0003"/>
        <s v="CN22021-0004"/>
        <s v="CN22021-0005"/>
        <s v="DN22122-0032"/>
        <s v="ABCD-1147"/>
        <s v="ABCD-1982"/>
        <s v="SI-22223-0095"/>
        <s v="SI-22223-0148"/>
        <s v="SI-22223-0149"/>
        <s v="SI-22223-0164"/>
        <s v="SI-22223-0165"/>
        <s v="SI-22223-0170"/>
        <s v="SI-22223-0178"/>
        <s v="SI-22223-0182"/>
        <s v="SI-22223-0183"/>
        <s v="SI-22223-0189"/>
        <s v="SI-22223-0190"/>
        <s v="SI-22223-0199"/>
        <s v="SI-22223-0204"/>
        <s v="SI-22223-0210"/>
        <s v="ABCD-1903"/>
        <s v="ABCD-1993"/>
        <s v="SI-22223-0109"/>
        <s v="SI-22223-0166"/>
        <s v="SI-22223-0184"/>
        <s v="ABCD-1144"/>
        <s v="ABCD-1612"/>
        <s v="ABCD-1866"/>
        <s v="ABCD-1936"/>
        <s v="ABCD-1967"/>
        <s v="ABCD-2009"/>
        <s v="SI-22223-0047"/>
        <s v="SI-22223-0090"/>
        <s v="SI-22223-0103"/>
        <s v="SI-22223-0133"/>
        <s v="SI-22223-0185"/>
        <s v="SI-22021-0107"/>
        <s v="ABCD-1149"/>
        <s v="ABCD-1970"/>
        <s v="ABCD-1987"/>
        <s v="ABCD-1998"/>
        <s v="SI-22223-0004"/>
        <s v="SI-22223-0009"/>
        <s v="SI-22223-0024"/>
        <s v="SI-22223-0033"/>
        <s v="SI-22223-0039"/>
        <s v="SI-22223-0060"/>
        <s v="SI-22223-0076"/>
        <s v="SI-22223-0091"/>
        <s v="SI-22223-0099"/>
        <s v="SI-22223-0129"/>
        <s v="SI-22223-0137"/>
        <s v="SI-22223-0158"/>
        <s v="SI-22223-0192"/>
        <s v="SI-22223-0207"/>
        <s v="SI-22223-0215"/>
        <s v="SI-22223-0125"/>
        <s v="SI-22223-0193"/>
        <s v="CNI22021-1608"/>
        <s v="SI-22223-0050"/>
        <s v="ABCD-1959"/>
        <s v="SI-22223-0025"/>
        <s v="SI-22223-0078"/>
        <s v="SI-22223-0102"/>
        <s v="SI-22223-0159"/>
        <s v="DN22122-0027"/>
        <s v="ABCD-1557"/>
        <s v="ABCD-1979"/>
        <s v="ABCD-2002"/>
        <s v="ABCD-2011"/>
        <s v="SI-22223-0018"/>
        <s v="SI-22223-0054"/>
        <s v="SI-22223-0088"/>
        <s v="SI-22223-0131"/>
        <s v="SI-22223-0169"/>
        <s v="SI-22223-0175"/>
        <s v="SI-22223-0186"/>
        <s v="SI-22223-0214"/>
        <s v="ABCD-1143"/>
        <s v="ABCD-1159"/>
        <s v="ABCD-1354"/>
        <s v="ABCD-1379"/>
        <s v="ABCD-1393"/>
        <s v="ABCD-1434"/>
        <s v="ABCD-1475"/>
        <s v="ABCD-1592"/>
        <s v="ABCD-1627"/>
        <s v="ABCD-1660"/>
        <s v="ABCD-1689"/>
        <s v="ABCD-1962"/>
        <s v="ABCD-1981"/>
        <s v="SI-22223-0001"/>
        <s v="SI-22223-0026"/>
        <s v="SI-22223-0056"/>
        <s v="SI-22223-0075"/>
        <s v="SI-22223-0093"/>
        <s v="SI-22223-0123"/>
        <s v="SI-22223-0144"/>
        <s v="SI-22223-0187"/>
        <s v="SI-22223-0208"/>
        <s v="PYR22021-1231"/>
        <s v="PYR22021-1830"/>
        <s v="PYR22021-1871"/>
        <s v="PYR22021-1909"/>
        <s v="ABCD-1958"/>
        <s v="ABCD-1985"/>
        <s v="ABCD-2000"/>
        <s v="ABCD-2001"/>
        <s v="ABCD-2005"/>
        <s v="SI-22223-0003"/>
        <s v="SI-22223-0005"/>
        <s v="SI-22223-0051"/>
        <s v="SI-22223-0072"/>
        <s v="SI-22223-0098"/>
        <s v="SI-22223-0101"/>
        <s v="SI-22223-0111"/>
        <s v="SI-22223-0135"/>
        <s v="SI-22223-0196"/>
        <s v="ABCD-1963"/>
        <s v="ABCD-1991"/>
        <s v="SI-22223-0023"/>
        <s v="SI-22223-0057"/>
        <s v="SI-22223-0100"/>
        <s v="SI-22223-0198"/>
        <s v="SI-22223-0213"/>
        <s v="DNI22122-1007"/>
        <s v="ABCD-1976"/>
        <s v="ABCD-2003"/>
        <s v="SI-22223-0049"/>
        <s v="SI-22223-0083"/>
        <s v="SI-22223-0110"/>
        <s v="SI-22223-0167"/>
        <s v="ABCD-1543"/>
        <s v="PYR22122-0046"/>
        <s v="DN22122-0013"/>
        <s v="DN22122-0075"/>
        <s v="DN22122-0078"/>
        <s v="DN22122-0079"/>
        <s v="DN22122-0109"/>
        <s v="DN22223-0005"/>
        <s v="ABCD-1978"/>
        <s v="ABCD-1980"/>
        <s v="SI-22223-0128"/>
        <s v="SI-22021-1647"/>
        <s v="CN22021-0024"/>
        <s v="CN22021-0025"/>
        <s v="CN22021-0029"/>
        <s v="DN22122-0104"/>
        <s v="DN22122-0105"/>
        <s v="DN22122-0106"/>
        <s v="DN22122-0107"/>
        <s v="DN22223-0006"/>
        <s v="SI-22021-1370"/>
        <s v="SI-22021-2031"/>
        <s v="ABCD-1860"/>
        <s v="SI-22223-0084"/>
        <s v="SI-22223-0173"/>
        <s v="DNT22122-0006"/>
        <s v="DNT22122-0011"/>
        <s v="DNT22122-0017"/>
        <s v="CN22021-0023"/>
        <s v="SI-22223-0174"/>
        <s v="CN22021-0022"/>
        <s v="CN22021-0026"/>
        <s v="SI-22223-0200"/>
        <s v="SI-22223-0203"/>
        <s v="SI-22223-0209"/>
        <s v="SI-22021-1808"/>
        <s v="ABCD-0596"/>
        <s v="SI-22223-0134"/>
        <s v="SI-22021-1139"/>
        <s v="SI-22021-1716"/>
        <s v="ABCD-0800"/>
        <s v="ABCD-1102"/>
        <s v="SI-22223-0002"/>
        <s v="SI-22021-1650"/>
        <s v="ABCD-1310"/>
        <s v="ABCD-1845"/>
        <s v="ABCD-2029"/>
        <s v="ABCD-1055"/>
        <s v="ABCD-1658"/>
        <s v="ABCD-1892"/>
        <s v="ABCD-2032"/>
        <s v="CN22122-0015"/>
        <s v="ABCD-0984"/>
        <s v="SI-21920-0860"/>
        <s v="SI-21920-0861"/>
        <s v="SI-21920-0876"/>
        <s v="SI-21920-0877"/>
        <s v="CNI21920-1239"/>
        <s v="DNI22021-1476"/>
        <s v="PYR22021-0176"/>
        <s v="PYR22021-0500"/>
        <s v="SI-22021-1587"/>
        <s v="CNI22021-1499"/>
      </sharedItems>
    </cacheField>
    <cacheField name="Inv.Date" numFmtId="14">
      <sharedItems containsSemiMixedTypes="0" containsNonDate="0" containsDate="1" containsString="0" minDate="1900-01-02T00:00:00" maxDate="2022-05-19T00:00:00" count="118">
        <d v="1900-02-22T00:00:00"/>
        <d v="1900-03-17T00:00:00"/>
        <d v="1900-03-23T00:00:00"/>
        <d v="1900-03-29T00:00:00"/>
        <d v="1900-04-11T00:00:00"/>
        <d v="1900-04-20T00:00:00"/>
        <d v="1900-04-27T00:00:00"/>
        <d v="1900-05-03T00:00:00"/>
        <d v="1900-12-28T00:00:00"/>
        <d v="1900-01-02T00:00:00"/>
        <d v="1900-01-07T00:00:00"/>
        <d v="1900-01-27T00:00:00"/>
        <d v="1900-03-14T00:00:00"/>
        <d v="1900-03-28T00:00:00"/>
        <d v="1900-05-04T00:00:00"/>
        <d v="1900-03-24T00:00:00"/>
        <d v="1900-04-14T00:00:00"/>
        <d v="1900-12-02T00:00:00"/>
        <d v="1900-03-03T00:00:00"/>
        <d v="1900-03-21T00:00:00"/>
        <d v="1900-03-22T00:00:00"/>
        <d v="1900-03-31T00:00:00"/>
        <d v="1900-05-02T00:00:00"/>
        <d v="1900-09-24T00:00:00"/>
        <d v="1900-08-13T00:00:00"/>
        <d v="2022-05-18T00:00:00"/>
        <d v="1900-10-05T00:00:00"/>
        <d v="1900-10-13T00:00:00"/>
        <d v="1900-04-16T00:00:00"/>
        <d v="1900-05-06T00:00:00"/>
        <d v="1900-05-08T00:00:00"/>
        <d v="1900-05-10T00:00:00"/>
        <d v="1900-05-11T00:00:00"/>
        <d v="1900-05-13T00:00:00"/>
        <d v="1900-05-14T00:00:00"/>
        <d v="1900-10-09T00:00:00"/>
        <d v="1900-11-19T00:00:00"/>
        <d v="1900-03-20T00:00:00"/>
        <d v="1900-03-26T00:00:00"/>
        <d v="1900-03-27T00:00:00"/>
        <d v="1900-04-03T00:00:00"/>
        <d v="1900-04-04T00:00:00"/>
        <d v="1900-04-05T00:00:00"/>
        <d v="1900-04-06T00:00:00"/>
        <d v="1900-04-08T00:00:00"/>
        <d v="1900-04-09T00:00:00"/>
        <d v="1900-04-12T00:00:00"/>
        <d v="1900-04-15T00:00:00"/>
        <d v="1900-04-18T00:00:00"/>
        <d v="1900-04-19T00:00:00"/>
        <d v="1900-04-21T00:00:00"/>
        <d v="1900-04-22T00:00:00"/>
        <d v="1900-04-25T00:00:00"/>
        <d v="1900-04-26T00:00:00"/>
        <d v="1900-04-29T00:00:00"/>
        <d v="1900-04-30T00:00:00"/>
        <d v="1900-05-05T00:00:00"/>
        <d v="1900-05-07T00:00:00"/>
        <d v="1900-05-09T00:00:00"/>
        <d v="1900-05-12T00:00:00"/>
        <d v="1900-05-16T00:00:00"/>
        <d v="1900-06-23T00:00:00"/>
        <d v="1900-06-24T00:00:00"/>
        <d v="1900-09-07T00:00:00"/>
        <d v="1900-10-08T00:00:00"/>
        <d v="1900-03-04T00:00:00"/>
        <d v="1900-03-25T00:00:00"/>
        <d v="1900-12-31T00:00:00"/>
        <d v="1900-03-11T00:00:00"/>
        <d v="1900-04-23T00:00:00"/>
        <d v="1900-04-02T00:00:00"/>
        <d v="1900-04-07T00:00:00"/>
        <d v="1900-08-05T00:00:00"/>
        <d v="1900-12-20T00:00:00"/>
        <d v="1900-04-13T00:00:00"/>
        <d v="1900-11-15T00:00:00"/>
        <d v="1900-11-18T00:00:00"/>
        <d v="1900-11-20T00:00:00"/>
        <d v="1900-11-27T00:00:00"/>
        <d v="1900-12-04T00:00:00"/>
        <d v="1900-01-10T00:00:00"/>
        <d v="1900-01-17T00:00:00"/>
        <d v="1900-11-09T00:00:00"/>
        <d v="1900-02-01T00:00:00"/>
        <d v="1900-02-09T00:00:00"/>
        <d v="1900-02-15T00:00:00"/>
        <d v="1900-04-17T00:00:00"/>
        <d v="1900-09-15T00:00:00"/>
        <d v="1900-12-18T00:00:00"/>
        <d v="1900-01-04T00:00:00"/>
        <d v="1900-01-19T00:00:00"/>
        <d v="1900-01-20T00:00:00"/>
        <d v="1900-12-24T00:00:00"/>
        <d v="1900-09-25T00:00:00"/>
        <d v="1900-09-30T00:00:00"/>
        <d v="1900-10-31T00:00:00"/>
        <d v="1900-03-13T00:00:00"/>
        <d v="1900-05-31T00:00:00"/>
        <d v="1900-06-30T00:00:00"/>
        <d v="1900-07-31T00:00:00"/>
        <d v="1900-01-26T00:00:00"/>
        <d v="1900-07-19T00:00:00"/>
        <d v="1900-09-22T00:00:00"/>
        <d v="1900-01-05T00:00:00"/>
        <d v="1900-08-18T00:00:00"/>
        <d v="1900-04-01T00:00:00"/>
        <d v="1900-11-02T00:00:00"/>
        <d v="1900-02-18T00:00:00"/>
        <d v="1900-09-23T00:00:00"/>
        <d v="1900-01-09T00:00:00"/>
        <d v="1900-03-02T00:00:00"/>
        <d v="1900-01-30T00:00:00"/>
        <d v="1900-09-13T00:00:00"/>
        <d v="1900-09-12T00:00:00"/>
        <d v="1900-09-16T00:00:00"/>
        <d v="1900-05-21T00:00:00"/>
        <d v="1900-08-04T00:00:00"/>
        <d v="1900-12-12T00:00:00"/>
      </sharedItems>
    </cacheField>
    <cacheField name="Cur" numFmtId="0">
      <sharedItems/>
    </cacheField>
    <cacheField name="Ex.Rate" numFmtId="0">
      <sharedItems containsSemiMixedTypes="0" containsString="0" containsNumber="1" containsInteger="1" minValue="1" maxValue="1"/>
    </cacheField>
    <cacheField name="Narration" numFmtId="0">
      <sharedItems/>
    </cacheField>
    <cacheField name="Cr. Days" numFmtId="0">
      <sharedItems containsNonDate="0" containsString="0" containsBlank="1"/>
    </cacheField>
    <cacheField name="Aging Days" numFmtId="0">
      <sharedItems containsSemiMixedTypes="0" containsString="0" containsNumber="1" containsInteger="1" minValue="0" maxValue="977"/>
    </cacheField>
    <cacheField name="Acct.Type." numFmtId="0">
      <sharedItems/>
    </cacheField>
    <cacheField name="Cust.GRN Date" numFmtId="0">
      <sharedItems containsDate="1" containsBlank="1" containsMixedTypes="1" minDate="1900-01-02T00:00:00" maxDate="2022-05-19T00:00:00"/>
    </cacheField>
    <cacheField name="Cust.Ref.No" numFmtId="0">
      <sharedItems containsBlank="1" containsMixedTypes="1" containsNumber="1" containsInteger="1" minValue="1" maxValue="1"/>
    </cacheField>
    <cacheField name="SAP DO No." numFmtId="0">
      <sharedItems containsNonDate="0" containsString="0" containsBlank="1"/>
    </cacheField>
    <cacheField name="Inv.Amt" numFmtId="0">
      <sharedItems containsSemiMixedTypes="0" containsString="0" containsNumber="1" containsInteger="1" minValue="1000000" maxValue="1000000"/>
    </cacheField>
    <cacheField name="Due Amount" numFmtId="0">
      <sharedItems containsSemiMixedTypes="0" containsString="0" containsNumber="1" containsInteger="1" minValue="1000000" maxValue="1000000"/>
    </cacheField>
    <cacheField name="CURRENT" numFmtId="0">
      <sharedItems containsSemiMixedTypes="0" containsString="0" containsNumber="1" containsInteger="1" minValue="0" maxValue="1142385"/>
    </cacheField>
    <cacheField name="ABOVE" numFmtId="0">
      <sharedItems containsSemiMixedTypes="0" containsString="0" containsNumber="1" containsInteger="1" minValue="1000000" maxValue="1000000"/>
    </cacheField>
    <cacheField name="On Account" numFmtId="0">
      <sharedItems containsSemiMixedTypes="0" containsString="0" containsNumber="1" minValue="-1546326.06" maxValue="0"/>
    </cacheField>
    <cacheField name="TOTAL" numFmtId="0">
      <sharedItems containsSemiMixedTypes="0" containsString="0" containsNumber="1" containsInteger="1" minValue="1000000" maxValue="1000000"/>
    </cacheField>
    <cacheField name="Cust.Po.No" numFmtId="0">
      <sharedItems containsNonDate="0" containsString="0" containsBlank="1"/>
    </cacheField>
  </cacheFields>
  <extLst>
    <ext xmlns:x14="http://schemas.microsoft.com/office/spreadsheetml/2009/9/main" uri="{725AE2AE-9491-48be-B2B4-4EB974FC3084}">
      <x14:pivotCacheDefinition pivotCacheId="1442358304"/>
    </ext>
  </extLst>
</pivotCacheDefinition>
</file>

<file path=xl/pivotCache/pivotCacheDefinition2.xml><?xml version="1.0" encoding="utf-8"?>
<pivotCacheDefinition xmlns="http://schemas.openxmlformats.org/spreadsheetml/2006/main" xmlns:r="http://schemas.openxmlformats.org/officeDocument/2006/relationships" saveData="0" refreshedBy="Vishal Sharma" refreshedDate="44699.535440740743" createdVersion="3" refreshedVersion="5" minRefreshableVersion="3" recordCount="345">
  <cacheSource type="worksheet">
    <worksheetSource name="test"/>
  </cacheSource>
  <cacheFields count="39">
    <cacheField name="Ledger Name" numFmtId="0">
      <sharedItems/>
    </cacheField>
    <cacheField name="Customer" numFmtId="0">
      <sharedItems count="6">
        <s v="Artsana"/>
        <s v="Own Brand"/>
        <s v="Cavinkare"/>
        <s v="Dabur"/>
        <s v="HELIOS "/>
        <s v="JYOTHY"/>
      </sharedItems>
    </cacheField>
    <cacheField name="Credit Period" numFmtId="0">
      <sharedItems containsSemiMixedTypes="0" containsString="0" containsNumber="1" containsInteger="1" minValue="30" maxValue="60" count="2">
        <n v="30"/>
        <n v="60"/>
      </sharedItems>
    </cacheField>
    <cacheField name="Due Date" numFmtId="14">
      <sharedItems containsSemiMixedTypes="0" containsNonDate="0" containsDate="1" containsString="0" minDate="1900-02-01T00:00:00" maxDate="2022-07-18T00:00:00"/>
    </cacheField>
    <cacheField name="Status" numFmtId="0">
      <sharedItems count="2">
        <s v="Due"/>
        <s v="Outstanding"/>
      </sharedItems>
    </cacheField>
    <cacheField name="Day even after due" numFmtId="0">
      <sharedItems containsSemiMixedTypes="0" containsString="0" containsNumber="1" containsInteger="1" minValue="0" maxValue="44696"/>
    </cacheField>
    <cacheField name="Fund Receipt" numFmtId="0">
      <sharedItems count="2">
        <e v="#N/A"/>
        <s v="Due on Today"/>
      </sharedItems>
    </cacheField>
    <cacheField name="Price Class" numFmtId="0">
      <sharedItems containsBlank="1"/>
    </cacheField>
    <cacheField name="Sales Area" numFmtId="0">
      <sharedItems/>
    </cacheField>
    <cacheField name="Territory" numFmtId="0">
      <sharedItems/>
    </cacheField>
    <cacheField name="Sub Territory" numFmtId="0">
      <sharedItems containsBlank="1"/>
    </cacheField>
    <cacheField name="City" numFmtId="0">
      <sharedItems/>
    </cacheField>
    <cacheField name="State" numFmtId="0">
      <sharedItems/>
    </cacheField>
    <cacheField name="Group" numFmtId="0">
      <sharedItems/>
    </cacheField>
    <cacheField name="Sub Group" numFmtId="0">
      <sharedItems/>
    </cacheField>
    <cacheField name="Division" numFmtId="0">
      <sharedItems containsNonDate="0" containsString="0" containsBlank="1"/>
    </cacheField>
    <cacheField name="Sub Division" numFmtId="0">
      <sharedItems containsNonDate="0" containsString="0" containsBlank="1"/>
    </cacheField>
    <cacheField name="Sales Person" numFmtId="0">
      <sharedItems/>
    </cacheField>
    <cacheField name="Project No." numFmtId="0">
      <sharedItems containsNonDate="0" containsString="0" containsBlank="1"/>
    </cacheField>
    <cacheField name="Agent" numFmtId="0">
      <sharedItems/>
    </cacheField>
    <cacheField name="Due Date2" numFmtId="14">
      <sharedItems containsSemiMixedTypes="0" containsNonDate="0" containsDate="1" containsString="0" minDate="1900-01-02T00:00:00" maxDate="2022-05-19T00:00:00"/>
    </cacheField>
    <cacheField name="Inv.No." numFmtId="0">
      <sharedItems/>
    </cacheField>
    <cacheField name="Inv.Date" numFmtId="14">
      <sharedItems containsSemiMixedTypes="0" containsNonDate="0" containsDate="1" containsString="0" minDate="1900-01-02T00:00:00" maxDate="2022-05-19T00:00:00"/>
    </cacheField>
    <cacheField name="Cur" numFmtId="0">
      <sharedItems/>
    </cacheField>
    <cacheField name="Ex.Rate" numFmtId="0">
      <sharedItems containsSemiMixedTypes="0" containsString="0" containsNumber="1" containsInteger="1" minValue="1" maxValue="1"/>
    </cacheField>
    <cacheField name="Narration" numFmtId="0">
      <sharedItems/>
    </cacheField>
    <cacheField name="Cr. Days" numFmtId="0">
      <sharedItems containsNonDate="0" containsString="0" containsBlank="1"/>
    </cacheField>
    <cacheField name="Aging Days" numFmtId="0">
      <sharedItems containsSemiMixedTypes="0" containsString="0" containsNumber="1" containsInteger="1" minValue="0" maxValue="977"/>
    </cacheField>
    <cacheField name="Acct.Type." numFmtId="0">
      <sharedItems/>
    </cacheField>
    <cacheField name="Cust.GRN Date" numFmtId="0">
      <sharedItems containsDate="1" containsBlank="1" containsMixedTypes="1" minDate="1900-01-02T00:00:00" maxDate="2022-05-19T00:00:00"/>
    </cacheField>
    <cacheField name="Cust.Ref.No" numFmtId="0">
      <sharedItems containsBlank="1" containsMixedTypes="1" containsNumber="1" containsInteger="1" minValue="1" maxValue="1"/>
    </cacheField>
    <cacheField name="SAP DO No." numFmtId="0">
      <sharedItems containsNonDate="0" containsString="0" containsBlank="1"/>
    </cacheField>
    <cacheField name="Inv.Amt" numFmtId="0">
      <sharedItems containsSemiMixedTypes="0" containsString="0" containsNumber="1" containsInteger="1" minValue="1000000" maxValue="1000000"/>
    </cacheField>
    <cacheField name="Due Amount" numFmtId="0">
      <sharedItems containsSemiMixedTypes="0" containsString="0" containsNumber="1" containsInteger="1" minValue="1000000" maxValue="1000000"/>
    </cacheField>
    <cacheField name="CURRENT" numFmtId="0">
      <sharedItems containsSemiMixedTypes="0" containsString="0" containsNumber="1" containsInteger="1" minValue="0" maxValue="1142385"/>
    </cacheField>
    <cacheField name="ABOVE" numFmtId="0">
      <sharedItems containsSemiMixedTypes="0" containsString="0" containsNumber="1" containsInteger="1" minValue="1000000" maxValue="1000000"/>
    </cacheField>
    <cacheField name="On Account" numFmtId="0">
      <sharedItems containsSemiMixedTypes="0" containsString="0" containsNumber="1" minValue="-1546326.06" maxValue="0"/>
    </cacheField>
    <cacheField name="TOTAL" numFmtId="0">
      <sharedItems containsSemiMixedTypes="0" containsString="0" containsNumber="1" containsInteger="1" minValue="1000000" maxValue="1000000"/>
    </cacheField>
    <cacheField name="Cust.Po.No" numFmtId="0">
      <sharedItems containsNonDate="0" containsString="0" containsBlank="1"/>
    </cacheField>
  </cacheFields>
  <extLst>
    <ext xmlns:x14="http://schemas.microsoft.com/office/spreadsheetml/2009/9/main" uri="{725AE2AE-9491-48be-B2B4-4EB974FC3084}">
      <x14:pivotCacheDefinition pivotCacheId="1442358305"/>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84" applyNumberFormats="0" applyBorderFormats="0" applyFontFormats="0" applyPatternFormats="0" applyAlignmentFormats="0" applyWidthHeightFormats="1" dataCaption="Values" updatedVersion="5" minRefreshableVersion="3" showDrill="0" useAutoFormatting="1" itemPrintTitles="1" createdVersion="5" indent="0" compact="0" compactData="0" gridDropZones="1" multipleFieldFilters="0">
  <location ref="A11:H358" firstHeaderRow="2" firstDataRow="2" firstDataCol="7"/>
  <pivotFields count="39">
    <pivotField axis="axisRow" compact="0" outline="0" showAll="0" defaultSubtotal="0">
      <items count="39">
        <item x="3"/>
        <item x="5"/>
        <item x="6"/>
        <item x="7"/>
        <item x="8"/>
        <item x="9"/>
        <item x="10"/>
        <item x="11"/>
        <item x="12"/>
        <item x="13"/>
        <item x="14"/>
        <item x="17"/>
        <item x="18"/>
        <item x="19"/>
        <item x="20"/>
        <item x="21"/>
        <item x="22"/>
        <item x="26"/>
        <item x="27"/>
        <item x="28"/>
        <item x="37"/>
        <item x="25"/>
        <item x="31"/>
        <item x="33"/>
        <item x="38"/>
        <item x="24"/>
        <item x="23"/>
        <item x="29"/>
        <item x="36"/>
        <item x="1"/>
        <item x="4"/>
        <item x="34"/>
        <item x="0"/>
        <item x="35"/>
        <item x="2"/>
        <item x="16"/>
        <item x="32"/>
        <item x="15"/>
        <item x="30"/>
      </items>
      <extLst>
        <ext xmlns:x14="http://schemas.microsoft.com/office/spreadsheetml/2009/9/main" uri="{2946ED86-A175-432a-8AC1-64E0C546D7DE}">
          <x14:pivotField fillDownLabels="1"/>
        </ext>
      </extLst>
    </pivotField>
    <pivotField name="Customer" axis="axisRow" compact="0" outline="0" showAll="0" defaultSubtotal="0">
      <items count="6">
        <item x="0"/>
        <item x="2"/>
        <item x="3"/>
        <item x="5"/>
        <item x="1"/>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5" outline="0" showAll="0" defaultSubtotal="0">
      <items count="125">
        <item x="0"/>
        <item x="1"/>
        <item x="2"/>
        <item x="3"/>
        <item x="4"/>
        <item x="5"/>
        <item x="6"/>
        <item x="7"/>
        <item x="8"/>
        <item x="9"/>
        <item x="10"/>
        <item x="11"/>
        <item x="12"/>
        <item x="13"/>
        <item x="14"/>
        <item x="15"/>
        <item x="16"/>
        <item x="17"/>
        <item x="18"/>
        <item x="19"/>
        <item x="20"/>
        <item x="21"/>
        <item x="22"/>
        <item x="23"/>
        <item x="24"/>
        <item x="36"/>
        <item x="38"/>
        <item x="67"/>
        <item x="39"/>
        <item x="74"/>
        <item x="40"/>
        <item x="41"/>
        <item x="42"/>
        <item x="43"/>
        <item x="44"/>
        <item x="45"/>
        <item x="46"/>
        <item x="48"/>
        <item x="84"/>
        <item x="49"/>
        <item x="50"/>
        <item x="28"/>
        <item x="51"/>
        <item x="52"/>
        <item x="77"/>
        <item x="55"/>
        <item x="57"/>
        <item x="58"/>
        <item x="59"/>
        <item x="60"/>
        <item x="61"/>
        <item x="62"/>
        <item x="63"/>
        <item x="64"/>
        <item x="66"/>
        <item x="26"/>
        <item x="27"/>
        <item x="29"/>
        <item x="30"/>
        <item x="31"/>
        <item x="32"/>
        <item x="33"/>
        <item x="34"/>
        <item x="35"/>
        <item x="37"/>
        <item x="47"/>
        <item x="53"/>
        <item x="54"/>
        <item x="56"/>
        <item x="65"/>
        <item x="68"/>
        <item x="69"/>
        <item x="70"/>
        <item x="71"/>
        <item x="72"/>
        <item x="73"/>
        <item x="75"/>
        <item x="76"/>
        <item x="78"/>
        <item x="79"/>
        <item x="80"/>
        <item x="81"/>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25"/>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name="Overdue days" axis="axisRow" compact="0" outline="0" showAll="0" defaultSubtotal="0">
      <items count="118">
        <item x="0"/>
        <item x="1"/>
        <item x="2"/>
        <item x="3"/>
        <item x="4"/>
        <item x="5"/>
        <item x="6"/>
        <item x="7"/>
        <item x="8"/>
        <item x="9"/>
        <item x="10"/>
        <item x="11"/>
        <item x="12"/>
        <item x="13"/>
        <item x="14"/>
        <item x="15"/>
        <item x="16"/>
        <item x="17"/>
        <item x="18"/>
        <item x="19"/>
        <item x="20"/>
        <item x="21"/>
        <item x="22"/>
        <item x="23"/>
        <item x="24"/>
        <item x="35"/>
        <item x="37"/>
        <item x="66"/>
        <item x="38"/>
        <item x="39"/>
        <item x="41"/>
        <item x="42"/>
        <item x="43"/>
        <item x="44"/>
        <item x="45"/>
        <item x="46"/>
        <item x="74"/>
        <item x="47"/>
        <item x="28"/>
        <item x="48"/>
        <item x="49"/>
        <item x="52"/>
        <item x="54"/>
        <item x="55"/>
        <item x="56"/>
        <item x="57"/>
        <item x="58"/>
        <item x="60"/>
        <item x="26"/>
        <item x="27"/>
        <item x="29"/>
        <item x="30"/>
        <item x="31"/>
        <item x="32"/>
        <item x="33"/>
        <item x="34"/>
        <item x="36"/>
        <item x="40"/>
        <item x="50"/>
        <item x="51"/>
        <item x="53"/>
        <item x="59"/>
        <item x="61"/>
        <item x="62"/>
        <item x="63"/>
        <item x="64"/>
        <item x="65"/>
        <item x="67"/>
        <item x="68"/>
        <item x="69"/>
        <item x="70"/>
        <item x="71"/>
        <item x="72"/>
        <item x="73"/>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2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45">
        <item x="150"/>
        <item x="151"/>
        <item x="152"/>
        <item x="339"/>
        <item x="341"/>
        <item x="335"/>
        <item x="336"/>
        <item x="337"/>
        <item x="338"/>
        <item x="186"/>
        <item x="41"/>
        <item x="250"/>
        <item x="293"/>
        <item x="294"/>
        <item x="295"/>
        <item x="296"/>
        <item x="302"/>
        <item x="310"/>
        <item x="312"/>
        <item x="313"/>
        <item x="320"/>
        <item x="325"/>
        <item x="342"/>
        <item x="343"/>
        <item x="153"/>
        <item x="208"/>
        <item x="215"/>
        <item x="251"/>
        <item x="252"/>
        <item x="253"/>
        <item x="275"/>
        <item x="283"/>
        <item x="284"/>
        <item x="303"/>
        <item x="307"/>
        <item x="308"/>
        <item x="309"/>
        <item x="317"/>
        <item x="321"/>
        <item x="340"/>
        <item x="344"/>
        <item x="25"/>
        <item x="285"/>
        <item x="286"/>
        <item x="287"/>
        <item x="333"/>
        <item x="297"/>
        <item x="298"/>
        <item x="299"/>
        <item x="300"/>
        <item x="23"/>
        <item x="26"/>
        <item x="288"/>
        <item x="106"/>
        <item x="141"/>
        <item x="142"/>
        <item x="191"/>
        <item x="192"/>
        <item x="241"/>
        <item x="259"/>
        <item x="260"/>
        <item x="324"/>
        <item x="55"/>
        <item x="107"/>
        <item x="56"/>
        <item x="57"/>
        <item x="108"/>
        <item x="220"/>
        <item x="58"/>
        <item x="109"/>
        <item x="193"/>
        <item x="270"/>
        <item x="59"/>
        <item x="60"/>
        <item x="61"/>
        <item x="110"/>
        <item x="111"/>
        <item x="143"/>
        <item x="194"/>
        <item x="211"/>
        <item x="242"/>
        <item x="5"/>
        <item x="19"/>
        <item x="35"/>
        <item x="112"/>
        <item x="195"/>
        <item x="24"/>
        <item x="27"/>
        <item x="62"/>
        <item x="63"/>
        <item x="64"/>
        <item x="65"/>
        <item x="66"/>
        <item x="113"/>
        <item x="114"/>
        <item x="115"/>
        <item x="144"/>
        <item x="181"/>
        <item x="196"/>
        <item x="209"/>
        <item x="221"/>
        <item x="243"/>
        <item x="261"/>
        <item x="271"/>
        <item x="278"/>
        <item x="67"/>
        <item x="68"/>
        <item x="84"/>
        <item x="116"/>
        <item x="117"/>
        <item x="145"/>
        <item x="197"/>
        <item x="244"/>
        <item x="262"/>
        <item x="20"/>
        <item x="69"/>
        <item x="70"/>
        <item x="118"/>
        <item x="212"/>
        <item x="279"/>
        <item x="305"/>
        <item x="6"/>
        <item x="36"/>
        <item x="71"/>
        <item x="119"/>
        <item x="146"/>
        <item x="156"/>
        <item x="182"/>
        <item x="198"/>
        <item x="222"/>
        <item x="245"/>
        <item x="120"/>
        <item x="121"/>
        <item x="183"/>
        <item x="199"/>
        <item x="213"/>
        <item x="263"/>
        <item x="264"/>
        <item x="272"/>
        <item x="72"/>
        <item x="172"/>
        <item x="280"/>
        <item x="122"/>
        <item x="265"/>
        <item x="7"/>
        <item x="21"/>
        <item x="37"/>
        <item x="38"/>
        <item x="73"/>
        <item x="74"/>
        <item x="123"/>
        <item x="147"/>
        <item x="289"/>
        <item x="301"/>
        <item x="75"/>
        <item x="124"/>
        <item x="125"/>
        <item x="184"/>
        <item x="200"/>
        <item x="206"/>
        <item x="223"/>
        <item x="246"/>
        <item x="266"/>
        <item x="292"/>
        <item x="319"/>
        <item x="39"/>
        <item x="76"/>
        <item x="126"/>
        <item x="201"/>
        <item x="8"/>
        <item x="22"/>
        <item x="77"/>
        <item x="85"/>
        <item x="86"/>
        <item x="87"/>
        <item x="127"/>
        <item x="148"/>
        <item x="157"/>
        <item x="158"/>
        <item x="247"/>
        <item x="78"/>
        <item x="128"/>
        <item x="202"/>
        <item x="214"/>
        <item x="88"/>
        <item x="89"/>
        <item x="90"/>
        <item x="159"/>
        <item x="160"/>
        <item x="161"/>
        <item x="173"/>
        <item x="224"/>
        <item x="281"/>
        <item x="79"/>
        <item x="80"/>
        <item x="91"/>
        <item x="129"/>
        <item x="130"/>
        <item x="162"/>
        <item x="163"/>
        <item x="225"/>
        <item x="306"/>
        <item x="311"/>
        <item x="92"/>
        <item x="164"/>
        <item x="165"/>
        <item x="174"/>
        <item x="185"/>
        <item x="226"/>
        <item x="248"/>
        <item x="93"/>
        <item x="131"/>
        <item x="132"/>
        <item x="166"/>
        <item x="203"/>
        <item x="207"/>
        <item x="267"/>
        <item x="273"/>
        <item x="81"/>
        <item x="94"/>
        <item x="95"/>
        <item x="96"/>
        <item x="133"/>
        <item x="149"/>
        <item x="167"/>
        <item x="168"/>
        <item x="169"/>
        <item x="204"/>
        <item x="205"/>
        <item x="227"/>
        <item x="249"/>
        <item x="274"/>
        <item x="314"/>
        <item x="315"/>
        <item x="316"/>
        <item x="0"/>
        <item x="1"/>
        <item x="2"/>
        <item x="3"/>
        <item x="4"/>
        <item x="9"/>
        <item x="10"/>
        <item x="11"/>
        <item x="12"/>
        <item x="13"/>
        <item x="14"/>
        <item x="15"/>
        <item x="16"/>
        <item x="17"/>
        <item x="18"/>
        <item x="28"/>
        <item x="29"/>
        <item x="30"/>
        <item x="31"/>
        <item x="32"/>
        <item x="33"/>
        <item x="34"/>
        <item x="40"/>
        <item x="42"/>
        <item x="43"/>
        <item x="44"/>
        <item x="45"/>
        <item x="46"/>
        <item x="47"/>
        <item x="48"/>
        <item x="49"/>
        <item x="50"/>
        <item x="51"/>
        <item x="52"/>
        <item x="53"/>
        <item x="54"/>
        <item x="82"/>
        <item x="83"/>
        <item x="97"/>
        <item x="98"/>
        <item x="99"/>
        <item x="100"/>
        <item x="101"/>
        <item x="102"/>
        <item x="103"/>
        <item x="104"/>
        <item x="105"/>
        <item x="134"/>
        <item x="135"/>
        <item x="136"/>
        <item x="137"/>
        <item x="138"/>
        <item x="139"/>
        <item x="140"/>
        <item x="154"/>
        <item x="155"/>
        <item x="170"/>
        <item x="171"/>
        <item x="175"/>
        <item x="176"/>
        <item x="177"/>
        <item x="178"/>
        <item x="179"/>
        <item x="180"/>
        <item x="187"/>
        <item x="188"/>
        <item x="189"/>
        <item x="190"/>
        <item x="210"/>
        <item x="216"/>
        <item x="217"/>
        <item x="218"/>
        <item x="219"/>
        <item x="228"/>
        <item x="229"/>
        <item x="230"/>
        <item x="231"/>
        <item x="232"/>
        <item x="233"/>
        <item x="234"/>
        <item x="235"/>
        <item x="236"/>
        <item x="237"/>
        <item x="238"/>
        <item x="239"/>
        <item x="240"/>
        <item x="254"/>
        <item x="255"/>
        <item x="256"/>
        <item x="257"/>
        <item x="258"/>
        <item x="268"/>
        <item x="269"/>
        <item x="276"/>
        <item x="277"/>
        <item x="282"/>
        <item x="290"/>
        <item x="291"/>
        <item x="304"/>
        <item x="318"/>
        <item x="322"/>
        <item x="323"/>
        <item x="326"/>
        <item x="327"/>
        <item x="328"/>
        <item x="329"/>
        <item x="330"/>
        <item x="331"/>
        <item x="332"/>
        <item x="334"/>
      </items>
      <extLst>
        <ext xmlns:x14="http://schemas.microsoft.com/office/spreadsheetml/2009/9/main" uri="{2946ED86-A175-432a-8AC1-64E0C546D7DE}">
          <x14:pivotField fillDownLabels="1"/>
        </ext>
      </extLst>
    </pivotField>
    <pivotField axis="axisRow" compact="0" outline="0" showAll="0" defaultSubtotal="0">
      <items count="118">
        <item x="0"/>
        <item x="1"/>
        <item x="2"/>
        <item x="3"/>
        <item x="4"/>
        <item x="5"/>
        <item x="6"/>
        <item x="7"/>
        <item x="8"/>
        <item x="9"/>
        <item x="10"/>
        <item x="11"/>
        <item x="12"/>
        <item x="13"/>
        <item x="14"/>
        <item x="15"/>
        <item x="16"/>
        <item x="17"/>
        <item x="18"/>
        <item x="19"/>
        <item x="20"/>
        <item x="21"/>
        <item x="22"/>
        <item x="23"/>
        <item x="24"/>
        <item x="35"/>
        <item x="37"/>
        <item x="66"/>
        <item x="38"/>
        <item x="39"/>
        <item x="41"/>
        <item x="42"/>
        <item x="43"/>
        <item x="44"/>
        <item x="45"/>
        <item x="46"/>
        <item x="74"/>
        <item x="47"/>
        <item x="28"/>
        <item x="48"/>
        <item x="49"/>
        <item x="52"/>
        <item x="54"/>
        <item x="55"/>
        <item x="56"/>
        <item x="57"/>
        <item x="58"/>
        <item x="60"/>
        <item x="26"/>
        <item x="27"/>
        <item x="29"/>
        <item x="30"/>
        <item x="31"/>
        <item x="32"/>
        <item x="33"/>
        <item x="34"/>
        <item x="36"/>
        <item x="40"/>
        <item x="50"/>
        <item x="51"/>
        <item x="53"/>
        <item x="59"/>
        <item x="61"/>
        <item x="62"/>
        <item x="63"/>
        <item x="64"/>
        <item x="65"/>
        <item x="67"/>
        <item x="68"/>
        <item x="69"/>
        <item x="70"/>
        <item x="71"/>
        <item x="72"/>
        <item x="73"/>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2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7">
    <field x="1"/>
    <field x="0"/>
    <field x="21"/>
    <field x="22"/>
    <field x="3"/>
    <field x="4"/>
    <field x="5"/>
  </rowFields>
  <rowItems count="346">
    <i>
      <x/>
      <x/>
      <x v="41"/>
      <x v="17"/>
      <x v="17"/>
      <x/>
      <x v="17"/>
    </i>
    <i r="2">
      <x v="50"/>
      <x v="15"/>
      <x v="15"/>
      <x/>
      <x v="15"/>
    </i>
    <i r="2">
      <x v="51"/>
      <x v="15"/>
      <x v="15"/>
      <x/>
      <x v="15"/>
    </i>
    <i r="2">
      <x v="83"/>
      <x v="4"/>
      <x v="4"/>
      <x/>
      <x v="4"/>
    </i>
    <i r="2">
      <x v="86"/>
      <x v="16"/>
      <x v="16"/>
      <x/>
      <x v="16"/>
    </i>
    <i r="2">
      <x v="87"/>
      <x v="16"/>
      <x v="16"/>
      <x/>
      <x v="16"/>
    </i>
    <i r="2">
      <x v="122"/>
      <x v="5"/>
      <x v="5"/>
      <x/>
      <x v="5"/>
    </i>
    <i r="2">
      <x v="146"/>
      <x v="6"/>
      <x v="6"/>
      <x/>
      <x v="6"/>
    </i>
    <i r="2">
      <x v="147"/>
      <x v="6"/>
      <x v="6"/>
      <x/>
      <x v="6"/>
    </i>
    <i r="2">
      <x v="165"/>
      <x v="22"/>
      <x v="22"/>
      <x/>
      <x v="22"/>
    </i>
    <i r="2">
      <x v="250"/>
      <x v="18"/>
      <x v="18"/>
      <x/>
      <x v="18"/>
    </i>
    <i r="2">
      <x v="251"/>
      <x v="12"/>
      <x v="12"/>
      <x/>
      <x v="12"/>
    </i>
    <i r="2">
      <x v="252"/>
      <x v="19"/>
      <x v="19"/>
      <x/>
      <x v="19"/>
    </i>
    <i r="2">
      <x v="253"/>
      <x v="20"/>
      <x v="20"/>
      <x/>
      <x v="20"/>
    </i>
    <i r="2">
      <x v="254"/>
      <x v="15"/>
      <x v="15"/>
      <x/>
      <x v="15"/>
    </i>
    <i r="2">
      <x v="255"/>
      <x v="13"/>
      <x v="13"/>
      <x/>
      <x v="13"/>
    </i>
    <i r="2">
      <x v="256"/>
      <x v="21"/>
      <x v="21"/>
      <x/>
      <x v="21"/>
    </i>
    <i r="1">
      <x v="29"/>
      <x v="240"/>
      <x v="8"/>
      <x v="8"/>
      <x/>
      <x v="8"/>
    </i>
    <i r="2">
      <x v="241"/>
      <x v="9"/>
      <x v="9"/>
      <x/>
      <x v="9"/>
    </i>
    <i r="2">
      <x v="242"/>
      <x v="10"/>
      <x v="10"/>
      <x/>
      <x v="10"/>
    </i>
    <i r="2">
      <x v="243"/>
      <x v="10"/>
      <x v="10"/>
      <x/>
      <x v="10"/>
    </i>
    <i r="2">
      <x v="244"/>
      <x v="11"/>
      <x v="11"/>
      <x/>
      <x v="11"/>
    </i>
    <i r="1">
      <x v="32"/>
      <x v="81"/>
      <x v="4"/>
      <x v="4"/>
      <x/>
      <x v="4"/>
    </i>
    <i r="2">
      <x v="121"/>
      <x v="5"/>
      <x v="5"/>
      <x/>
      <x v="5"/>
    </i>
    <i r="2">
      <x v="144"/>
      <x v="6"/>
      <x v="6"/>
      <x/>
      <x v="6"/>
    </i>
    <i r="2">
      <x v="169"/>
      <x v="7"/>
      <x v="7"/>
      <x/>
      <x v="7"/>
    </i>
    <i r="2">
      <x v="235"/>
      <x/>
      <x/>
      <x/>
      <x/>
    </i>
    <i r="2">
      <x v="236"/>
      <x v="1"/>
      <x v="1"/>
      <x/>
      <x v="1"/>
    </i>
    <i r="2">
      <x v="237"/>
      <x v="2"/>
      <x v="2"/>
      <x/>
      <x v="2"/>
    </i>
    <i r="2">
      <x v="238"/>
      <x v="3"/>
      <x v="3"/>
      <x/>
      <x v="3"/>
    </i>
    <i r="2">
      <x v="239"/>
      <x v="3"/>
      <x v="3"/>
      <x/>
      <x v="3"/>
    </i>
    <i r="1">
      <x v="34"/>
      <x v="82"/>
      <x v="4"/>
      <x v="4"/>
      <x/>
      <x v="4"/>
    </i>
    <i r="2">
      <x v="114"/>
      <x v="5"/>
      <x v="5"/>
      <x/>
      <x v="5"/>
    </i>
    <i r="2">
      <x v="145"/>
      <x v="6"/>
      <x v="6"/>
      <x/>
      <x v="6"/>
    </i>
    <i r="2">
      <x v="170"/>
      <x v="14"/>
      <x v="14"/>
      <x/>
      <x v="14"/>
    </i>
    <i r="2">
      <x v="245"/>
      <x v="12"/>
      <x v="12"/>
      <x/>
      <x v="12"/>
    </i>
    <i r="2">
      <x v="246"/>
      <x v="1"/>
      <x v="1"/>
      <x/>
      <x v="1"/>
    </i>
    <i r="2">
      <x v="247"/>
      <x v="2"/>
      <x v="2"/>
      <x/>
      <x v="2"/>
    </i>
    <i r="2">
      <x v="248"/>
      <x v="13"/>
      <x v="13"/>
      <x/>
      <x v="13"/>
    </i>
    <i r="2">
      <x v="249"/>
      <x v="3"/>
      <x v="3"/>
      <x/>
      <x v="3"/>
    </i>
    <i>
      <x v="1"/>
      <x v="1"/>
      <x v="10"/>
      <x v="24"/>
      <x v="24"/>
      <x/>
      <x v="24"/>
    </i>
    <i r="1">
      <x v="2"/>
      <x v="62"/>
      <x v="117"/>
      <x v="124"/>
      <x v="1"/>
      <x v="117"/>
    </i>
    <i r="2">
      <x v="64"/>
      <x v="117"/>
      <x v="124"/>
      <x v="1"/>
      <x v="117"/>
    </i>
    <i r="2">
      <x v="65"/>
      <x v="117"/>
      <x v="124"/>
      <x v="1"/>
      <x v="117"/>
    </i>
    <i r="2">
      <x v="68"/>
      <x v="117"/>
      <x v="124"/>
      <x v="1"/>
      <x v="117"/>
    </i>
    <i r="2">
      <x v="72"/>
      <x v="117"/>
      <x v="124"/>
      <x v="1"/>
      <x v="117"/>
    </i>
    <i r="2">
      <x v="73"/>
      <x v="117"/>
      <x v="124"/>
      <x v="1"/>
      <x v="117"/>
    </i>
    <i r="2">
      <x v="74"/>
      <x v="117"/>
      <x v="124"/>
      <x v="1"/>
      <x v="117"/>
    </i>
    <i r="2">
      <x v="88"/>
      <x v="117"/>
      <x v="124"/>
      <x v="1"/>
      <x v="117"/>
    </i>
    <i r="2">
      <x v="89"/>
      <x v="117"/>
      <x v="124"/>
      <x v="1"/>
      <x v="117"/>
    </i>
    <i r="2">
      <x v="90"/>
      <x v="117"/>
      <x v="124"/>
      <x v="1"/>
      <x v="117"/>
    </i>
    <i r="2">
      <x v="91"/>
      <x v="117"/>
      <x v="124"/>
      <x v="1"/>
      <x v="117"/>
    </i>
    <i r="2">
      <x v="92"/>
      <x v="117"/>
      <x v="124"/>
      <x v="1"/>
      <x v="117"/>
    </i>
    <i r="2">
      <x v="105"/>
      <x v="117"/>
      <x v="124"/>
      <x v="1"/>
      <x v="117"/>
    </i>
    <i r="2">
      <x v="106"/>
      <x v="117"/>
      <x v="124"/>
      <x v="1"/>
      <x v="117"/>
    </i>
    <i r="2">
      <x v="115"/>
      <x v="117"/>
      <x v="124"/>
      <x v="1"/>
      <x v="117"/>
    </i>
    <i r="2">
      <x v="116"/>
      <x v="117"/>
      <x v="124"/>
      <x v="1"/>
      <x v="117"/>
    </i>
    <i r="2">
      <x v="123"/>
      <x v="117"/>
      <x v="124"/>
      <x v="1"/>
      <x v="117"/>
    </i>
    <i r="2">
      <x v="139"/>
      <x v="117"/>
      <x v="124"/>
      <x v="1"/>
      <x v="117"/>
    </i>
    <i r="2">
      <x v="148"/>
      <x v="117"/>
      <x v="124"/>
      <x v="1"/>
      <x v="117"/>
    </i>
    <i r="2">
      <x v="149"/>
      <x v="117"/>
      <x v="124"/>
      <x v="1"/>
      <x v="117"/>
    </i>
    <i r="2">
      <x v="154"/>
      <x v="117"/>
      <x v="124"/>
      <x v="1"/>
      <x v="117"/>
    </i>
    <i r="2">
      <x v="166"/>
      <x v="117"/>
      <x v="124"/>
      <x v="1"/>
      <x v="117"/>
    </i>
    <i r="2">
      <x v="171"/>
      <x v="117"/>
      <x v="124"/>
      <x v="1"/>
      <x v="117"/>
    </i>
    <i r="2">
      <x v="180"/>
      <x v="117"/>
      <x v="124"/>
      <x v="1"/>
      <x v="117"/>
    </i>
    <i r="2">
      <x v="193"/>
      <x v="117"/>
      <x v="124"/>
      <x v="1"/>
      <x v="117"/>
    </i>
    <i r="2">
      <x v="194"/>
      <x v="117"/>
      <x v="124"/>
      <x v="1"/>
      <x v="117"/>
    </i>
    <i r="2">
      <x v="218"/>
      <x v="117"/>
      <x v="124"/>
      <x v="1"/>
      <x v="117"/>
    </i>
    <i r="2">
      <x v="258"/>
      <x v="117"/>
      <x v="124"/>
      <x v="1"/>
      <x v="117"/>
    </i>
    <i r="2">
      <x v="259"/>
      <x v="117"/>
      <x v="124"/>
      <x v="1"/>
      <x v="117"/>
    </i>
    <i r="2">
      <x v="260"/>
      <x v="117"/>
      <x v="124"/>
      <x v="1"/>
      <x v="117"/>
    </i>
    <i r="2">
      <x v="261"/>
      <x v="117"/>
      <x v="124"/>
      <x v="1"/>
      <x v="117"/>
    </i>
    <i r="2">
      <x v="262"/>
      <x v="117"/>
      <x v="124"/>
      <x v="1"/>
      <x v="117"/>
    </i>
    <i r="2">
      <x v="263"/>
      <x v="117"/>
      <x v="124"/>
      <x v="1"/>
      <x v="117"/>
    </i>
    <i r="2">
      <x v="264"/>
      <x v="117"/>
      <x v="124"/>
      <x v="1"/>
      <x v="117"/>
    </i>
    <i r="2">
      <x v="265"/>
      <x v="117"/>
      <x v="124"/>
      <x v="1"/>
      <x v="117"/>
    </i>
    <i r="2">
      <x v="266"/>
      <x v="117"/>
      <x v="124"/>
      <x v="1"/>
      <x v="117"/>
    </i>
    <i r="2">
      <x v="267"/>
      <x v="117"/>
      <x v="124"/>
      <x v="1"/>
      <x v="117"/>
    </i>
    <i r="2">
      <x v="268"/>
      <x v="117"/>
      <x v="124"/>
      <x v="1"/>
      <x v="117"/>
    </i>
    <i r="2">
      <x v="269"/>
      <x v="117"/>
      <x v="124"/>
      <x v="1"/>
      <x v="117"/>
    </i>
    <i r="2">
      <x v="270"/>
      <x v="117"/>
      <x v="124"/>
      <x v="1"/>
      <x v="117"/>
    </i>
    <i r="1">
      <x v="3"/>
      <x v="107"/>
      <x v="38"/>
      <x v="41"/>
      <x/>
      <x v="38"/>
    </i>
    <i r="2">
      <x v="172"/>
      <x v="14"/>
      <x v="57"/>
      <x/>
      <x v="14"/>
    </i>
    <i r="2">
      <x v="173"/>
      <x v="14"/>
      <x v="57"/>
      <x/>
      <x v="14"/>
    </i>
    <i r="2">
      <x v="174"/>
      <x v="14"/>
      <x v="57"/>
      <x/>
      <x v="14"/>
    </i>
    <i r="2">
      <x v="184"/>
      <x v="50"/>
      <x v="58"/>
      <x/>
      <x v="50"/>
    </i>
    <i r="2">
      <x v="185"/>
      <x v="50"/>
      <x v="58"/>
      <x/>
      <x v="50"/>
    </i>
    <i r="2">
      <x v="186"/>
      <x v="50"/>
      <x v="58"/>
      <x/>
      <x v="50"/>
    </i>
    <i r="2">
      <x v="195"/>
      <x v="51"/>
      <x v="59"/>
      <x/>
      <x v="51"/>
    </i>
    <i r="2">
      <x v="203"/>
      <x v="52"/>
      <x v="60"/>
      <x/>
      <x v="52"/>
    </i>
    <i r="2">
      <x v="210"/>
      <x v="53"/>
      <x v="61"/>
      <x/>
      <x v="53"/>
    </i>
    <i r="2">
      <x v="219"/>
      <x v="54"/>
      <x v="62"/>
      <x/>
      <x v="54"/>
    </i>
    <i r="2">
      <x v="220"/>
      <x v="54"/>
      <x v="62"/>
      <x/>
      <x v="54"/>
    </i>
    <i r="2">
      <x v="221"/>
      <x v="55"/>
      <x v="63"/>
      <x/>
      <x v="55"/>
    </i>
    <i r="2">
      <x v="271"/>
      <x v="48"/>
      <x v="55"/>
      <x/>
      <x v="48"/>
    </i>
    <i r="2">
      <x v="272"/>
      <x v="49"/>
      <x v="56"/>
      <x/>
      <x v="49"/>
    </i>
    <i r="1">
      <x v="4"/>
      <x v="53"/>
      <x v="57"/>
      <x v="7"/>
      <x/>
      <x v="57"/>
    </i>
    <i r="2">
      <x v="63"/>
      <x v="30"/>
      <x v="14"/>
      <x/>
      <x v="30"/>
    </i>
    <i r="2">
      <x v="66"/>
      <x v="31"/>
      <x v="33"/>
      <x/>
      <x v="31"/>
    </i>
    <i r="2">
      <x v="69"/>
      <x v="32"/>
      <x v="34"/>
      <x/>
      <x v="32"/>
    </i>
    <i r="2">
      <x v="75"/>
      <x v="33"/>
      <x v="35"/>
      <x/>
      <x v="33"/>
    </i>
    <i r="2">
      <x v="76"/>
      <x v="34"/>
      <x v="36"/>
      <x/>
      <x v="34"/>
    </i>
    <i r="2">
      <x v="84"/>
      <x v="4"/>
      <x v="65"/>
      <x/>
      <x v="4"/>
    </i>
    <i r="2">
      <x v="93"/>
      <x v="35"/>
      <x v="37"/>
      <x/>
      <x v="35"/>
    </i>
    <i r="2">
      <x v="94"/>
      <x v="16"/>
      <x v="39"/>
      <x/>
      <x v="16"/>
    </i>
    <i r="2">
      <x v="95"/>
      <x v="37"/>
      <x v="40"/>
      <x/>
      <x v="37"/>
    </i>
    <i r="2">
      <x v="108"/>
      <x v="38"/>
      <x v="41"/>
      <x/>
      <x v="38"/>
    </i>
    <i r="2">
      <x v="109"/>
      <x v="39"/>
      <x v="42"/>
      <x/>
      <x v="39"/>
    </i>
    <i r="2">
      <x v="117"/>
      <x v="40"/>
      <x v="43"/>
      <x/>
      <x v="40"/>
    </i>
    <i r="2">
      <x v="124"/>
      <x v="58"/>
      <x v="66"/>
      <x/>
      <x v="58"/>
    </i>
    <i r="2">
      <x v="131"/>
      <x v="59"/>
      <x v="67"/>
      <x/>
      <x v="59"/>
    </i>
    <i r="2">
      <x v="132"/>
      <x v="41"/>
      <x v="45"/>
      <x/>
      <x v="41"/>
    </i>
    <i r="2">
      <x v="142"/>
      <x v="60"/>
      <x v="68"/>
      <x/>
      <x v="60"/>
    </i>
    <i r="2">
      <x v="150"/>
      <x v="6"/>
      <x v="46"/>
      <x/>
      <x v="6"/>
    </i>
    <i r="2">
      <x v="155"/>
      <x v="42"/>
      <x v="47"/>
      <x/>
      <x v="42"/>
    </i>
    <i r="2">
      <x v="156"/>
      <x v="43"/>
      <x v="48"/>
      <x/>
      <x v="43"/>
    </i>
    <i r="2">
      <x v="167"/>
      <x v="22"/>
      <x v="49"/>
      <x/>
      <x v="22"/>
    </i>
    <i r="2">
      <x v="175"/>
      <x v="7"/>
      <x v="50"/>
      <x/>
      <x v="7"/>
    </i>
    <i r="2">
      <x v="181"/>
      <x v="44"/>
      <x v="51"/>
      <x/>
      <x v="44"/>
    </i>
    <i r="2">
      <x v="196"/>
      <x v="45"/>
      <x v="52"/>
      <x/>
      <x v="45"/>
    </i>
    <i r="2">
      <x v="197"/>
      <x v="46"/>
      <x v="53"/>
      <x/>
      <x v="46"/>
    </i>
    <i r="2">
      <x v="211"/>
      <x v="53"/>
      <x v="61"/>
      <x/>
      <x v="53"/>
    </i>
    <i r="2">
      <x v="212"/>
      <x v="61"/>
      <x v="69"/>
      <x/>
      <x v="61"/>
    </i>
    <i r="2">
      <x v="222"/>
      <x v="47"/>
      <x v="54"/>
      <x/>
      <x v="47"/>
    </i>
    <i r="2">
      <x v="273"/>
      <x v="25"/>
      <x v="25"/>
      <x/>
      <x v="25"/>
    </i>
    <i r="2">
      <x v="274"/>
      <x v="56"/>
      <x v="64"/>
      <x/>
      <x v="56"/>
    </i>
    <i r="2">
      <x v="275"/>
      <x v="26"/>
      <x v="26"/>
      <x/>
      <x v="26"/>
    </i>
    <i r="2">
      <x v="276"/>
      <x v="19"/>
      <x v="5"/>
      <x/>
      <x v="19"/>
    </i>
    <i r="2">
      <x v="277"/>
      <x v="15"/>
      <x v="28"/>
      <x/>
      <x v="15"/>
    </i>
    <i r="2">
      <x v="278"/>
      <x v="28"/>
      <x v="30"/>
      <x/>
      <x v="28"/>
    </i>
    <i r="2">
      <x v="279"/>
      <x v="29"/>
      <x v="31"/>
      <x/>
      <x v="29"/>
    </i>
    <i r="2">
      <x v="280"/>
      <x v="13"/>
      <x v="6"/>
      <x/>
      <x v="13"/>
    </i>
    <i r="2">
      <x v="281"/>
      <x v="3"/>
      <x v="32"/>
      <x/>
      <x v="3"/>
    </i>
    <i r="1">
      <x v="5"/>
      <x v="54"/>
      <x v="57"/>
      <x v="7"/>
      <x/>
      <x v="57"/>
    </i>
    <i r="2">
      <x v="55"/>
      <x v="57"/>
      <x v="7"/>
      <x/>
      <x v="57"/>
    </i>
    <i r="2">
      <x v="77"/>
      <x v="4"/>
      <x v="65"/>
      <x/>
      <x v="4"/>
    </i>
    <i r="2">
      <x v="96"/>
      <x v="37"/>
      <x v="40"/>
      <x/>
      <x v="37"/>
    </i>
    <i r="2">
      <x v="110"/>
      <x v="38"/>
      <x v="41"/>
      <x/>
      <x v="38"/>
    </i>
    <i r="2">
      <x v="125"/>
      <x v="58"/>
      <x v="66"/>
      <x/>
      <x v="58"/>
    </i>
    <i r="2">
      <x v="151"/>
      <x v="6"/>
      <x v="46"/>
      <x/>
      <x v="6"/>
    </i>
    <i r="2">
      <x v="176"/>
      <x v="7"/>
      <x v="50"/>
      <x/>
      <x v="7"/>
    </i>
    <i r="2">
      <x v="223"/>
      <x v="47"/>
      <x v="54"/>
      <x/>
      <x v="47"/>
    </i>
    <i r="2">
      <x v="282"/>
      <x v="20"/>
      <x v="27"/>
      <x/>
      <x v="20"/>
    </i>
    <i r="2">
      <x v="283"/>
      <x v="15"/>
      <x v="28"/>
      <x/>
      <x v="15"/>
    </i>
    <i r="2">
      <x v="284"/>
      <x v="28"/>
      <x v="30"/>
      <x/>
      <x v="28"/>
    </i>
    <i r="2">
      <x v="285"/>
      <x v="28"/>
      <x v="30"/>
      <x/>
      <x v="28"/>
    </i>
    <i r="2">
      <x v="286"/>
      <x v="29"/>
      <x v="31"/>
      <x/>
      <x v="29"/>
    </i>
    <i r="2">
      <x v="287"/>
      <x v="13"/>
      <x v="6"/>
      <x/>
      <x v="13"/>
    </i>
    <i r="2">
      <x v="288"/>
      <x v="3"/>
      <x v="32"/>
      <x/>
      <x v="3"/>
    </i>
    <i r="1">
      <x v="6"/>
      <x/>
      <x v="62"/>
      <x v="70"/>
      <x/>
      <x v="62"/>
    </i>
    <i r="2">
      <x v="1"/>
      <x v="63"/>
      <x v="71"/>
      <x/>
      <x v="63"/>
    </i>
    <i r="2">
      <x v="2"/>
      <x v="63"/>
      <x v="71"/>
      <x/>
      <x v="63"/>
    </i>
    <i r="2">
      <x v="24"/>
      <x v="64"/>
      <x v="72"/>
      <x/>
      <x v="64"/>
    </i>
    <i r="2">
      <x v="126"/>
      <x v="58"/>
      <x v="66"/>
      <x/>
      <x v="58"/>
    </i>
    <i r="2">
      <x v="177"/>
      <x v="14"/>
      <x v="57"/>
      <x/>
      <x v="14"/>
    </i>
    <i r="2">
      <x v="178"/>
      <x v="14"/>
      <x v="57"/>
      <x/>
      <x v="14"/>
    </i>
    <i r="2">
      <x v="187"/>
      <x v="50"/>
      <x v="58"/>
      <x/>
      <x v="50"/>
    </i>
    <i r="2">
      <x v="188"/>
      <x v="50"/>
      <x v="58"/>
      <x/>
      <x v="50"/>
    </i>
    <i r="2">
      <x v="189"/>
      <x v="45"/>
      <x v="52"/>
      <x/>
      <x v="45"/>
    </i>
    <i r="2">
      <x v="198"/>
      <x v="51"/>
      <x v="59"/>
      <x/>
      <x v="51"/>
    </i>
    <i r="2">
      <x v="199"/>
      <x v="46"/>
      <x v="53"/>
      <x/>
      <x v="46"/>
    </i>
    <i r="2">
      <x v="204"/>
      <x v="52"/>
      <x v="60"/>
      <x/>
      <x v="52"/>
    </i>
    <i r="2">
      <x v="205"/>
      <x v="52"/>
      <x v="60"/>
      <x/>
      <x v="52"/>
    </i>
    <i r="2">
      <x v="213"/>
      <x v="53"/>
      <x v="61"/>
      <x/>
      <x v="53"/>
    </i>
    <i r="2">
      <x v="224"/>
      <x v="54"/>
      <x v="62"/>
      <x/>
      <x v="54"/>
    </i>
    <i r="2">
      <x v="225"/>
      <x v="54"/>
      <x v="62"/>
      <x/>
      <x v="54"/>
    </i>
    <i r="2">
      <x v="226"/>
      <x v="55"/>
      <x v="63"/>
      <x/>
      <x v="55"/>
    </i>
    <i r="2">
      <x v="289"/>
      <x v="65"/>
      <x v="73"/>
      <x/>
      <x v="65"/>
    </i>
    <i r="2">
      <x v="290"/>
      <x v="2"/>
      <x v="74"/>
      <x/>
      <x v="2"/>
    </i>
    <i r="1">
      <x v="7"/>
      <x v="140"/>
      <x v="41"/>
      <x v="45"/>
      <x/>
      <x v="41"/>
    </i>
    <i r="2">
      <x v="190"/>
      <x v="50"/>
      <x v="58"/>
      <x/>
      <x v="50"/>
    </i>
    <i r="2">
      <x v="206"/>
      <x v="52"/>
      <x v="60"/>
      <x/>
      <x v="52"/>
    </i>
    <i r="2">
      <x v="291"/>
      <x v="66"/>
      <x v="75"/>
      <x/>
      <x v="66"/>
    </i>
    <i r="2">
      <x v="292"/>
      <x v="27"/>
      <x v="29"/>
      <x/>
      <x v="27"/>
    </i>
    <i r="1">
      <x v="8"/>
      <x v="97"/>
      <x v="35"/>
      <x v="37"/>
      <x/>
      <x v="35"/>
    </i>
    <i r="2">
      <x v="127"/>
      <x v="5"/>
      <x v="44"/>
      <x/>
      <x v="5"/>
    </i>
    <i r="2">
      <x v="133"/>
      <x v="69"/>
      <x v="78"/>
      <x/>
      <x v="69"/>
    </i>
    <i r="2">
      <x v="157"/>
      <x v="43"/>
      <x v="48"/>
      <x/>
      <x v="43"/>
    </i>
    <i r="2">
      <x v="207"/>
      <x v="52"/>
      <x v="60"/>
      <x/>
      <x v="52"/>
    </i>
    <i r="2">
      <x v="293"/>
      <x v="65"/>
      <x v="73"/>
      <x/>
      <x v="65"/>
    </i>
    <i r="2">
      <x v="294"/>
      <x v="67"/>
      <x v="76"/>
      <x/>
      <x v="67"/>
    </i>
    <i r="2">
      <x v="295"/>
      <x/>
      <x v="15"/>
      <x/>
      <x/>
    </i>
    <i r="2">
      <x v="296"/>
      <x v="68"/>
      <x v="77"/>
      <x/>
      <x v="68"/>
    </i>
    <i r="2">
      <x v="297"/>
      <x v="26"/>
      <x v="26"/>
      <x/>
      <x v="26"/>
    </i>
    <i r="2">
      <x v="298"/>
      <x v="29"/>
      <x v="31"/>
      <x/>
      <x v="29"/>
    </i>
    <i r="1">
      <x v="9"/>
      <x v="9"/>
      <x v="14"/>
      <x v="57"/>
      <x/>
      <x v="14"/>
    </i>
    <i r="2">
      <x v="56"/>
      <x v="70"/>
      <x v="22"/>
      <x/>
      <x v="70"/>
    </i>
    <i r="2">
      <x v="57"/>
      <x v="30"/>
      <x v="14"/>
      <x/>
      <x v="30"/>
    </i>
    <i r="2">
      <x v="70"/>
      <x v="32"/>
      <x v="34"/>
      <x/>
      <x v="32"/>
    </i>
    <i r="2">
      <x v="78"/>
      <x v="34"/>
      <x v="36"/>
      <x/>
      <x v="34"/>
    </i>
    <i r="2">
      <x v="85"/>
      <x v="4"/>
      <x v="65"/>
      <x/>
      <x v="4"/>
    </i>
    <i r="2">
      <x v="98"/>
      <x v="16"/>
      <x v="39"/>
      <x/>
      <x v="16"/>
    </i>
    <i r="2">
      <x v="111"/>
      <x v="39"/>
      <x v="42"/>
      <x/>
      <x v="39"/>
    </i>
    <i r="2">
      <x v="128"/>
      <x v="5"/>
      <x v="44"/>
      <x/>
      <x v="5"/>
    </i>
    <i r="2">
      <x v="134"/>
      <x v="59"/>
      <x v="67"/>
      <x/>
      <x v="59"/>
    </i>
    <i r="2">
      <x v="158"/>
      <x v="43"/>
      <x v="48"/>
      <x/>
      <x v="43"/>
    </i>
    <i r="2">
      <x v="168"/>
      <x v="22"/>
      <x v="49"/>
      <x/>
      <x v="22"/>
    </i>
    <i r="2">
      <x v="182"/>
      <x v="44"/>
      <x v="51"/>
      <x/>
      <x v="44"/>
    </i>
    <i r="2">
      <x v="214"/>
      <x v="53"/>
      <x v="61"/>
      <x/>
      <x v="53"/>
    </i>
    <i r="2">
      <x v="227"/>
      <x v="54"/>
      <x v="62"/>
      <x/>
      <x v="54"/>
    </i>
    <i r="2">
      <x v="228"/>
      <x v="55"/>
      <x v="63"/>
      <x/>
      <x v="55"/>
    </i>
    <i r="2">
      <x v="299"/>
      <x v="25"/>
      <x v="25"/>
      <x/>
      <x v="25"/>
    </i>
    <i r="2">
      <x v="300"/>
      <x v="19"/>
      <x v="5"/>
      <x/>
      <x v="19"/>
    </i>
    <i r="2">
      <x v="301"/>
      <x v="15"/>
      <x v="28"/>
      <x/>
      <x v="15"/>
    </i>
    <i r="2">
      <x v="302"/>
      <x v="28"/>
      <x v="30"/>
      <x/>
      <x v="28"/>
    </i>
    <i r="1">
      <x v="10"/>
      <x v="25"/>
      <x v="21"/>
      <x v="79"/>
      <x/>
      <x v="21"/>
    </i>
    <i r="2">
      <x v="159"/>
      <x v="42"/>
      <x v="47"/>
      <x/>
      <x v="42"/>
    </i>
    <i r="2">
      <x v="215"/>
      <x v="53"/>
      <x v="61"/>
      <x/>
      <x v="53"/>
    </i>
    <i r="1">
      <x v="11"/>
      <x v="26"/>
      <x v="72"/>
      <x v="82"/>
      <x/>
      <x v="72"/>
    </i>
    <i r="2">
      <x v="67"/>
      <x v="31"/>
      <x v="33"/>
      <x/>
      <x v="31"/>
    </i>
    <i r="2">
      <x v="100"/>
      <x v="36"/>
      <x v="38"/>
      <x/>
      <x v="36"/>
    </i>
    <i r="2">
      <x v="129"/>
      <x v="5"/>
      <x v="44"/>
      <x/>
      <x v="5"/>
    </i>
    <i r="2">
      <x v="160"/>
      <x v="43"/>
      <x v="48"/>
      <x/>
      <x v="43"/>
    </i>
    <i r="2">
      <x v="191"/>
      <x v="50"/>
      <x v="58"/>
      <x/>
      <x v="50"/>
    </i>
    <i r="2">
      <x v="200"/>
      <x v="45"/>
      <x v="52"/>
      <x/>
      <x v="45"/>
    </i>
    <i r="2">
      <x v="208"/>
      <x v="52"/>
      <x v="60"/>
      <x/>
      <x v="52"/>
    </i>
    <i r="2">
      <x v="229"/>
      <x v="55"/>
      <x v="63"/>
      <x/>
      <x v="55"/>
    </i>
    <i r="2">
      <x v="304"/>
      <x v="73"/>
      <x v="83"/>
      <x/>
      <x v="73"/>
    </i>
    <i r="2">
      <x v="305"/>
      <x v="2"/>
      <x v="74"/>
      <x/>
      <x v="2"/>
    </i>
    <i r="2">
      <x v="306"/>
      <x v="28"/>
      <x v="30"/>
      <x/>
      <x v="28"/>
    </i>
    <i r="2">
      <x v="307"/>
      <x v="13"/>
      <x v="6"/>
      <x/>
      <x v="13"/>
    </i>
    <i r="1">
      <x v="12"/>
      <x v="11"/>
      <x v="81"/>
      <x v="93"/>
      <x/>
      <x v="81"/>
    </i>
    <i r="2">
      <x v="27"/>
      <x v="82"/>
      <x v="18"/>
      <x/>
      <x v="82"/>
    </i>
    <i r="2">
      <x v="28"/>
      <x v="83"/>
      <x v="94"/>
      <x/>
      <x v="83"/>
    </i>
    <i r="2">
      <x v="29"/>
      <x v="84"/>
      <x v="1"/>
      <x/>
      <x v="84"/>
    </i>
    <i r="2">
      <x v="58"/>
      <x v="70"/>
      <x v="22"/>
      <x/>
      <x v="70"/>
    </i>
    <i r="2">
      <x v="80"/>
      <x v="71"/>
      <x v="81"/>
      <x/>
      <x v="71"/>
    </i>
    <i r="2">
      <x v="101"/>
      <x v="36"/>
      <x v="38"/>
      <x/>
      <x v="36"/>
    </i>
    <i r="2">
      <x v="112"/>
      <x v="39"/>
      <x v="42"/>
      <x/>
      <x v="39"/>
    </i>
    <i r="2">
      <x v="130"/>
      <x v="58"/>
      <x v="66"/>
      <x/>
      <x v="58"/>
    </i>
    <i r="2">
      <x v="161"/>
      <x v="42"/>
      <x v="47"/>
      <x/>
      <x v="42"/>
    </i>
    <i r="2">
      <x v="179"/>
      <x v="7"/>
      <x v="50"/>
      <x/>
      <x v="7"/>
    </i>
    <i r="2">
      <x v="209"/>
      <x v="52"/>
      <x v="60"/>
      <x/>
      <x v="52"/>
    </i>
    <i r="2">
      <x v="230"/>
      <x v="54"/>
      <x v="62"/>
      <x/>
      <x v="54"/>
    </i>
    <i r="2">
      <x v="308"/>
      <x v="65"/>
      <x v="73"/>
      <x/>
      <x v="65"/>
    </i>
    <i r="2">
      <x v="309"/>
      <x v="25"/>
      <x v="25"/>
      <x/>
      <x v="25"/>
    </i>
    <i r="2">
      <x v="310"/>
      <x v="74"/>
      <x v="84"/>
      <x/>
      <x v="74"/>
    </i>
    <i r="2">
      <x v="311"/>
      <x v="75"/>
      <x v="85"/>
      <x/>
      <x v="75"/>
    </i>
    <i r="2">
      <x v="312"/>
      <x v="76"/>
      <x v="86"/>
      <x/>
      <x v="76"/>
    </i>
    <i r="2">
      <x v="313"/>
      <x v="77"/>
      <x v="87"/>
      <x/>
      <x v="77"/>
    </i>
    <i r="2">
      <x v="314"/>
      <x v="78"/>
      <x v="88"/>
      <x/>
      <x v="78"/>
    </i>
    <i r="2">
      <x v="315"/>
      <x v="8"/>
      <x v="89"/>
      <x/>
      <x v="8"/>
    </i>
    <i r="2">
      <x v="316"/>
      <x v="9"/>
      <x v="90"/>
      <x/>
      <x v="9"/>
    </i>
    <i r="2">
      <x v="317"/>
      <x v="79"/>
      <x v="91"/>
      <x/>
      <x v="79"/>
    </i>
    <i r="2">
      <x v="318"/>
      <x v="80"/>
      <x v="92"/>
      <x/>
      <x v="80"/>
    </i>
    <i r="2">
      <x v="319"/>
      <x v="1"/>
      <x v="80"/>
      <x/>
      <x v="1"/>
    </i>
    <i r="2">
      <x v="320"/>
      <x v="2"/>
      <x v="74"/>
      <x/>
      <x v="2"/>
    </i>
    <i r="1">
      <x v="13"/>
      <x v="59"/>
      <x v="70"/>
      <x v="22"/>
      <x/>
      <x v="70"/>
    </i>
    <i r="2">
      <x v="60"/>
      <x v="57"/>
      <x v="7"/>
      <x/>
      <x v="57"/>
    </i>
    <i r="2">
      <x v="102"/>
      <x v="36"/>
      <x v="38"/>
      <x/>
      <x v="36"/>
    </i>
    <i r="2">
      <x v="113"/>
      <x v="85"/>
      <x v="95"/>
      <x/>
      <x v="85"/>
    </i>
    <i r="2">
      <x v="136"/>
      <x v="59"/>
      <x v="67"/>
      <x/>
      <x v="59"/>
    </i>
    <i r="2">
      <x v="137"/>
      <x v="69"/>
      <x v="78"/>
      <x/>
      <x v="69"/>
    </i>
    <i r="2">
      <x v="143"/>
      <x v="60"/>
      <x v="68"/>
      <x/>
      <x v="60"/>
    </i>
    <i r="2">
      <x v="162"/>
      <x v="22"/>
      <x v="49"/>
      <x/>
      <x v="22"/>
    </i>
    <i r="2">
      <x v="216"/>
      <x v="61"/>
      <x v="69"/>
      <x/>
      <x v="61"/>
    </i>
    <i r="2">
      <x v="321"/>
      <x v="1"/>
      <x v="80"/>
      <x/>
      <x v="1"/>
    </i>
    <i r="2">
      <x v="322"/>
      <x v="15"/>
      <x v="28"/>
      <x/>
      <x v="15"/>
    </i>
    <i r="2">
      <x v="323"/>
      <x v="28"/>
      <x v="30"/>
      <x/>
      <x v="28"/>
    </i>
    <i r="2">
      <x v="324"/>
      <x v="28"/>
      <x v="30"/>
      <x/>
      <x v="28"/>
    </i>
    <i r="2">
      <x v="325"/>
      <x v="29"/>
      <x v="31"/>
      <x/>
      <x v="29"/>
    </i>
    <i r="1">
      <x v="14"/>
      <x v="30"/>
      <x v="86"/>
      <x v="96"/>
      <x/>
      <x v="86"/>
    </i>
    <i r="2">
      <x v="71"/>
      <x v="32"/>
      <x v="34"/>
      <x/>
      <x v="32"/>
    </i>
    <i r="2">
      <x v="103"/>
      <x v="36"/>
      <x v="38"/>
      <x/>
      <x v="36"/>
    </i>
    <i r="2">
      <x v="138"/>
      <x v="69"/>
      <x v="78"/>
      <x/>
      <x v="69"/>
    </i>
    <i r="2">
      <x v="217"/>
      <x v="61"/>
      <x v="69"/>
      <x/>
      <x v="61"/>
    </i>
    <i r="2">
      <x v="231"/>
      <x v="55"/>
      <x v="63"/>
      <x/>
      <x v="55"/>
    </i>
    <i r="2">
      <x v="326"/>
      <x v="1"/>
      <x v="80"/>
      <x/>
      <x v="1"/>
    </i>
    <i r="2">
      <x v="327"/>
      <x v="27"/>
      <x v="29"/>
      <x/>
      <x v="27"/>
    </i>
    <i r="1">
      <x v="15"/>
      <x v="104"/>
      <x v="35"/>
      <x v="37"/>
      <x/>
      <x v="35"/>
    </i>
    <i r="2">
      <x v="119"/>
      <x v="40"/>
      <x v="43"/>
      <x/>
      <x v="40"/>
    </i>
    <i r="2">
      <x v="141"/>
      <x v="41"/>
      <x v="45"/>
      <x/>
      <x v="41"/>
    </i>
    <i r="2">
      <x v="192"/>
      <x v="50"/>
      <x v="58"/>
      <x/>
      <x v="50"/>
    </i>
    <i r="2">
      <x v="328"/>
      <x v="20"/>
      <x v="27"/>
      <x/>
      <x v="20"/>
    </i>
    <i r="2">
      <x v="329"/>
      <x v="28"/>
      <x v="30"/>
      <x/>
      <x v="28"/>
    </i>
    <i r="1">
      <x v="16"/>
      <x v="31"/>
      <x v="35"/>
      <x v="37"/>
      <x/>
      <x v="35"/>
    </i>
    <i r="2">
      <x v="330"/>
      <x v="87"/>
      <x v="97"/>
      <x/>
      <x v="87"/>
    </i>
    <i r="1">
      <x v="25"/>
      <x v="163"/>
      <x v="43"/>
      <x v="48"/>
      <x/>
      <x v="43"/>
    </i>
    <i r="2">
      <x v="331"/>
      <x v="2"/>
      <x v="74"/>
      <x/>
      <x v="2"/>
    </i>
    <i r="2">
      <x v="332"/>
      <x v="2"/>
      <x v="74"/>
      <x/>
      <x v="2"/>
    </i>
    <i r="1">
      <x v="26"/>
      <x v="32"/>
      <x v="53"/>
      <x v="61"/>
      <x/>
      <x v="53"/>
    </i>
    <i r="2">
      <x v="42"/>
      <x v="88"/>
      <x v="98"/>
      <x/>
      <x v="88"/>
    </i>
    <i r="2">
      <x v="43"/>
      <x v="89"/>
      <x v="99"/>
      <x/>
      <x v="89"/>
    </i>
    <i r="2">
      <x v="44"/>
      <x v="90"/>
      <x v="100"/>
      <x/>
      <x v="90"/>
    </i>
    <i r="2">
      <x v="52"/>
      <x v="27"/>
      <x v="29"/>
      <x/>
      <x v="27"/>
    </i>
    <i r="2">
      <x v="152"/>
      <x v="6"/>
      <x v="46"/>
      <x/>
      <x v="6"/>
    </i>
    <i r="1">
      <x v="35"/>
      <x v="79"/>
      <x v="71"/>
      <x v="81"/>
      <x/>
      <x v="71"/>
    </i>
    <i r="2">
      <x v="118"/>
      <x v="40"/>
      <x v="43"/>
      <x/>
      <x v="40"/>
    </i>
    <i r="2">
      <x v="135"/>
      <x v="69"/>
      <x v="78"/>
      <x/>
      <x v="69"/>
    </i>
    <i r="2">
      <x v="183"/>
      <x v="44"/>
      <x v="51"/>
      <x/>
      <x v="44"/>
    </i>
    <i r="2">
      <x v="303"/>
      <x v="1"/>
      <x v="80"/>
      <x/>
      <x v="1"/>
    </i>
    <i r="1">
      <x v="37"/>
      <x v="99"/>
      <x v="35"/>
      <x v="37"/>
      <x/>
      <x v="35"/>
    </i>
    <i>
      <x v="2"/>
      <x v="17"/>
      <x v="13"/>
      <x v="92"/>
      <x v="102"/>
      <x/>
      <x v="92"/>
    </i>
    <i r="2">
      <x v="14"/>
      <x v="92"/>
      <x v="102"/>
      <x/>
      <x v="92"/>
    </i>
    <i r="2">
      <x v="15"/>
      <x v="93"/>
      <x v="103"/>
      <x/>
      <x v="93"/>
    </i>
    <i r="2">
      <x v="16"/>
      <x v="94"/>
      <x v="104"/>
      <x/>
      <x v="94"/>
    </i>
    <i r="2">
      <x v="33"/>
      <x v="95"/>
      <x v="105"/>
      <x/>
      <x v="95"/>
    </i>
    <i r="2">
      <x v="34"/>
      <x v="96"/>
      <x v="106"/>
      <x/>
      <x v="96"/>
    </i>
    <i r="2">
      <x v="35"/>
      <x v="97"/>
      <x v="107"/>
      <x/>
      <x v="97"/>
    </i>
    <i r="2">
      <x v="36"/>
      <x v="98"/>
      <x v="108"/>
      <x/>
      <x v="98"/>
    </i>
    <i r="2">
      <x v="46"/>
      <x v="20"/>
      <x v="20"/>
      <x/>
      <x v="20"/>
    </i>
    <i r="2">
      <x v="47"/>
      <x v="20"/>
      <x v="20"/>
      <x/>
      <x v="20"/>
    </i>
    <i r="2">
      <x v="48"/>
      <x v="20"/>
      <x v="20"/>
      <x/>
      <x v="20"/>
    </i>
    <i r="2">
      <x v="49"/>
      <x v="20"/>
      <x v="20"/>
      <x/>
      <x v="20"/>
    </i>
    <i r="2">
      <x v="120"/>
      <x v="5"/>
      <x v="5"/>
      <x/>
      <x v="5"/>
    </i>
    <i r="2">
      <x v="153"/>
      <x v="6"/>
      <x v="6"/>
      <x/>
      <x v="6"/>
    </i>
    <i r="2">
      <x v="201"/>
      <x v="45"/>
      <x v="81"/>
      <x/>
      <x v="45"/>
    </i>
    <i r="2">
      <x v="333"/>
      <x/>
      <x/>
      <x/>
      <x/>
    </i>
    <i r="1">
      <x v="18"/>
      <x v="17"/>
      <x v="92"/>
      <x v="102"/>
      <x/>
      <x v="92"/>
    </i>
    <i r="2">
      <x v="202"/>
      <x v="45"/>
      <x v="81"/>
      <x/>
      <x v="45"/>
    </i>
    <i r="1">
      <x v="19"/>
      <x v="18"/>
      <x v="92"/>
      <x v="102"/>
      <x/>
      <x v="92"/>
    </i>
    <i r="2">
      <x v="19"/>
      <x v="92"/>
      <x v="102"/>
      <x/>
      <x v="92"/>
    </i>
    <i r="2">
      <x v="232"/>
      <x v="54"/>
      <x v="38"/>
      <x/>
      <x v="54"/>
    </i>
    <i r="2">
      <x v="233"/>
      <x v="54"/>
      <x v="38"/>
      <x/>
      <x v="54"/>
    </i>
    <i r="2">
      <x v="234"/>
      <x v="55"/>
      <x v="39"/>
      <x/>
      <x v="55"/>
    </i>
    <i r="1">
      <x v="27"/>
      <x v="37"/>
      <x v="99"/>
      <x v="109"/>
      <x/>
      <x v="99"/>
    </i>
    <i r="2">
      <x v="334"/>
      <x v="100"/>
      <x v="110"/>
      <x/>
      <x v="100"/>
    </i>
    <i r="1">
      <x v="38"/>
      <x v="164"/>
      <x v="22"/>
      <x v="22"/>
      <x/>
      <x v="22"/>
    </i>
    <i>
      <x v="3"/>
      <x v="20"/>
      <x v="3"/>
      <x v="21"/>
      <x v="21"/>
      <x/>
      <x v="21"/>
    </i>
    <i r="2">
      <x v="4"/>
      <x v="114"/>
      <x v="66"/>
      <x/>
      <x v="114"/>
    </i>
    <i r="2">
      <x v="5"/>
      <x v="112"/>
      <x v="24"/>
      <x/>
      <x v="112"/>
    </i>
    <i r="2">
      <x v="6"/>
      <x v="112"/>
      <x v="24"/>
      <x/>
      <x v="112"/>
    </i>
    <i r="2">
      <x v="7"/>
      <x v="113"/>
      <x v="121"/>
      <x/>
      <x v="113"/>
    </i>
    <i r="2">
      <x v="8"/>
      <x v="113"/>
      <x v="121"/>
      <x/>
      <x v="113"/>
    </i>
    <i r="2">
      <x v="22"/>
      <x v="115"/>
      <x v="122"/>
      <x/>
      <x v="115"/>
    </i>
    <i r="2">
      <x v="39"/>
      <x v="21"/>
      <x v="21"/>
      <x/>
      <x v="21"/>
    </i>
    <i r="1">
      <x v="24"/>
      <x v="23"/>
      <x v="116"/>
      <x v="123"/>
      <x/>
      <x v="116"/>
    </i>
    <i r="2">
      <x v="40"/>
      <x v="21"/>
      <x v="21"/>
      <x/>
      <x v="21"/>
    </i>
    <i>
      <x v="4"/>
      <x v="21"/>
      <x v="12"/>
      <x v="91"/>
      <x v="101"/>
      <x/>
      <x v="91"/>
    </i>
    <i r="1">
      <x v="22"/>
      <x v="20"/>
      <x v="101"/>
      <x v="111"/>
      <x/>
      <x v="101"/>
    </i>
    <i r="2">
      <x v="38"/>
      <x v="102"/>
      <x v="112"/>
      <x/>
      <x v="102"/>
    </i>
    <i r="2">
      <x v="335"/>
      <x v="103"/>
      <x v="113"/>
      <x/>
      <x v="103"/>
    </i>
    <i r="2">
      <x v="336"/>
      <x v="93"/>
      <x v="103"/>
      <x/>
      <x v="93"/>
    </i>
    <i r="1">
      <x v="23"/>
      <x v="21"/>
      <x v="91"/>
      <x v="101"/>
      <x/>
      <x v="91"/>
    </i>
    <i r="2">
      <x v="337"/>
      <x v="105"/>
      <x v="115"/>
      <x/>
      <x v="105"/>
    </i>
    <i r="2">
      <x v="338"/>
      <x v="106"/>
      <x v="99"/>
      <x/>
      <x v="106"/>
    </i>
    <i r="2">
      <x v="339"/>
      <x v="21"/>
      <x v="21"/>
      <x/>
      <x v="21"/>
    </i>
    <i r="1">
      <x v="30"/>
      <x v="257"/>
      <x v="23"/>
      <x v="23"/>
      <x/>
      <x v="23"/>
    </i>
    <i r="1">
      <x v="31"/>
      <x v="340"/>
      <x v="107"/>
      <x v="116"/>
      <x/>
      <x v="107"/>
    </i>
    <i r="1">
      <x v="33"/>
      <x v="341"/>
      <x v="108"/>
      <x v="117"/>
      <x/>
      <x v="108"/>
    </i>
    <i r="2">
      <x v="342"/>
      <x v="109"/>
      <x v="118"/>
      <x/>
      <x v="109"/>
    </i>
    <i r="2">
      <x v="343"/>
      <x v="21"/>
      <x v="21"/>
      <x/>
      <x v="21"/>
    </i>
    <i r="1">
      <x v="36"/>
      <x v="61"/>
      <x v="104"/>
      <x v="114"/>
      <x/>
      <x v="104"/>
    </i>
    <i>
      <x v="5"/>
      <x v="28"/>
      <x v="45"/>
      <x v="110"/>
      <x v="119"/>
      <x/>
      <x v="110"/>
    </i>
    <i r="2">
      <x v="344"/>
      <x v="111"/>
      <x v="120"/>
      <x/>
      <x v="111"/>
    </i>
    <i t="grand">
      <x/>
    </i>
  </rowItems>
  <colItems count="1">
    <i/>
  </colItems>
  <dataFields count="1">
    <dataField name="Sum of TOTAL" fld="37" baseField="0" baseItem="0" numFmtId="3"/>
  </dataFields>
  <formats count="73">
    <format dxfId="80">
      <pivotArea outline="0" collapsedLevelsAreSubtotals="1" fieldPosition="0"/>
    </format>
    <format dxfId="79">
      <pivotArea dataOnly="0" labelOnly="1" outline="0" fieldPosition="0">
        <references count="1">
          <reference field="1" count="0"/>
        </references>
      </pivotArea>
    </format>
    <format dxfId="78">
      <pivotArea dataOnly="0" labelOnly="1" grandRow="1" outline="0" fieldPosition="0"/>
    </format>
    <format dxfId="77">
      <pivotArea grandRow="1" outline="0" collapsedLevelsAreSubtotals="1" fieldPosition="0"/>
    </format>
    <format dxfId="76">
      <pivotArea outline="0" collapsedLevelsAreSubtotals="1" fieldPosition="0"/>
    </format>
    <format dxfId="75">
      <pivotArea dataOnly="0" labelOnly="1" grandRow="1" outline="0" fieldPosition="0"/>
    </format>
    <format dxfId="74">
      <pivotArea dataOnly="0" labelOnly="1" outline="0" fieldPosition="0">
        <references count="1">
          <reference field="1" count="0"/>
        </references>
      </pivotArea>
    </format>
    <format dxfId="73">
      <pivotArea type="all" dataOnly="0" outline="0" fieldPosition="0"/>
    </format>
    <format dxfId="72">
      <pivotArea outline="0" collapsedLevelsAreSubtotals="1" fieldPosition="0"/>
    </format>
    <format dxfId="71">
      <pivotArea type="topRight" dataOnly="0" labelOnly="1" outline="0" fieldPosition="0"/>
    </format>
    <format dxfId="70">
      <pivotArea dataOnly="0" labelOnly="1" grandRow="1" outline="0" fieldPosition="0"/>
    </format>
    <format dxfId="69">
      <pivotArea dataOnly="0" labelOnly="1" outline="0" fieldPosition="0">
        <references count="1">
          <reference field="1" count="0"/>
        </references>
      </pivotArea>
    </format>
    <format dxfId="68">
      <pivotArea outline="0" collapsedLevelsAreSubtotals="1" fieldPosition="0"/>
    </format>
    <format dxfId="67">
      <pivotArea dataOnly="0" labelOnly="1" outline="0" fieldPosition="0">
        <references count="1">
          <reference field="1" count="0"/>
        </references>
      </pivotArea>
    </format>
    <format dxfId="66">
      <pivotArea dataOnly="0" labelOnly="1" grandRow="1" outline="0" fieldPosition="0"/>
    </format>
    <format dxfId="65">
      <pivotArea dataOnly="0" labelOnly="1" outline="0" fieldPosition="0">
        <references count="2">
          <reference field="0" count="13">
            <x v="1"/>
            <x v="2"/>
            <x v="3"/>
            <x v="4"/>
            <x v="5"/>
            <x v="6"/>
            <x v="7"/>
            <x v="8"/>
            <x v="9"/>
            <x v="11"/>
            <x v="12"/>
            <x v="13"/>
            <x v="14"/>
          </reference>
          <reference field="1" count="0" selected="0"/>
        </references>
      </pivotArea>
    </format>
    <format dxfId="64">
      <pivotArea dataOnly="0" labelOnly="1" outline="0" fieldPosition="0">
        <references count="1">
          <reference field="5" count="0"/>
        </references>
      </pivotArea>
    </format>
    <format dxfId="63">
      <pivotArea dataOnly="0" labelOnly="1" outline="0" fieldPosition="0">
        <references count="3">
          <reference field="0" count="1" selected="0">
            <x v="0"/>
          </reference>
          <reference field="1" count="0" selected="0"/>
          <reference field="21" count="1">
            <x v="41"/>
          </reference>
        </references>
      </pivotArea>
    </format>
    <format dxfId="62">
      <pivotArea outline="0" collapsedLevelsAreSubtotals="1" fieldPosition="0"/>
    </format>
    <format dxfId="61">
      <pivotArea type="all" dataOnly="0" outline="0" fieldPosition="0"/>
    </format>
    <format dxfId="60">
      <pivotArea outline="0" collapsedLevelsAreSubtotals="1" fieldPosition="0"/>
    </format>
    <format dxfId="59">
      <pivotArea type="origin" dataOnly="0" labelOnly="1" outline="0" fieldPosition="0"/>
    </format>
    <format dxfId="58">
      <pivotArea field="1" type="button" dataOnly="0" labelOnly="1" outline="0" axis="axisRow" fieldPosition="0"/>
    </format>
    <format dxfId="57">
      <pivotArea field="0" type="button" dataOnly="0" labelOnly="1" outline="0" axis="axisRow" fieldPosition="1"/>
    </format>
    <format dxfId="56">
      <pivotArea field="21" type="button" dataOnly="0" labelOnly="1" outline="0" axis="axisRow" fieldPosition="2"/>
    </format>
    <format dxfId="55">
      <pivotArea field="22" type="button" dataOnly="0" labelOnly="1" outline="0" axis="axisRow" fieldPosition="3"/>
    </format>
    <format dxfId="54">
      <pivotArea field="3" type="button" dataOnly="0" labelOnly="1" outline="0" axis="axisRow" fieldPosition="4"/>
    </format>
    <format dxfId="53">
      <pivotArea field="4" type="button" dataOnly="0" labelOnly="1" outline="0" axis="axisRow" fieldPosition="5"/>
    </format>
    <format dxfId="52">
      <pivotArea field="5" type="button" dataOnly="0" labelOnly="1" outline="0" axis="axisRow" fieldPosition="6"/>
    </format>
    <format dxfId="51">
      <pivotArea dataOnly="0" labelOnly="1" outline="0" fieldPosition="0">
        <references count="1">
          <reference field="1" count="0"/>
        </references>
      </pivotArea>
    </format>
    <format dxfId="50">
      <pivotArea dataOnly="0" labelOnly="1" grandRow="1" outline="0" fieldPosition="0"/>
    </format>
    <format dxfId="49">
      <pivotArea dataOnly="0" labelOnly="1" outline="0" fieldPosition="0">
        <references count="2">
          <reference field="0" count="4">
            <x v="0"/>
            <x v="29"/>
            <x v="32"/>
            <x v="34"/>
          </reference>
          <reference field="1" count="1" selected="0">
            <x v="0"/>
          </reference>
        </references>
      </pivotArea>
    </format>
    <format dxfId="48">
      <pivotArea dataOnly="0" labelOnly="1" outline="0" fieldPosition="0">
        <references count="2">
          <reference field="0" count="20">
            <x v="1"/>
            <x v="2"/>
            <x v="3"/>
            <x v="4"/>
            <x v="5"/>
            <x v="6"/>
            <x v="7"/>
            <x v="8"/>
            <x v="9"/>
            <x v="10"/>
            <x v="11"/>
            <x v="12"/>
            <x v="13"/>
            <x v="14"/>
            <x v="15"/>
            <x v="16"/>
            <x v="25"/>
            <x v="26"/>
            <x v="35"/>
            <x v="37"/>
          </reference>
          <reference field="1" count="1" selected="0">
            <x v="1"/>
          </reference>
        </references>
      </pivotArea>
    </format>
    <format dxfId="47">
      <pivotArea dataOnly="0" labelOnly="1" outline="0" fieldPosition="0">
        <references count="2">
          <reference field="0" count="5">
            <x v="17"/>
            <x v="18"/>
            <x v="19"/>
            <x v="27"/>
            <x v="38"/>
          </reference>
          <reference field="1" count="1" selected="0">
            <x v="2"/>
          </reference>
        </references>
      </pivotArea>
    </format>
    <format dxfId="46">
      <pivotArea dataOnly="0" labelOnly="1" outline="0" fieldPosition="0">
        <references count="2">
          <reference field="0" count="2">
            <x v="20"/>
            <x v="24"/>
          </reference>
          <reference field="1" count="1" selected="0">
            <x v="3"/>
          </reference>
        </references>
      </pivotArea>
    </format>
    <format dxfId="45">
      <pivotArea dataOnly="0" labelOnly="1" outline="0" fieldPosition="0">
        <references count="2">
          <reference field="0" count="7">
            <x v="21"/>
            <x v="22"/>
            <x v="23"/>
            <x v="30"/>
            <x v="31"/>
            <x v="33"/>
            <x v="36"/>
          </reference>
          <reference field="1" count="1" selected="0">
            <x v="4"/>
          </reference>
        </references>
      </pivotArea>
    </format>
    <format dxfId="44">
      <pivotArea dataOnly="0" labelOnly="1" outline="0" fieldPosition="0">
        <references count="2">
          <reference field="0" count="1">
            <x v="28"/>
          </reference>
          <reference field="1" count="1" selected="0">
            <x v="5"/>
          </reference>
        </references>
      </pivotArea>
    </format>
    <format dxfId="43">
      <pivotArea dataOnly="0" labelOnly="1" outline="0" fieldPosition="0">
        <references count="3">
          <reference field="0" count="1" selected="0">
            <x v="0"/>
          </reference>
          <reference field="1" count="1" selected="0">
            <x v="0"/>
          </reference>
          <reference field="21" count="10">
            <x v="41"/>
            <x v="50"/>
            <x v="51"/>
            <x v="83"/>
            <x v="86"/>
            <x v="87"/>
            <x v="122"/>
            <x v="146"/>
            <x v="147"/>
            <x v="165"/>
          </reference>
        </references>
      </pivotArea>
    </format>
    <format dxfId="42">
      <pivotArea dataOnly="0" labelOnly="1" outline="0" fieldPosition="0">
        <references count="3">
          <reference field="0" count="1" selected="0">
            <x v="32"/>
          </reference>
          <reference field="1" count="1" selected="0">
            <x v="0"/>
          </reference>
          <reference field="21" count="4">
            <x v="81"/>
            <x v="121"/>
            <x v="144"/>
            <x v="169"/>
          </reference>
        </references>
      </pivotArea>
    </format>
    <format dxfId="41">
      <pivotArea dataOnly="0" labelOnly="1" outline="0" fieldPosition="0">
        <references count="3">
          <reference field="0" count="1" selected="0">
            <x v="34"/>
          </reference>
          <reference field="1" count="1" selected="0">
            <x v="0"/>
          </reference>
          <reference field="21" count="4">
            <x v="82"/>
            <x v="114"/>
            <x v="145"/>
            <x v="170"/>
          </reference>
        </references>
      </pivotArea>
    </format>
    <format dxfId="40">
      <pivotArea dataOnly="0" labelOnly="1" outline="0" fieldPosition="0">
        <references count="3">
          <reference field="0" count="1" selected="0">
            <x v="1"/>
          </reference>
          <reference field="1" count="1" selected="0">
            <x v="1"/>
          </reference>
          <reference field="21" count="1">
            <x v="10"/>
          </reference>
        </references>
      </pivotArea>
    </format>
    <format dxfId="39">
      <pivotArea dataOnly="0" labelOnly="1" outline="0" fieldPosition="0">
        <references count="3">
          <reference field="0" count="1" selected="0">
            <x v="2"/>
          </reference>
          <reference field="1" count="1" selected="0">
            <x v="1"/>
          </reference>
          <reference field="21" count="24">
            <x v="62"/>
            <x v="64"/>
            <x v="65"/>
            <x v="68"/>
            <x v="72"/>
            <x v="73"/>
            <x v="74"/>
            <x v="88"/>
            <x v="89"/>
            <x v="90"/>
            <x v="91"/>
            <x v="92"/>
            <x v="105"/>
            <x v="106"/>
            <x v="115"/>
            <x v="116"/>
            <x v="123"/>
            <x v="139"/>
            <x v="148"/>
            <x v="149"/>
            <x v="154"/>
            <x v="166"/>
            <x v="171"/>
            <x v="180"/>
          </reference>
        </references>
      </pivotArea>
    </format>
    <format dxfId="38">
      <pivotArea dataOnly="0" labelOnly="1" outline="0" fieldPosition="0">
        <references count="3">
          <reference field="0" count="1" selected="0">
            <x v="3"/>
          </reference>
          <reference field="1" count="1" selected="0">
            <x v="1"/>
          </reference>
          <reference field="21" count="4">
            <x v="107"/>
            <x v="172"/>
            <x v="173"/>
            <x v="174"/>
          </reference>
        </references>
      </pivotArea>
    </format>
    <format dxfId="37">
      <pivotArea dataOnly="0" labelOnly="1" outline="0" fieldPosition="0">
        <references count="3">
          <reference field="0" count="1" selected="0">
            <x v="4"/>
          </reference>
          <reference field="1" count="1" selected="0">
            <x v="1"/>
          </reference>
          <reference field="21" count="23">
            <x v="53"/>
            <x v="63"/>
            <x v="66"/>
            <x v="69"/>
            <x v="75"/>
            <x v="76"/>
            <x v="84"/>
            <x v="93"/>
            <x v="94"/>
            <x v="95"/>
            <x v="108"/>
            <x v="109"/>
            <x v="117"/>
            <x v="124"/>
            <x v="131"/>
            <x v="132"/>
            <x v="142"/>
            <x v="150"/>
            <x v="155"/>
            <x v="156"/>
            <x v="167"/>
            <x v="175"/>
            <x v="181"/>
          </reference>
        </references>
      </pivotArea>
    </format>
    <format dxfId="36">
      <pivotArea dataOnly="0" labelOnly="1" outline="0" fieldPosition="0">
        <references count="3">
          <reference field="0" count="1" selected="0">
            <x v="5"/>
          </reference>
          <reference field="1" count="1" selected="0">
            <x v="1"/>
          </reference>
          <reference field="21" count="8">
            <x v="54"/>
            <x v="55"/>
            <x v="77"/>
            <x v="96"/>
            <x v="110"/>
            <x v="125"/>
            <x v="151"/>
            <x v="176"/>
          </reference>
        </references>
      </pivotArea>
    </format>
    <format dxfId="35">
      <pivotArea dataOnly="0" labelOnly="1" outline="0" fieldPosition="0">
        <references count="3">
          <reference field="0" count="1" selected="0">
            <x v="6"/>
          </reference>
          <reference field="1" count="1" selected="0">
            <x v="1"/>
          </reference>
          <reference field="21" count="7">
            <x v="0"/>
            <x v="1"/>
            <x v="2"/>
            <x v="24"/>
            <x v="126"/>
            <x v="177"/>
            <x v="178"/>
          </reference>
        </references>
      </pivotArea>
    </format>
    <format dxfId="34">
      <pivotArea dataOnly="0" labelOnly="1" outline="0" fieldPosition="0">
        <references count="3">
          <reference field="0" count="1" selected="0">
            <x v="7"/>
          </reference>
          <reference field="1" count="1" selected="0">
            <x v="1"/>
          </reference>
          <reference field="21" count="1">
            <x v="140"/>
          </reference>
        </references>
      </pivotArea>
    </format>
    <format dxfId="33">
      <pivotArea dataOnly="0" labelOnly="1" outline="0" fieldPosition="0">
        <references count="3">
          <reference field="0" count="1" selected="0">
            <x v="8"/>
          </reference>
          <reference field="1" count="1" selected="0">
            <x v="1"/>
          </reference>
          <reference field="21" count="4">
            <x v="97"/>
            <x v="127"/>
            <x v="133"/>
            <x v="157"/>
          </reference>
        </references>
      </pivotArea>
    </format>
    <format dxfId="32">
      <pivotArea dataOnly="0" labelOnly="1" outline="0" fieldPosition="0">
        <references count="3">
          <reference field="0" count="1" selected="0">
            <x v="9"/>
          </reference>
          <reference field="1" count="1" selected="0">
            <x v="1"/>
          </reference>
          <reference field="21" count="13">
            <x v="9"/>
            <x v="56"/>
            <x v="57"/>
            <x v="70"/>
            <x v="78"/>
            <x v="85"/>
            <x v="98"/>
            <x v="111"/>
            <x v="128"/>
            <x v="134"/>
            <x v="158"/>
            <x v="168"/>
            <x v="182"/>
          </reference>
        </references>
      </pivotArea>
    </format>
    <format dxfId="31">
      <pivotArea dataOnly="0" labelOnly="1" outline="0" fieldPosition="0">
        <references count="3">
          <reference field="0" count="1" selected="0">
            <x v="10"/>
          </reference>
          <reference field="1" count="1" selected="0">
            <x v="1"/>
          </reference>
          <reference field="21" count="2">
            <x v="25"/>
            <x v="159"/>
          </reference>
        </references>
      </pivotArea>
    </format>
    <format dxfId="30">
      <pivotArea dataOnly="0" labelOnly="1" outline="0" fieldPosition="0">
        <references count="3">
          <reference field="0" count="1" selected="0">
            <x v="11"/>
          </reference>
          <reference field="1" count="1" selected="0">
            <x v="1"/>
          </reference>
          <reference field="21" count="5">
            <x v="26"/>
            <x v="67"/>
            <x v="100"/>
            <x v="129"/>
            <x v="160"/>
          </reference>
        </references>
      </pivotArea>
    </format>
    <format dxfId="29">
      <pivotArea dataOnly="0" labelOnly="1" outline="0" fieldPosition="0">
        <references count="3">
          <reference field="0" count="1" selected="0">
            <x v="12"/>
          </reference>
          <reference field="1" count="1" selected="0">
            <x v="1"/>
          </reference>
          <reference field="21" count="11">
            <x v="11"/>
            <x v="27"/>
            <x v="28"/>
            <x v="29"/>
            <x v="58"/>
            <x v="80"/>
            <x v="101"/>
            <x v="112"/>
            <x v="130"/>
            <x v="161"/>
            <x v="179"/>
          </reference>
        </references>
      </pivotArea>
    </format>
    <format dxfId="28">
      <pivotArea dataOnly="0" labelOnly="1" outline="0" fieldPosition="0">
        <references count="3">
          <reference field="0" count="1" selected="0">
            <x v="13"/>
          </reference>
          <reference field="1" count="1" selected="0">
            <x v="1"/>
          </reference>
          <reference field="21" count="8">
            <x v="59"/>
            <x v="60"/>
            <x v="102"/>
            <x v="113"/>
            <x v="136"/>
            <x v="137"/>
            <x v="143"/>
            <x v="162"/>
          </reference>
        </references>
      </pivotArea>
    </format>
    <format dxfId="27">
      <pivotArea dataOnly="0" labelOnly="1" outline="0" fieldPosition="0">
        <references count="3">
          <reference field="0" count="1" selected="0">
            <x v="14"/>
          </reference>
          <reference field="1" count="1" selected="0">
            <x v="1"/>
          </reference>
          <reference field="21" count="4">
            <x v="30"/>
            <x v="71"/>
            <x v="103"/>
            <x v="138"/>
          </reference>
        </references>
      </pivotArea>
    </format>
    <format dxfId="26">
      <pivotArea dataOnly="0" labelOnly="1" outline="0" fieldPosition="0">
        <references count="3">
          <reference field="0" count="1" selected="0">
            <x v="15"/>
          </reference>
          <reference field="1" count="1" selected="0">
            <x v="1"/>
          </reference>
          <reference field="21" count="3">
            <x v="104"/>
            <x v="119"/>
            <x v="141"/>
          </reference>
        </references>
      </pivotArea>
    </format>
    <format dxfId="25">
      <pivotArea dataOnly="0" labelOnly="1" outline="0" fieldPosition="0">
        <references count="3">
          <reference field="0" count="1" selected="0">
            <x v="16"/>
          </reference>
          <reference field="1" count="1" selected="0">
            <x v="1"/>
          </reference>
          <reference field="21" count="1">
            <x v="31"/>
          </reference>
        </references>
      </pivotArea>
    </format>
    <format dxfId="24">
      <pivotArea dataOnly="0" labelOnly="1" outline="0" fieldPosition="0">
        <references count="3">
          <reference field="0" count="1" selected="0">
            <x v="25"/>
          </reference>
          <reference field="1" count="1" selected="0">
            <x v="1"/>
          </reference>
          <reference field="21" count="1">
            <x v="163"/>
          </reference>
        </references>
      </pivotArea>
    </format>
    <format dxfId="23">
      <pivotArea dataOnly="0" labelOnly="1" outline="0" fieldPosition="0">
        <references count="3">
          <reference field="0" count="1" selected="0">
            <x v="26"/>
          </reference>
          <reference field="1" count="1" selected="0">
            <x v="1"/>
          </reference>
          <reference field="21" count="6">
            <x v="32"/>
            <x v="42"/>
            <x v="43"/>
            <x v="44"/>
            <x v="52"/>
            <x v="152"/>
          </reference>
        </references>
      </pivotArea>
    </format>
    <format dxfId="22">
      <pivotArea dataOnly="0" labelOnly="1" outline="0" fieldPosition="0">
        <references count="3">
          <reference field="0" count="1" selected="0">
            <x v="35"/>
          </reference>
          <reference field="1" count="1" selected="0">
            <x v="1"/>
          </reference>
          <reference field="21" count="4">
            <x v="79"/>
            <x v="118"/>
            <x v="135"/>
            <x v="183"/>
          </reference>
        </references>
      </pivotArea>
    </format>
    <format dxfId="21">
      <pivotArea dataOnly="0" labelOnly="1" outline="0" fieldPosition="0">
        <references count="3">
          <reference field="0" count="1" selected="0">
            <x v="37"/>
          </reference>
          <reference field="1" count="1" selected="0">
            <x v="1"/>
          </reference>
          <reference field="21" count="1">
            <x v="99"/>
          </reference>
        </references>
      </pivotArea>
    </format>
    <format dxfId="20">
      <pivotArea dataOnly="0" labelOnly="1" outline="0" fieldPosition="0">
        <references count="3">
          <reference field="0" count="1" selected="0">
            <x v="17"/>
          </reference>
          <reference field="1" count="1" selected="0">
            <x v="2"/>
          </reference>
          <reference field="21" count="14">
            <x v="13"/>
            <x v="14"/>
            <x v="15"/>
            <x v="16"/>
            <x v="33"/>
            <x v="34"/>
            <x v="35"/>
            <x v="36"/>
            <x v="46"/>
            <x v="47"/>
            <x v="48"/>
            <x v="49"/>
            <x v="120"/>
            <x v="153"/>
          </reference>
        </references>
      </pivotArea>
    </format>
    <format dxfId="19">
      <pivotArea dataOnly="0" labelOnly="1" outline="0" fieldPosition="0">
        <references count="3">
          <reference field="0" count="1" selected="0">
            <x v="18"/>
          </reference>
          <reference field="1" count="1" selected="0">
            <x v="2"/>
          </reference>
          <reference field="21" count="1">
            <x v="17"/>
          </reference>
        </references>
      </pivotArea>
    </format>
    <format dxfId="18">
      <pivotArea dataOnly="0" labelOnly="1" outline="0" fieldPosition="0">
        <references count="3">
          <reference field="0" count="1" selected="0">
            <x v="19"/>
          </reference>
          <reference field="1" count="1" selected="0">
            <x v="2"/>
          </reference>
          <reference field="21" count="2">
            <x v="18"/>
            <x v="19"/>
          </reference>
        </references>
      </pivotArea>
    </format>
    <format dxfId="17">
      <pivotArea dataOnly="0" labelOnly="1" outline="0" fieldPosition="0">
        <references count="3">
          <reference field="0" count="1" selected="0">
            <x v="27"/>
          </reference>
          <reference field="1" count="1" selected="0">
            <x v="2"/>
          </reference>
          <reference field="21" count="1">
            <x v="37"/>
          </reference>
        </references>
      </pivotArea>
    </format>
    <format dxfId="16">
      <pivotArea dataOnly="0" labelOnly="1" outline="0" fieldPosition="0">
        <references count="3">
          <reference field="0" count="1" selected="0">
            <x v="38"/>
          </reference>
          <reference field="1" count="1" selected="0">
            <x v="2"/>
          </reference>
          <reference field="21" count="1">
            <x v="164"/>
          </reference>
        </references>
      </pivotArea>
    </format>
    <format dxfId="15">
      <pivotArea dataOnly="0" labelOnly="1" outline="0" fieldPosition="0">
        <references count="3">
          <reference field="0" count="1" selected="0">
            <x v="20"/>
          </reference>
          <reference field="1" count="1" selected="0">
            <x v="3"/>
          </reference>
          <reference field="21" count="8">
            <x v="3"/>
            <x v="4"/>
            <x v="5"/>
            <x v="6"/>
            <x v="7"/>
            <x v="8"/>
            <x v="22"/>
            <x v="39"/>
          </reference>
        </references>
      </pivotArea>
    </format>
    <format dxfId="14">
      <pivotArea dataOnly="0" labelOnly="1" outline="0" fieldPosition="0">
        <references count="3">
          <reference field="0" count="1" selected="0">
            <x v="24"/>
          </reference>
          <reference field="1" count="1" selected="0">
            <x v="3"/>
          </reference>
          <reference field="21" count="2">
            <x v="23"/>
            <x v="40"/>
          </reference>
        </references>
      </pivotArea>
    </format>
    <format dxfId="13">
      <pivotArea dataOnly="0" labelOnly="1" outline="0" fieldPosition="0">
        <references count="3">
          <reference field="0" count="1" selected="0">
            <x v="21"/>
          </reference>
          <reference field="1" count="1" selected="0">
            <x v="4"/>
          </reference>
          <reference field="21" count="1">
            <x v="12"/>
          </reference>
        </references>
      </pivotArea>
    </format>
    <format dxfId="12">
      <pivotArea dataOnly="0" labelOnly="1" outline="0" fieldPosition="0">
        <references count="3">
          <reference field="0" count="1" selected="0">
            <x v="22"/>
          </reference>
          <reference field="1" count="1" selected="0">
            <x v="4"/>
          </reference>
          <reference field="21" count="2">
            <x v="20"/>
            <x v="38"/>
          </reference>
        </references>
      </pivotArea>
    </format>
    <format dxfId="11">
      <pivotArea dataOnly="0" labelOnly="1" outline="0" fieldPosition="0">
        <references count="3">
          <reference field="0" count="1" selected="0">
            <x v="23"/>
          </reference>
          <reference field="1" count="1" selected="0">
            <x v="4"/>
          </reference>
          <reference field="21" count="1">
            <x v="21"/>
          </reference>
        </references>
      </pivotArea>
    </format>
    <format dxfId="10">
      <pivotArea dataOnly="0" labelOnly="1" outline="0" fieldPosition="0">
        <references count="3">
          <reference field="0" count="1" selected="0">
            <x v="36"/>
          </reference>
          <reference field="1" count="1" selected="0">
            <x v="4"/>
          </reference>
          <reference field="21" count="1">
            <x v="61"/>
          </reference>
        </references>
      </pivotArea>
    </format>
    <format dxfId="9">
      <pivotArea dataOnly="0" labelOnly="1" outline="0" fieldPosition="0">
        <references count="3">
          <reference field="0" count="1" selected="0">
            <x v="28"/>
          </reference>
          <reference field="1" count="1" selected="0">
            <x v="5"/>
          </reference>
          <reference field="21" count="1">
            <x v="45"/>
          </reference>
        </references>
      </pivotArea>
    </format>
    <format dxfId="8">
      <pivotArea type="topRight" dataOnly="0" labelOnly="1" outline="0" fieldPosition="0"/>
    </format>
  </formats>
  <pivotTableStyleInfo name="PivotTable Style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89" applyNumberFormats="0" applyBorderFormats="0" applyFontFormats="0" applyPatternFormats="0" applyAlignmentFormats="0" applyWidthHeightFormats="1" dataCaption="Values" updatedVersion="5" minRefreshableVersion="3" showDrill="0" useAutoFormatting="1" itemPrintTitles="1" createdVersion="5" indent="0" compact="0" compactData="0" gridDropZones="1" multipleFieldFilters="0">
  <location ref="G4:K9" firstHeaderRow="1" firstDataRow="2" firstDataCol="2"/>
  <pivotFields count="39">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6">
        <item x="0"/>
        <item x="2"/>
        <item x="3"/>
        <item h="1" x="5"/>
        <item h="1" x="1"/>
        <item h="1" x="4"/>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numFmtId="15" outline="0" showAll="0" defaultSubtotal="0">
      <extLst>
        <ext xmlns:x14="http://schemas.microsoft.com/office/spreadsheetml/2009/9/main" uri="{2946ED86-A175-432a-8AC1-64E0C546D7DE}">
          <x14:pivotField fillDownLabels="1"/>
        </ext>
      </extLst>
    </pivotField>
    <pivotField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1"/>
    <field x="2"/>
  </rowFields>
  <rowItems count="4">
    <i>
      <x/>
      <x/>
    </i>
    <i>
      <x v="1"/>
      <x v="1"/>
    </i>
    <i>
      <x v="2"/>
      <x/>
    </i>
    <i t="grand">
      <x/>
    </i>
  </rowItems>
  <colFields count="1">
    <field x="6"/>
  </colFields>
  <colItems count="3">
    <i>
      <x/>
    </i>
    <i>
      <x v="1"/>
    </i>
    <i t="grand">
      <x/>
    </i>
  </colItems>
  <dataFields count="1">
    <dataField name="Sum of TOTAL" fld="37" baseField="0" baseItem="0"/>
  </dataFields>
  <formats count="7">
    <format dxfId="7">
      <pivotArea outline="0" collapsedLevelsAreSubtotals="1" fieldPosition="0"/>
    </format>
    <format dxfId="6">
      <pivotArea dataOnly="0" labelOnly="1" grandRow="1" outline="0" fieldPosition="0"/>
    </format>
    <format dxfId="5">
      <pivotArea type="all" dataOnly="0" outline="0" fieldPosition="0"/>
    </format>
    <format dxfId="4">
      <pivotArea outline="0" collapsedLevelsAreSubtotals="1" fieldPosition="0"/>
    </format>
    <format dxfId="3">
      <pivotArea dataOnly="0" labelOnly="1" outline="0" fieldPosition="0">
        <references count="1">
          <reference field="1" count="0"/>
        </references>
      </pivotArea>
    </format>
    <format dxfId="2">
      <pivotArea dataOnly="0" labelOnly="1" grandRow="1" outline="0" fieldPosition="0"/>
    </format>
    <format dxfId="1">
      <pivotArea dataOnly="0" labelOnly="1" grandCol="1" outline="0" fieldPosition="0"/>
    </format>
  </formats>
  <pivotTableStyleInfo name="PivotTable Style 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s" sourceName="Status">
  <pivotTables>
    <pivotTable tabId="12" name="PivotTable1"/>
  </pivotTables>
  <data>
    <tabular pivotCacheId="144235830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ustomer2" sourceName="Customer">
  <pivotTables>
    <pivotTable tabId="16" name="PivotTable1"/>
  </pivotTables>
  <data>
    <tabular pivotCacheId="1442358305">
      <items count="6">
        <i x="0" s="1"/>
        <i x="2" s="1"/>
        <i x="3" s="1"/>
        <i x="4"/>
        <i x="5"/>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tatus2" sourceName="Status">
  <pivotTables>
    <pivotTable tabId="16" name="PivotTable1"/>
  </pivotTables>
  <data>
    <tabular pivotCacheId="1442358305">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ustomer" sourceName="Customer">
  <pivotTables>
    <pivotTable tabId="12" name="PivotTable1"/>
  </pivotTables>
  <data>
    <tabular pivotCacheId="1442358304">
      <items count="6">
        <i x="0" s="1"/>
        <i x="2" s="1"/>
        <i x="3" s="1"/>
        <i x="4" s="1"/>
        <i x="5"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s" cache="Slicer_Status" caption="Status" rowHeight="241300"/>
  <slicer name="Customer" cache="Slicer_Customer" caption="Customer" startItem="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ustomer 2" cache="Slicer_Customer2" caption="Customer" startItem="1" rowHeight="241300"/>
  <slicer name="Status 2" cache="Slicer_Status2" caption="Status" rowHeight="241300"/>
</slicers>
</file>

<file path=xl/tables/table1.xml><?xml version="1.0" encoding="utf-8"?>
<table xmlns="http://schemas.openxmlformats.org/spreadsheetml/2006/main" id="1" name="Table1" displayName="Table1" ref="G1:I7" totalsRowShown="0" headerRowDxfId="85" headerRowBorderDxfId="84" tableBorderDxfId="83">
  <autoFilter ref="G1:I7"/>
  <tableColumns count="3">
    <tableColumn id="1" name="Customer" dataDxfId="0"/>
    <tableColumn id="2" name="TO" dataDxfId="82" dataCellStyle="Hyperlink"/>
    <tableColumn id="3" name="CC" dataDxfId="81"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image" Target="../media/image2.emf"/><Relationship Id="rId13" Type="http://schemas.microsoft.com/office/2007/relationships/slicer" Target="../slicers/slicer1.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346"/>
  <sheetViews>
    <sheetView zoomScaleNormal="100" workbookViewId="0">
      <selection activeCell="G1" sqref="G1"/>
    </sheetView>
  </sheetViews>
  <sheetFormatPr defaultRowHeight="15" x14ac:dyDescent="0.25"/>
  <cols>
    <col min="1" max="1" width="9.28515625" bestFit="1" customWidth="1"/>
    <col min="2" max="7" width="9.28515625" style="28" customWidth="1"/>
    <col min="8" max="395" width="9.28515625" customWidth="1"/>
    <col min="396" max="396" width="11.85546875" customWidth="1"/>
    <col min="397" max="485" width="9.28515625" customWidth="1"/>
    <col min="486" max="486" width="13.140625" customWidth="1"/>
    <col min="487" max="2141" width="9.28515625" customWidth="1"/>
    <col min="2142" max="2142" width="11.42578125" customWidth="1"/>
    <col min="2143" max="2255" width="9.28515625" customWidth="1"/>
    <col min="2256" max="2256" width="10.28515625" bestFit="1" customWidth="1"/>
    <col min="2257" max="2281" width="9.28515625" customWidth="1"/>
    <col min="2282" max="2282" width="9.28515625" bestFit="1" customWidth="1"/>
    <col min="2283" max="2283" width="7" bestFit="1" customWidth="1"/>
    <col min="2284" max="2284" width="9.28515625" bestFit="1" customWidth="1"/>
    <col min="2285" max="2285" width="9" bestFit="1" customWidth="1"/>
    <col min="2286" max="2286" width="10.28515625" bestFit="1" customWidth="1"/>
    <col min="2287" max="2287" width="7.5703125" bestFit="1" customWidth="1"/>
    <col min="2288" max="2289" width="8" bestFit="1" customWidth="1"/>
    <col min="2291" max="2291" width="8.5703125" bestFit="1" customWidth="1"/>
    <col min="2294" max="2295" width="9" bestFit="1" customWidth="1"/>
    <col min="2296" max="2297" width="8.140625" bestFit="1" customWidth="1"/>
    <col min="2298" max="2298" width="8.5703125" bestFit="1" customWidth="1"/>
    <col min="2299" max="2299" width="7.42578125" bestFit="1" customWidth="1"/>
    <col min="2300" max="2300" width="6.42578125" bestFit="1" customWidth="1"/>
    <col min="2301" max="2301" width="9.28515625" bestFit="1" customWidth="1"/>
    <col min="2303" max="2303" width="8.5703125" bestFit="1" customWidth="1"/>
    <col min="2304" max="2304" width="4.7109375" bestFit="1" customWidth="1"/>
    <col min="2305" max="2305" width="7.85546875" bestFit="1" customWidth="1"/>
    <col min="2306" max="2306" width="10.140625" bestFit="1" customWidth="1"/>
    <col min="2307" max="2307" width="8.5703125" bestFit="1" customWidth="1"/>
    <col min="2308" max="2308" width="6.5703125" bestFit="1" customWidth="1"/>
    <col min="2309" max="2310" width="9.42578125" bestFit="1" customWidth="1"/>
    <col min="2311" max="2311" width="10.28515625" bestFit="1" customWidth="1"/>
    <col min="2312" max="2312" width="11.7109375" bestFit="1" customWidth="1"/>
    <col min="2313" max="2313" width="11.42578125" bestFit="1" customWidth="1"/>
    <col min="2314" max="2314" width="9" bestFit="1" customWidth="1"/>
    <col min="2315" max="2317" width="11.42578125" bestFit="1" customWidth="1"/>
    <col min="3811" max="3811" width="9.5703125" bestFit="1" customWidth="1"/>
    <col min="3955" max="3955" width="9.5703125" bestFit="1" customWidth="1"/>
    <col min="4003" max="4003" width="9.5703125" bestFit="1" customWidth="1"/>
    <col min="4105" max="4105" width="9.42578125" bestFit="1" customWidth="1"/>
    <col min="4111" max="4111" width="9.42578125" bestFit="1" customWidth="1"/>
    <col min="4117" max="4117" width="9.42578125" bestFit="1" customWidth="1"/>
    <col min="4123" max="4123" width="9.42578125" bestFit="1" customWidth="1"/>
    <col min="4201" max="4201" width="9.5703125" bestFit="1" customWidth="1"/>
    <col min="4291" max="4291" width="9.42578125" bestFit="1" customWidth="1"/>
    <col min="4297" max="4297" width="9.42578125" bestFit="1" customWidth="1"/>
    <col min="4303" max="4303" width="9.42578125" bestFit="1" customWidth="1"/>
    <col min="4309" max="4309" width="9.42578125" bestFit="1" customWidth="1"/>
    <col min="4315" max="4315" width="9.42578125" bestFit="1" customWidth="1"/>
    <col min="4321" max="4321" width="9.42578125" bestFit="1" customWidth="1"/>
    <col min="4327" max="4327" width="9.42578125" bestFit="1" customWidth="1"/>
    <col min="4333" max="4333" width="9.42578125" bestFit="1" customWidth="1"/>
    <col min="4339" max="4339" width="9.42578125" bestFit="1" customWidth="1"/>
    <col min="4345" max="4345" width="9.42578125" bestFit="1" customWidth="1"/>
    <col min="4351" max="4351" width="9.42578125" bestFit="1" customWidth="1"/>
    <col min="4357" max="4357" width="9.42578125" bestFit="1" customWidth="1"/>
    <col min="4363" max="4363" width="9.42578125" bestFit="1" customWidth="1"/>
    <col min="4369" max="4369" width="9.42578125" bestFit="1" customWidth="1"/>
    <col min="4375" max="4375" width="9.42578125" bestFit="1" customWidth="1"/>
    <col min="4381" max="4381" width="9.42578125" bestFit="1" customWidth="1"/>
    <col min="4387" max="4387" width="9.42578125" bestFit="1" customWidth="1"/>
    <col min="4393" max="4393" width="9.42578125" bestFit="1" customWidth="1"/>
    <col min="4399" max="4399" width="9.42578125" bestFit="1" customWidth="1"/>
    <col min="4405" max="4405" width="9.42578125" bestFit="1" customWidth="1"/>
    <col min="4411" max="4411" width="9.42578125" bestFit="1" customWidth="1"/>
    <col min="4417" max="4417" width="9.42578125" bestFit="1" customWidth="1"/>
    <col min="4423" max="4423" width="9.42578125" bestFit="1" customWidth="1"/>
    <col min="4429" max="4429" width="9.42578125" bestFit="1" customWidth="1"/>
    <col min="4435" max="4435" width="9.42578125" bestFit="1" customWidth="1"/>
    <col min="4441" max="4441" width="9.42578125" bestFit="1" customWidth="1"/>
    <col min="4447" max="4447" width="9.42578125" bestFit="1" customWidth="1"/>
    <col min="4453" max="4453" width="9.42578125" bestFit="1" customWidth="1"/>
    <col min="4459" max="4459" width="9.42578125" bestFit="1" customWidth="1"/>
    <col min="4465" max="4465" width="9.42578125" bestFit="1" customWidth="1"/>
    <col min="4471" max="4471" width="9.42578125" bestFit="1" customWidth="1"/>
    <col min="4477" max="4477" width="9.42578125" bestFit="1" customWidth="1"/>
    <col min="4483" max="4483" width="9.42578125" bestFit="1" customWidth="1"/>
    <col min="4489" max="4489" width="9.42578125" bestFit="1" customWidth="1"/>
    <col min="4495" max="4495" width="9.42578125" bestFit="1" customWidth="1"/>
    <col min="4501" max="4501" width="9.42578125" bestFit="1" customWidth="1"/>
    <col min="4507" max="4507" width="9.42578125" bestFit="1" customWidth="1"/>
    <col min="4513" max="4513" width="9.42578125" bestFit="1" customWidth="1"/>
    <col min="4519" max="4519" width="9.42578125" bestFit="1" customWidth="1"/>
    <col min="4525" max="4525" width="9.42578125" bestFit="1" customWidth="1"/>
    <col min="4531" max="4531" width="9.42578125" bestFit="1" customWidth="1"/>
    <col min="4537" max="4537" width="9.42578125" bestFit="1" customWidth="1"/>
    <col min="4543" max="4543" width="9.42578125" bestFit="1" customWidth="1"/>
    <col min="4549" max="4549" width="9.42578125" bestFit="1" customWidth="1"/>
    <col min="4555" max="4555" width="9.42578125" bestFit="1" customWidth="1"/>
    <col min="4561" max="4561" width="9.42578125" bestFit="1" customWidth="1"/>
    <col min="4567" max="4567" width="9.42578125" bestFit="1" customWidth="1"/>
    <col min="4573" max="4573" width="9.42578125" bestFit="1" customWidth="1"/>
    <col min="4579" max="4579" width="9.42578125" bestFit="1" customWidth="1"/>
    <col min="4585" max="4585" width="9.42578125" bestFit="1" customWidth="1"/>
    <col min="4591" max="4591" width="9.42578125" bestFit="1" customWidth="1"/>
    <col min="4597" max="4597" width="9.42578125" bestFit="1" customWidth="1"/>
    <col min="4603" max="4603" width="9.42578125" bestFit="1" customWidth="1"/>
    <col min="4609" max="4609" width="9.42578125" bestFit="1" customWidth="1"/>
    <col min="4615" max="4615" width="9.42578125" bestFit="1" customWidth="1"/>
    <col min="4621" max="4621" width="9.42578125" bestFit="1" customWidth="1"/>
    <col min="4627" max="4627" width="9.42578125" bestFit="1" customWidth="1"/>
    <col min="4633" max="4633" width="9.42578125" bestFit="1" customWidth="1"/>
    <col min="4639" max="4639" width="9.42578125" bestFit="1" customWidth="1"/>
    <col min="4645" max="4645" width="9.42578125" bestFit="1" customWidth="1"/>
    <col min="4651" max="4651" width="9.42578125" bestFit="1" customWidth="1"/>
    <col min="4657" max="4657" width="9.42578125" bestFit="1" customWidth="1"/>
    <col min="4663" max="4663" width="9.42578125" bestFit="1" customWidth="1"/>
    <col min="4669" max="4669" width="9.42578125" bestFit="1" customWidth="1"/>
    <col min="4675" max="4675" width="9.42578125" bestFit="1" customWidth="1"/>
    <col min="4681" max="4681" width="9.42578125" bestFit="1" customWidth="1"/>
    <col min="4687" max="4687" width="9.42578125" bestFit="1" customWidth="1"/>
    <col min="4693" max="4693" width="9.42578125" bestFit="1" customWidth="1"/>
    <col min="6189" max="6189" width="11.85546875" bestFit="1" customWidth="1"/>
  </cols>
  <sheetData>
    <row r="1" spans="1:39" ht="26.25" thickBot="1" x14ac:dyDescent="0.3">
      <c r="A1" s="29" t="s">
        <v>45</v>
      </c>
      <c r="B1" s="29" t="s">
        <v>0</v>
      </c>
      <c r="C1" s="29" t="s">
        <v>51</v>
      </c>
      <c r="D1" s="29" t="s">
        <v>4</v>
      </c>
      <c r="E1" s="29" t="s">
        <v>41</v>
      </c>
      <c r="F1" s="29" t="s">
        <v>57</v>
      </c>
      <c r="G1" s="29" t="s">
        <v>58</v>
      </c>
      <c r="H1" s="29" t="s">
        <v>80</v>
      </c>
      <c r="I1" s="29" t="s">
        <v>81</v>
      </c>
      <c r="J1" s="29" t="s">
        <v>82</v>
      </c>
      <c r="K1" s="29" t="s">
        <v>83</v>
      </c>
      <c r="L1" s="29" t="s">
        <v>84</v>
      </c>
      <c r="M1" s="29" t="s">
        <v>1</v>
      </c>
      <c r="N1" s="29" t="s">
        <v>2</v>
      </c>
      <c r="O1" s="29" t="s">
        <v>3</v>
      </c>
      <c r="P1" s="29" t="s">
        <v>85</v>
      </c>
      <c r="Q1" s="29" t="s">
        <v>86</v>
      </c>
      <c r="R1" s="29" t="s">
        <v>87</v>
      </c>
      <c r="S1" s="29" t="s">
        <v>88</v>
      </c>
      <c r="T1" s="29" t="s">
        <v>89</v>
      </c>
      <c r="U1" s="29" t="s">
        <v>4</v>
      </c>
      <c r="V1" s="29" t="s">
        <v>5</v>
      </c>
      <c r="W1" s="29" t="s">
        <v>6</v>
      </c>
      <c r="X1" s="29" t="s">
        <v>90</v>
      </c>
      <c r="Y1" s="29" t="s">
        <v>91</v>
      </c>
      <c r="Z1" s="29" t="s">
        <v>7</v>
      </c>
      <c r="AA1" s="29" t="s">
        <v>92</v>
      </c>
      <c r="AB1" s="29" t="s">
        <v>93</v>
      </c>
      <c r="AC1" s="29" t="s">
        <v>94</v>
      </c>
      <c r="AD1" s="29" t="s">
        <v>95</v>
      </c>
      <c r="AE1" s="29" t="s">
        <v>96</v>
      </c>
      <c r="AF1" s="29" t="s">
        <v>343</v>
      </c>
      <c r="AG1" s="29" t="s">
        <v>97</v>
      </c>
      <c r="AH1" s="29" t="s">
        <v>98</v>
      </c>
      <c r="AI1" s="29" t="s">
        <v>99</v>
      </c>
      <c r="AJ1" s="29" t="s">
        <v>100</v>
      </c>
      <c r="AK1" s="29" t="s">
        <v>101</v>
      </c>
      <c r="AL1" s="29" t="s">
        <v>102</v>
      </c>
      <c r="AM1" s="29" t="s">
        <v>344</v>
      </c>
    </row>
    <row r="2" spans="1:39" ht="51" x14ac:dyDescent="0.25">
      <c r="A2" s="4" t="s">
        <v>9</v>
      </c>
      <c r="B2" s="4" t="str">
        <f>VLOOKUP(A2,'Ledger &amp; Group'!A:C,2,0)</f>
        <v>Artsana</v>
      </c>
      <c r="C2" s="4">
        <f>VLOOKUP(A2,'Ledger &amp; Group'!A:C,3,0)</f>
        <v>30</v>
      </c>
      <c r="D2" s="45">
        <f t="shared" ref="D2:D65" si="0">+W2+C2</f>
        <v>84</v>
      </c>
      <c r="E2" s="4" t="str">
        <f ca="1">IF(D2&lt;=TODAY(),IF(ISNA(VLOOKUP(V2,'Unreconciled AR'!C:C,1,0)),"Due","Unreconciled AR"),"Outstanding")</f>
        <v>Due</v>
      </c>
      <c r="F2" s="4">
        <f t="shared" ref="F2:F65" ca="1" si="1">TODAY()-W2</f>
        <v>44645</v>
      </c>
      <c r="G2" s="4" t="e">
        <f ca="1">LOOKUP(F2,{-10000,-60,-30,-15,0,1,10000},{"&gt;60","31-60","16-30","01-15","Due on Today","OS"})</f>
        <v>#N/A</v>
      </c>
      <c r="H2" s="4" t="s">
        <v>103</v>
      </c>
      <c r="I2" s="4" t="s">
        <v>103</v>
      </c>
      <c r="J2" s="4" t="s">
        <v>104</v>
      </c>
      <c r="K2" s="4" t="s">
        <v>111</v>
      </c>
      <c r="L2" s="4" t="s">
        <v>112</v>
      </c>
      <c r="M2" s="4" t="s">
        <v>113</v>
      </c>
      <c r="N2" s="4" t="s">
        <v>110</v>
      </c>
      <c r="O2" s="4" t="s">
        <v>432</v>
      </c>
      <c r="P2" s="5"/>
      <c r="Q2" s="5"/>
      <c r="R2" s="4" t="s">
        <v>433</v>
      </c>
      <c r="S2" s="5"/>
      <c r="T2" s="4" t="s">
        <v>107</v>
      </c>
      <c r="U2" s="45">
        <v>54</v>
      </c>
      <c r="V2" s="4" t="s">
        <v>434</v>
      </c>
      <c r="W2" s="45">
        <v>54</v>
      </c>
      <c r="X2" s="4" t="s">
        <v>8</v>
      </c>
      <c r="Y2" s="5">
        <v>1</v>
      </c>
      <c r="Z2" s="4" t="s">
        <v>108</v>
      </c>
      <c r="AA2" s="5"/>
      <c r="AB2" s="5">
        <v>82</v>
      </c>
      <c r="AC2" s="4" t="s">
        <v>109</v>
      </c>
      <c r="AD2" s="45">
        <v>54</v>
      </c>
      <c r="AE2" s="4" t="s">
        <v>434</v>
      </c>
      <c r="AF2" s="4"/>
      <c r="AG2" s="5">
        <v>1000000</v>
      </c>
      <c r="AH2" s="5">
        <v>1000000</v>
      </c>
      <c r="AI2" s="5">
        <v>0</v>
      </c>
      <c r="AJ2" s="5">
        <v>1000000</v>
      </c>
      <c r="AK2" s="5">
        <v>0</v>
      </c>
      <c r="AL2" s="5">
        <v>1000000</v>
      </c>
      <c r="AM2" s="5"/>
    </row>
    <row r="3" spans="1:39" ht="51" x14ac:dyDescent="0.25">
      <c r="A3" s="4" t="s">
        <v>9</v>
      </c>
      <c r="B3" s="4" t="str">
        <f>VLOOKUP(A3,'Ledger &amp; Group'!A:C,2,0)</f>
        <v>Artsana</v>
      </c>
      <c r="C3" s="4">
        <f>VLOOKUP(A3,'Ledger &amp; Group'!A:C,3,0)</f>
        <v>30</v>
      </c>
      <c r="D3" s="45">
        <f t="shared" si="0"/>
        <v>107</v>
      </c>
      <c r="E3" s="4" t="str">
        <f ca="1">IF(D3&lt;=TODAY(),IF(ISNA(VLOOKUP(V3,'Unreconciled AR'!C:C,1,0)),"Due","Unreconciled AR"),"Outstanding")</f>
        <v>Due</v>
      </c>
      <c r="F3" s="4">
        <f t="shared" ca="1" si="1"/>
        <v>44622</v>
      </c>
      <c r="G3" s="4" t="e">
        <f ca="1">LOOKUP(F3,{-10000,-60,-30,-15,0,1,10000},{"&gt;60","31-60","16-30","01-15","Due on Today","OS"})</f>
        <v>#N/A</v>
      </c>
      <c r="H3" s="4" t="s">
        <v>103</v>
      </c>
      <c r="I3" s="4" t="s">
        <v>103</v>
      </c>
      <c r="J3" s="4" t="s">
        <v>104</v>
      </c>
      <c r="K3" s="4" t="s">
        <v>111</v>
      </c>
      <c r="L3" s="4" t="s">
        <v>112</v>
      </c>
      <c r="M3" s="4" t="s">
        <v>113</v>
      </c>
      <c r="N3" s="4" t="s">
        <v>110</v>
      </c>
      <c r="O3" s="4" t="s">
        <v>432</v>
      </c>
      <c r="P3" s="5"/>
      <c r="Q3" s="5"/>
      <c r="R3" s="4" t="s">
        <v>433</v>
      </c>
      <c r="S3" s="5"/>
      <c r="T3" s="4" t="s">
        <v>107</v>
      </c>
      <c r="U3" s="45">
        <v>77</v>
      </c>
      <c r="V3" s="4" t="s">
        <v>435</v>
      </c>
      <c r="W3" s="45">
        <v>77</v>
      </c>
      <c r="X3" s="4" t="s">
        <v>8</v>
      </c>
      <c r="Y3" s="5">
        <v>1</v>
      </c>
      <c r="Z3" s="4" t="s">
        <v>108</v>
      </c>
      <c r="AA3" s="5"/>
      <c r="AB3" s="5">
        <v>60</v>
      </c>
      <c r="AC3" s="4" t="s">
        <v>109</v>
      </c>
      <c r="AD3" s="45">
        <v>77</v>
      </c>
      <c r="AE3" s="4" t="s">
        <v>435</v>
      </c>
      <c r="AF3" s="4"/>
      <c r="AG3" s="5">
        <v>1000000</v>
      </c>
      <c r="AH3" s="5">
        <v>1000000</v>
      </c>
      <c r="AI3" s="5">
        <v>0</v>
      </c>
      <c r="AJ3" s="5">
        <v>1000000</v>
      </c>
      <c r="AK3" s="5">
        <v>0</v>
      </c>
      <c r="AL3" s="5">
        <v>1000000</v>
      </c>
      <c r="AM3" s="5"/>
    </row>
    <row r="4" spans="1:39" ht="51" x14ac:dyDescent="0.25">
      <c r="A4" s="4" t="s">
        <v>9</v>
      </c>
      <c r="B4" s="4" t="str">
        <f>VLOOKUP(A4,'Ledger &amp; Group'!A:C,2,0)</f>
        <v>Artsana</v>
      </c>
      <c r="C4" s="4">
        <f>VLOOKUP(A4,'Ledger &amp; Group'!A:C,3,0)</f>
        <v>30</v>
      </c>
      <c r="D4" s="45">
        <f t="shared" si="0"/>
        <v>113</v>
      </c>
      <c r="E4" s="4" t="str">
        <f ca="1">IF(D4&lt;=TODAY(),IF(ISNA(VLOOKUP(V4,'Unreconciled AR'!C:C,1,0)),"Due","Unreconciled AR"),"Outstanding")</f>
        <v>Due</v>
      </c>
      <c r="F4" s="4">
        <f t="shared" ca="1" si="1"/>
        <v>44616</v>
      </c>
      <c r="G4" s="4" t="e">
        <f ca="1">LOOKUP(F4,{-10000,-60,-30,-15,0,1,10000},{"&gt;60","31-60","16-30","01-15","Due on Today","OS"})</f>
        <v>#N/A</v>
      </c>
      <c r="H4" s="4" t="s">
        <v>103</v>
      </c>
      <c r="I4" s="4" t="s">
        <v>103</v>
      </c>
      <c r="J4" s="4" t="s">
        <v>104</v>
      </c>
      <c r="K4" s="4" t="s">
        <v>111</v>
      </c>
      <c r="L4" s="4" t="s">
        <v>112</v>
      </c>
      <c r="M4" s="4" t="s">
        <v>113</v>
      </c>
      <c r="N4" s="4" t="s">
        <v>110</v>
      </c>
      <c r="O4" s="4" t="s">
        <v>432</v>
      </c>
      <c r="P4" s="5"/>
      <c r="Q4" s="5"/>
      <c r="R4" s="4" t="s">
        <v>433</v>
      </c>
      <c r="S4" s="5"/>
      <c r="T4" s="4" t="s">
        <v>107</v>
      </c>
      <c r="U4" s="45">
        <v>83</v>
      </c>
      <c r="V4" s="4" t="s">
        <v>436</v>
      </c>
      <c r="W4" s="45">
        <v>83</v>
      </c>
      <c r="X4" s="4" t="s">
        <v>8</v>
      </c>
      <c r="Y4" s="5">
        <v>1</v>
      </c>
      <c r="Z4" s="4" t="s">
        <v>108</v>
      </c>
      <c r="AA4" s="5"/>
      <c r="AB4" s="5">
        <v>54</v>
      </c>
      <c r="AC4" s="4" t="s">
        <v>109</v>
      </c>
      <c r="AD4" s="45">
        <v>83</v>
      </c>
      <c r="AE4" s="4" t="s">
        <v>436</v>
      </c>
      <c r="AF4" s="4"/>
      <c r="AG4" s="5">
        <v>1000000</v>
      </c>
      <c r="AH4" s="5">
        <v>1000000</v>
      </c>
      <c r="AI4" s="5">
        <v>0</v>
      </c>
      <c r="AJ4" s="5">
        <v>1000000</v>
      </c>
      <c r="AK4" s="5">
        <v>0</v>
      </c>
      <c r="AL4" s="5">
        <v>1000000</v>
      </c>
      <c r="AM4" s="5"/>
    </row>
    <row r="5" spans="1:39" ht="51" x14ac:dyDescent="0.25">
      <c r="A5" s="4" t="s">
        <v>9</v>
      </c>
      <c r="B5" s="4" t="str">
        <f>VLOOKUP(A5,'Ledger &amp; Group'!A:C,2,0)</f>
        <v>Artsana</v>
      </c>
      <c r="C5" s="4">
        <f>VLOOKUP(A5,'Ledger &amp; Group'!A:C,3,0)</f>
        <v>30</v>
      </c>
      <c r="D5" s="45">
        <f t="shared" si="0"/>
        <v>119</v>
      </c>
      <c r="E5" s="4" t="str">
        <f ca="1">IF(D5&lt;=TODAY(),IF(ISNA(VLOOKUP(V5,'Unreconciled AR'!C:C,1,0)),"Due","Unreconciled AR"),"Outstanding")</f>
        <v>Due</v>
      </c>
      <c r="F5" s="4">
        <f t="shared" ca="1" si="1"/>
        <v>44610</v>
      </c>
      <c r="G5" s="4" t="e">
        <f ca="1">LOOKUP(F5,{-10000,-60,-30,-15,0,1,10000},{"&gt;60","31-60","16-30","01-15","Due on Today","OS"})</f>
        <v>#N/A</v>
      </c>
      <c r="H5" s="4" t="s">
        <v>103</v>
      </c>
      <c r="I5" s="4" t="s">
        <v>103</v>
      </c>
      <c r="J5" s="4" t="s">
        <v>104</v>
      </c>
      <c r="K5" s="4" t="s">
        <v>111</v>
      </c>
      <c r="L5" s="4" t="s">
        <v>112</v>
      </c>
      <c r="M5" s="4" t="s">
        <v>113</v>
      </c>
      <c r="N5" s="4" t="s">
        <v>110</v>
      </c>
      <c r="O5" s="4" t="s">
        <v>432</v>
      </c>
      <c r="P5" s="5"/>
      <c r="Q5" s="5"/>
      <c r="R5" s="4" t="s">
        <v>433</v>
      </c>
      <c r="S5" s="5"/>
      <c r="T5" s="4" t="s">
        <v>107</v>
      </c>
      <c r="U5" s="45">
        <v>89</v>
      </c>
      <c r="V5" s="4" t="s">
        <v>437</v>
      </c>
      <c r="W5" s="45">
        <v>89</v>
      </c>
      <c r="X5" s="4" t="s">
        <v>8</v>
      </c>
      <c r="Y5" s="5">
        <v>1</v>
      </c>
      <c r="Z5" s="4" t="s">
        <v>108</v>
      </c>
      <c r="AA5" s="5"/>
      <c r="AB5" s="5">
        <v>48</v>
      </c>
      <c r="AC5" s="4" t="s">
        <v>109</v>
      </c>
      <c r="AD5" s="45">
        <v>89</v>
      </c>
      <c r="AE5" s="4" t="s">
        <v>437</v>
      </c>
      <c r="AF5" s="4"/>
      <c r="AG5" s="5">
        <v>1000000</v>
      </c>
      <c r="AH5" s="5">
        <v>1000000</v>
      </c>
      <c r="AI5" s="5">
        <v>0</v>
      </c>
      <c r="AJ5" s="5">
        <v>1000000</v>
      </c>
      <c r="AK5" s="5">
        <v>0</v>
      </c>
      <c r="AL5" s="5">
        <v>1000000</v>
      </c>
      <c r="AM5" s="5"/>
    </row>
    <row r="6" spans="1:39" ht="51" x14ac:dyDescent="0.25">
      <c r="A6" s="4" t="s">
        <v>9</v>
      </c>
      <c r="B6" s="4" t="str">
        <f>VLOOKUP(A6,'Ledger &amp; Group'!A:C,2,0)</f>
        <v>Artsana</v>
      </c>
      <c r="C6" s="4">
        <f>VLOOKUP(A6,'Ledger &amp; Group'!A:C,3,0)</f>
        <v>30</v>
      </c>
      <c r="D6" s="45">
        <f t="shared" si="0"/>
        <v>119</v>
      </c>
      <c r="E6" s="4" t="str">
        <f ca="1">IF(D6&lt;=TODAY(),IF(ISNA(VLOOKUP(V6,'Unreconciled AR'!C:C,1,0)),"Due","Unreconciled AR"),"Outstanding")</f>
        <v>Due</v>
      </c>
      <c r="F6" s="4">
        <f t="shared" ca="1" si="1"/>
        <v>44610</v>
      </c>
      <c r="G6" s="4" t="e">
        <f ca="1">LOOKUP(F6,{-10000,-60,-30,-15,0,1,10000},{"&gt;60","31-60","16-30","01-15","Due on Today","OS"})</f>
        <v>#N/A</v>
      </c>
      <c r="H6" s="4" t="s">
        <v>103</v>
      </c>
      <c r="I6" s="4" t="s">
        <v>103</v>
      </c>
      <c r="J6" s="4" t="s">
        <v>104</v>
      </c>
      <c r="K6" s="4" t="s">
        <v>111</v>
      </c>
      <c r="L6" s="4" t="s">
        <v>112</v>
      </c>
      <c r="M6" s="4" t="s">
        <v>113</v>
      </c>
      <c r="N6" s="4" t="s">
        <v>110</v>
      </c>
      <c r="O6" s="4" t="s">
        <v>432</v>
      </c>
      <c r="P6" s="5"/>
      <c r="Q6" s="5"/>
      <c r="R6" s="4" t="s">
        <v>433</v>
      </c>
      <c r="S6" s="5"/>
      <c r="T6" s="4" t="s">
        <v>107</v>
      </c>
      <c r="U6" s="45">
        <v>89</v>
      </c>
      <c r="V6" s="4" t="s">
        <v>438</v>
      </c>
      <c r="W6" s="45">
        <v>89</v>
      </c>
      <c r="X6" s="4" t="s">
        <v>8</v>
      </c>
      <c r="Y6" s="5">
        <v>1</v>
      </c>
      <c r="Z6" s="4" t="s">
        <v>108</v>
      </c>
      <c r="AA6" s="5"/>
      <c r="AB6" s="5">
        <v>48</v>
      </c>
      <c r="AC6" s="4" t="s">
        <v>109</v>
      </c>
      <c r="AD6" s="45">
        <v>89</v>
      </c>
      <c r="AE6" s="4" t="s">
        <v>438</v>
      </c>
      <c r="AF6" s="4"/>
      <c r="AG6" s="5">
        <v>1000000</v>
      </c>
      <c r="AH6" s="5">
        <v>1000000</v>
      </c>
      <c r="AI6" s="5">
        <v>0</v>
      </c>
      <c r="AJ6" s="5">
        <v>1000000</v>
      </c>
      <c r="AK6" s="5">
        <v>0</v>
      </c>
      <c r="AL6" s="5">
        <v>1000000</v>
      </c>
      <c r="AM6" s="5"/>
    </row>
    <row r="7" spans="1:39" ht="51" x14ac:dyDescent="0.25">
      <c r="A7" s="4" t="s">
        <v>9</v>
      </c>
      <c r="B7" s="4" t="str">
        <f>VLOOKUP(A7,'Ledger &amp; Group'!A:C,2,0)</f>
        <v>Artsana</v>
      </c>
      <c r="C7" s="4">
        <f>VLOOKUP(A7,'Ledger &amp; Group'!A:C,3,0)</f>
        <v>30</v>
      </c>
      <c r="D7" s="45">
        <f t="shared" si="0"/>
        <v>132</v>
      </c>
      <c r="E7" s="4" t="str">
        <f ca="1">IF(D7&lt;=TODAY(),IF(ISNA(VLOOKUP(V7,'Unreconciled AR'!C:C,1,0)),"Due","Unreconciled AR"),"Outstanding")</f>
        <v>Due</v>
      </c>
      <c r="F7" s="4">
        <f t="shared" ca="1" si="1"/>
        <v>44597</v>
      </c>
      <c r="G7" s="4" t="e">
        <f ca="1">LOOKUP(F7,{-10000,-60,-30,-15,0,1,10000},{"&gt;60","31-60","16-30","01-15","Due on Today","OS"})</f>
        <v>#N/A</v>
      </c>
      <c r="H7" s="4" t="s">
        <v>103</v>
      </c>
      <c r="I7" s="4" t="s">
        <v>103</v>
      </c>
      <c r="J7" s="4" t="s">
        <v>104</v>
      </c>
      <c r="K7" s="4" t="s">
        <v>111</v>
      </c>
      <c r="L7" s="4" t="s">
        <v>112</v>
      </c>
      <c r="M7" s="4" t="s">
        <v>113</v>
      </c>
      <c r="N7" s="4" t="s">
        <v>110</v>
      </c>
      <c r="O7" s="4" t="s">
        <v>432</v>
      </c>
      <c r="P7" s="5"/>
      <c r="Q7" s="5"/>
      <c r="R7" s="4" t="s">
        <v>433</v>
      </c>
      <c r="S7" s="5"/>
      <c r="T7" s="4" t="s">
        <v>107</v>
      </c>
      <c r="U7" s="45">
        <v>102</v>
      </c>
      <c r="V7" s="4" t="s">
        <v>228</v>
      </c>
      <c r="W7" s="45">
        <v>102</v>
      </c>
      <c r="X7" s="4" t="s">
        <v>8</v>
      </c>
      <c r="Y7" s="5">
        <v>1</v>
      </c>
      <c r="Z7" s="4" t="s">
        <v>108</v>
      </c>
      <c r="AA7" s="5"/>
      <c r="AB7" s="5">
        <v>35</v>
      </c>
      <c r="AC7" s="4" t="s">
        <v>109</v>
      </c>
      <c r="AD7" s="45">
        <v>102</v>
      </c>
      <c r="AE7" s="4" t="s">
        <v>228</v>
      </c>
      <c r="AF7" s="4"/>
      <c r="AG7" s="5">
        <v>1000000</v>
      </c>
      <c r="AH7" s="5">
        <v>1000000</v>
      </c>
      <c r="AI7" s="5">
        <v>0</v>
      </c>
      <c r="AJ7" s="5">
        <v>1000000</v>
      </c>
      <c r="AK7" s="5">
        <v>0</v>
      </c>
      <c r="AL7" s="5">
        <v>1000000</v>
      </c>
      <c r="AM7" s="5"/>
    </row>
    <row r="8" spans="1:39" ht="51" x14ac:dyDescent="0.25">
      <c r="A8" s="4" t="s">
        <v>9</v>
      </c>
      <c r="B8" s="4" t="str">
        <f>VLOOKUP(A8,'Ledger &amp; Group'!A:C,2,0)</f>
        <v>Artsana</v>
      </c>
      <c r="C8" s="4">
        <f>VLOOKUP(A8,'Ledger &amp; Group'!A:C,3,0)</f>
        <v>30</v>
      </c>
      <c r="D8" s="45">
        <f t="shared" si="0"/>
        <v>141</v>
      </c>
      <c r="E8" s="4" t="str">
        <f ca="1">IF(D8&lt;=TODAY(),IF(ISNA(VLOOKUP(V8,'Unreconciled AR'!C:C,1,0)),"Due","Unreconciled AR"),"Outstanding")</f>
        <v>Due</v>
      </c>
      <c r="F8" s="4">
        <f t="shared" ca="1" si="1"/>
        <v>44588</v>
      </c>
      <c r="G8" s="4" t="e">
        <f ca="1">LOOKUP(F8,{-10000,-60,-30,-15,0,1,10000},{"&gt;60","31-60","16-30","01-15","Due on Today","OS"})</f>
        <v>#N/A</v>
      </c>
      <c r="H8" s="4" t="s">
        <v>103</v>
      </c>
      <c r="I8" s="4" t="s">
        <v>103</v>
      </c>
      <c r="J8" s="4" t="s">
        <v>104</v>
      </c>
      <c r="K8" s="4" t="s">
        <v>111</v>
      </c>
      <c r="L8" s="4" t="s">
        <v>112</v>
      </c>
      <c r="M8" s="4" t="s">
        <v>113</v>
      </c>
      <c r="N8" s="4" t="s">
        <v>110</v>
      </c>
      <c r="O8" s="4" t="s">
        <v>432</v>
      </c>
      <c r="P8" s="5"/>
      <c r="Q8" s="5"/>
      <c r="R8" s="4" t="s">
        <v>433</v>
      </c>
      <c r="S8" s="5"/>
      <c r="T8" s="4" t="s">
        <v>107</v>
      </c>
      <c r="U8" s="45">
        <v>111</v>
      </c>
      <c r="V8" s="4" t="s">
        <v>268</v>
      </c>
      <c r="W8" s="45">
        <v>111</v>
      </c>
      <c r="X8" s="4" t="s">
        <v>8</v>
      </c>
      <c r="Y8" s="5">
        <v>1</v>
      </c>
      <c r="Z8" s="4" t="s">
        <v>108</v>
      </c>
      <c r="AA8" s="5"/>
      <c r="AB8" s="5">
        <v>26</v>
      </c>
      <c r="AC8" s="4" t="s">
        <v>109</v>
      </c>
      <c r="AD8" s="45">
        <v>111</v>
      </c>
      <c r="AE8" s="4" t="s">
        <v>268</v>
      </c>
      <c r="AF8" s="4"/>
      <c r="AG8" s="5">
        <v>1000000</v>
      </c>
      <c r="AH8" s="5">
        <v>1000000</v>
      </c>
      <c r="AI8" s="5">
        <v>0</v>
      </c>
      <c r="AJ8" s="5">
        <v>1000000</v>
      </c>
      <c r="AK8" s="5">
        <v>0</v>
      </c>
      <c r="AL8" s="5">
        <v>1000000</v>
      </c>
      <c r="AM8" s="5"/>
    </row>
    <row r="9" spans="1:39" ht="51" x14ac:dyDescent="0.25">
      <c r="A9" s="4" t="s">
        <v>9</v>
      </c>
      <c r="B9" s="4" t="str">
        <f>VLOOKUP(A9,'Ledger &amp; Group'!A:C,2,0)</f>
        <v>Artsana</v>
      </c>
      <c r="C9" s="4">
        <f>VLOOKUP(A9,'Ledger &amp; Group'!A:C,3,0)</f>
        <v>30</v>
      </c>
      <c r="D9" s="45">
        <f t="shared" si="0"/>
        <v>148</v>
      </c>
      <c r="E9" s="4" t="str">
        <f ca="1">IF(D9&lt;=TODAY(),IF(ISNA(VLOOKUP(V9,'Unreconciled AR'!C:C,1,0)),"Due","Unreconciled AR"),"Outstanding")</f>
        <v>Due</v>
      </c>
      <c r="F9" s="4">
        <f t="shared" ca="1" si="1"/>
        <v>44581</v>
      </c>
      <c r="G9" s="4" t="e">
        <f ca="1">LOOKUP(F9,{-10000,-60,-30,-15,0,1,10000},{"&gt;60","31-60","16-30","01-15","Due on Today","OS"})</f>
        <v>#N/A</v>
      </c>
      <c r="H9" s="4" t="s">
        <v>103</v>
      </c>
      <c r="I9" s="4" t="s">
        <v>103</v>
      </c>
      <c r="J9" s="4" t="s">
        <v>104</v>
      </c>
      <c r="K9" s="4" t="s">
        <v>111</v>
      </c>
      <c r="L9" s="4" t="s">
        <v>112</v>
      </c>
      <c r="M9" s="4" t="s">
        <v>113</v>
      </c>
      <c r="N9" s="4" t="s">
        <v>110</v>
      </c>
      <c r="O9" s="4" t="s">
        <v>432</v>
      </c>
      <c r="P9" s="5"/>
      <c r="Q9" s="5"/>
      <c r="R9" s="4" t="s">
        <v>433</v>
      </c>
      <c r="S9" s="5"/>
      <c r="T9" s="4" t="s">
        <v>107</v>
      </c>
      <c r="U9" s="45">
        <v>118</v>
      </c>
      <c r="V9" s="4" t="s">
        <v>291</v>
      </c>
      <c r="W9" s="45">
        <v>118</v>
      </c>
      <c r="X9" s="4" t="s">
        <v>8</v>
      </c>
      <c r="Y9" s="5">
        <v>1</v>
      </c>
      <c r="Z9" s="4" t="s">
        <v>108</v>
      </c>
      <c r="AA9" s="5"/>
      <c r="AB9" s="5">
        <v>19</v>
      </c>
      <c r="AC9" s="4" t="s">
        <v>109</v>
      </c>
      <c r="AD9" s="45">
        <v>118</v>
      </c>
      <c r="AE9" s="4" t="s">
        <v>291</v>
      </c>
      <c r="AF9" s="4"/>
      <c r="AG9" s="5">
        <v>1000000</v>
      </c>
      <c r="AH9" s="5">
        <v>1000000</v>
      </c>
      <c r="AI9" s="5">
        <v>0</v>
      </c>
      <c r="AJ9" s="5">
        <v>1000000</v>
      </c>
      <c r="AK9" s="5">
        <v>0</v>
      </c>
      <c r="AL9" s="5">
        <v>1000000</v>
      </c>
      <c r="AM9" s="5"/>
    </row>
    <row r="10" spans="1:39" ht="51" x14ac:dyDescent="0.25">
      <c r="A10" s="4" t="s">
        <v>9</v>
      </c>
      <c r="B10" s="4" t="str">
        <f>VLOOKUP(A10,'Ledger &amp; Group'!A:C,2,0)</f>
        <v>Artsana</v>
      </c>
      <c r="C10" s="4">
        <f>VLOOKUP(A10,'Ledger &amp; Group'!A:C,3,0)</f>
        <v>30</v>
      </c>
      <c r="D10" s="45">
        <f t="shared" si="0"/>
        <v>154</v>
      </c>
      <c r="E10" s="4" t="str">
        <f ca="1">IF(D10&lt;=TODAY(),IF(ISNA(VLOOKUP(V10,'Unreconciled AR'!C:C,1,0)),"Due","Unreconciled AR"),"Outstanding")</f>
        <v>Due</v>
      </c>
      <c r="F10" s="4">
        <f t="shared" ca="1" si="1"/>
        <v>44575</v>
      </c>
      <c r="G10" s="4" t="e">
        <f ca="1">LOOKUP(F10,{-10000,-60,-30,-15,0,1,10000},{"&gt;60","31-60","16-30","01-15","Due on Today","OS"})</f>
        <v>#N/A</v>
      </c>
      <c r="H10" s="4" t="s">
        <v>103</v>
      </c>
      <c r="I10" s="4" t="s">
        <v>103</v>
      </c>
      <c r="J10" s="4" t="s">
        <v>104</v>
      </c>
      <c r="K10" s="4" t="s">
        <v>111</v>
      </c>
      <c r="L10" s="4" t="s">
        <v>112</v>
      </c>
      <c r="M10" s="4" t="s">
        <v>113</v>
      </c>
      <c r="N10" s="4" t="s">
        <v>110</v>
      </c>
      <c r="O10" s="4" t="s">
        <v>432</v>
      </c>
      <c r="P10" s="5"/>
      <c r="Q10" s="5"/>
      <c r="R10" s="4" t="s">
        <v>433</v>
      </c>
      <c r="S10" s="5"/>
      <c r="T10" s="4" t="s">
        <v>107</v>
      </c>
      <c r="U10" s="45">
        <v>124</v>
      </c>
      <c r="V10" s="4" t="s">
        <v>317</v>
      </c>
      <c r="W10" s="45">
        <v>124</v>
      </c>
      <c r="X10" s="4" t="s">
        <v>8</v>
      </c>
      <c r="Y10" s="5">
        <v>1</v>
      </c>
      <c r="Z10" s="4" t="s">
        <v>108</v>
      </c>
      <c r="AA10" s="5"/>
      <c r="AB10" s="5">
        <v>13</v>
      </c>
      <c r="AC10" s="4" t="s">
        <v>109</v>
      </c>
      <c r="AD10" s="45">
        <v>124</v>
      </c>
      <c r="AE10" s="4" t="s">
        <v>317</v>
      </c>
      <c r="AF10" s="5"/>
      <c r="AG10" s="5">
        <v>1000000</v>
      </c>
      <c r="AH10" s="5">
        <v>1000000</v>
      </c>
      <c r="AI10" s="5">
        <v>0</v>
      </c>
      <c r="AJ10" s="5">
        <v>1000000</v>
      </c>
      <c r="AK10" s="5">
        <v>0</v>
      </c>
      <c r="AL10" s="5">
        <v>1000000</v>
      </c>
      <c r="AM10" s="5"/>
    </row>
    <row r="11" spans="1:39" ht="51" x14ac:dyDescent="0.25">
      <c r="A11" s="4" t="s">
        <v>176</v>
      </c>
      <c r="B11" s="4" t="str">
        <f>VLOOKUP(A11,'Ledger &amp; Group'!A:C,2,0)</f>
        <v>Artsana</v>
      </c>
      <c r="C11" s="4">
        <f>VLOOKUP(A11,'Ledger &amp; Group'!A:C,3,0)</f>
        <v>30</v>
      </c>
      <c r="D11" s="45">
        <f t="shared" si="0"/>
        <v>393</v>
      </c>
      <c r="E11" s="4" t="str">
        <f ca="1">IF(D11&lt;=TODAY(),IF(ISNA(VLOOKUP(V11,'Unreconciled AR'!C:C,1,0)),"Due","Unreconciled AR"),"Outstanding")</f>
        <v>Due</v>
      </c>
      <c r="F11" s="4">
        <f t="shared" ca="1" si="1"/>
        <v>44336</v>
      </c>
      <c r="G11" s="4" t="e">
        <f ca="1">LOOKUP(F11,{-10000,-60,-30,-15,0,1,10000},{"&gt;60","31-60","16-30","01-15","Due on Today","OS"})</f>
        <v>#N/A</v>
      </c>
      <c r="H11" s="4" t="s">
        <v>103</v>
      </c>
      <c r="I11" s="4" t="s">
        <v>103</v>
      </c>
      <c r="J11" s="4" t="s">
        <v>104</v>
      </c>
      <c r="K11" s="4" t="s">
        <v>111</v>
      </c>
      <c r="L11" s="4" t="s">
        <v>112</v>
      </c>
      <c r="M11" s="4" t="s">
        <v>113</v>
      </c>
      <c r="N11" s="4" t="s">
        <v>103</v>
      </c>
      <c r="O11" s="4" t="s">
        <v>432</v>
      </c>
      <c r="P11" s="5"/>
      <c r="Q11" s="5"/>
      <c r="R11" s="4" t="s">
        <v>433</v>
      </c>
      <c r="S11" s="5"/>
      <c r="T11" s="4" t="s">
        <v>107</v>
      </c>
      <c r="U11" s="45">
        <v>363</v>
      </c>
      <c r="V11" s="4" t="s">
        <v>439</v>
      </c>
      <c r="W11" s="45">
        <v>363</v>
      </c>
      <c r="X11" s="4" t="s">
        <v>8</v>
      </c>
      <c r="Y11" s="5">
        <v>1</v>
      </c>
      <c r="Z11" s="4" t="s">
        <v>108</v>
      </c>
      <c r="AA11" s="5"/>
      <c r="AB11" s="5">
        <v>139</v>
      </c>
      <c r="AC11" s="4" t="s">
        <v>109</v>
      </c>
      <c r="AD11" s="45">
        <v>363</v>
      </c>
      <c r="AE11" s="4" t="s">
        <v>439</v>
      </c>
      <c r="AF11" s="5"/>
      <c r="AG11" s="5">
        <v>1000000</v>
      </c>
      <c r="AH11" s="5">
        <v>1000000</v>
      </c>
      <c r="AI11" s="5">
        <v>0</v>
      </c>
      <c r="AJ11" s="5">
        <v>1000000</v>
      </c>
      <c r="AK11" s="5">
        <v>0</v>
      </c>
      <c r="AL11" s="5">
        <v>1000000</v>
      </c>
      <c r="AM11" s="5"/>
    </row>
    <row r="12" spans="1:39" ht="51" x14ac:dyDescent="0.25">
      <c r="A12" s="4" t="s">
        <v>176</v>
      </c>
      <c r="B12" s="4" t="str">
        <f>VLOOKUP(A12,'Ledger &amp; Group'!A:C,2,0)</f>
        <v>Artsana</v>
      </c>
      <c r="C12" s="4">
        <f>VLOOKUP(A12,'Ledger &amp; Group'!A:C,3,0)</f>
        <v>30</v>
      </c>
      <c r="D12" s="45">
        <f t="shared" si="0"/>
        <v>33</v>
      </c>
      <c r="E12" s="4" t="str">
        <f ca="1">IF(D12&lt;=TODAY(),IF(ISNA(VLOOKUP(V12,'Unreconciled AR'!C:C,1,0)),"Due","Unreconciled AR"),"Outstanding")</f>
        <v>Due</v>
      </c>
      <c r="F12" s="4">
        <f t="shared" ca="1" si="1"/>
        <v>44696</v>
      </c>
      <c r="G12" s="4" t="e">
        <f ca="1">LOOKUP(F12,{-10000,-60,-30,-15,0,1,10000},{"&gt;60","31-60","16-30","01-15","Due on Today","OS"})</f>
        <v>#N/A</v>
      </c>
      <c r="H12" s="4" t="s">
        <v>103</v>
      </c>
      <c r="I12" s="4" t="s">
        <v>103</v>
      </c>
      <c r="J12" s="4" t="s">
        <v>104</v>
      </c>
      <c r="K12" s="4" t="s">
        <v>111</v>
      </c>
      <c r="L12" s="4" t="s">
        <v>112</v>
      </c>
      <c r="M12" s="4" t="s">
        <v>113</v>
      </c>
      <c r="N12" s="4" t="s">
        <v>103</v>
      </c>
      <c r="O12" s="4" t="s">
        <v>432</v>
      </c>
      <c r="P12" s="5"/>
      <c r="Q12" s="5"/>
      <c r="R12" s="4" t="s">
        <v>433</v>
      </c>
      <c r="S12" s="5"/>
      <c r="T12" s="4" t="s">
        <v>107</v>
      </c>
      <c r="U12" s="45">
        <v>3</v>
      </c>
      <c r="V12" s="4" t="s">
        <v>440</v>
      </c>
      <c r="W12" s="45">
        <v>3</v>
      </c>
      <c r="X12" s="4" t="s">
        <v>8</v>
      </c>
      <c r="Y12" s="5">
        <v>1</v>
      </c>
      <c r="Z12" s="4" t="s">
        <v>108</v>
      </c>
      <c r="AA12" s="5"/>
      <c r="AB12" s="5">
        <v>133</v>
      </c>
      <c r="AC12" s="4" t="s">
        <v>109</v>
      </c>
      <c r="AD12" s="45">
        <v>3</v>
      </c>
      <c r="AE12" s="4" t="s">
        <v>440</v>
      </c>
      <c r="AF12" s="5"/>
      <c r="AG12" s="5">
        <v>1000000</v>
      </c>
      <c r="AH12" s="5">
        <v>1000000</v>
      </c>
      <c r="AI12" s="5">
        <v>0</v>
      </c>
      <c r="AJ12" s="5">
        <v>1000000</v>
      </c>
      <c r="AK12" s="5">
        <v>0</v>
      </c>
      <c r="AL12" s="5">
        <v>1000000</v>
      </c>
      <c r="AM12" s="5"/>
    </row>
    <row r="13" spans="1:39" ht="51" x14ac:dyDescent="0.25">
      <c r="A13" s="4" t="s">
        <v>176</v>
      </c>
      <c r="B13" s="4" t="str">
        <f>VLOOKUP(A13,'Ledger &amp; Group'!A:C,2,0)</f>
        <v>Artsana</v>
      </c>
      <c r="C13" s="4">
        <f>VLOOKUP(A13,'Ledger &amp; Group'!A:C,3,0)</f>
        <v>30</v>
      </c>
      <c r="D13" s="45">
        <f t="shared" si="0"/>
        <v>38</v>
      </c>
      <c r="E13" s="4" t="str">
        <f ca="1">IF(D13&lt;=TODAY(),IF(ISNA(VLOOKUP(V13,'Unreconciled AR'!C:C,1,0)),"Due","Unreconciled AR"),"Outstanding")</f>
        <v>Due</v>
      </c>
      <c r="F13" s="4">
        <f t="shared" ca="1" si="1"/>
        <v>44691</v>
      </c>
      <c r="G13" s="4" t="e">
        <f ca="1">LOOKUP(F13,{-10000,-60,-30,-15,0,1,10000},{"&gt;60","31-60","16-30","01-15","Due on Today","OS"})</f>
        <v>#N/A</v>
      </c>
      <c r="H13" s="4" t="s">
        <v>103</v>
      </c>
      <c r="I13" s="4" t="s">
        <v>103</v>
      </c>
      <c r="J13" s="4" t="s">
        <v>104</v>
      </c>
      <c r="K13" s="4" t="s">
        <v>111</v>
      </c>
      <c r="L13" s="4" t="s">
        <v>112</v>
      </c>
      <c r="M13" s="4" t="s">
        <v>113</v>
      </c>
      <c r="N13" s="4" t="s">
        <v>103</v>
      </c>
      <c r="O13" s="4" t="s">
        <v>432</v>
      </c>
      <c r="P13" s="5"/>
      <c r="Q13" s="5"/>
      <c r="R13" s="4" t="s">
        <v>433</v>
      </c>
      <c r="S13" s="5"/>
      <c r="T13" s="4" t="s">
        <v>107</v>
      </c>
      <c r="U13" s="45">
        <v>8</v>
      </c>
      <c r="V13" s="4" t="s">
        <v>441</v>
      </c>
      <c r="W13" s="45">
        <v>8</v>
      </c>
      <c r="X13" s="4" t="s">
        <v>8</v>
      </c>
      <c r="Y13" s="5">
        <v>1</v>
      </c>
      <c r="Z13" s="4" t="s">
        <v>108</v>
      </c>
      <c r="AA13" s="5"/>
      <c r="AB13" s="5">
        <v>128</v>
      </c>
      <c r="AC13" s="4" t="s">
        <v>109</v>
      </c>
      <c r="AD13" s="45">
        <v>8</v>
      </c>
      <c r="AE13" s="4" t="s">
        <v>441</v>
      </c>
      <c r="AF13" s="5"/>
      <c r="AG13" s="5">
        <v>1000000</v>
      </c>
      <c r="AH13" s="5">
        <v>1000000</v>
      </c>
      <c r="AI13" s="5">
        <v>0</v>
      </c>
      <c r="AJ13" s="5">
        <v>1000000</v>
      </c>
      <c r="AK13" s="5">
        <v>0</v>
      </c>
      <c r="AL13" s="5">
        <v>1000000</v>
      </c>
      <c r="AM13" s="5"/>
    </row>
    <row r="14" spans="1:39" ht="51" x14ac:dyDescent="0.25">
      <c r="A14" s="4" t="s">
        <v>176</v>
      </c>
      <c r="B14" s="4" t="str">
        <f>VLOOKUP(A14,'Ledger &amp; Group'!A:C,2,0)</f>
        <v>Artsana</v>
      </c>
      <c r="C14" s="4">
        <f>VLOOKUP(A14,'Ledger &amp; Group'!A:C,3,0)</f>
        <v>30</v>
      </c>
      <c r="D14" s="45">
        <f t="shared" si="0"/>
        <v>38</v>
      </c>
      <c r="E14" s="4" t="str">
        <f ca="1">IF(D14&lt;=TODAY(),IF(ISNA(VLOOKUP(V14,'Unreconciled AR'!C:C,1,0)),"Due","Unreconciled AR"),"Outstanding")</f>
        <v>Due</v>
      </c>
      <c r="F14" s="4">
        <f t="shared" ca="1" si="1"/>
        <v>44691</v>
      </c>
      <c r="G14" s="4" t="e">
        <f ca="1">LOOKUP(F14,{-10000,-60,-30,-15,0,1,10000},{"&gt;60","31-60","16-30","01-15","Due on Today","OS"})</f>
        <v>#N/A</v>
      </c>
      <c r="H14" s="4" t="s">
        <v>103</v>
      </c>
      <c r="I14" s="4" t="s">
        <v>103</v>
      </c>
      <c r="J14" s="4" t="s">
        <v>104</v>
      </c>
      <c r="K14" s="4" t="s">
        <v>111</v>
      </c>
      <c r="L14" s="4" t="s">
        <v>112</v>
      </c>
      <c r="M14" s="4" t="s">
        <v>113</v>
      </c>
      <c r="N14" s="4" t="s">
        <v>103</v>
      </c>
      <c r="O14" s="4" t="s">
        <v>432</v>
      </c>
      <c r="P14" s="5"/>
      <c r="Q14" s="5"/>
      <c r="R14" s="4" t="s">
        <v>433</v>
      </c>
      <c r="S14" s="5"/>
      <c r="T14" s="4" t="s">
        <v>107</v>
      </c>
      <c r="U14" s="45">
        <v>8</v>
      </c>
      <c r="V14" s="4" t="s">
        <v>442</v>
      </c>
      <c r="W14" s="45">
        <v>8</v>
      </c>
      <c r="X14" s="4" t="s">
        <v>8</v>
      </c>
      <c r="Y14" s="5">
        <v>1</v>
      </c>
      <c r="Z14" s="4" t="s">
        <v>108</v>
      </c>
      <c r="AA14" s="5"/>
      <c r="AB14" s="5">
        <v>128</v>
      </c>
      <c r="AC14" s="4" t="s">
        <v>109</v>
      </c>
      <c r="AD14" s="45">
        <v>8</v>
      </c>
      <c r="AE14" s="4" t="s">
        <v>442</v>
      </c>
      <c r="AF14" s="5"/>
      <c r="AG14" s="5">
        <v>1000000</v>
      </c>
      <c r="AH14" s="5">
        <v>1000000</v>
      </c>
      <c r="AI14" s="5">
        <v>0</v>
      </c>
      <c r="AJ14" s="5">
        <v>1000000</v>
      </c>
      <c r="AK14" s="5">
        <v>0</v>
      </c>
      <c r="AL14" s="5">
        <v>1000000</v>
      </c>
      <c r="AM14" s="5"/>
    </row>
    <row r="15" spans="1:39" ht="51" x14ac:dyDescent="0.25">
      <c r="A15" s="4" t="s">
        <v>176</v>
      </c>
      <c r="B15" s="4" t="str">
        <f>VLOOKUP(A15,'Ledger &amp; Group'!A:C,2,0)</f>
        <v>Artsana</v>
      </c>
      <c r="C15" s="4">
        <f>VLOOKUP(A15,'Ledger &amp; Group'!A:C,3,0)</f>
        <v>30</v>
      </c>
      <c r="D15" s="45">
        <f t="shared" si="0"/>
        <v>58</v>
      </c>
      <c r="E15" s="4" t="str">
        <f ca="1">IF(D15&lt;=TODAY(),IF(ISNA(VLOOKUP(V15,'Unreconciled AR'!C:C,1,0)),"Due","Unreconciled AR"),"Outstanding")</f>
        <v>Due</v>
      </c>
      <c r="F15" s="4">
        <f t="shared" ca="1" si="1"/>
        <v>44671</v>
      </c>
      <c r="G15" s="4" t="e">
        <f ca="1">LOOKUP(F15,{-10000,-60,-30,-15,0,1,10000},{"&gt;60","31-60","16-30","01-15","Due on Today","OS"})</f>
        <v>#N/A</v>
      </c>
      <c r="H15" s="4" t="s">
        <v>103</v>
      </c>
      <c r="I15" s="4" t="s">
        <v>103</v>
      </c>
      <c r="J15" s="4" t="s">
        <v>104</v>
      </c>
      <c r="K15" s="4" t="s">
        <v>111</v>
      </c>
      <c r="L15" s="4" t="s">
        <v>112</v>
      </c>
      <c r="M15" s="4" t="s">
        <v>113</v>
      </c>
      <c r="N15" s="4" t="s">
        <v>103</v>
      </c>
      <c r="O15" s="4" t="s">
        <v>432</v>
      </c>
      <c r="P15" s="5"/>
      <c r="Q15" s="5"/>
      <c r="R15" s="4" t="s">
        <v>433</v>
      </c>
      <c r="S15" s="5"/>
      <c r="T15" s="4" t="s">
        <v>107</v>
      </c>
      <c r="U15" s="45">
        <v>28</v>
      </c>
      <c r="V15" s="4" t="s">
        <v>443</v>
      </c>
      <c r="W15" s="45">
        <v>28</v>
      </c>
      <c r="X15" s="4" t="s">
        <v>8</v>
      </c>
      <c r="Y15" s="5">
        <v>1</v>
      </c>
      <c r="Z15" s="4" t="s">
        <v>108</v>
      </c>
      <c r="AA15" s="5"/>
      <c r="AB15" s="5">
        <v>108</v>
      </c>
      <c r="AC15" s="4" t="s">
        <v>109</v>
      </c>
      <c r="AD15" s="45">
        <v>28</v>
      </c>
      <c r="AE15" s="4" t="s">
        <v>443</v>
      </c>
      <c r="AF15" s="5"/>
      <c r="AG15" s="5">
        <v>1000000</v>
      </c>
      <c r="AH15" s="5">
        <v>1000000</v>
      </c>
      <c r="AI15" s="5">
        <v>0</v>
      </c>
      <c r="AJ15" s="5">
        <v>1000000</v>
      </c>
      <c r="AK15" s="5">
        <v>0</v>
      </c>
      <c r="AL15" s="5">
        <v>1000000</v>
      </c>
      <c r="AM15" s="5"/>
    </row>
    <row r="16" spans="1:39" ht="51" x14ac:dyDescent="0.25">
      <c r="A16" s="4" t="s">
        <v>10</v>
      </c>
      <c r="B16" s="4" t="str">
        <f>VLOOKUP(A16,'Ledger &amp; Group'!A:C,2,0)</f>
        <v>Artsana</v>
      </c>
      <c r="C16" s="4">
        <f>VLOOKUP(A16,'Ledger &amp; Group'!A:C,3,0)</f>
        <v>30</v>
      </c>
      <c r="D16" s="45">
        <f t="shared" si="0"/>
        <v>104</v>
      </c>
      <c r="E16" s="4" t="str">
        <f ca="1">IF(D16&lt;=TODAY(),IF(ISNA(VLOOKUP(V16,'Unreconciled AR'!C:C,1,0)),"Due","Unreconciled AR"),"Outstanding")</f>
        <v>Due</v>
      </c>
      <c r="F16" s="4">
        <f t="shared" ca="1" si="1"/>
        <v>44625</v>
      </c>
      <c r="G16" s="4" t="e">
        <f ca="1">LOOKUP(F16,{-10000,-60,-30,-15,0,1,10000},{"&gt;60","31-60","16-30","01-15","Due on Today","OS"})</f>
        <v>#N/A</v>
      </c>
      <c r="H16" s="4" t="s">
        <v>103</v>
      </c>
      <c r="I16" s="4" t="s">
        <v>103</v>
      </c>
      <c r="J16" s="4" t="s">
        <v>104</v>
      </c>
      <c r="K16" s="4" t="s">
        <v>111</v>
      </c>
      <c r="L16" s="4" t="s">
        <v>112</v>
      </c>
      <c r="M16" s="4" t="s">
        <v>113</v>
      </c>
      <c r="N16" s="4" t="s">
        <v>103</v>
      </c>
      <c r="O16" s="4" t="s">
        <v>432</v>
      </c>
      <c r="P16" s="5"/>
      <c r="Q16" s="5"/>
      <c r="R16" s="4" t="s">
        <v>433</v>
      </c>
      <c r="S16" s="5"/>
      <c r="T16" s="4" t="s">
        <v>107</v>
      </c>
      <c r="U16" s="45">
        <v>74</v>
      </c>
      <c r="V16" s="4" t="s">
        <v>444</v>
      </c>
      <c r="W16" s="45">
        <v>74</v>
      </c>
      <c r="X16" s="4" t="s">
        <v>8</v>
      </c>
      <c r="Y16" s="5">
        <v>1</v>
      </c>
      <c r="Z16" s="4" t="s">
        <v>108</v>
      </c>
      <c r="AA16" s="5"/>
      <c r="AB16" s="5">
        <v>63</v>
      </c>
      <c r="AC16" s="4" t="s">
        <v>109</v>
      </c>
      <c r="AD16" s="45">
        <v>74</v>
      </c>
      <c r="AE16" s="4" t="s">
        <v>444</v>
      </c>
      <c r="AF16" s="4"/>
      <c r="AG16" s="5">
        <v>1000000</v>
      </c>
      <c r="AH16" s="5">
        <v>1000000</v>
      </c>
      <c r="AI16" s="5">
        <v>0</v>
      </c>
      <c r="AJ16" s="5">
        <v>1000000</v>
      </c>
      <c r="AK16" s="5">
        <v>0</v>
      </c>
      <c r="AL16" s="5">
        <v>1000000</v>
      </c>
      <c r="AM16" s="5"/>
    </row>
    <row r="17" spans="1:39" ht="51" x14ac:dyDescent="0.25">
      <c r="A17" s="4" t="s">
        <v>10</v>
      </c>
      <c r="B17" s="4" t="str">
        <f>VLOOKUP(A17,'Ledger &amp; Group'!A:C,2,0)</f>
        <v>Artsana</v>
      </c>
      <c r="C17" s="4">
        <f>VLOOKUP(A17,'Ledger &amp; Group'!A:C,3,0)</f>
        <v>30</v>
      </c>
      <c r="D17" s="45">
        <f t="shared" si="0"/>
        <v>107</v>
      </c>
      <c r="E17" s="4" t="str">
        <f ca="1">IF(D17&lt;=TODAY(),IF(ISNA(VLOOKUP(V17,'Unreconciled AR'!C:C,1,0)),"Due","Unreconciled AR"),"Outstanding")</f>
        <v>Due</v>
      </c>
      <c r="F17" s="4">
        <f t="shared" ca="1" si="1"/>
        <v>44622</v>
      </c>
      <c r="G17" s="4" t="e">
        <f ca="1">LOOKUP(F17,{-10000,-60,-30,-15,0,1,10000},{"&gt;60","31-60","16-30","01-15","Due on Today","OS"})</f>
        <v>#N/A</v>
      </c>
      <c r="H17" s="4" t="s">
        <v>103</v>
      </c>
      <c r="I17" s="4" t="s">
        <v>103</v>
      </c>
      <c r="J17" s="4" t="s">
        <v>104</v>
      </c>
      <c r="K17" s="4" t="s">
        <v>111</v>
      </c>
      <c r="L17" s="4" t="s">
        <v>112</v>
      </c>
      <c r="M17" s="4" t="s">
        <v>113</v>
      </c>
      <c r="N17" s="4" t="s">
        <v>103</v>
      </c>
      <c r="O17" s="4" t="s">
        <v>432</v>
      </c>
      <c r="P17" s="5"/>
      <c r="Q17" s="5"/>
      <c r="R17" s="4" t="s">
        <v>433</v>
      </c>
      <c r="S17" s="5"/>
      <c r="T17" s="4" t="s">
        <v>107</v>
      </c>
      <c r="U17" s="45">
        <v>77</v>
      </c>
      <c r="V17" s="4" t="s">
        <v>445</v>
      </c>
      <c r="W17" s="45">
        <v>77</v>
      </c>
      <c r="X17" s="4" t="s">
        <v>8</v>
      </c>
      <c r="Y17" s="5">
        <v>1</v>
      </c>
      <c r="Z17" s="4" t="s">
        <v>108</v>
      </c>
      <c r="AA17" s="5"/>
      <c r="AB17" s="5">
        <v>60</v>
      </c>
      <c r="AC17" s="4" t="s">
        <v>109</v>
      </c>
      <c r="AD17" s="45">
        <v>77</v>
      </c>
      <c r="AE17" s="4" t="s">
        <v>445</v>
      </c>
      <c r="AF17" s="4"/>
      <c r="AG17" s="5">
        <v>1000000</v>
      </c>
      <c r="AH17" s="5">
        <v>1000000</v>
      </c>
      <c r="AI17" s="5">
        <v>0</v>
      </c>
      <c r="AJ17" s="5">
        <v>1000000</v>
      </c>
      <c r="AK17" s="5">
        <v>0</v>
      </c>
      <c r="AL17" s="5">
        <v>1000000</v>
      </c>
      <c r="AM17" s="5"/>
    </row>
    <row r="18" spans="1:39" ht="51" x14ac:dyDescent="0.25">
      <c r="A18" s="4" t="s">
        <v>10</v>
      </c>
      <c r="B18" s="4" t="str">
        <f>VLOOKUP(A18,'Ledger &amp; Group'!A:C,2,0)</f>
        <v>Artsana</v>
      </c>
      <c r="C18" s="4">
        <f>VLOOKUP(A18,'Ledger &amp; Group'!A:C,3,0)</f>
        <v>30</v>
      </c>
      <c r="D18" s="45">
        <f t="shared" si="0"/>
        <v>113</v>
      </c>
      <c r="E18" s="4" t="str">
        <f ca="1">IF(D18&lt;=TODAY(),IF(ISNA(VLOOKUP(V18,'Unreconciled AR'!C:C,1,0)),"Due","Unreconciled AR"),"Outstanding")</f>
        <v>Due</v>
      </c>
      <c r="F18" s="4">
        <f t="shared" ca="1" si="1"/>
        <v>44616</v>
      </c>
      <c r="G18" s="4" t="e">
        <f ca="1">LOOKUP(F18,{-10000,-60,-30,-15,0,1,10000},{"&gt;60","31-60","16-30","01-15","Due on Today","OS"})</f>
        <v>#N/A</v>
      </c>
      <c r="H18" s="4" t="s">
        <v>103</v>
      </c>
      <c r="I18" s="4" t="s">
        <v>103</v>
      </c>
      <c r="J18" s="4" t="s">
        <v>104</v>
      </c>
      <c r="K18" s="4" t="s">
        <v>111</v>
      </c>
      <c r="L18" s="4" t="s">
        <v>112</v>
      </c>
      <c r="M18" s="4" t="s">
        <v>113</v>
      </c>
      <c r="N18" s="4" t="s">
        <v>103</v>
      </c>
      <c r="O18" s="4" t="s">
        <v>432</v>
      </c>
      <c r="P18" s="5"/>
      <c r="Q18" s="5"/>
      <c r="R18" s="4" t="s">
        <v>433</v>
      </c>
      <c r="S18" s="5"/>
      <c r="T18" s="4" t="s">
        <v>107</v>
      </c>
      <c r="U18" s="45">
        <v>83</v>
      </c>
      <c r="V18" s="4" t="s">
        <v>446</v>
      </c>
      <c r="W18" s="45">
        <v>83</v>
      </c>
      <c r="X18" s="4" t="s">
        <v>8</v>
      </c>
      <c r="Y18" s="5">
        <v>1</v>
      </c>
      <c r="Z18" s="4" t="s">
        <v>108</v>
      </c>
      <c r="AA18" s="5"/>
      <c r="AB18" s="5">
        <v>54</v>
      </c>
      <c r="AC18" s="4" t="s">
        <v>109</v>
      </c>
      <c r="AD18" s="45">
        <v>83</v>
      </c>
      <c r="AE18" s="4" t="s">
        <v>446</v>
      </c>
      <c r="AF18" s="4"/>
      <c r="AG18" s="5">
        <v>1000000</v>
      </c>
      <c r="AH18" s="5">
        <v>1000000</v>
      </c>
      <c r="AI18" s="5">
        <v>0</v>
      </c>
      <c r="AJ18" s="5">
        <v>1000000</v>
      </c>
      <c r="AK18" s="5">
        <v>0</v>
      </c>
      <c r="AL18" s="5">
        <v>1000000</v>
      </c>
      <c r="AM18" s="5"/>
    </row>
    <row r="19" spans="1:39" ht="51" x14ac:dyDescent="0.25">
      <c r="A19" s="4" t="s">
        <v>10</v>
      </c>
      <c r="B19" s="4" t="str">
        <f>VLOOKUP(A19,'Ledger &amp; Group'!A:C,2,0)</f>
        <v>Artsana</v>
      </c>
      <c r="C19" s="4">
        <f>VLOOKUP(A19,'Ledger &amp; Group'!A:C,3,0)</f>
        <v>30</v>
      </c>
      <c r="D19" s="45">
        <f t="shared" si="0"/>
        <v>118</v>
      </c>
      <c r="E19" s="4" t="str">
        <f ca="1">IF(D19&lt;=TODAY(),IF(ISNA(VLOOKUP(V19,'Unreconciled AR'!C:C,1,0)),"Due","Unreconciled AR"),"Outstanding")</f>
        <v>Due</v>
      </c>
      <c r="F19" s="4">
        <f t="shared" ca="1" si="1"/>
        <v>44611</v>
      </c>
      <c r="G19" s="4" t="e">
        <f ca="1">LOOKUP(F19,{-10000,-60,-30,-15,0,1,10000},{"&gt;60","31-60","16-30","01-15","Due on Today","OS"})</f>
        <v>#N/A</v>
      </c>
      <c r="H19" s="4" t="s">
        <v>103</v>
      </c>
      <c r="I19" s="4" t="s">
        <v>103</v>
      </c>
      <c r="J19" s="4" t="s">
        <v>104</v>
      </c>
      <c r="K19" s="4" t="s">
        <v>111</v>
      </c>
      <c r="L19" s="4" t="s">
        <v>112</v>
      </c>
      <c r="M19" s="4" t="s">
        <v>113</v>
      </c>
      <c r="N19" s="4" t="s">
        <v>103</v>
      </c>
      <c r="O19" s="4" t="s">
        <v>432</v>
      </c>
      <c r="P19" s="5"/>
      <c r="Q19" s="5"/>
      <c r="R19" s="4" t="s">
        <v>433</v>
      </c>
      <c r="S19" s="5"/>
      <c r="T19" s="4" t="s">
        <v>107</v>
      </c>
      <c r="U19" s="45">
        <v>88</v>
      </c>
      <c r="V19" s="4" t="s">
        <v>447</v>
      </c>
      <c r="W19" s="45">
        <v>88</v>
      </c>
      <c r="X19" s="4" t="s">
        <v>8</v>
      </c>
      <c r="Y19" s="5">
        <v>1</v>
      </c>
      <c r="Z19" s="4" t="s">
        <v>108</v>
      </c>
      <c r="AA19" s="5"/>
      <c r="AB19" s="5">
        <v>49</v>
      </c>
      <c r="AC19" s="4" t="s">
        <v>109</v>
      </c>
      <c r="AD19" s="45">
        <v>88</v>
      </c>
      <c r="AE19" s="4" t="s">
        <v>447</v>
      </c>
      <c r="AF19" s="4"/>
      <c r="AG19" s="5">
        <v>1000000</v>
      </c>
      <c r="AH19" s="5">
        <v>1000000</v>
      </c>
      <c r="AI19" s="5">
        <v>0</v>
      </c>
      <c r="AJ19" s="5">
        <v>1000000</v>
      </c>
      <c r="AK19" s="5">
        <v>0</v>
      </c>
      <c r="AL19" s="5">
        <v>1000000</v>
      </c>
      <c r="AM19" s="5"/>
    </row>
    <row r="20" spans="1:39" ht="51" x14ac:dyDescent="0.25">
      <c r="A20" s="4" t="s">
        <v>10</v>
      </c>
      <c r="B20" s="4" t="str">
        <f>VLOOKUP(A20,'Ledger &amp; Group'!A:C,2,0)</f>
        <v>Artsana</v>
      </c>
      <c r="C20" s="4">
        <f>VLOOKUP(A20,'Ledger &amp; Group'!A:C,3,0)</f>
        <v>30</v>
      </c>
      <c r="D20" s="45">
        <f t="shared" si="0"/>
        <v>119</v>
      </c>
      <c r="E20" s="4" t="str">
        <f ca="1">IF(D20&lt;=TODAY(),IF(ISNA(VLOOKUP(V20,'Unreconciled AR'!C:C,1,0)),"Due","Unreconciled AR"),"Outstanding")</f>
        <v>Due</v>
      </c>
      <c r="F20" s="4">
        <f t="shared" ca="1" si="1"/>
        <v>44610</v>
      </c>
      <c r="G20" s="4" t="e">
        <f ca="1">LOOKUP(F20,{-10000,-60,-30,-15,0,1,10000},{"&gt;60","31-60","16-30","01-15","Due on Today","OS"})</f>
        <v>#N/A</v>
      </c>
      <c r="H20" s="4" t="s">
        <v>103</v>
      </c>
      <c r="I20" s="4" t="s">
        <v>103</v>
      </c>
      <c r="J20" s="4" t="s">
        <v>104</v>
      </c>
      <c r="K20" s="4" t="s">
        <v>111</v>
      </c>
      <c r="L20" s="4" t="s">
        <v>112</v>
      </c>
      <c r="M20" s="4" t="s">
        <v>113</v>
      </c>
      <c r="N20" s="4" t="s">
        <v>103</v>
      </c>
      <c r="O20" s="4" t="s">
        <v>432</v>
      </c>
      <c r="P20" s="5"/>
      <c r="Q20" s="5"/>
      <c r="R20" s="4" t="s">
        <v>433</v>
      </c>
      <c r="S20" s="5"/>
      <c r="T20" s="4" t="s">
        <v>107</v>
      </c>
      <c r="U20" s="45">
        <v>89</v>
      </c>
      <c r="V20" s="4" t="s">
        <v>448</v>
      </c>
      <c r="W20" s="45">
        <v>89</v>
      </c>
      <c r="X20" s="4" t="s">
        <v>8</v>
      </c>
      <c r="Y20" s="5">
        <v>1</v>
      </c>
      <c r="Z20" s="4" t="s">
        <v>108</v>
      </c>
      <c r="AA20" s="5"/>
      <c r="AB20" s="5">
        <v>48</v>
      </c>
      <c r="AC20" s="4" t="s">
        <v>109</v>
      </c>
      <c r="AD20" s="45">
        <v>89</v>
      </c>
      <c r="AE20" s="4" t="s">
        <v>448</v>
      </c>
      <c r="AF20" s="4"/>
      <c r="AG20" s="5">
        <v>1000000</v>
      </c>
      <c r="AH20" s="5">
        <v>1000000</v>
      </c>
      <c r="AI20" s="5">
        <v>0</v>
      </c>
      <c r="AJ20" s="5">
        <v>1000000</v>
      </c>
      <c r="AK20" s="5">
        <v>0</v>
      </c>
      <c r="AL20" s="5">
        <v>1000000</v>
      </c>
      <c r="AM20" s="5"/>
    </row>
    <row r="21" spans="1:39" ht="51" x14ac:dyDescent="0.25">
      <c r="A21" s="4" t="s">
        <v>10</v>
      </c>
      <c r="B21" s="4" t="str">
        <f>VLOOKUP(A21,'Ledger &amp; Group'!A:C,2,0)</f>
        <v>Artsana</v>
      </c>
      <c r="C21" s="4">
        <f>VLOOKUP(A21,'Ledger &amp; Group'!A:C,3,0)</f>
        <v>30</v>
      </c>
      <c r="D21" s="45">
        <f t="shared" si="0"/>
        <v>132</v>
      </c>
      <c r="E21" s="4" t="str">
        <f ca="1">IF(D21&lt;=TODAY(),IF(ISNA(VLOOKUP(V21,'Unreconciled AR'!C:C,1,0)),"Due","Unreconciled AR"),"Outstanding")</f>
        <v>Due</v>
      </c>
      <c r="F21" s="4">
        <f t="shared" ca="1" si="1"/>
        <v>44597</v>
      </c>
      <c r="G21" s="4" t="e">
        <f ca="1">LOOKUP(F21,{-10000,-60,-30,-15,0,1,10000},{"&gt;60","31-60","16-30","01-15","Due on Today","OS"})</f>
        <v>#N/A</v>
      </c>
      <c r="H21" s="4" t="s">
        <v>103</v>
      </c>
      <c r="I21" s="4" t="s">
        <v>103</v>
      </c>
      <c r="J21" s="4" t="s">
        <v>104</v>
      </c>
      <c r="K21" s="4" t="s">
        <v>111</v>
      </c>
      <c r="L21" s="4" t="s">
        <v>112</v>
      </c>
      <c r="M21" s="4" t="s">
        <v>113</v>
      </c>
      <c r="N21" s="4" t="s">
        <v>103</v>
      </c>
      <c r="O21" s="4" t="s">
        <v>432</v>
      </c>
      <c r="P21" s="5"/>
      <c r="Q21" s="5"/>
      <c r="R21" s="4" t="s">
        <v>433</v>
      </c>
      <c r="S21" s="5"/>
      <c r="T21" s="4" t="s">
        <v>107</v>
      </c>
      <c r="U21" s="45">
        <v>102</v>
      </c>
      <c r="V21" s="4" t="s">
        <v>229</v>
      </c>
      <c r="W21" s="45">
        <v>102</v>
      </c>
      <c r="X21" s="4" t="s">
        <v>8</v>
      </c>
      <c r="Y21" s="5">
        <v>1</v>
      </c>
      <c r="Z21" s="4" t="s">
        <v>108</v>
      </c>
      <c r="AA21" s="5"/>
      <c r="AB21" s="5">
        <v>35</v>
      </c>
      <c r="AC21" s="4" t="s">
        <v>109</v>
      </c>
      <c r="AD21" s="45">
        <v>102</v>
      </c>
      <c r="AE21" s="4" t="s">
        <v>229</v>
      </c>
      <c r="AF21" s="4"/>
      <c r="AG21" s="5">
        <v>1000000</v>
      </c>
      <c r="AH21" s="5">
        <v>1000000</v>
      </c>
      <c r="AI21" s="5">
        <v>0</v>
      </c>
      <c r="AJ21" s="5">
        <v>1000000</v>
      </c>
      <c r="AK21" s="5">
        <v>0</v>
      </c>
      <c r="AL21" s="5">
        <v>1000000</v>
      </c>
      <c r="AM21" s="5"/>
    </row>
    <row r="22" spans="1:39" ht="51" x14ac:dyDescent="0.25">
      <c r="A22" s="4" t="s">
        <v>10</v>
      </c>
      <c r="B22" s="4" t="str">
        <f>VLOOKUP(A22,'Ledger &amp; Group'!A:C,2,0)</f>
        <v>Artsana</v>
      </c>
      <c r="C22" s="4">
        <f>VLOOKUP(A22,'Ledger &amp; Group'!A:C,3,0)</f>
        <v>30</v>
      </c>
      <c r="D22" s="45">
        <f t="shared" si="0"/>
        <v>141</v>
      </c>
      <c r="E22" s="4" t="str">
        <f ca="1">IF(D22&lt;=TODAY(),IF(ISNA(VLOOKUP(V22,'Unreconciled AR'!C:C,1,0)),"Due","Unreconciled AR"),"Outstanding")</f>
        <v>Due</v>
      </c>
      <c r="F22" s="4">
        <f t="shared" ca="1" si="1"/>
        <v>44588</v>
      </c>
      <c r="G22" s="4" t="e">
        <f ca="1">LOOKUP(F22,{-10000,-60,-30,-15,0,1,10000},{"&gt;60","31-60","16-30","01-15","Due on Today","OS"})</f>
        <v>#N/A</v>
      </c>
      <c r="H22" s="4" t="s">
        <v>103</v>
      </c>
      <c r="I22" s="4" t="s">
        <v>103</v>
      </c>
      <c r="J22" s="4" t="s">
        <v>104</v>
      </c>
      <c r="K22" s="4" t="s">
        <v>111</v>
      </c>
      <c r="L22" s="4" t="s">
        <v>112</v>
      </c>
      <c r="M22" s="4" t="s">
        <v>113</v>
      </c>
      <c r="N22" s="4" t="s">
        <v>103</v>
      </c>
      <c r="O22" s="4" t="s">
        <v>432</v>
      </c>
      <c r="P22" s="5"/>
      <c r="Q22" s="5"/>
      <c r="R22" s="4" t="s">
        <v>433</v>
      </c>
      <c r="S22" s="5"/>
      <c r="T22" s="4" t="s">
        <v>107</v>
      </c>
      <c r="U22" s="45">
        <v>111</v>
      </c>
      <c r="V22" s="4" t="s">
        <v>261</v>
      </c>
      <c r="W22" s="45">
        <v>111</v>
      </c>
      <c r="X22" s="4" t="s">
        <v>8</v>
      </c>
      <c r="Y22" s="5">
        <v>1</v>
      </c>
      <c r="Z22" s="4" t="s">
        <v>108</v>
      </c>
      <c r="AA22" s="5"/>
      <c r="AB22" s="5">
        <v>26</v>
      </c>
      <c r="AC22" s="4" t="s">
        <v>109</v>
      </c>
      <c r="AD22" s="45">
        <v>111</v>
      </c>
      <c r="AE22" s="4" t="s">
        <v>261</v>
      </c>
      <c r="AF22" s="4"/>
      <c r="AG22" s="5">
        <v>1000000</v>
      </c>
      <c r="AH22" s="5">
        <v>1000000</v>
      </c>
      <c r="AI22" s="5">
        <v>0</v>
      </c>
      <c r="AJ22" s="5">
        <v>1000000</v>
      </c>
      <c r="AK22" s="5">
        <v>0</v>
      </c>
      <c r="AL22" s="5">
        <v>1000000</v>
      </c>
      <c r="AM22" s="5"/>
    </row>
    <row r="23" spans="1:39" ht="51" x14ac:dyDescent="0.25">
      <c r="A23" s="4" t="s">
        <v>10</v>
      </c>
      <c r="B23" s="4" t="str">
        <f>VLOOKUP(A23,'Ledger &amp; Group'!A:C,2,0)</f>
        <v>Artsana</v>
      </c>
      <c r="C23" s="4">
        <f>VLOOKUP(A23,'Ledger &amp; Group'!A:C,3,0)</f>
        <v>30</v>
      </c>
      <c r="D23" s="45">
        <f t="shared" si="0"/>
        <v>148</v>
      </c>
      <c r="E23" s="4" t="str">
        <f ca="1">IF(D23&lt;=TODAY(),IF(ISNA(VLOOKUP(V23,'Unreconciled AR'!C:C,1,0)),"Due","Unreconciled AR"),"Outstanding")</f>
        <v>Due</v>
      </c>
      <c r="F23" s="4">
        <f t="shared" ca="1" si="1"/>
        <v>44581</v>
      </c>
      <c r="G23" s="4" t="e">
        <f ca="1">LOOKUP(F23,{-10000,-60,-30,-15,0,1,10000},{"&gt;60","31-60","16-30","01-15","Due on Today","OS"})</f>
        <v>#N/A</v>
      </c>
      <c r="H23" s="4" t="s">
        <v>103</v>
      </c>
      <c r="I23" s="4" t="s">
        <v>103</v>
      </c>
      <c r="J23" s="4" t="s">
        <v>104</v>
      </c>
      <c r="K23" s="4" t="s">
        <v>111</v>
      </c>
      <c r="L23" s="4" t="s">
        <v>112</v>
      </c>
      <c r="M23" s="4" t="s">
        <v>113</v>
      </c>
      <c r="N23" s="4" t="s">
        <v>103</v>
      </c>
      <c r="O23" s="4" t="s">
        <v>432</v>
      </c>
      <c r="P23" s="5"/>
      <c r="Q23" s="5"/>
      <c r="R23" s="4" t="s">
        <v>433</v>
      </c>
      <c r="S23" s="5"/>
      <c r="T23" s="4" t="s">
        <v>107</v>
      </c>
      <c r="U23" s="45">
        <v>118</v>
      </c>
      <c r="V23" s="4" t="s">
        <v>292</v>
      </c>
      <c r="W23" s="45">
        <v>118</v>
      </c>
      <c r="X23" s="4" t="s">
        <v>8</v>
      </c>
      <c r="Y23" s="5">
        <v>1</v>
      </c>
      <c r="Z23" s="4" t="s">
        <v>108</v>
      </c>
      <c r="AA23" s="5"/>
      <c r="AB23" s="5">
        <v>19</v>
      </c>
      <c r="AC23" s="4" t="s">
        <v>109</v>
      </c>
      <c r="AD23" s="45">
        <v>118</v>
      </c>
      <c r="AE23" s="4" t="s">
        <v>292</v>
      </c>
      <c r="AF23" s="4"/>
      <c r="AG23" s="5">
        <v>1000000</v>
      </c>
      <c r="AH23" s="5">
        <v>1000000</v>
      </c>
      <c r="AI23" s="5">
        <v>0</v>
      </c>
      <c r="AJ23" s="5">
        <v>1000000</v>
      </c>
      <c r="AK23" s="5">
        <v>0</v>
      </c>
      <c r="AL23" s="5">
        <v>1000000</v>
      </c>
      <c r="AM23" s="5"/>
    </row>
    <row r="24" spans="1:39" ht="51" x14ac:dyDescent="0.25">
      <c r="A24" s="4" t="s">
        <v>10</v>
      </c>
      <c r="B24" s="4" t="str">
        <f>VLOOKUP(A24,'Ledger &amp; Group'!A:C,2,0)</f>
        <v>Artsana</v>
      </c>
      <c r="C24" s="4">
        <f>VLOOKUP(A24,'Ledger &amp; Group'!A:C,3,0)</f>
        <v>30</v>
      </c>
      <c r="D24" s="45">
        <f t="shared" si="0"/>
        <v>155</v>
      </c>
      <c r="E24" s="4" t="str">
        <f ca="1">IF(D24&lt;=TODAY(),IF(ISNA(VLOOKUP(V24,'Unreconciled AR'!C:C,1,0)),"Due","Unreconciled AR"),"Outstanding")</f>
        <v>Due</v>
      </c>
      <c r="F24" s="4">
        <f t="shared" ca="1" si="1"/>
        <v>44574</v>
      </c>
      <c r="G24" s="4" t="e">
        <f ca="1">LOOKUP(F24,{-10000,-60,-30,-15,0,1,10000},{"&gt;60","31-60","16-30","01-15","Due on Today","OS"})</f>
        <v>#N/A</v>
      </c>
      <c r="H24" s="4" t="s">
        <v>103</v>
      </c>
      <c r="I24" s="4" t="s">
        <v>103</v>
      </c>
      <c r="J24" s="4" t="s">
        <v>104</v>
      </c>
      <c r="K24" s="4" t="s">
        <v>111</v>
      </c>
      <c r="L24" s="4" t="s">
        <v>112</v>
      </c>
      <c r="M24" s="4" t="s">
        <v>113</v>
      </c>
      <c r="N24" s="4" t="s">
        <v>103</v>
      </c>
      <c r="O24" s="4" t="s">
        <v>432</v>
      </c>
      <c r="P24" s="5"/>
      <c r="Q24" s="5"/>
      <c r="R24" s="4" t="s">
        <v>433</v>
      </c>
      <c r="S24" s="5"/>
      <c r="T24" s="4" t="s">
        <v>107</v>
      </c>
      <c r="U24" s="45">
        <v>125</v>
      </c>
      <c r="V24" s="4" t="s">
        <v>318</v>
      </c>
      <c r="W24" s="45">
        <v>125</v>
      </c>
      <c r="X24" s="4" t="s">
        <v>8</v>
      </c>
      <c r="Y24" s="5">
        <v>1</v>
      </c>
      <c r="Z24" s="4" t="s">
        <v>108</v>
      </c>
      <c r="AA24" s="5"/>
      <c r="AB24" s="5">
        <v>12</v>
      </c>
      <c r="AC24" s="4" t="s">
        <v>109</v>
      </c>
      <c r="AD24" s="45">
        <v>125</v>
      </c>
      <c r="AE24" s="4" t="s">
        <v>318</v>
      </c>
      <c r="AF24" s="5"/>
      <c r="AG24" s="5">
        <v>1000000</v>
      </c>
      <c r="AH24" s="5">
        <v>1000000</v>
      </c>
      <c r="AI24" s="5">
        <v>0</v>
      </c>
      <c r="AJ24" s="5">
        <v>1000000</v>
      </c>
      <c r="AK24" s="5">
        <v>0</v>
      </c>
      <c r="AL24" s="5">
        <v>1000000</v>
      </c>
      <c r="AM24" s="5"/>
    </row>
    <row r="25" spans="1:39" ht="140.25" x14ac:dyDescent="0.25">
      <c r="A25" s="4" t="s">
        <v>11</v>
      </c>
      <c r="B25" s="4" t="str">
        <f>VLOOKUP(A25,'Ledger &amp; Group'!A:C,2,0)</f>
        <v>Artsana</v>
      </c>
      <c r="C25" s="4">
        <f>VLOOKUP(A25,'Ledger &amp; Group'!A:C,3,0)</f>
        <v>30</v>
      </c>
      <c r="D25" s="45">
        <f t="shared" si="0"/>
        <v>114</v>
      </c>
      <c r="E25" s="4" t="str">
        <f ca="1">IF(D25&lt;=TODAY(),IF(ISNA(VLOOKUP(V25,'Unreconciled AR'!C:C,1,0)),"Due","Unreconciled AR"),"Outstanding")</f>
        <v>Due</v>
      </c>
      <c r="F25" s="4">
        <f t="shared" ca="1" si="1"/>
        <v>44615</v>
      </c>
      <c r="G25" s="4" t="e">
        <f ca="1">LOOKUP(F25,{-10000,-60,-30,-15,0,1,10000},{"&gt;60","31-60","16-30","01-15","Due on Today","OS"})</f>
        <v>#N/A</v>
      </c>
      <c r="H25" s="4" t="s">
        <v>103</v>
      </c>
      <c r="I25" s="4" t="s">
        <v>103</v>
      </c>
      <c r="J25" s="4" t="s">
        <v>104</v>
      </c>
      <c r="K25" s="4" t="s">
        <v>111</v>
      </c>
      <c r="L25" s="4" t="s">
        <v>112</v>
      </c>
      <c r="M25" s="4" t="s">
        <v>113</v>
      </c>
      <c r="N25" s="4" t="s">
        <v>103</v>
      </c>
      <c r="O25" s="4" t="s">
        <v>432</v>
      </c>
      <c r="P25" s="5"/>
      <c r="Q25" s="5"/>
      <c r="R25" s="4" t="s">
        <v>433</v>
      </c>
      <c r="S25" s="5"/>
      <c r="T25" s="4" t="s">
        <v>107</v>
      </c>
      <c r="U25" s="45">
        <v>84</v>
      </c>
      <c r="V25" s="4" t="s">
        <v>197</v>
      </c>
      <c r="W25" s="45">
        <v>84</v>
      </c>
      <c r="X25" s="4" t="s">
        <v>8</v>
      </c>
      <c r="Y25" s="5">
        <v>1</v>
      </c>
      <c r="Z25" s="4" t="s">
        <v>355</v>
      </c>
      <c r="AA25" s="5"/>
      <c r="AB25" s="5">
        <v>53</v>
      </c>
      <c r="AC25" s="4" t="s">
        <v>109</v>
      </c>
      <c r="AD25" s="45">
        <v>84</v>
      </c>
      <c r="AE25" s="4" t="s">
        <v>197</v>
      </c>
      <c r="AF25" s="5"/>
      <c r="AG25" s="5">
        <v>1000000</v>
      </c>
      <c r="AH25" s="5">
        <v>1000000</v>
      </c>
      <c r="AI25" s="5">
        <v>0</v>
      </c>
      <c r="AJ25" s="5">
        <v>1000000</v>
      </c>
      <c r="AK25" s="5">
        <v>0</v>
      </c>
      <c r="AL25" s="5">
        <v>1000000</v>
      </c>
      <c r="AM25" s="5"/>
    </row>
    <row r="26" spans="1:39" ht="127.5" x14ac:dyDescent="0.25">
      <c r="A26" s="4" t="s">
        <v>11</v>
      </c>
      <c r="B26" s="4" t="str">
        <f>VLOOKUP(A26,'Ledger &amp; Group'!A:C,2,0)</f>
        <v>Artsana</v>
      </c>
      <c r="C26" s="4">
        <f>VLOOKUP(A26,'Ledger &amp; Group'!A:C,3,0)</f>
        <v>30</v>
      </c>
      <c r="D26" s="45">
        <f t="shared" si="0"/>
        <v>135</v>
      </c>
      <c r="E26" s="4" t="str">
        <f ca="1">IF(D26&lt;=TODAY(),IF(ISNA(VLOOKUP(V26,'Unreconciled AR'!C:C,1,0)),"Due","Unreconciled AR"),"Outstanding")</f>
        <v>Due</v>
      </c>
      <c r="F26" s="4">
        <f t="shared" ca="1" si="1"/>
        <v>44594</v>
      </c>
      <c r="G26" s="4" t="e">
        <f ca="1">LOOKUP(F26,{-10000,-60,-30,-15,0,1,10000},{"&gt;60","31-60","16-30","01-15","Due on Today","OS"})</f>
        <v>#N/A</v>
      </c>
      <c r="H26" s="4" t="s">
        <v>103</v>
      </c>
      <c r="I26" s="4" t="s">
        <v>103</v>
      </c>
      <c r="J26" s="4" t="s">
        <v>104</v>
      </c>
      <c r="K26" s="4" t="s">
        <v>111</v>
      </c>
      <c r="L26" s="4" t="s">
        <v>112</v>
      </c>
      <c r="M26" s="4" t="s">
        <v>113</v>
      </c>
      <c r="N26" s="4" t="s">
        <v>103</v>
      </c>
      <c r="O26" s="4" t="s">
        <v>432</v>
      </c>
      <c r="P26" s="5"/>
      <c r="Q26" s="5"/>
      <c r="R26" s="4" t="s">
        <v>433</v>
      </c>
      <c r="S26" s="5"/>
      <c r="T26" s="4" t="s">
        <v>107</v>
      </c>
      <c r="U26" s="45">
        <v>105</v>
      </c>
      <c r="V26" s="4" t="s">
        <v>233</v>
      </c>
      <c r="W26" s="45">
        <v>105</v>
      </c>
      <c r="X26" s="4" t="s">
        <v>8</v>
      </c>
      <c r="Y26" s="5">
        <v>1</v>
      </c>
      <c r="Z26" s="4" t="s">
        <v>356</v>
      </c>
      <c r="AA26" s="5"/>
      <c r="AB26" s="5">
        <v>32</v>
      </c>
      <c r="AC26" s="4" t="s">
        <v>109</v>
      </c>
      <c r="AD26" s="45">
        <v>105</v>
      </c>
      <c r="AE26" s="4" t="s">
        <v>233</v>
      </c>
      <c r="AF26" s="5"/>
      <c r="AG26" s="5">
        <v>1000000</v>
      </c>
      <c r="AH26" s="5">
        <v>1000000</v>
      </c>
      <c r="AI26" s="5">
        <v>0</v>
      </c>
      <c r="AJ26" s="5">
        <v>1000000</v>
      </c>
      <c r="AK26" s="5">
        <v>0</v>
      </c>
      <c r="AL26" s="5">
        <v>1000000</v>
      </c>
      <c r="AM26" s="5"/>
    </row>
    <row r="27" spans="1:39" ht="153" x14ac:dyDescent="0.25">
      <c r="A27" s="4" t="s">
        <v>11</v>
      </c>
      <c r="B27" s="4" t="str">
        <f>VLOOKUP(A27,'Ledger &amp; Group'!A:C,2,0)</f>
        <v>Artsana</v>
      </c>
      <c r="C27" s="4">
        <f>VLOOKUP(A27,'Ledger &amp; Group'!A:C,3,0)</f>
        <v>30</v>
      </c>
      <c r="D27" s="45">
        <f t="shared" si="0"/>
        <v>367</v>
      </c>
      <c r="E27" s="4" t="str">
        <f ca="1">IF(D27&lt;=TODAY(),IF(ISNA(VLOOKUP(V27,'Unreconciled AR'!C:C,1,0)),"Due","Unreconciled AR"),"Outstanding")</f>
        <v>Due</v>
      </c>
      <c r="F27" s="4">
        <f t="shared" ca="1" si="1"/>
        <v>44362</v>
      </c>
      <c r="G27" s="4" t="e">
        <f ca="1">LOOKUP(F27,{-10000,-60,-30,-15,0,1,10000},{"&gt;60","31-60","16-30","01-15","Due on Today","OS"})</f>
        <v>#N/A</v>
      </c>
      <c r="H27" s="4" t="s">
        <v>103</v>
      </c>
      <c r="I27" s="4" t="s">
        <v>103</v>
      </c>
      <c r="J27" s="4" t="s">
        <v>104</v>
      </c>
      <c r="K27" s="4" t="s">
        <v>111</v>
      </c>
      <c r="L27" s="4" t="s">
        <v>112</v>
      </c>
      <c r="M27" s="4" t="s">
        <v>113</v>
      </c>
      <c r="N27" s="4" t="s">
        <v>103</v>
      </c>
      <c r="O27" s="4" t="s">
        <v>432</v>
      </c>
      <c r="P27" s="5"/>
      <c r="Q27" s="5"/>
      <c r="R27" s="4" t="s">
        <v>433</v>
      </c>
      <c r="S27" s="5"/>
      <c r="T27" s="4" t="s">
        <v>107</v>
      </c>
      <c r="U27" s="45">
        <v>337</v>
      </c>
      <c r="V27" s="4" t="s">
        <v>186</v>
      </c>
      <c r="W27" s="45">
        <v>337</v>
      </c>
      <c r="X27" s="4" t="s">
        <v>8</v>
      </c>
      <c r="Y27" s="5">
        <v>1</v>
      </c>
      <c r="Z27" s="4" t="s">
        <v>357</v>
      </c>
      <c r="AA27" s="5"/>
      <c r="AB27" s="5">
        <v>165</v>
      </c>
      <c r="AC27" s="4" t="s">
        <v>109</v>
      </c>
      <c r="AD27" s="45">
        <v>337</v>
      </c>
      <c r="AE27" s="4" t="s">
        <v>186</v>
      </c>
      <c r="AF27" s="5"/>
      <c r="AG27" s="5">
        <v>1000000</v>
      </c>
      <c r="AH27" s="5">
        <v>1000000</v>
      </c>
      <c r="AI27" s="5">
        <v>0</v>
      </c>
      <c r="AJ27" s="5">
        <v>1000000</v>
      </c>
      <c r="AK27" s="5">
        <v>0</v>
      </c>
      <c r="AL27" s="5">
        <v>1000000</v>
      </c>
      <c r="AM27" s="5"/>
    </row>
    <row r="28" spans="1:39" ht="127.5" x14ac:dyDescent="0.25">
      <c r="A28" s="4" t="s">
        <v>11</v>
      </c>
      <c r="B28" s="4" t="str">
        <f>VLOOKUP(A28,'Ledger &amp; Group'!A:C,2,0)</f>
        <v>Artsana</v>
      </c>
      <c r="C28" s="4">
        <f>VLOOKUP(A28,'Ledger &amp; Group'!A:C,3,0)</f>
        <v>30</v>
      </c>
      <c r="D28" s="45">
        <f t="shared" si="0"/>
        <v>114</v>
      </c>
      <c r="E28" s="4" t="str">
        <f ca="1">IF(D28&lt;=TODAY(),IF(ISNA(VLOOKUP(V28,'Unreconciled AR'!C:C,1,0)),"Due","Unreconciled AR"),"Outstanding")</f>
        <v>Due</v>
      </c>
      <c r="F28" s="4">
        <f t="shared" ca="1" si="1"/>
        <v>44615</v>
      </c>
      <c r="G28" s="4" t="e">
        <f ca="1">LOOKUP(F28,{-10000,-60,-30,-15,0,1,10000},{"&gt;60","31-60","16-30","01-15","Due on Today","OS"})</f>
        <v>#N/A</v>
      </c>
      <c r="H28" s="4" t="s">
        <v>103</v>
      </c>
      <c r="I28" s="4" t="s">
        <v>103</v>
      </c>
      <c r="J28" s="4" t="s">
        <v>104</v>
      </c>
      <c r="K28" s="4" t="s">
        <v>111</v>
      </c>
      <c r="L28" s="4" t="s">
        <v>112</v>
      </c>
      <c r="M28" s="4" t="s">
        <v>113</v>
      </c>
      <c r="N28" s="4" t="s">
        <v>103</v>
      </c>
      <c r="O28" s="4" t="s">
        <v>432</v>
      </c>
      <c r="P28" s="5"/>
      <c r="Q28" s="5"/>
      <c r="R28" s="4" t="s">
        <v>433</v>
      </c>
      <c r="S28" s="5"/>
      <c r="T28" s="4" t="s">
        <v>107</v>
      </c>
      <c r="U28" s="45">
        <v>84</v>
      </c>
      <c r="V28" s="4" t="s">
        <v>198</v>
      </c>
      <c r="W28" s="45">
        <v>84</v>
      </c>
      <c r="X28" s="4" t="s">
        <v>8</v>
      </c>
      <c r="Y28" s="5">
        <v>1</v>
      </c>
      <c r="Z28" s="4" t="s">
        <v>358</v>
      </c>
      <c r="AA28" s="5"/>
      <c r="AB28" s="5">
        <v>53</v>
      </c>
      <c r="AC28" s="4" t="s">
        <v>109</v>
      </c>
      <c r="AD28" s="45">
        <v>84</v>
      </c>
      <c r="AE28" s="4" t="s">
        <v>198</v>
      </c>
      <c r="AF28" s="5"/>
      <c r="AG28" s="5">
        <v>1000000</v>
      </c>
      <c r="AH28" s="5">
        <v>1000000</v>
      </c>
      <c r="AI28" s="5">
        <v>0</v>
      </c>
      <c r="AJ28" s="5">
        <v>1000000</v>
      </c>
      <c r="AK28" s="5">
        <v>0</v>
      </c>
      <c r="AL28" s="5">
        <v>1000000</v>
      </c>
      <c r="AM28" s="5"/>
    </row>
    <row r="29" spans="1:39" ht="140.25" x14ac:dyDescent="0.25">
      <c r="A29" s="4" t="s">
        <v>11</v>
      </c>
      <c r="B29" s="4" t="str">
        <f>VLOOKUP(A29,'Ledger &amp; Group'!A:C,2,0)</f>
        <v>Artsana</v>
      </c>
      <c r="C29" s="4">
        <f>VLOOKUP(A29,'Ledger &amp; Group'!A:C,3,0)</f>
        <v>30</v>
      </c>
      <c r="D29" s="45">
        <f t="shared" si="0"/>
        <v>135</v>
      </c>
      <c r="E29" s="4" t="str">
        <f ca="1">IF(D29&lt;=TODAY(),IF(ISNA(VLOOKUP(V29,'Unreconciled AR'!C:C,1,0)),"Due","Unreconciled AR"),"Outstanding")</f>
        <v>Due</v>
      </c>
      <c r="F29" s="4">
        <f t="shared" ca="1" si="1"/>
        <v>44594</v>
      </c>
      <c r="G29" s="4" t="e">
        <f ca="1">LOOKUP(F29,{-10000,-60,-30,-15,0,1,10000},{"&gt;60","31-60","16-30","01-15","Due on Today","OS"})</f>
        <v>#N/A</v>
      </c>
      <c r="H29" s="4" t="s">
        <v>103</v>
      </c>
      <c r="I29" s="4" t="s">
        <v>103</v>
      </c>
      <c r="J29" s="4" t="s">
        <v>104</v>
      </c>
      <c r="K29" s="4" t="s">
        <v>111</v>
      </c>
      <c r="L29" s="4" t="s">
        <v>112</v>
      </c>
      <c r="M29" s="4" t="s">
        <v>113</v>
      </c>
      <c r="N29" s="4" t="s">
        <v>103</v>
      </c>
      <c r="O29" s="4" t="s">
        <v>432</v>
      </c>
      <c r="P29" s="5"/>
      <c r="Q29" s="5"/>
      <c r="R29" s="4" t="s">
        <v>433</v>
      </c>
      <c r="S29" s="5"/>
      <c r="T29" s="4" t="s">
        <v>107</v>
      </c>
      <c r="U29" s="45">
        <v>105</v>
      </c>
      <c r="V29" s="4" t="s">
        <v>234</v>
      </c>
      <c r="W29" s="45">
        <v>105</v>
      </c>
      <c r="X29" s="4" t="s">
        <v>8</v>
      </c>
      <c r="Y29" s="5">
        <v>1</v>
      </c>
      <c r="Z29" s="4" t="s">
        <v>359</v>
      </c>
      <c r="AA29" s="5"/>
      <c r="AB29" s="5">
        <v>32</v>
      </c>
      <c r="AC29" s="4" t="s">
        <v>109</v>
      </c>
      <c r="AD29" s="45">
        <v>105</v>
      </c>
      <c r="AE29" s="4" t="s">
        <v>234</v>
      </c>
      <c r="AF29" s="5"/>
      <c r="AG29" s="5">
        <v>1000000</v>
      </c>
      <c r="AH29" s="5">
        <v>1000000</v>
      </c>
      <c r="AI29" s="5">
        <v>0</v>
      </c>
      <c r="AJ29" s="5">
        <v>1000000</v>
      </c>
      <c r="AK29" s="5">
        <v>0</v>
      </c>
      <c r="AL29" s="5">
        <v>1000000</v>
      </c>
      <c r="AM29" s="5"/>
    </row>
    <row r="30" spans="1:39" ht="51" x14ac:dyDescent="0.25">
      <c r="A30" s="4" t="s">
        <v>11</v>
      </c>
      <c r="B30" s="4" t="str">
        <f>VLOOKUP(A30,'Ledger &amp; Group'!A:C,2,0)</f>
        <v>Artsana</v>
      </c>
      <c r="C30" s="4">
        <f>VLOOKUP(A30,'Ledger &amp; Group'!A:C,3,0)</f>
        <v>30</v>
      </c>
      <c r="D30" s="45">
        <f t="shared" si="0"/>
        <v>93</v>
      </c>
      <c r="E30" s="4" t="str">
        <f ca="1">IF(D30&lt;=TODAY(),IF(ISNA(VLOOKUP(V30,'Unreconciled AR'!C:C,1,0)),"Due","Unreconciled AR"),"Outstanding")</f>
        <v>Due</v>
      </c>
      <c r="F30" s="4">
        <f t="shared" ca="1" si="1"/>
        <v>44636</v>
      </c>
      <c r="G30" s="4" t="e">
        <f ca="1">LOOKUP(F30,{-10000,-60,-30,-15,0,1,10000},{"&gt;60","31-60","16-30","01-15","Due on Today","OS"})</f>
        <v>#N/A</v>
      </c>
      <c r="H30" s="4" t="s">
        <v>103</v>
      </c>
      <c r="I30" s="4" t="s">
        <v>103</v>
      </c>
      <c r="J30" s="4" t="s">
        <v>104</v>
      </c>
      <c r="K30" s="4" t="s">
        <v>111</v>
      </c>
      <c r="L30" s="4" t="s">
        <v>112</v>
      </c>
      <c r="M30" s="4" t="s">
        <v>113</v>
      </c>
      <c r="N30" s="4" t="s">
        <v>103</v>
      </c>
      <c r="O30" s="4" t="s">
        <v>432</v>
      </c>
      <c r="P30" s="5"/>
      <c r="Q30" s="5"/>
      <c r="R30" s="4" t="s">
        <v>433</v>
      </c>
      <c r="S30" s="5"/>
      <c r="T30" s="4" t="s">
        <v>107</v>
      </c>
      <c r="U30" s="45">
        <v>63</v>
      </c>
      <c r="V30" s="4" t="s">
        <v>449</v>
      </c>
      <c r="W30" s="45">
        <v>63</v>
      </c>
      <c r="X30" s="4" t="s">
        <v>8</v>
      </c>
      <c r="Y30" s="5">
        <v>1</v>
      </c>
      <c r="Z30" s="4" t="s">
        <v>108</v>
      </c>
      <c r="AA30" s="5"/>
      <c r="AB30" s="5">
        <v>74</v>
      </c>
      <c r="AC30" s="4" t="s">
        <v>109</v>
      </c>
      <c r="AD30" s="45">
        <v>63</v>
      </c>
      <c r="AE30" s="4" t="s">
        <v>449</v>
      </c>
      <c r="AF30" s="4"/>
      <c r="AG30" s="5">
        <v>1000000</v>
      </c>
      <c r="AH30" s="5">
        <v>1000000</v>
      </c>
      <c r="AI30" s="5">
        <v>0</v>
      </c>
      <c r="AJ30" s="5">
        <v>1000000</v>
      </c>
      <c r="AK30" s="5">
        <v>0</v>
      </c>
      <c r="AL30" s="5">
        <v>1000000</v>
      </c>
      <c r="AM30" s="5"/>
    </row>
    <row r="31" spans="1:39" ht="51" x14ac:dyDescent="0.25">
      <c r="A31" s="4" t="s">
        <v>11</v>
      </c>
      <c r="B31" s="4" t="str">
        <f>VLOOKUP(A31,'Ledger &amp; Group'!A:C,2,0)</f>
        <v>Artsana</v>
      </c>
      <c r="C31" s="4">
        <f>VLOOKUP(A31,'Ledger &amp; Group'!A:C,3,0)</f>
        <v>30</v>
      </c>
      <c r="D31" s="45">
        <f t="shared" si="0"/>
        <v>104</v>
      </c>
      <c r="E31" s="4" t="str">
        <f ca="1">IF(D31&lt;=TODAY(),IF(ISNA(VLOOKUP(V31,'Unreconciled AR'!C:C,1,0)),"Due","Unreconciled AR"),"Outstanding")</f>
        <v>Due</v>
      </c>
      <c r="F31" s="4">
        <f t="shared" ca="1" si="1"/>
        <v>44625</v>
      </c>
      <c r="G31" s="4" t="e">
        <f ca="1">LOOKUP(F31,{-10000,-60,-30,-15,0,1,10000},{"&gt;60","31-60","16-30","01-15","Due on Today","OS"})</f>
        <v>#N/A</v>
      </c>
      <c r="H31" s="4" t="s">
        <v>103</v>
      </c>
      <c r="I31" s="4" t="s">
        <v>103</v>
      </c>
      <c r="J31" s="4" t="s">
        <v>104</v>
      </c>
      <c r="K31" s="4" t="s">
        <v>111</v>
      </c>
      <c r="L31" s="4" t="s">
        <v>112</v>
      </c>
      <c r="M31" s="4" t="s">
        <v>113</v>
      </c>
      <c r="N31" s="4" t="s">
        <v>103</v>
      </c>
      <c r="O31" s="4" t="s">
        <v>432</v>
      </c>
      <c r="P31" s="5"/>
      <c r="Q31" s="5"/>
      <c r="R31" s="4" t="s">
        <v>433</v>
      </c>
      <c r="S31" s="5"/>
      <c r="T31" s="4" t="s">
        <v>107</v>
      </c>
      <c r="U31" s="45">
        <v>74</v>
      </c>
      <c r="V31" s="4" t="s">
        <v>450</v>
      </c>
      <c r="W31" s="45">
        <v>74</v>
      </c>
      <c r="X31" s="4" t="s">
        <v>8</v>
      </c>
      <c r="Y31" s="5">
        <v>1</v>
      </c>
      <c r="Z31" s="4" t="s">
        <v>108</v>
      </c>
      <c r="AA31" s="5"/>
      <c r="AB31" s="5">
        <v>63</v>
      </c>
      <c r="AC31" s="4" t="s">
        <v>109</v>
      </c>
      <c r="AD31" s="45">
        <v>74</v>
      </c>
      <c r="AE31" s="4" t="s">
        <v>450</v>
      </c>
      <c r="AF31" s="4"/>
      <c r="AG31" s="5">
        <v>1000000</v>
      </c>
      <c r="AH31" s="5">
        <v>1000000</v>
      </c>
      <c r="AI31" s="5">
        <v>0</v>
      </c>
      <c r="AJ31" s="5">
        <v>1000000</v>
      </c>
      <c r="AK31" s="5">
        <v>0</v>
      </c>
      <c r="AL31" s="5">
        <v>1000000</v>
      </c>
      <c r="AM31" s="5"/>
    </row>
    <row r="32" spans="1:39" ht="51" x14ac:dyDescent="0.25">
      <c r="A32" s="4" t="s">
        <v>11</v>
      </c>
      <c r="B32" s="4" t="str">
        <f>VLOOKUP(A32,'Ledger &amp; Group'!A:C,2,0)</f>
        <v>Artsana</v>
      </c>
      <c r="C32" s="4">
        <f>VLOOKUP(A32,'Ledger &amp; Group'!A:C,3,0)</f>
        <v>30</v>
      </c>
      <c r="D32" s="45">
        <f t="shared" si="0"/>
        <v>111</v>
      </c>
      <c r="E32" s="4" t="str">
        <f ca="1">IF(D32&lt;=TODAY(),IF(ISNA(VLOOKUP(V32,'Unreconciled AR'!C:C,1,0)),"Due","Unreconciled AR"),"Outstanding")</f>
        <v>Due</v>
      </c>
      <c r="F32" s="4">
        <f t="shared" ca="1" si="1"/>
        <v>44618</v>
      </c>
      <c r="G32" s="4" t="e">
        <f ca="1">LOOKUP(F32,{-10000,-60,-30,-15,0,1,10000},{"&gt;60","31-60","16-30","01-15","Due on Today","OS"})</f>
        <v>#N/A</v>
      </c>
      <c r="H32" s="4" t="s">
        <v>103</v>
      </c>
      <c r="I32" s="4" t="s">
        <v>103</v>
      </c>
      <c r="J32" s="4" t="s">
        <v>104</v>
      </c>
      <c r="K32" s="4" t="s">
        <v>111</v>
      </c>
      <c r="L32" s="4" t="s">
        <v>112</v>
      </c>
      <c r="M32" s="4" t="s">
        <v>113</v>
      </c>
      <c r="N32" s="4" t="s">
        <v>103</v>
      </c>
      <c r="O32" s="4" t="s">
        <v>432</v>
      </c>
      <c r="P32" s="5"/>
      <c r="Q32" s="5"/>
      <c r="R32" s="4" t="s">
        <v>433</v>
      </c>
      <c r="S32" s="5"/>
      <c r="T32" s="4" t="s">
        <v>107</v>
      </c>
      <c r="U32" s="45">
        <v>81</v>
      </c>
      <c r="V32" s="4" t="s">
        <v>451</v>
      </c>
      <c r="W32" s="45">
        <v>81</v>
      </c>
      <c r="X32" s="4" t="s">
        <v>8</v>
      </c>
      <c r="Y32" s="5">
        <v>1</v>
      </c>
      <c r="Z32" s="4" t="s">
        <v>108</v>
      </c>
      <c r="AA32" s="5"/>
      <c r="AB32" s="5">
        <v>56</v>
      </c>
      <c r="AC32" s="4" t="s">
        <v>109</v>
      </c>
      <c r="AD32" s="45">
        <v>81</v>
      </c>
      <c r="AE32" s="4" t="s">
        <v>451</v>
      </c>
      <c r="AF32" s="5"/>
      <c r="AG32" s="5">
        <v>1000000</v>
      </c>
      <c r="AH32" s="5">
        <v>1000000</v>
      </c>
      <c r="AI32" s="5">
        <v>0</v>
      </c>
      <c r="AJ32" s="5">
        <v>1000000</v>
      </c>
      <c r="AK32" s="5">
        <v>0</v>
      </c>
      <c r="AL32" s="5">
        <v>1000000</v>
      </c>
      <c r="AM32" s="5"/>
    </row>
    <row r="33" spans="1:39" ht="51" x14ac:dyDescent="0.25">
      <c r="A33" s="4" t="s">
        <v>11</v>
      </c>
      <c r="B33" s="4" t="str">
        <f>VLOOKUP(A33,'Ledger &amp; Group'!A:C,2,0)</f>
        <v>Artsana</v>
      </c>
      <c r="C33" s="4">
        <f>VLOOKUP(A33,'Ledger &amp; Group'!A:C,3,0)</f>
        <v>30</v>
      </c>
      <c r="D33" s="45">
        <f t="shared" si="0"/>
        <v>112</v>
      </c>
      <c r="E33" s="4" t="str">
        <f ca="1">IF(D33&lt;=TODAY(),IF(ISNA(VLOOKUP(V33,'Unreconciled AR'!C:C,1,0)),"Due","Unreconciled AR"),"Outstanding")</f>
        <v>Due</v>
      </c>
      <c r="F33" s="4">
        <f t="shared" ca="1" si="1"/>
        <v>44617</v>
      </c>
      <c r="G33" s="4" t="e">
        <f ca="1">LOOKUP(F33,{-10000,-60,-30,-15,0,1,10000},{"&gt;60","31-60","16-30","01-15","Due on Today","OS"})</f>
        <v>#N/A</v>
      </c>
      <c r="H33" s="4" t="s">
        <v>103</v>
      </c>
      <c r="I33" s="4" t="s">
        <v>103</v>
      </c>
      <c r="J33" s="4" t="s">
        <v>104</v>
      </c>
      <c r="K33" s="4" t="s">
        <v>111</v>
      </c>
      <c r="L33" s="4" t="s">
        <v>112</v>
      </c>
      <c r="M33" s="4" t="s">
        <v>113</v>
      </c>
      <c r="N33" s="4" t="s">
        <v>103</v>
      </c>
      <c r="O33" s="4" t="s">
        <v>432</v>
      </c>
      <c r="P33" s="5"/>
      <c r="Q33" s="5"/>
      <c r="R33" s="4" t="s">
        <v>433</v>
      </c>
      <c r="S33" s="5"/>
      <c r="T33" s="4" t="s">
        <v>107</v>
      </c>
      <c r="U33" s="45">
        <v>82</v>
      </c>
      <c r="V33" s="4" t="s">
        <v>452</v>
      </c>
      <c r="W33" s="45">
        <v>82</v>
      </c>
      <c r="X33" s="4" t="s">
        <v>8</v>
      </c>
      <c r="Y33" s="5">
        <v>1</v>
      </c>
      <c r="Z33" s="4" t="s">
        <v>108</v>
      </c>
      <c r="AA33" s="5"/>
      <c r="AB33" s="5">
        <v>55</v>
      </c>
      <c r="AC33" s="4" t="s">
        <v>109</v>
      </c>
      <c r="AD33" s="45">
        <v>82</v>
      </c>
      <c r="AE33" s="4" t="s">
        <v>452</v>
      </c>
      <c r="AF33" s="5"/>
      <c r="AG33" s="5">
        <v>1000000</v>
      </c>
      <c r="AH33" s="5">
        <v>1000000</v>
      </c>
      <c r="AI33" s="5">
        <v>0</v>
      </c>
      <c r="AJ33" s="5">
        <v>1000000</v>
      </c>
      <c r="AK33" s="5">
        <v>0</v>
      </c>
      <c r="AL33" s="5">
        <v>1000000</v>
      </c>
      <c r="AM33" s="5"/>
    </row>
    <row r="34" spans="1:39" ht="51" x14ac:dyDescent="0.25">
      <c r="A34" s="4" t="s">
        <v>11</v>
      </c>
      <c r="B34" s="4" t="str">
        <f>VLOOKUP(A34,'Ledger &amp; Group'!A:C,2,0)</f>
        <v>Artsana</v>
      </c>
      <c r="C34" s="4">
        <f>VLOOKUP(A34,'Ledger &amp; Group'!A:C,3,0)</f>
        <v>30</v>
      </c>
      <c r="D34" s="45">
        <f t="shared" si="0"/>
        <v>114</v>
      </c>
      <c r="E34" s="4" t="str">
        <f ca="1">IF(D34&lt;=TODAY(),IF(ISNA(VLOOKUP(V34,'Unreconciled AR'!C:C,1,0)),"Due","Unreconciled AR"),"Outstanding")</f>
        <v>Due</v>
      </c>
      <c r="F34" s="4">
        <f t="shared" ca="1" si="1"/>
        <v>44615</v>
      </c>
      <c r="G34" s="4" t="e">
        <f ca="1">LOOKUP(F34,{-10000,-60,-30,-15,0,1,10000},{"&gt;60","31-60","16-30","01-15","Due on Today","OS"})</f>
        <v>#N/A</v>
      </c>
      <c r="H34" s="4" t="s">
        <v>103</v>
      </c>
      <c r="I34" s="4" t="s">
        <v>103</v>
      </c>
      <c r="J34" s="4" t="s">
        <v>104</v>
      </c>
      <c r="K34" s="4" t="s">
        <v>111</v>
      </c>
      <c r="L34" s="4" t="s">
        <v>112</v>
      </c>
      <c r="M34" s="4" t="s">
        <v>113</v>
      </c>
      <c r="N34" s="4" t="s">
        <v>103</v>
      </c>
      <c r="O34" s="4" t="s">
        <v>432</v>
      </c>
      <c r="P34" s="5"/>
      <c r="Q34" s="5"/>
      <c r="R34" s="4" t="s">
        <v>433</v>
      </c>
      <c r="S34" s="5"/>
      <c r="T34" s="4" t="s">
        <v>107</v>
      </c>
      <c r="U34" s="45">
        <v>84</v>
      </c>
      <c r="V34" s="4" t="s">
        <v>453</v>
      </c>
      <c r="W34" s="45">
        <v>84</v>
      </c>
      <c r="X34" s="4" t="s">
        <v>8</v>
      </c>
      <c r="Y34" s="5">
        <v>1</v>
      </c>
      <c r="Z34" s="4" t="s">
        <v>108</v>
      </c>
      <c r="AA34" s="5"/>
      <c r="AB34" s="5">
        <v>53</v>
      </c>
      <c r="AC34" s="4" t="s">
        <v>109</v>
      </c>
      <c r="AD34" s="45">
        <v>84</v>
      </c>
      <c r="AE34" s="4" t="s">
        <v>453</v>
      </c>
      <c r="AF34" s="4"/>
      <c r="AG34" s="5">
        <v>1000000</v>
      </c>
      <c r="AH34" s="5">
        <v>1000000</v>
      </c>
      <c r="AI34" s="5">
        <v>0</v>
      </c>
      <c r="AJ34" s="5">
        <v>1000000</v>
      </c>
      <c r="AK34" s="5">
        <v>0</v>
      </c>
      <c r="AL34" s="5">
        <v>1000000</v>
      </c>
      <c r="AM34" s="5"/>
    </row>
    <row r="35" spans="1:39" ht="51" x14ac:dyDescent="0.25">
      <c r="A35" s="4" t="s">
        <v>11</v>
      </c>
      <c r="B35" s="4" t="str">
        <f>VLOOKUP(A35,'Ledger &amp; Group'!A:C,2,0)</f>
        <v>Artsana</v>
      </c>
      <c r="C35" s="4">
        <f>VLOOKUP(A35,'Ledger &amp; Group'!A:C,3,0)</f>
        <v>30</v>
      </c>
      <c r="D35" s="45">
        <f t="shared" si="0"/>
        <v>118</v>
      </c>
      <c r="E35" s="4" t="str">
        <f ca="1">IF(D35&lt;=TODAY(),IF(ISNA(VLOOKUP(V35,'Unreconciled AR'!C:C,1,0)),"Due","Unreconciled AR"),"Outstanding")</f>
        <v>Due</v>
      </c>
      <c r="F35" s="4">
        <f t="shared" ca="1" si="1"/>
        <v>44611</v>
      </c>
      <c r="G35" s="4" t="e">
        <f ca="1">LOOKUP(F35,{-10000,-60,-30,-15,0,1,10000},{"&gt;60","31-60","16-30","01-15","Due on Today","OS"})</f>
        <v>#N/A</v>
      </c>
      <c r="H35" s="4" t="s">
        <v>103</v>
      </c>
      <c r="I35" s="4" t="s">
        <v>103</v>
      </c>
      <c r="J35" s="4" t="s">
        <v>104</v>
      </c>
      <c r="K35" s="4" t="s">
        <v>111</v>
      </c>
      <c r="L35" s="4" t="s">
        <v>112</v>
      </c>
      <c r="M35" s="4" t="s">
        <v>113</v>
      </c>
      <c r="N35" s="4" t="s">
        <v>103</v>
      </c>
      <c r="O35" s="4" t="s">
        <v>432</v>
      </c>
      <c r="P35" s="5"/>
      <c r="Q35" s="5"/>
      <c r="R35" s="4" t="s">
        <v>433</v>
      </c>
      <c r="S35" s="5"/>
      <c r="T35" s="4" t="s">
        <v>107</v>
      </c>
      <c r="U35" s="45">
        <v>88</v>
      </c>
      <c r="V35" s="4" t="s">
        <v>454</v>
      </c>
      <c r="W35" s="45">
        <v>88</v>
      </c>
      <c r="X35" s="4" t="s">
        <v>8</v>
      </c>
      <c r="Y35" s="5">
        <v>1</v>
      </c>
      <c r="Z35" s="4" t="s">
        <v>108</v>
      </c>
      <c r="AA35" s="5"/>
      <c r="AB35" s="5">
        <v>49</v>
      </c>
      <c r="AC35" s="4" t="s">
        <v>109</v>
      </c>
      <c r="AD35" s="45">
        <v>88</v>
      </c>
      <c r="AE35" s="4" t="s">
        <v>454</v>
      </c>
      <c r="AF35" s="4"/>
      <c r="AG35" s="5">
        <v>1000000</v>
      </c>
      <c r="AH35" s="5">
        <v>1000000</v>
      </c>
      <c r="AI35" s="5">
        <v>0</v>
      </c>
      <c r="AJ35" s="5">
        <v>1000000</v>
      </c>
      <c r="AK35" s="5">
        <v>0</v>
      </c>
      <c r="AL35" s="5">
        <v>1000000</v>
      </c>
      <c r="AM35" s="5"/>
    </row>
    <row r="36" spans="1:39" ht="51" x14ac:dyDescent="0.25">
      <c r="A36" s="4" t="s">
        <v>11</v>
      </c>
      <c r="B36" s="4" t="str">
        <f>VLOOKUP(A36,'Ledger &amp; Group'!A:C,2,0)</f>
        <v>Artsana</v>
      </c>
      <c r="C36" s="4">
        <f>VLOOKUP(A36,'Ledger &amp; Group'!A:C,3,0)</f>
        <v>30</v>
      </c>
      <c r="D36" s="45">
        <f t="shared" si="0"/>
        <v>121</v>
      </c>
      <c r="E36" s="4" t="str">
        <f ca="1">IF(D36&lt;=TODAY(),IF(ISNA(VLOOKUP(V36,'Unreconciled AR'!C:C,1,0)),"Due","Unreconciled AR"),"Outstanding")</f>
        <v>Due</v>
      </c>
      <c r="F36" s="4">
        <f t="shared" ca="1" si="1"/>
        <v>44608</v>
      </c>
      <c r="G36" s="4" t="e">
        <f ca="1">LOOKUP(F36,{-10000,-60,-30,-15,0,1,10000},{"&gt;60","31-60","16-30","01-15","Due on Today","OS"})</f>
        <v>#N/A</v>
      </c>
      <c r="H36" s="4" t="s">
        <v>103</v>
      </c>
      <c r="I36" s="4" t="s">
        <v>103</v>
      </c>
      <c r="J36" s="4" t="s">
        <v>104</v>
      </c>
      <c r="K36" s="4" t="s">
        <v>111</v>
      </c>
      <c r="L36" s="4" t="s">
        <v>112</v>
      </c>
      <c r="M36" s="4" t="s">
        <v>113</v>
      </c>
      <c r="N36" s="4" t="s">
        <v>103</v>
      </c>
      <c r="O36" s="4" t="s">
        <v>432</v>
      </c>
      <c r="P36" s="5"/>
      <c r="Q36" s="5"/>
      <c r="R36" s="4" t="s">
        <v>433</v>
      </c>
      <c r="S36" s="5"/>
      <c r="T36" s="4" t="s">
        <v>107</v>
      </c>
      <c r="U36" s="45">
        <v>91</v>
      </c>
      <c r="V36" s="4" t="s">
        <v>455</v>
      </c>
      <c r="W36" s="45">
        <v>91</v>
      </c>
      <c r="X36" s="4" t="s">
        <v>8</v>
      </c>
      <c r="Y36" s="5">
        <v>1</v>
      </c>
      <c r="Z36" s="4" t="s">
        <v>108</v>
      </c>
      <c r="AA36" s="5"/>
      <c r="AB36" s="5">
        <v>46</v>
      </c>
      <c r="AC36" s="4" t="s">
        <v>109</v>
      </c>
      <c r="AD36" s="45">
        <v>91</v>
      </c>
      <c r="AE36" s="4" t="s">
        <v>455</v>
      </c>
      <c r="AF36" s="4"/>
      <c r="AG36" s="5">
        <v>1000000</v>
      </c>
      <c r="AH36" s="5">
        <v>1000000</v>
      </c>
      <c r="AI36" s="5">
        <v>0</v>
      </c>
      <c r="AJ36" s="5">
        <v>1000000</v>
      </c>
      <c r="AK36" s="5">
        <v>0</v>
      </c>
      <c r="AL36" s="5">
        <v>1000000</v>
      </c>
      <c r="AM36" s="5"/>
    </row>
    <row r="37" spans="1:39" ht="51" x14ac:dyDescent="0.25">
      <c r="A37" s="4" t="s">
        <v>11</v>
      </c>
      <c r="B37" s="4" t="str">
        <f>VLOOKUP(A37,'Ledger &amp; Group'!A:C,2,0)</f>
        <v>Artsana</v>
      </c>
      <c r="C37" s="4">
        <f>VLOOKUP(A37,'Ledger &amp; Group'!A:C,3,0)</f>
        <v>30</v>
      </c>
      <c r="D37" s="45">
        <f t="shared" si="0"/>
        <v>132</v>
      </c>
      <c r="E37" s="4" t="str">
        <f ca="1">IF(D37&lt;=TODAY(),IF(ISNA(VLOOKUP(V37,'Unreconciled AR'!C:C,1,0)),"Due","Unreconciled AR"),"Outstanding")</f>
        <v>Due</v>
      </c>
      <c r="F37" s="4">
        <f t="shared" ca="1" si="1"/>
        <v>44597</v>
      </c>
      <c r="G37" s="4" t="e">
        <f ca="1">LOOKUP(F37,{-10000,-60,-30,-15,0,1,10000},{"&gt;60","31-60","16-30","01-15","Due on Today","OS"})</f>
        <v>#N/A</v>
      </c>
      <c r="H37" s="4" t="s">
        <v>103</v>
      </c>
      <c r="I37" s="4" t="s">
        <v>103</v>
      </c>
      <c r="J37" s="4" t="s">
        <v>104</v>
      </c>
      <c r="K37" s="4" t="s">
        <v>111</v>
      </c>
      <c r="L37" s="4" t="s">
        <v>112</v>
      </c>
      <c r="M37" s="4" t="s">
        <v>113</v>
      </c>
      <c r="N37" s="4" t="s">
        <v>103</v>
      </c>
      <c r="O37" s="4" t="s">
        <v>432</v>
      </c>
      <c r="P37" s="5"/>
      <c r="Q37" s="5"/>
      <c r="R37" s="4" t="s">
        <v>433</v>
      </c>
      <c r="S37" s="5"/>
      <c r="T37" s="4" t="s">
        <v>107</v>
      </c>
      <c r="U37" s="45">
        <v>102</v>
      </c>
      <c r="V37" s="4" t="s">
        <v>230</v>
      </c>
      <c r="W37" s="45">
        <v>102</v>
      </c>
      <c r="X37" s="4" t="s">
        <v>8</v>
      </c>
      <c r="Y37" s="5">
        <v>1</v>
      </c>
      <c r="Z37" s="4" t="s">
        <v>108</v>
      </c>
      <c r="AA37" s="5"/>
      <c r="AB37" s="5">
        <v>35</v>
      </c>
      <c r="AC37" s="4" t="s">
        <v>109</v>
      </c>
      <c r="AD37" s="45">
        <v>102</v>
      </c>
      <c r="AE37" s="4" t="s">
        <v>230</v>
      </c>
      <c r="AF37" s="4"/>
      <c r="AG37" s="5">
        <v>1000000</v>
      </c>
      <c r="AH37" s="5">
        <v>1000000</v>
      </c>
      <c r="AI37" s="5">
        <v>0</v>
      </c>
      <c r="AJ37" s="5">
        <v>1000000</v>
      </c>
      <c r="AK37" s="5">
        <v>0</v>
      </c>
      <c r="AL37" s="5">
        <v>1000000</v>
      </c>
      <c r="AM37" s="5"/>
    </row>
    <row r="38" spans="1:39" ht="51" x14ac:dyDescent="0.25">
      <c r="A38" s="4" t="s">
        <v>11</v>
      </c>
      <c r="B38" s="4" t="str">
        <f>VLOOKUP(A38,'Ledger &amp; Group'!A:C,2,0)</f>
        <v>Artsana</v>
      </c>
      <c r="C38" s="4">
        <f>VLOOKUP(A38,'Ledger &amp; Group'!A:C,3,0)</f>
        <v>30</v>
      </c>
      <c r="D38" s="45">
        <f t="shared" si="0"/>
        <v>141</v>
      </c>
      <c r="E38" s="4" t="str">
        <f ca="1">IF(D38&lt;=TODAY(),IF(ISNA(VLOOKUP(V38,'Unreconciled AR'!C:C,1,0)),"Due","Unreconciled AR"),"Outstanding")</f>
        <v>Due</v>
      </c>
      <c r="F38" s="4">
        <f t="shared" ca="1" si="1"/>
        <v>44588</v>
      </c>
      <c r="G38" s="4" t="e">
        <f ca="1">LOOKUP(F38,{-10000,-60,-30,-15,0,1,10000},{"&gt;60","31-60","16-30","01-15","Due on Today","OS"})</f>
        <v>#N/A</v>
      </c>
      <c r="H38" s="4" t="s">
        <v>103</v>
      </c>
      <c r="I38" s="4" t="s">
        <v>103</v>
      </c>
      <c r="J38" s="4" t="s">
        <v>104</v>
      </c>
      <c r="K38" s="4" t="s">
        <v>111</v>
      </c>
      <c r="L38" s="4" t="s">
        <v>112</v>
      </c>
      <c r="M38" s="4" t="s">
        <v>113</v>
      </c>
      <c r="N38" s="4" t="s">
        <v>103</v>
      </c>
      <c r="O38" s="4" t="s">
        <v>432</v>
      </c>
      <c r="P38" s="5"/>
      <c r="Q38" s="5"/>
      <c r="R38" s="4" t="s">
        <v>433</v>
      </c>
      <c r="S38" s="5"/>
      <c r="T38" s="4" t="s">
        <v>107</v>
      </c>
      <c r="U38" s="45">
        <v>111</v>
      </c>
      <c r="V38" s="4" t="s">
        <v>269</v>
      </c>
      <c r="W38" s="45">
        <v>111</v>
      </c>
      <c r="X38" s="4" t="s">
        <v>8</v>
      </c>
      <c r="Y38" s="5">
        <v>1</v>
      </c>
      <c r="Z38" s="4" t="s">
        <v>108</v>
      </c>
      <c r="AA38" s="5"/>
      <c r="AB38" s="5">
        <v>26</v>
      </c>
      <c r="AC38" s="4" t="s">
        <v>109</v>
      </c>
      <c r="AD38" s="45">
        <v>111</v>
      </c>
      <c r="AE38" s="4" t="s">
        <v>269</v>
      </c>
      <c r="AF38" s="4"/>
      <c r="AG38" s="5">
        <v>1000000</v>
      </c>
      <c r="AH38" s="5">
        <v>1000000</v>
      </c>
      <c r="AI38" s="5">
        <v>0</v>
      </c>
      <c r="AJ38" s="5">
        <v>1000000</v>
      </c>
      <c r="AK38" s="5">
        <v>0</v>
      </c>
      <c r="AL38" s="5">
        <v>1000000</v>
      </c>
      <c r="AM38" s="5"/>
    </row>
    <row r="39" spans="1:39" ht="51" x14ac:dyDescent="0.25">
      <c r="A39" s="4" t="s">
        <v>11</v>
      </c>
      <c r="B39" s="4" t="str">
        <f>VLOOKUP(A39,'Ledger &amp; Group'!A:C,2,0)</f>
        <v>Artsana</v>
      </c>
      <c r="C39" s="4">
        <f>VLOOKUP(A39,'Ledger &amp; Group'!A:C,3,0)</f>
        <v>30</v>
      </c>
      <c r="D39" s="45">
        <f t="shared" si="0"/>
        <v>148</v>
      </c>
      <c r="E39" s="4" t="str">
        <f ca="1">IF(D39&lt;=TODAY(),IF(ISNA(VLOOKUP(V39,'Unreconciled AR'!C:C,1,0)),"Due","Unreconciled AR"),"Outstanding")</f>
        <v>Due</v>
      </c>
      <c r="F39" s="4">
        <f t="shared" ca="1" si="1"/>
        <v>44581</v>
      </c>
      <c r="G39" s="4" t="e">
        <f ca="1">LOOKUP(F39,{-10000,-60,-30,-15,0,1,10000},{"&gt;60","31-60","16-30","01-15","Due on Today","OS"})</f>
        <v>#N/A</v>
      </c>
      <c r="H39" s="4" t="s">
        <v>103</v>
      </c>
      <c r="I39" s="4" t="s">
        <v>103</v>
      </c>
      <c r="J39" s="4" t="s">
        <v>104</v>
      </c>
      <c r="K39" s="4" t="s">
        <v>111</v>
      </c>
      <c r="L39" s="4" t="s">
        <v>112</v>
      </c>
      <c r="M39" s="4" t="s">
        <v>113</v>
      </c>
      <c r="N39" s="4" t="s">
        <v>103</v>
      </c>
      <c r="O39" s="4" t="s">
        <v>432</v>
      </c>
      <c r="P39" s="5"/>
      <c r="Q39" s="5"/>
      <c r="R39" s="4" t="s">
        <v>433</v>
      </c>
      <c r="S39" s="5"/>
      <c r="T39" s="4" t="s">
        <v>107</v>
      </c>
      <c r="U39" s="45">
        <v>118</v>
      </c>
      <c r="V39" s="4" t="s">
        <v>293</v>
      </c>
      <c r="W39" s="45">
        <v>118</v>
      </c>
      <c r="X39" s="4" t="s">
        <v>8</v>
      </c>
      <c r="Y39" s="5">
        <v>1</v>
      </c>
      <c r="Z39" s="4" t="s">
        <v>108</v>
      </c>
      <c r="AA39" s="5"/>
      <c r="AB39" s="5">
        <v>19</v>
      </c>
      <c r="AC39" s="4" t="s">
        <v>109</v>
      </c>
      <c r="AD39" s="45">
        <v>118</v>
      </c>
      <c r="AE39" s="4" t="s">
        <v>293</v>
      </c>
      <c r="AF39" s="4"/>
      <c r="AG39" s="5">
        <v>1000000</v>
      </c>
      <c r="AH39" s="5">
        <v>1000000</v>
      </c>
      <c r="AI39" s="5">
        <v>0</v>
      </c>
      <c r="AJ39" s="5">
        <v>1000000</v>
      </c>
      <c r="AK39" s="5">
        <v>0</v>
      </c>
      <c r="AL39" s="5">
        <v>1000000</v>
      </c>
      <c r="AM39" s="5"/>
    </row>
    <row r="40" spans="1:39" ht="51" x14ac:dyDescent="0.25">
      <c r="A40" s="4" t="s">
        <v>11</v>
      </c>
      <c r="B40" s="4" t="str">
        <f>VLOOKUP(A40,'Ledger &amp; Group'!A:C,2,0)</f>
        <v>Artsana</v>
      </c>
      <c r="C40" s="4">
        <f>VLOOKUP(A40,'Ledger &amp; Group'!A:C,3,0)</f>
        <v>30</v>
      </c>
      <c r="D40" s="45">
        <f t="shared" si="0"/>
        <v>148</v>
      </c>
      <c r="E40" s="4" t="str">
        <f ca="1">IF(D40&lt;=TODAY(),IF(ISNA(VLOOKUP(V40,'Unreconciled AR'!C:C,1,0)),"Due","Unreconciled AR"),"Outstanding")</f>
        <v>Due</v>
      </c>
      <c r="F40" s="4">
        <f t="shared" ca="1" si="1"/>
        <v>44581</v>
      </c>
      <c r="G40" s="4" t="e">
        <f ca="1">LOOKUP(F40,{-10000,-60,-30,-15,0,1,10000},{"&gt;60","31-60","16-30","01-15","Due on Today","OS"})</f>
        <v>#N/A</v>
      </c>
      <c r="H40" s="4" t="s">
        <v>103</v>
      </c>
      <c r="I40" s="4" t="s">
        <v>103</v>
      </c>
      <c r="J40" s="4" t="s">
        <v>104</v>
      </c>
      <c r="K40" s="4" t="s">
        <v>111</v>
      </c>
      <c r="L40" s="4" t="s">
        <v>112</v>
      </c>
      <c r="M40" s="4" t="s">
        <v>113</v>
      </c>
      <c r="N40" s="4" t="s">
        <v>103</v>
      </c>
      <c r="O40" s="4" t="s">
        <v>432</v>
      </c>
      <c r="P40" s="5"/>
      <c r="Q40" s="5"/>
      <c r="R40" s="4" t="s">
        <v>433</v>
      </c>
      <c r="S40" s="5"/>
      <c r="T40" s="4" t="s">
        <v>107</v>
      </c>
      <c r="U40" s="45">
        <v>118</v>
      </c>
      <c r="V40" s="4" t="s">
        <v>294</v>
      </c>
      <c r="W40" s="45">
        <v>118</v>
      </c>
      <c r="X40" s="4" t="s">
        <v>8</v>
      </c>
      <c r="Y40" s="5">
        <v>1</v>
      </c>
      <c r="Z40" s="4" t="s">
        <v>108</v>
      </c>
      <c r="AA40" s="5"/>
      <c r="AB40" s="5">
        <v>19</v>
      </c>
      <c r="AC40" s="4" t="s">
        <v>109</v>
      </c>
      <c r="AD40" s="45">
        <v>118</v>
      </c>
      <c r="AE40" s="4" t="s">
        <v>294</v>
      </c>
      <c r="AF40" s="4"/>
      <c r="AG40" s="5">
        <v>1000000</v>
      </c>
      <c r="AH40" s="5">
        <v>1000000</v>
      </c>
      <c r="AI40" s="5">
        <v>0</v>
      </c>
      <c r="AJ40" s="5">
        <v>1000000</v>
      </c>
      <c r="AK40" s="5">
        <v>0</v>
      </c>
      <c r="AL40" s="5">
        <v>1000000</v>
      </c>
      <c r="AM40" s="5"/>
    </row>
    <row r="41" spans="1:39" ht="51" x14ac:dyDescent="0.25">
      <c r="A41" s="4" t="s">
        <v>11</v>
      </c>
      <c r="B41" s="4" t="str">
        <f>VLOOKUP(A41,'Ledger &amp; Group'!A:C,2,0)</f>
        <v>Artsana</v>
      </c>
      <c r="C41" s="4">
        <f>VLOOKUP(A41,'Ledger &amp; Group'!A:C,3,0)</f>
        <v>30</v>
      </c>
      <c r="D41" s="45">
        <f t="shared" si="0"/>
        <v>153</v>
      </c>
      <c r="E41" s="4" t="str">
        <f ca="1">IF(D41&lt;=TODAY(),IF(ISNA(VLOOKUP(V41,'Unreconciled AR'!C:C,1,0)),"Due","Unreconciled AR"),"Outstanding")</f>
        <v>Due</v>
      </c>
      <c r="F41" s="4">
        <f t="shared" ca="1" si="1"/>
        <v>44576</v>
      </c>
      <c r="G41" s="4" t="e">
        <f ca="1">LOOKUP(F41,{-10000,-60,-30,-15,0,1,10000},{"&gt;60","31-60","16-30","01-15","Due on Today","OS"})</f>
        <v>#N/A</v>
      </c>
      <c r="H41" s="4" t="s">
        <v>103</v>
      </c>
      <c r="I41" s="4" t="s">
        <v>103</v>
      </c>
      <c r="J41" s="4" t="s">
        <v>104</v>
      </c>
      <c r="K41" s="4" t="s">
        <v>111</v>
      </c>
      <c r="L41" s="4" t="s">
        <v>112</v>
      </c>
      <c r="M41" s="4" t="s">
        <v>113</v>
      </c>
      <c r="N41" s="4" t="s">
        <v>103</v>
      </c>
      <c r="O41" s="4" t="s">
        <v>432</v>
      </c>
      <c r="P41" s="5"/>
      <c r="Q41" s="5"/>
      <c r="R41" s="4" t="s">
        <v>433</v>
      </c>
      <c r="S41" s="5"/>
      <c r="T41" s="4" t="s">
        <v>107</v>
      </c>
      <c r="U41" s="45">
        <v>123</v>
      </c>
      <c r="V41" s="4" t="s">
        <v>313</v>
      </c>
      <c r="W41" s="45">
        <v>123</v>
      </c>
      <c r="X41" s="4" t="s">
        <v>8</v>
      </c>
      <c r="Y41" s="5">
        <v>1</v>
      </c>
      <c r="Z41" s="4" t="s">
        <v>108</v>
      </c>
      <c r="AA41" s="5"/>
      <c r="AB41" s="5">
        <v>14</v>
      </c>
      <c r="AC41" s="4" t="s">
        <v>109</v>
      </c>
      <c r="AD41" s="45">
        <v>123</v>
      </c>
      <c r="AE41" s="4" t="s">
        <v>313</v>
      </c>
      <c r="AF41" s="4"/>
      <c r="AG41" s="5">
        <v>1000000</v>
      </c>
      <c r="AH41" s="5">
        <v>1000000</v>
      </c>
      <c r="AI41" s="5">
        <v>0</v>
      </c>
      <c r="AJ41" s="5">
        <v>1000000</v>
      </c>
      <c r="AK41" s="5">
        <v>0</v>
      </c>
      <c r="AL41" s="5">
        <v>1000000</v>
      </c>
      <c r="AM41" s="5"/>
    </row>
    <row r="42" spans="1:39" ht="38.25" x14ac:dyDescent="0.25">
      <c r="A42" s="4" t="s">
        <v>177</v>
      </c>
      <c r="B42" s="4" t="str">
        <f>VLOOKUP(A42,'Ledger &amp; Group'!A:C,2,0)</f>
        <v>Own Brand</v>
      </c>
      <c r="C42" s="4">
        <f>VLOOKUP(A42,'Ledger &amp; Group'!A:C,3,0)</f>
        <v>30</v>
      </c>
      <c r="D42" s="45">
        <f t="shared" si="0"/>
        <v>298</v>
      </c>
      <c r="E42" s="4" t="str">
        <f ca="1">IF(D42&lt;=TODAY(),IF(ISNA(VLOOKUP(V42,'Unreconciled AR'!C:C,1,0)),"Due","Unreconciled AR"),"Outstanding")</f>
        <v>Due</v>
      </c>
      <c r="F42" s="4">
        <f t="shared" ca="1" si="1"/>
        <v>44431</v>
      </c>
      <c r="G42" s="4" t="e">
        <f ca="1">LOOKUP(F42,{-10000,-60,-30,-15,0,1,10000},{"&gt;60","31-60","16-30","01-15","Due on Today","OS"})</f>
        <v>#N/A</v>
      </c>
      <c r="H42" s="4" t="s">
        <v>103</v>
      </c>
      <c r="I42" s="4" t="s">
        <v>103</v>
      </c>
      <c r="J42" s="4" t="s">
        <v>104</v>
      </c>
      <c r="K42" s="4" t="s">
        <v>111</v>
      </c>
      <c r="L42" s="4" t="s">
        <v>112</v>
      </c>
      <c r="M42" s="4" t="s">
        <v>113</v>
      </c>
      <c r="N42" s="4" t="s">
        <v>106</v>
      </c>
      <c r="O42" s="4" t="s">
        <v>432</v>
      </c>
      <c r="P42" s="5"/>
      <c r="Q42" s="5"/>
      <c r="R42" s="4" t="s">
        <v>433</v>
      </c>
      <c r="S42" s="5"/>
      <c r="T42" s="4" t="s">
        <v>107</v>
      </c>
      <c r="U42" s="45">
        <v>268</v>
      </c>
      <c r="V42" s="4" t="s">
        <v>456</v>
      </c>
      <c r="W42" s="45">
        <v>268</v>
      </c>
      <c r="X42" s="4" t="s">
        <v>8</v>
      </c>
      <c r="Y42" s="5">
        <v>1</v>
      </c>
      <c r="Z42" s="4" t="s">
        <v>108</v>
      </c>
      <c r="AA42" s="5"/>
      <c r="AB42" s="5">
        <v>234</v>
      </c>
      <c r="AC42" s="4" t="s">
        <v>109</v>
      </c>
      <c r="AD42" s="45">
        <v>268</v>
      </c>
      <c r="AE42" s="4" t="s">
        <v>456</v>
      </c>
      <c r="AF42" s="5"/>
      <c r="AG42" s="5">
        <v>1000000</v>
      </c>
      <c r="AH42" s="5">
        <v>1000000</v>
      </c>
      <c r="AI42" s="5">
        <v>0</v>
      </c>
      <c r="AJ42" s="5">
        <v>1000000</v>
      </c>
      <c r="AK42" s="5">
        <v>0</v>
      </c>
      <c r="AL42" s="5">
        <v>1000000</v>
      </c>
      <c r="AM42" s="5"/>
    </row>
    <row r="43" spans="1:39" ht="38.25" x14ac:dyDescent="0.25">
      <c r="A43" s="4" t="s">
        <v>12</v>
      </c>
      <c r="B43" s="4" t="str">
        <f>VLOOKUP(A43,'Ledger &amp; Group'!A:C,2,0)</f>
        <v>Cavinkare</v>
      </c>
      <c r="C43" s="4">
        <f>VLOOKUP(A43,'Ledger &amp; Group'!A:C,3,0)</f>
        <v>60</v>
      </c>
      <c r="D43" s="45">
        <f t="shared" si="0"/>
        <v>286</v>
      </c>
      <c r="E43" s="4" t="str">
        <f ca="1">IF(D43&lt;=TODAY(),IF(ISNA(VLOOKUP(V43,'Unreconciled AR'!C:C,1,0)),"Due","Unreconciled AR"),"Outstanding")</f>
        <v>Due</v>
      </c>
      <c r="F43" s="4">
        <f t="shared" ca="1" si="1"/>
        <v>44473</v>
      </c>
      <c r="G43" s="4" t="e">
        <f ca="1">LOOKUP(F43,{-10000,-60,-30,-15,0,1,10000},{"&gt;60","31-60","16-30","01-15","Due on Today","OS"})</f>
        <v>#N/A</v>
      </c>
      <c r="H43" s="5"/>
      <c r="I43" s="4" t="s">
        <v>103</v>
      </c>
      <c r="J43" s="4" t="s">
        <v>104</v>
      </c>
      <c r="K43" s="4" t="s">
        <v>111</v>
      </c>
      <c r="L43" s="4" t="s">
        <v>112</v>
      </c>
      <c r="M43" s="4" t="s">
        <v>113</v>
      </c>
      <c r="N43" s="4" t="s">
        <v>103</v>
      </c>
      <c r="O43" s="4" t="s">
        <v>432</v>
      </c>
      <c r="P43" s="5"/>
      <c r="Q43" s="5"/>
      <c r="R43" s="4" t="s">
        <v>433</v>
      </c>
      <c r="S43" s="5"/>
      <c r="T43" s="4" t="s">
        <v>107</v>
      </c>
      <c r="U43" s="45">
        <v>226</v>
      </c>
      <c r="V43" s="4" t="s">
        <v>13</v>
      </c>
      <c r="W43" s="45">
        <v>226</v>
      </c>
      <c r="X43" s="4" t="s">
        <v>8</v>
      </c>
      <c r="Y43" s="5">
        <v>1</v>
      </c>
      <c r="Z43" s="4" t="s">
        <v>114</v>
      </c>
      <c r="AA43" s="5"/>
      <c r="AB43" s="5">
        <v>641</v>
      </c>
      <c r="AC43" s="4" t="s">
        <v>109</v>
      </c>
      <c r="AD43" s="45">
        <v>226</v>
      </c>
      <c r="AE43" s="4" t="s">
        <v>13</v>
      </c>
      <c r="AF43" s="5"/>
      <c r="AG43" s="5">
        <v>1000000</v>
      </c>
      <c r="AH43" s="5">
        <v>1000000</v>
      </c>
      <c r="AI43" s="5">
        <v>0</v>
      </c>
      <c r="AJ43" s="5">
        <v>1000000</v>
      </c>
      <c r="AK43" s="5">
        <v>0</v>
      </c>
      <c r="AL43" s="5">
        <v>1000000</v>
      </c>
      <c r="AM43" s="5"/>
    </row>
    <row r="44" spans="1:39" ht="63.75" x14ac:dyDescent="0.25">
      <c r="A44" s="4" t="s">
        <v>14</v>
      </c>
      <c r="B44" s="4" t="str">
        <f>VLOOKUP(A44,'Ledger &amp; Group'!A:C,2,0)</f>
        <v>Cavinkare</v>
      </c>
      <c r="C44" s="4">
        <f>VLOOKUP(A44,'Ledger &amp; Group'!A:C,3,0)</f>
        <v>60</v>
      </c>
      <c r="D44" s="45">
        <f t="shared" si="0"/>
        <v>44759</v>
      </c>
      <c r="E44" s="4" t="str">
        <f ca="1">IF(D44&lt;=TODAY(),IF(ISNA(VLOOKUP(V44,'Unreconciled AR'!C:C,1,0)),"Due","Unreconciled AR"),"Outstanding")</f>
        <v>Outstanding</v>
      </c>
      <c r="F44" s="4">
        <f t="shared" ca="1" si="1"/>
        <v>0</v>
      </c>
      <c r="G44" s="4" t="str">
        <f ca="1">LOOKUP(F44,{-10000,-60,-30,-15,0,1,10000},{"&gt;60","31-60","16-30","01-15","Due on Today","OS"})</f>
        <v>Due on Today</v>
      </c>
      <c r="H44" s="4" t="s">
        <v>103</v>
      </c>
      <c r="I44" s="4" t="s">
        <v>103</v>
      </c>
      <c r="J44" s="4" t="s">
        <v>104</v>
      </c>
      <c r="K44" s="4" t="s">
        <v>111</v>
      </c>
      <c r="L44" s="4" t="s">
        <v>112</v>
      </c>
      <c r="M44" s="4" t="s">
        <v>113</v>
      </c>
      <c r="N44" s="4" t="s">
        <v>103</v>
      </c>
      <c r="O44" s="4" t="s">
        <v>432</v>
      </c>
      <c r="P44" s="5"/>
      <c r="Q44" s="5"/>
      <c r="R44" s="4" t="s">
        <v>433</v>
      </c>
      <c r="S44" s="5"/>
      <c r="T44" s="4" t="s">
        <v>107</v>
      </c>
      <c r="U44" s="45">
        <v>44699</v>
      </c>
      <c r="V44" s="4" t="s">
        <v>457</v>
      </c>
      <c r="W44" s="45">
        <v>44699</v>
      </c>
      <c r="X44" s="4" t="s">
        <v>8</v>
      </c>
      <c r="Y44" s="5">
        <v>1</v>
      </c>
      <c r="Z44" s="4" t="s">
        <v>108</v>
      </c>
      <c r="AA44" s="5"/>
      <c r="AB44" s="5">
        <v>219</v>
      </c>
      <c r="AC44" s="4" t="s">
        <v>109</v>
      </c>
      <c r="AD44" s="45">
        <v>44699</v>
      </c>
      <c r="AE44" s="4" t="s">
        <v>457</v>
      </c>
      <c r="AF44" s="4"/>
      <c r="AG44" s="5">
        <v>1000000</v>
      </c>
      <c r="AH44" s="5">
        <v>1000000</v>
      </c>
      <c r="AI44" s="5">
        <v>0</v>
      </c>
      <c r="AJ44" s="5">
        <v>1000000</v>
      </c>
      <c r="AK44" s="5">
        <v>0</v>
      </c>
      <c r="AL44" s="5">
        <v>1000000</v>
      </c>
      <c r="AM44" s="5"/>
    </row>
    <row r="45" spans="1:39" ht="63.75" x14ac:dyDescent="0.25">
      <c r="A45" s="4" t="s">
        <v>14</v>
      </c>
      <c r="B45" s="4" t="str">
        <f>VLOOKUP(A45,'Ledger &amp; Group'!A:C,2,0)</f>
        <v>Cavinkare</v>
      </c>
      <c r="C45" s="4">
        <f>VLOOKUP(A45,'Ledger &amp; Group'!A:C,3,0)</f>
        <v>60</v>
      </c>
      <c r="D45" s="45">
        <f t="shared" si="0"/>
        <v>44759</v>
      </c>
      <c r="E45" s="4" t="str">
        <f ca="1">IF(D45&lt;=TODAY(),IF(ISNA(VLOOKUP(V45,'Unreconciled AR'!C:C,1,0)),"Due","Unreconciled AR"),"Outstanding")</f>
        <v>Outstanding</v>
      </c>
      <c r="F45" s="4">
        <f t="shared" ca="1" si="1"/>
        <v>0</v>
      </c>
      <c r="G45" s="4" t="str">
        <f ca="1">LOOKUP(F45,{-10000,-60,-30,-15,0,1,10000},{"&gt;60","31-60","16-30","01-15","Due on Today","OS"})</f>
        <v>Due on Today</v>
      </c>
      <c r="H45" s="4" t="s">
        <v>103</v>
      </c>
      <c r="I45" s="4" t="s">
        <v>103</v>
      </c>
      <c r="J45" s="4" t="s">
        <v>104</v>
      </c>
      <c r="K45" s="4" t="s">
        <v>111</v>
      </c>
      <c r="L45" s="4" t="s">
        <v>112</v>
      </c>
      <c r="M45" s="4" t="s">
        <v>113</v>
      </c>
      <c r="N45" s="4" t="s">
        <v>103</v>
      </c>
      <c r="O45" s="4" t="s">
        <v>432</v>
      </c>
      <c r="P45" s="5"/>
      <c r="Q45" s="5"/>
      <c r="R45" s="4" t="s">
        <v>433</v>
      </c>
      <c r="S45" s="5"/>
      <c r="T45" s="4" t="s">
        <v>107</v>
      </c>
      <c r="U45" s="45">
        <v>44699</v>
      </c>
      <c r="V45" s="4" t="s">
        <v>458</v>
      </c>
      <c r="W45" s="45">
        <v>44699</v>
      </c>
      <c r="X45" s="4" t="s">
        <v>8</v>
      </c>
      <c r="Y45" s="5">
        <v>1</v>
      </c>
      <c r="Z45" s="4" t="s">
        <v>108</v>
      </c>
      <c r="AA45" s="5"/>
      <c r="AB45" s="5">
        <v>57</v>
      </c>
      <c r="AC45" s="4" t="s">
        <v>109</v>
      </c>
      <c r="AD45" s="45">
        <v>44699</v>
      </c>
      <c r="AE45" s="4" t="s">
        <v>458</v>
      </c>
      <c r="AF45" s="4"/>
      <c r="AG45" s="5">
        <v>1000000</v>
      </c>
      <c r="AH45" s="5">
        <v>1000000</v>
      </c>
      <c r="AI45" s="5">
        <v>0</v>
      </c>
      <c r="AJ45" s="5">
        <v>1000000</v>
      </c>
      <c r="AK45" s="5">
        <v>0</v>
      </c>
      <c r="AL45" s="5">
        <v>1000000</v>
      </c>
      <c r="AM45" s="5"/>
    </row>
    <row r="46" spans="1:39" ht="63.75" x14ac:dyDescent="0.25">
      <c r="A46" s="4" t="s">
        <v>14</v>
      </c>
      <c r="B46" s="4" t="str">
        <f>VLOOKUP(A46,'Ledger &amp; Group'!A:C,2,0)</f>
        <v>Cavinkare</v>
      </c>
      <c r="C46" s="4">
        <f>VLOOKUP(A46,'Ledger &amp; Group'!A:C,3,0)</f>
        <v>60</v>
      </c>
      <c r="D46" s="45">
        <f t="shared" si="0"/>
        <v>44759</v>
      </c>
      <c r="E46" s="4" t="str">
        <f ca="1">IF(D46&lt;=TODAY(),IF(ISNA(VLOOKUP(V46,'Unreconciled AR'!C:C,1,0)),"Due","Unreconciled AR"),"Outstanding")</f>
        <v>Outstanding</v>
      </c>
      <c r="F46" s="4">
        <f t="shared" ca="1" si="1"/>
        <v>0</v>
      </c>
      <c r="G46" s="4" t="str">
        <f ca="1">LOOKUP(F46,{-10000,-60,-30,-15,0,1,10000},{"&gt;60","31-60","16-30","01-15","Due on Today","OS"})</f>
        <v>Due on Today</v>
      </c>
      <c r="H46" s="4" t="s">
        <v>103</v>
      </c>
      <c r="I46" s="4" t="s">
        <v>103</v>
      </c>
      <c r="J46" s="4" t="s">
        <v>104</v>
      </c>
      <c r="K46" s="4" t="s">
        <v>111</v>
      </c>
      <c r="L46" s="4" t="s">
        <v>112</v>
      </c>
      <c r="M46" s="4" t="s">
        <v>113</v>
      </c>
      <c r="N46" s="4" t="s">
        <v>103</v>
      </c>
      <c r="O46" s="4" t="s">
        <v>432</v>
      </c>
      <c r="P46" s="5"/>
      <c r="Q46" s="5"/>
      <c r="R46" s="4" t="s">
        <v>433</v>
      </c>
      <c r="S46" s="5"/>
      <c r="T46" s="4" t="s">
        <v>107</v>
      </c>
      <c r="U46" s="45">
        <v>44699</v>
      </c>
      <c r="V46" s="4" t="s">
        <v>459</v>
      </c>
      <c r="W46" s="45">
        <v>44699</v>
      </c>
      <c r="X46" s="4" t="s">
        <v>8</v>
      </c>
      <c r="Y46" s="5">
        <v>1</v>
      </c>
      <c r="Z46" s="4" t="s">
        <v>108</v>
      </c>
      <c r="AA46" s="5"/>
      <c r="AB46" s="5">
        <v>55</v>
      </c>
      <c r="AC46" s="4" t="s">
        <v>109</v>
      </c>
      <c r="AD46" s="45">
        <v>44699</v>
      </c>
      <c r="AE46" s="4" t="s">
        <v>459</v>
      </c>
      <c r="AF46" s="4"/>
      <c r="AG46" s="5">
        <v>1000000</v>
      </c>
      <c r="AH46" s="5">
        <v>1000000</v>
      </c>
      <c r="AI46" s="5">
        <v>0</v>
      </c>
      <c r="AJ46" s="5">
        <v>1000000</v>
      </c>
      <c r="AK46" s="5">
        <v>0</v>
      </c>
      <c r="AL46" s="5">
        <v>1000000</v>
      </c>
      <c r="AM46" s="5"/>
    </row>
    <row r="47" spans="1:39" ht="63.75" x14ac:dyDescent="0.25">
      <c r="A47" s="4" t="s">
        <v>14</v>
      </c>
      <c r="B47" s="4" t="str">
        <f>VLOOKUP(A47,'Ledger &amp; Group'!A:C,2,0)</f>
        <v>Cavinkare</v>
      </c>
      <c r="C47" s="4">
        <f>VLOOKUP(A47,'Ledger &amp; Group'!A:C,3,0)</f>
        <v>60</v>
      </c>
      <c r="D47" s="45">
        <f t="shared" si="0"/>
        <v>44759</v>
      </c>
      <c r="E47" s="4" t="str">
        <f ca="1">IF(D47&lt;=TODAY(),IF(ISNA(VLOOKUP(V47,'Unreconciled AR'!C:C,1,0)),"Due","Unreconciled AR"),"Outstanding")</f>
        <v>Outstanding</v>
      </c>
      <c r="F47" s="4">
        <f t="shared" ca="1" si="1"/>
        <v>0</v>
      </c>
      <c r="G47" s="4" t="str">
        <f ca="1">LOOKUP(F47,{-10000,-60,-30,-15,0,1,10000},{"&gt;60","31-60","16-30","01-15","Due on Today","OS"})</f>
        <v>Due on Today</v>
      </c>
      <c r="H47" s="4" t="s">
        <v>103</v>
      </c>
      <c r="I47" s="4" t="s">
        <v>103</v>
      </c>
      <c r="J47" s="4" t="s">
        <v>104</v>
      </c>
      <c r="K47" s="4" t="s">
        <v>111</v>
      </c>
      <c r="L47" s="4" t="s">
        <v>112</v>
      </c>
      <c r="M47" s="4" t="s">
        <v>113</v>
      </c>
      <c r="N47" s="4" t="s">
        <v>103</v>
      </c>
      <c r="O47" s="4" t="s">
        <v>432</v>
      </c>
      <c r="P47" s="5"/>
      <c r="Q47" s="5"/>
      <c r="R47" s="4" t="s">
        <v>433</v>
      </c>
      <c r="S47" s="5"/>
      <c r="T47" s="4" t="s">
        <v>107</v>
      </c>
      <c r="U47" s="45">
        <v>44699</v>
      </c>
      <c r="V47" s="4" t="s">
        <v>460</v>
      </c>
      <c r="W47" s="45">
        <v>44699</v>
      </c>
      <c r="X47" s="4" t="s">
        <v>8</v>
      </c>
      <c r="Y47" s="5">
        <v>1</v>
      </c>
      <c r="Z47" s="4" t="s">
        <v>108</v>
      </c>
      <c r="AA47" s="5"/>
      <c r="AB47" s="5">
        <v>55</v>
      </c>
      <c r="AC47" s="4" t="s">
        <v>109</v>
      </c>
      <c r="AD47" s="45">
        <v>44699</v>
      </c>
      <c r="AE47" s="4" t="s">
        <v>460</v>
      </c>
      <c r="AF47" s="4"/>
      <c r="AG47" s="5">
        <v>1000000</v>
      </c>
      <c r="AH47" s="5">
        <v>1000000</v>
      </c>
      <c r="AI47" s="5">
        <v>0</v>
      </c>
      <c r="AJ47" s="5">
        <v>1000000</v>
      </c>
      <c r="AK47" s="5">
        <v>0</v>
      </c>
      <c r="AL47" s="5">
        <v>1000000</v>
      </c>
      <c r="AM47" s="5"/>
    </row>
    <row r="48" spans="1:39" ht="63.75" x14ac:dyDescent="0.25">
      <c r="A48" s="4" t="s">
        <v>14</v>
      </c>
      <c r="B48" s="4" t="str">
        <f>VLOOKUP(A48,'Ledger &amp; Group'!A:C,2,0)</f>
        <v>Cavinkare</v>
      </c>
      <c r="C48" s="4">
        <f>VLOOKUP(A48,'Ledger &amp; Group'!A:C,3,0)</f>
        <v>60</v>
      </c>
      <c r="D48" s="45">
        <f t="shared" si="0"/>
        <v>44759</v>
      </c>
      <c r="E48" s="4" t="str">
        <f ca="1">IF(D48&lt;=TODAY(),IF(ISNA(VLOOKUP(V48,'Unreconciled AR'!C:C,1,0)),"Due","Unreconciled AR"),"Outstanding")</f>
        <v>Outstanding</v>
      </c>
      <c r="F48" s="4">
        <f t="shared" ca="1" si="1"/>
        <v>0</v>
      </c>
      <c r="G48" s="4" t="str">
        <f ca="1">LOOKUP(F48,{-10000,-60,-30,-15,0,1,10000},{"&gt;60","31-60","16-30","01-15","Due on Today","OS"})</f>
        <v>Due on Today</v>
      </c>
      <c r="H48" s="4" t="s">
        <v>103</v>
      </c>
      <c r="I48" s="4" t="s">
        <v>103</v>
      </c>
      <c r="J48" s="4" t="s">
        <v>104</v>
      </c>
      <c r="K48" s="4" t="s">
        <v>111</v>
      </c>
      <c r="L48" s="4" t="s">
        <v>112</v>
      </c>
      <c r="M48" s="4" t="s">
        <v>113</v>
      </c>
      <c r="N48" s="4" t="s">
        <v>103</v>
      </c>
      <c r="O48" s="4" t="s">
        <v>432</v>
      </c>
      <c r="P48" s="5"/>
      <c r="Q48" s="5"/>
      <c r="R48" s="4" t="s">
        <v>433</v>
      </c>
      <c r="S48" s="5"/>
      <c r="T48" s="4" t="s">
        <v>107</v>
      </c>
      <c r="U48" s="45">
        <v>44699</v>
      </c>
      <c r="V48" s="4" t="s">
        <v>461</v>
      </c>
      <c r="W48" s="45">
        <v>44699</v>
      </c>
      <c r="X48" s="4" t="s">
        <v>8</v>
      </c>
      <c r="Y48" s="5">
        <v>1</v>
      </c>
      <c r="Z48" s="4" t="s">
        <v>108</v>
      </c>
      <c r="AA48" s="5"/>
      <c r="AB48" s="5">
        <v>53</v>
      </c>
      <c r="AC48" s="4" t="s">
        <v>109</v>
      </c>
      <c r="AD48" s="45">
        <v>44699</v>
      </c>
      <c r="AE48" s="4" t="s">
        <v>461</v>
      </c>
      <c r="AF48" s="4"/>
      <c r="AG48" s="5">
        <v>1000000</v>
      </c>
      <c r="AH48" s="5">
        <v>1000000</v>
      </c>
      <c r="AI48" s="5">
        <v>0</v>
      </c>
      <c r="AJ48" s="5">
        <v>1000000</v>
      </c>
      <c r="AK48" s="5">
        <v>0</v>
      </c>
      <c r="AL48" s="5">
        <v>1000000</v>
      </c>
      <c r="AM48" s="5"/>
    </row>
    <row r="49" spans="1:39" ht="63.75" x14ac:dyDescent="0.25">
      <c r="A49" s="4" t="s">
        <v>14</v>
      </c>
      <c r="B49" s="4" t="str">
        <f>VLOOKUP(A49,'Ledger &amp; Group'!A:C,2,0)</f>
        <v>Cavinkare</v>
      </c>
      <c r="C49" s="4">
        <f>VLOOKUP(A49,'Ledger &amp; Group'!A:C,3,0)</f>
        <v>60</v>
      </c>
      <c r="D49" s="45">
        <f t="shared" si="0"/>
        <v>44759</v>
      </c>
      <c r="E49" s="4" t="str">
        <f ca="1">IF(D49&lt;=TODAY(),IF(ISNA(VLOOKUP(V49,'Unreconciled AR'!C:C,1,0)),"Due","Unreconciled AR"),"Outstanding")</f>
        <v>Outstanding</v>
      </c>
      <c r="F49" s="4">
        <f t="shared" ca="1" si="1"/>
        <v>0</v>
      </c>
      <c r="G49" s="4" t="str">
        <f ca="1">LOOKUP(F49,{-10000,-60,-30,-15,0,1,10000},{"&gt;60","31-60","16-30","01-15","Due on Today","OS"})</f>
        <v>Due on Today</v>
      </c>
      <c r="H49" s="4" t="s">
        <v>103</v>
      </c>
      <c r="I49" s="4" t="s">
        <v>103</v>
      </c>
      <c r="J49" s="4" t="s">
        <v>104</v>
      </c>
      <c r="K49" s="4" t="s">
        <v>111</v>
      </c>
      <c r="L49" s="4" t="s">
        <v>112</v>
      </c>
      <c r="M49" s="4" t="s">
        <v>113</v>
      </c>
      <c r="N49" s="4" t="s">
        <v>103</v>
      </c>
      <c r="O49" s="4" t="s">
        <v>432</v>
      </c>
      <c r="P49" s="5"/>
      <c r="Q49" s="5"/>
      <c r="R49" s="4" t="s">
        <v>433</v>
      </c>
      <c r="S49" s="5"/>
      <c r="T49" s="4" t="s">
        <v>107</v>
      </c>
      <c r="U49" s="45">
        <v>44699</v>
      </c>
      <c r="V49" s="4" t="s">
        <v>462</v>
      </c>
      <c r="W49" s="45">
        <v>44699</v>
      </c>
      <c r="X49" s="4" t="s">
        <v>8</v>
      </c>
      <c r="Y49" s="5">
        <v>1</v>
      </c>
      <c r="Z49" s="4" t="s">
        <v>108</v>
      </c>
      <c r="AA49" s="5"/>
      <c r="AB49" s="5">
        <v>52</v>
      </c>
      <c r="AC49" s="4" t="s">
        <v>109</v>
      </c>
      <c r="AD49" s="45">
        <v>44699</v>
      </c>
      <c r="AE49" s="4" t="s">
        <v>462</v>
      </c>
      <c r="AF49" s="4"/>
      <c r="AG49" s="5">
        <v>1000000</v>
      </c>
      <c r="AH49" s="5">
        <v>1000000</v>
      </c>
      <c r="AI49" s="5">
        <v>0</v>
      </c>
      <c r="AJ49" s="5">
        <v>1000000</v>
      </c>
      <c r="AK49" s="5">
        <v>0</v>
      </c>
      <c r="AL49" s="5">
        <v>1000000</v>
      </c>
      <c r="AM49" s="5"/>
    </row>
    <row r="50" spans="1:39" ht="63.75" x14ac:dyDescent="0.25">
      <c r="A50" s="4" t="s">
        <v>14</v>
      </c>
      <c r="B50" s="4" t="str">
        <f>VLOOKUP(A50,'Ledger &amp; Group'!A:C,2,0)</f>
        <v>Cavinkare</v>
      </c>
      <c r="C50" s="4">
        <f>VLOOKUP(A50,'Ledger &amp; Group'!A:C,3,0)</f>
        <v>60</v>
      </c>
      <c r="D50" s="45">
        <f t="shared" si="0"/>
        <v>44759</v>
      </c>
      <c r="E50" s="4" t="str">
        <f ca="1">IF(D50&lt;=TODAY(),IF(ISNA(VLOOKUP(V50,'Unreconciled AR'!C:C,1,0)),"Due","Unreconciled AR"),"Outstanding")</f>
        <v>Outstanding</v>
      </c>
      <c r="F50" s="4">
        <f t="shared" ca="1" si="1"/>
        <v>0</v>
      </c>
      <c r="G50" s="4" t="str">
        <f ca="1">LOOKUP(F50,{-10000,-60,-30,-15,0,1,10000},{"&gt;60","31-60","16-30","01-15","Due on Today","OS"})</f>
        <v>Due on Today</v>
      </c>
      <c r="H50" s="4" t="s">
        <v>103</v>
      </c>
      <c r="I50" s="4" t="s">
        <v>103</v>
      </c>
      <c r="J50" s="4" t="s">
        <v>104</v>
      </c>
      <c r="K50" s="4" t="s">
        <v>111</v>
      </c>
      <c r="L50" s="4" t="s">
        <v>112</v>
      </c>
      <c r="M50" s="4" t="s">
        <v>113</v>
      </c>
      <c r="N50" s="4" t="s">
        <v>103</v>
      </c>
      <c r="O50" s="4" t="s">
        <v>432</v>
      </c>
      <c r="P50" s="5"/>
      <c r="Q50" s="5"/>
      <c r="R50" s="4" t="s">
        <v>433</v>
      </c>
      <c r="S50" s="5"/>
      <c r="T50" s="4" t="s">
        <v>107</v>
      </c>
      <c r="U50" s="45">
        <v>44699</v>
      </c>
      <c r="V50" s="4" t="s">
        <v>463</v>
      </c>
      <c r="W50" s="45">
        <v>44699</v>
      </c>
      <c r="X50" s="4" t="s">
        <v>8</v>
      </c>
      <c r="Y50" s="5">
        <v>1</v>
      </c>
      <c r="Z50" s="4" t="s">
        <v>108</v>
      </c>
      <c r="AA50" s="5"/>
      <c r="AB50" s="5">
        <v>51</v>
      </c>
      <c r="AC50" s="4" t="s">
        <v>109</v>
      </c>
      <c r="AD50" s="45">
        <v>44699</v>
      </c>
      <c r="AE50" s="4" t="s">
        <v>463</v>
      </c>
      <c r="AF50" s="4"/>
      <c r="AG50" s="5">
        <v>1000000</v>
      </c>
      <c r="AH50" s="5">
        <v>1000000</v>
      </c>
      <c r="AI50" s="5">
        <v>0</v>
      </c>
      <c r="AJ50" s="5">
        <v>1000000</v>
      </c>
      <c r="AK50" s="5">
        <v>0</v>
      </c>
      <c r="AL50" s="5">
        <v>1000000</v>
      </c>
      <c r="AM50" s="5"/>
    </row>
    <row r="51" spans="1:39" ht="63.75" x14ac:dyDescent="0.25">
      <c r="A51" s="4" t="s">
        <v>14</v>
      </c>
      <c r="B51" s="4" t="str">
        <f>VLOOKUP(A51,'Ledger &amp; Group'!A:C,2,0)</f>
        <v>Cavinkare</v>
      </c>
      <c r="C51" s="4">
        <f>VLOOKUP(A51,'Ledger &amp; Group'!A:C,3,0)</f>
        <v>60</v>
      </c>
      <c r="D51" s="45">
        <f t="shared" si="0"/>
        <v>44759</v>
      </c>
      <c r="E51" s="4" t="str">
        <f ca="1">IF(D51&lt;=TODAY(),IF(ISNA(VLOOKUP(V51,'Unreconciled AR'!C:C,1,0)),"Due","Unreconciled AR"),"Outstanding")</f>
        <v>Outstanding</v>
      </c>
      <c r="F51" s="4">
        <f t="shared" ca="1" si="1"/>
        <v>0</v>
      </c>
      <c r="G51" s="4" t="str">
        <f ca="1">LOOKUP(F51,{-10000,-60,-30,-15,0,1,10000},{"&gt;60","31-60","16-30","01-15","Due on Today","OS"})</f>
        <v>Due on Today</v>
      </c>
      <c r="H51" s="4" t="s">
        <v>103</v>
      </c>
      <c r="I51" s="4" t="s">
        <v>103</v>
      </c>
      <c r="J51" s="4" t="s">
        <v>104</v>
      </c>
      <c r="K51" s="4" t="s">
        <v>111</v>
      </c>
      <c r="L51" s="4" t="s">
        <v>112</v>
      </c>
      <c r="M51" s="4" t="s">
        <v>113</v>
      </c>
      <c r="N51" s="4" t="s">
        <v>103</v>
      </c>
      <c r="O51" s="4" t="s">
        <v>432</v>
      </c>
      <c r="P51" s="5"/>
      <c r="Q51" s="5"/>
      <c r="R51" s="4" t="s">
        <v>433</v>
      </c>
      <c r="S51" s="5"/>
      <c r="T51" s="4" t="s">
        <v>107</v>
      </c>
      <c r="U51" s="45">
        <v>44699</v>
      </c>
      <c r="V51" s="4" t="s">
        <v>464</v>
      </c>
      <c r="W51" s="45">
        <v>44699</v>
      </c>
      <c r="X51" s="4" t="s">
        <v>8</v>
      </c>
      <c r="Y51" s="5">
        <v>1</v>
      </c>
      <c r="Z51" s="4" t="s">
        <v>108</v>
      </c>
      <c r="AA51" s="5"/>
      <c r="AB51" s="5">
        <v>50</v>
      </c>
      <c r="AC51" s="4" t="s">
        <v>109</v>
      </c>
      <c r="AD51" s="45">
        <v>44699</v>
      </c>
      <c r="AE51" s="4" t="s">
        <v>464</v>
      </c>
      <c r="AF51" s="4"/>
      <c r="AG51" s="5">
        <v>1000000</v>
      </c>
      <c r="AH51" s="5">
        <v>1000000</v>
      </c>
      <c r="AI51" s="5">
        <v>0</v>
      </c>
      <c r="AJ51" s="5">
        <v>1000000</v>
      </c>
      <c r="AK51" s="5">
        <v>0</v>
      </c>
      <c r="AL51" s="5">
        <v>1000000</v>
      </c>
      <c r="AM51" s="5"/>
    </row>
    <row r="52" spans="1:39" ht="63.75" x14ac:dyDescent="0.25">
      <c r="A52" s="4" t="s">
        <v>14</v>
      </c>
      <c r="B52" s="4" t="str">
        <f>VLOOKUP(A52,'Ledger &amp; Group'!A:C,2,0)</f>
        <v>Cavinkare</v>
      </c>
      <c r="C52" s="4">
        <f>VLOOKUP(A52,'Ledger &amp; Group'!A:C,3,0)</f>
        <v>60</v>
      </c>
      <c r="D52" s="45">
        <f t="shared" si="0"/>
        <v>44759</v>
      </c>
      <c r="E52" s="4" t="str">
        <f ca="1">IF(D52&lt;=TODAY(),IF(ISNA(VLOOKUP(V52,'Unreconciled AR'!C:C,1,0)),"Due","Unreconciled AR"),"Outstanding")</f>
        <v>Outstanding</v>
      </c>
      <c r="F52" s="4">
        <f t="shared" ca="1" si="1"/>
        <v>0</v>
      </c>
      <c r="G52" s="4" t="str">
        <f ca="1">LOOKUP(F52,{-10000,-60,-30,-15,0,1,10000},{"&gt;60","31-60","16-30","01-15","Due on Today","OS"})</f>
        <v>Due on Today</v>
      </c>
      <c r="H52" s="4" t="s">
        <v>103</v>
      </c>
      <c r="I52" s="4" t="s">
        <v>103</v>
      </c>
      <c r="J52" s="4" t="s">
        <v>104</v>
      </c>
      <c r="K52" s="4" t="s">
        <v>111</v>
      </c>
      <c r="L52" s="4" t="s">
        <v>112</v>
      </c>
      <c r="M52" s="4" t="s">
        <v>113</v>
      </c>
      <c r="N52" s="4" t="s">
        <v>103</v>
      </c>
      <c r="O52" s="4" t="s">
        <v>432</v>
      </c>
      <c r="P52" s="5"/>
      <c r="Q52" s="5"/>
      <c r="R52" s="4" t="s">
        <v>433</v>
      </c>
      <c r="S52" s="5"/>
      <c r="T52" s="4" t="s">
        <v>107</v>
      </c>
      <c r="U52" s="45">
        <v>44699</v>
      </c>
      <c r="V52" s="4" t="s">
        <v>465</v>
      </c>
      <c r="W52" s="45">
        <v>44699</v>
      </c>
      <c r="X52" s="4" t="s">
        <v>8</v>
      </c>
      <c r="Y52" s="5">
        <v>1</v>
      </c>
      <c r="Z52" s="4" t="s">
        <v>108</v>
      </c>
      <c r="AA52" s="5"/>
      <c r="AB52" s="5">
        <v>49</v>
      </c>
      <c r="AC52" s="4" t="s">
        <v>109</v>
      </c>
      <c r="AD52" s="45">
        <v>44699</v>
      </c>
      <c r="AE52" s="4" t="s">
        <v>465</v>
      </c>
      <c r="AF52" s="4"/>
      <c r="AG52" s="5">
        <v>1000000</v>
      </c>
      <c r="AH52" s="5">
        <v>1000000</v>
      </c>
      <c r="AI52" s="5">
        <v>0</v>
      </c>
      <c r="AJ52" s="5">
        <v>1000000</v>
      </c>
      <c r="AK52" s="5">
        <v>0</v>
      </c>
      <c r="AL52" s="5">
        <v>1000000</v>
      </c>
      <c r="AM52" s="5"/>
    </row>
    <row r="53" spans="1:39" ht="63.75" x14ac:dyDescent="0.25">
      <c r="A53" s="4" t="s">
        <v>14</v>
      </c>
      <c r="B53" s="4" t="str">
        <f>VLOOKUP(A53,'Ledger &amp; Group'!A:C,2,0)</f>
        <v>Cavinkare</v>
      </c>
      <c r="C53" s="4">
        <f>VLOOKUP(A53,'Ledger &amp; Group'!A:C,3,0)</f>
        <v>60</v>
      </c>
      <c r="D53" s="45">
        <f t="shared" si="0"/>
        <v>44759</v>
      </c>
      <c r="E53" s="4" t="str">
        <f ca="1">IF(D53&lt;=TODAY(),IF(ISNA(VLOOKUP(V53,'Unreconciled AR'!C:C,1,0)),"Due","Unreconciled AR"),"Outstanding")</f>
        <v>Outstanding</v>
      </c>
      <c r="F53" s="4">
        <f t="shared" ca="1" si="1"/>
        <v>0</v>
      </c>
      <c r="G53" s="4" t="str">
        <f ca="1">LOOKUP(F53,{-10000,-60,-30,-15,0,1,10000},{"&gt;60","31-60","16-30","01-15","Due on Today","OS"})</f>
        <v>Due on Today</v>
      </c>
      <c r="H53" s="4" t="s">
        <v>103</v>
      </c>
      <c r="I53" s="4" t="s">
        <v>103</v>
      </c>
      <c r="J53" s="4" t="s">
        <v>104</v>
      </c>
      <c r="K53" s="4" t="s">
        <v>111</v>
      </c>
      <c r="L53" s="4" t="s">
        <v>112</v>
      </c>
      <c r="M53" s="4" t="s">
        <v>113</v>
      </c>
      <c r="N53" s="4" t="s">
        <v>103</v>
      </c>
      <c r="O53" s="4" t="s">
        <v>432</v>
      </c>
      <c r="P53" s="5"/>
      <c r="Q53" s="5"/>
      <c r="R53" s="4" t="s">
        <v>433</v>
      </c>
      <c r="S53" s="5"/>
      <c r="T53" s="4" t="s">
        <v>107</v>
      </c>
      <c r="U53" s="45">
        <v>44699</v>
      </c>
      <c r="V53" s="4" t="s">
        <v>466</v>
      </c>
      <c r="W53" s="45">
        <v>44699</v>
      </c>
      <c r="X53" s="4" t="s">
        <v>8</v>
      </c>
      <c r="Y53" s="5">
        <v>1</v>
      </c>
      <c r="Z53" s="4" t="s">
        <v>108</v>
      </c>
      <c r="AA53" s="5"/>
      <c r="AB53" s="5">
        <v>48</v>
      </c>
      <c r="AC53" s="4" t="s">
        <v>109</v>
      </c>
      <c r="AD53" s="45">
        <v>44699</v>
      </c>
      <c r="AE53" s="4" t="s">
        <v>466</v>
      </c>
      <c r="AF53" s="4"/>
      <c r="AG53" s="5">
        <v>1000000</v>
      </c>
      <c r="AH53" s="5">
        <v>1000000</v>
      </c>
      <c r="AI53" s="5">
        <v>0</v>
      </c>
      <c r="AJ53" s="5">
        <v>1000000</v>
      </c>
      <c r="AK53" s="5">
        <v>0</v>
      </c>
      <c r="AL53" s="5">
        <v>1000000</v>
      </c>
      <c r="AM53" s="5"/>
    </row>
    <row r="54" spans="1:39" ht="63.75" x14ac:dyDescent="0.25">
      <c r="A54" s="4" t="s">
        <v>14</v>
      </c>
      <c r="B54" s="4" t="str">
        <f>VLOOKUP(A54,'Ledger &amp; Group'!A:C,2,0)</f>
        <v>Cavinkare</v>
      </c>
      <c r="C54" s="4">
        <f>VLOOKUP(A54,'Ledger &amp; Group'!A:C,3,0)</f>
        <v>60</v>
      </c>
      <c r="D54" s="45">
        <f t="shared" si="0"/>
        <v>44759</v>
      </c>
      <c r="E54" s="4" t="str">
        <f ca="1">IF(D54&lt;=TODAY(),IF(ISNA(VLOOKUP(V54,'Unreconciled AR'!C:C,1,0)),"Due","Unreconciled AR"),"Outstanding")</f>
        <v>Outstanding</v>
      </c>
      <c r="F54" s="4">
        <f t="shared" ca="1" si="1"/>
        <v>0</v>
      </c>
      <c r="G54" s="4" t="str">
        <f ca="1">LOOKUP(F54,{-10000,-60,-30,-15,0,1,10000},{"&gt;60","31-60","16-30","01-15","Due on Today","OS"})</f>
        <v>Due on Today</v>
      </c>
      <c r="H54" s="4" t="s">
        <v>103</v>
      </c>
      <c r="I54" s="4" t="s">
        <v>103</v>
      </c>
      <c r="J54" s="4" t="s">
        <v>104</v>
      </c>
      <c r="K54" s="4" t="s">
        <v>111</v>
      </c>
      <c r="L54" s="4" t="s">
        <v>112</v>
      </c>
      <c r="M54" s="4" t="s">
        <v>113</v>
      </c>
      <c r="N54" s="4" t="s">
        <v>103</v>
      </c>
      <c r="O54" s="4" t="s">
        <v>432</v>
      </c>
      <c r="P54" s="5"/>
      <c r="Q54" s="5"/>
      <c r="R54" s="4" t="s">
        <v>433</v>
      </c>
      <c r="S54" s="5"/>
      <c r="T54" s="4" t="s">
        <v>107</v>
      </c>
      <c r="U54" s="45">
        <v>44699</v>
      </c>
      <c r="V54" s="4" t="s">
        <v>467</v>
      </c>
      <c r="W54" s="45">
        <v>44699</v>
      </c>
      <c r="X54" s="4" t="s">
        <v>8</v>
      </c>
      <c r="Y54" s="5">
        <v>1</v>
      </c>
      <c r="Z54" s="4" t="s">
        <v>108</v>
      </c>
      <c r="AA54" s="5"/>
      <c r="AB54" s="5">
        <v>48</v>
      </c>
      <c r="AC54" s="4" t="s">
        <v>109</v>
      </c>
      <c r="AD54" s="45">
        <v>44699</v>
      </c>
      <c r="AE54" s="4" t="s">
        <v>467</v>
      </c>
      <c r="AF54" s="4"/>
      <c r="AG54" s="5">
        <v>1000000</v>
      </c>
      <c r="AH54" s="5">
        <v>1000000</v>
      </c>
      <c r="AI54" s="5">
        <v>0</v>
      </c>
      <c r="AJ54" s="5">
        <v>1000000</v>
      </c>
      <c r="AK54" s="5">
        <v>0</v>
      </c>
      <c r="AL54" s="5">
        <v>1000000</v>
      </c>
      <c r="AM54" s="5"/>
    </row>
    <row r="55" spans="1:39" ht="63.75" x14ac:dyDescent="0.25">
      <c r="A55" s="4" t="s">
        <v>14</v>
      </c>
      <c r="B55" s="4" t="str">
        <f>VLOOKUP(A55,'Ledger &amp; Group'!A:C,2,0)</f>
        <v>Cavinkare</v>
      </c>
      <c r="C55" s="4">
        <f>VLOOKUP(A55,'Ledger &amp; Group'!A:C,3,0)</f>
        <v>60</v>
      </c>
      <c r="D55" s="45">
        <f t="shared" si="0"/>
        <v>44759</v>
      </c>
      <c r="E55" s="4" t="str">
        <f ca="1">IF(D55&lt;=TODAY(),IF(ISNA(VLOOKUP(V55,'Unreconciled AR'!C:C,1,0)),"Due","Unreconciled AR"),"Outstanding")</f>
        <v>Outstanding</v>
      </c>
      <c r="F55" s="4">
        <f t="shared" ca="1" si="1"/>
        <v>0</v>
      </c>
      <c r="G55" s="4" t="str">
        <f ca="1">LOOKUP(F55,{-10000,-60,-30,-15,0,1,10000},{"&gt;60","31-60","16-30","01-15","Due on Today","OS"})</f>
        <v>Due on Today</v>
      </c>
      <c r="H55" s="4" t="s">
        <v>103</v>
      </c>
      <c r="I55" s="4" t="s">
        <v>103</v>
      </c>
      <c r="J55" s="4" t="s">
        <v>104</v>
      </c>
      <c r="K55" s="4" t="s">
        <v>111</v>
      </c>
      <c r="L55" s="4" t="s">
        <v>112</v>
      </c>
      <c r="M55" s="4" t="s">
        <v>113</v>
      </c>
      <c r="N55" s="4" t="s">
        <v>103</v>
      </c>
      <c r="O55" s="4" t="s">
        <v>432</v>
      </c>
      <c r="P55" s="5"/>
      <c r="Q55" s="5"/>
      <c r="R55" s="4" t="s">
        <v>433</v>
      </c>
      <c r="S55" s="5"/>
      <c r="T55" s="4" t="s">
        <v>107</v>
      </c>
      <c r="U55" s="45">
        <v>44699</v>
      </c>
      <c r="V55" s="4" t="s">
        <v>468</v>
      </c>
      <c r="W55" s="45">
        <v>44699</v>
      </c>
      <c r="X55" s="4" t="s">
        <v>8</v>
      </c>
      <c r="Y55" s="5">
        <v>1</v>
      </c>
      <c r="Z55" s="4" t="s">
        <v>108</v>
      </c>
      <c r="AA55" s="5"/>
      <c r="AB55" s="5">
        <v>48</v>
      </c>
      <c r="AC55" s="4" t="s">
        <v>109</v>
      </c>
      <c r="AD55" s="45">
        <v>44699</v>
      </c>
      <c r="AE55" s="4" t="s">
        <v>468</v>
      </c>
      <c r="AF55" s="4"/>
      <c r="AG55" s="5">
        <v>1000000</v>
      </c>
      <c r="AH55" s="5">
        <v>1000000</v>
      </c>
      <c r="AI55" s="5">
        <v>0</v>
      </c>
      <c r="AJ55" s="5">
        <v>1000000</v>
      </c>
      <c r="AK55" s="5">
        <v>0</v>
      </c>
      <c r="AL55" s="5">
        <v>1000000</v>
      </c>
      <c r="AM55" s="5"/>
    </row>
    <row r="56" spans="1:39" ht="63.75" x14ac:dyDescent="0.25">
      <c r="A56" s="4" t="s">
        <v>14</v>
      </c>
      <c r="B56" s="4" t="str">
        <f>VLOOKUP(A56,'Ledger &amp; Group'!A:C,2,0)</f>
        <v>Cavinkare</v>
      </c>
      <c r="C56" s="4">
        <f>VLOOKUP(A56,'Ledger &amp; Group'!A:C,3,0)</f>
        <v>60</v>
      </c>
      <c r="D56" s="45">
        <f t="shared" si="0"/>
        <v>44759</v>
      </c>
      <c r="E56" s="4" t="str">
        <f ca="1">IF(D56&lt;=TODAY(),IF(ISNA(VLOOKUP(V56,'Unreconciled AR'!C:C,1,0)),"Due","Unreconciled AR"),"Outstanding")</f>
        <v>Outstanding</v>
      </c>
      <c r="F56" s="4">
        <f t="shared" ca="1" si="1"/>
        <v>0</v>
      </c>
      <c r="G56" s="4" t="str">
        <f ca="1">LOOKUP(F56,{-10000,-60,-30,-15,0,1,10000},{"&gt;60","31-60","16-30","01-15","Due on Today","OS"})</f>
        <v>Due on Today</v>
      </c>
      <c r="H56" s="4" t="s">
        <v>103</v>
      </c>
      <c r="I56" s="4" t="s">
        <v>103</v>
      </c>
      <c r="J56" s="4" t="s">
        <v>104</v>
      </c>
      <c r="K56" s="4" t="s">
        <v>111</v>
      </c>
      <c r="L56" s="4" t="s">
        <v>112</v>
      </c>
      <c r="M56" s="4" t="s">
        <v>113</v>
      </c>
      <c r="N56" s="4" t="s">
        <v>103</v>
      </c>
      <c r="O56" s="4" t="s">
        <v>432</v>
      </c>
      <c r="P56" s="5"/>
      <c r="Q56" s="5"/>
      <c r="R56" s="4" t="s">
        <v>433</v>
      </c>
      <c r="S56" s="5"/>
      <c r="T56" s="4" t="s">
        <v>107</v>
      </c>
      <c r="U56" s="45">
        <v>44699</v>
      </c>
      <c r="V56" s="4" t="s">
        <v>469</v>
      </c>
      <c r="W56" s="45">
        <v>44699</v>
      </c>
      <c r="X56" s="4" t="s">
        <v>8</v>
      </c>
      <c r="Y56" s="5">
        <v>1</v>
      </c>
      <c r="Z56" s="4" t="s">
        <v>108</v>
      </c>
      <c r="AA56" s="5"/>
      <c r="AB56" s="5">
        <v>47</v>
      </c>
      <c r="AC56" s="4" t="s">
        <v>109</v>
      </c>
      <c r="AD56" s="45">
        <v>44699</v>
      </c>
      <c r="AE56" s="4" t="s">
        <v>469</v>
      </c>
      <c r="AF56" s="4"/>
      <c r="AG56" s="5">
        <v>1000000</v>
      </c>
      <c r="AH56" s="5">
        <v>1000000</v>
      </c>
      <c r="AI56" s="5">
        <v>0</v>
      </c>
      <c r="AJ56" s="5">
        <v>1000000</v>
      </c>
      <c r="AK56" s="5">
        <v>0</v>
      </c>
      <c r="AL56" s="5">
        <v>1000000</v>
      </c>
      <c r="AM56" s="5"/>
    </row>
    <row r="57" spans="1:39" ht="63.75" x14ac:dyDescent="0.25">
      <c r="A57" s="4" t="s">
        <v>14</v>
      </c>
      <c r="B57" s="4" t="str">
        <f>VLOOKUP(A57,'Ledger &amp; Group'!A:C,2,0)</f>
        <v>Cavinkare</v>
      </c>
      <c r="C57" s="4">
        <f>VLOOKUP(A57,'Ledger &amp; Group'!A:C,3,0)</f>
        <v>60</v>
      </c>
      <c r="D57" s="45">
        <f t="shared" si="0"/>
        <v>44759</v>
      </c>
      <c r="E57" s="4" t="str">
        <f ca="1">IF(D57&lt;=TODAY(),IF(ISNA(VLOOKUP(V57,'Unreconciled AR'!C:C,1,0)),"Due","Unreconciled AR"),"Outstanding")</f>
        <v>Outstanding</v>
      </c>
      <c r="F57" s="4">
        <f t="shared" ca="1" si="1"/>
        <v>0</v>
      </c>
      <c r="G57" s="4" t="str">
        <f ca="1">LOOKUP(F57,{-10000,-60,-30,-15,0,1,10000},{"&gt;60","31-60","16-30","01-15","Due on Today","OS"})</f>
        <v>Due on Today</v>
      </c>
      <c r="H57" s="4" t="s">
        <v>103</v>
      </c>
      <c r="I57" s="4" t="s">
        <v>103</v>
      </c>
      <c r="J57" s="4" t="s">
        <v>104</v>
      </c>
      <c r="K57" s="4" t="s">
        <v>111</v>
      </c>
      <c r="L57" s="4" t="s">
        <v>112</v>
      </c>
      <c r="M57" s="4" t="s">
        <v>113</v>
      </c>
      <c r="N57" s="4" t="s">
        <v>103</v>
      </c>
      <c r="O57" s="4" t="s">
        <v>432</v>
      </c>
      <c r="P57" s="5"/>
      <c r="Q57" s="5"/>
      <c r="R57" s="4" t="s">
        <v>433</v>
      </c>
      <c r="S57" s="5"/>
      <c r="T57" s="4" t="s">
        <v>107</v>
      </c>
      <c r="U57" s="45">
        <v>44699</v>
      </c>
      <c r="V57" s="4" t="s">
        <v>209</v>
      </c>
      <c r="W57" s="45">
        <v>44699</v>
      </c>
      <c r="X57" s="4" t="s">
        <v>8</v>
      </c>
      <c r="Y57" s="5">
        <v>1</v>
      </c>
      <c r="Z57" s="4" t="s">
        <v>108</v>
      </c>
      <c r="AA57" s="5"/>
      <c r="AB57" s="5">
        <v>42</v>
      </c>
      <c r="AC57" s="4" t="s">
        <v>109</v>
      </c>
      <c r="AD57" s="45">
        <v>44699</v>
      </c>
      <c r="AE57" s="4" t="s">
        <v>209</v>
      </c>
      <c r="AF57" s="4"/>
      <c r="AG57" s="5">
        <v>1000000</v>
      </c>
      <c r="AH57" s="5">
        <v>1000000</v>
      </c>
      <c r="AI57" s="5">
        <v>0</v>
      </c>
      <c r="AJ57" s="5">
        <v>1000000</v>
      </c>
      <c r="AK57" s="5">
        <v>0</v>
      </c>
      <c r="AL57" s="5">
        <v>1000000</v>
      </c>
      <c r="AM57" s="5"/>
    </row>
    <row r="58" spans="1:39" ht="63.75" x14ac:dyDescent="0.25">
      <c r="A58" s="4" t="s">
        <v>14</v>
      </c>
      <c r="B58" s="4" t="str">
        <f>VLOOKUP(A58,'Ledger &amp; Group'!A:C,2,0)</f>
        <v>Cavinkare</v>
      </c>
      <c r="C58" s="4">
        <f>VLOOKUP(A58,'Ledger &amp; Group'!A:C,3,0)</f>
        <v>60</v>
      </c>
      <c r="D58" s="45">
        <f t="shared" si="0"/>
        <v>44759</v>
      </c>
      <c r="E58" s="4" t="str">
        <f ca="1">IF(D58&lt;=TODAY(),IF(ISNA(VLOOKUP(V58,'Unreconciled AR'!C:C,1,0)),"Due","Unreconciled AR"),"Outstanding")</f>
        <v>Outstanding</v>
      </c>
      <c r="F58" s="4">
        <f t="shared" ca="1" si="1"/>
        <v>0</v>
      </c>
      <c r="G58" s="4" t="str">
        <f ca="1">LOOKUP(F58,{-10000,-60,-30,-15,0,1,10000},{"&gt;60","31-60","16-30","01-15","Due on Today","OS"})</f>
        <v>Due on Today</v>
      </c>
      <c r="H58" s="4" t="s">
        <v>103</v>
      </c>
      <c r="I58" s="4" t="s">
        <v>103</v>
      </c>
      <c r="J58" s="4" t="s">
        <v>104</v>
      </c>
      <c r="K58" s="4" t="s">
        <v>111</v>
      </c>
      <c r="L58" s="4" t="s">
        <v>112</v>
      </c>
      <c r="M58" s="4" t="s">
        <v>113</v>
      </c>
      <c r="N58" s="4" t="s">
        <v>103</v>
      </c>
      <c r="O58" s="4" t="s">
        <v>432</v>
      </c>
      <c r="P58" s="5"/>
      <c r="Q58" s="5"/>
      <c r="R58" s="4" t="s">
        <v>433</v>
      </c>
      <c r="S58" s="5"/>
      <c r="T58" s="4" t="s">
        <v>107</v>
      </c>
      <c r="U58" s="45">
        <v>44699</v>
      </c>
      <c r="V58" s="4" t="s">
        <v>211</v>
      </c>
      <c r="W58" s="45">
        <v>44699</v>
      </c>
      <c r="X58" s="4" t="s">
        <v>8</v>
      </c>
      <c r="Y58" s="5">
        <v>1</v>
      </c>
      <c r="Z58" s="4" t="s">
        <v>108</v>
      </c>
      <c r="AA58" s="5"/>
      <c r="AB58" s="5">
        <v>41</v>
      </c>
      <c r="AC58" s="4" t="s">
        <v>109</v>
      </c>
      <c r="AD58" s="45">
        <v>44699</v>
      </c>
      <c r="AE58" s="4" t="s">
        <v>211</v>
      </c>
      <c r="AF58" s="4"/>
      <c r="AG58" s="5">
        <v>1000000</v>
      </c>
      <c r="AH58" s="5">
        <v>1000000</v>
      </c>
      <c r="AI58" s="5">
        <v>0</v>
      </c>
      <c r="AJ58" s="5">
        <v>1000000</v>
      </c>
      <c r="AK58" s="5">
        <v>0</v>
      </c>
      <c r="AL58" s="5">
        <v>1000000</v>
      </c>
      <c r="AM58" s="5"/>
    </row>
    <row r="59" spans="1:39" ht="63.75" x14ac:dyDescent="0.25">
      <c r="A59" s="4" t="s">
        <v>14</v>
      </c>
      <c r="B59" s="4" t="str">
        <f>VLOOKUP(A59,'Ledger &amp; Group'!A:C,2,0)</f>
        <v>Cavinkare</v>
      </c>
      <c r="C59" s="4">
        <f>VLOOKUP(A59,'Ledger &amp; Group'!A:C,3,0)</f>
        <v>60</v>
      </c>
      <c r="D59" s="45">
        <f t="shared" si="0"/>
        <v>44759</v>
      </c>
      <c r="E59" s="4" t="str">
        <f ca="1">IF(D59&lt;=TODAY(),IF(ISNA(VLOOKUP(V59,'Unreconciled AR'!C:C,1,0)),"Due","Unreconciled AR"),"Outstanding")</f>
        <v>Outstanding</v>
      </c>
      <c r="F59" s="4">
        <f t="shared" ca="1" si="1"/>
        <v>0</v>
      </c>
      <c r="G59" s="4" t="str">
        <f ca="1">LOOKUP(F59,{-10000,-60,-30,-15,0,1,10000},{"&gt;60","31-60","16-30","01-15","Due on Today","OS"})</f>
        <v>Due on Today</v>
      </c>
      <c r="H59" s="4" t="s">
        <v>103</v>
      </c>
      <c r="I59" s="4" t="s">
        <v>103</v>
      </c>
      <c r="J59" s="4" t="s">
        <v>104</v>
      </c>
      <c r="K59" s="4" t="s">
        <v>111</v>
      </c>
      <c r="L59" s="4" t="s">
        <v>112</v>
      </c>
      <c r="M59" s="4" t="s">
        <v>113</v>
      </c>
      <c r="N59" s="4" t="s">
        <v>103</v>
      </c>
      <c r="O59" s="4" t="s">
        <v>432</v>
      </c>
      <c r="P59" s="5"/>
      <c r="Q59" s="5"/>
      <c r="R59" s="4" t="s">
        <v>433</v>
      </c>
      <c r="S59" s="5"/>
      <c r="T59" s="4" t="s">
        <v>107</v>
      </c>
      <c r="U59" s="45">
        <v>44699</v>
      </c>
      <c r="V59" s="4" t="s">
        <v>212</v>
      </c>
      <c r="W59" s="45">
        <v>44699</v>
      </c>
      <c r="X59" s="4" t="s">
        <v>8</v>
      </c>
      <c r="Y59" s="5">
        <v>1</v>
      </c>
      <c r="Z59" s="4" t="s">
        <v>108</v>
      </c>
      <c r="AA59" s="5"/>
      <c r="AB59" s="5">
        <v>41</v>
      </c>
      <c r="AC59" s="4" t="s">
        <v>109</v>
      </c>
      <c r="AD59" s="45">
        <v>44699</v>
      </c>
      <c r="AE59" s="4" t="s">
        <v>212</v>
      </c>
      <c r="AF59" s="4"/>
      <c r="AG59" s="5">
        <v>1000000</v>
      </c>
      <c r="AH59" s="5">
        <v>1000000</v>
      </c>
      <c r="AI59" s="5">
        <v>0</v>
      </c>
      <c r="AJ59" s="5">
        <v>1000000</v>
      </c>
      <c r="AK59" s="5">
        <v>0</v>
      </c>
      <c r="AL59" s="5">
        <v>1000000</v>
      </c>
      <c r="AM59" s="5"/>
    </row>
    <row r="60" spans="1:39" ht="63.75" x14ac:dyDescent="0.25">
      <c r="A60" s="4" t="s">
        <v>14</v>
      </c>
      <c r="B60" s="4" t="str">
        <f>VLOOKUP(A60,'Ledger &amp; Group'!A:C,2,0)</f>
        <v>Cavinkare</v>
      </c>
      <c r="C60" s="4">
        <f>VLOOKUP(A60,'Ledger &amp; Group'!A:C,3,0)</f>
        <v>60</v>
      </c>
      <c r="D60" s="45">
        <f t="shared" si="0"/>
        <v>44759</v>
      </c>
      <c r="E60" s="4" t="str">
        <f ca="1">IF(D60&lt;=TODAY(),IF(ISNA(VLOOKUP(V60,'Unreconciled AR'!C:C,1,0)),"Due","Unreconciled AR"),"Outstanding")</f>
        <v>Outstanding</v>
      </c>
      <c r="F60" s="4">
        <f t="shared" ca="1" si="1"/>
        <v>0</v>
      </c>
      <c r="G60" s="4" t="str">
        <f ca="1">LOOKUP(F60,{-10000,-60,-30,-15,0,1,10000},{"&gt;60","31-60","16-30","01-15","Due on Today","OS"})</f>
        <v>Due on Today</v>
      </c>
      <c r="H60" s="4" t="s">
        <v>103</v>
      </c>
      <c r="I60" s="4" t="s">
        <v>103</v>
      </c>
      <c r="J60" s="4" t="s">
        <v>104</v>
      </c>
      <c r="K60" s="4" t="s">
        <v>111</v>
      </c>
      <c r="L60" s="4" t="s">
        <v>112</v>
      </c>
      <c r="M60" s="4" t="s">
        <v>113</v>
      </c>
      <c r="N60" s="4" t="s">
        <v>103</v>
      </c>
      <c r="O60" s="4" t="s">
        <v>432</v>
      </c>
      <c r="P60" s="5"/>
      <c r="Q60" s="5"/>
      <c r="R60" s="4" t="s">
        <v>433</v>
      </c>
      <c r="S60" s="5"/>
      <c r="T60" s="4" t="s">
        <v>107</v>
      </c>
      <c r="U60" s="45">
        <v>44699</v>
      </c>
      <c r="V60" s="4" t="s">
        <v>215</v>
      </c>
      <c r="W60" s="45">
        <v>44699</v>
      </c>
      <c r="X60" s="4" t="s">
        <v>8</v>
      </c>
      <c r="Y60" s="5">
        <v>1</v>
      </c>
      <c r="Z60" s="4" t="s">
        <v>108</v>
      </c>
      <c r="AA60" s="5"/>
      <c r="AB60" s="5">
        <v>40</v>
      </c>
      <c r="AC60" s="4" t="s">
        <v>109</v>
      </c>
      <c r="AD60" s="45">
        <v>44699</v>
      </c>
      <c r="AE60" s="4" t="s">
        <v>215</v>
      </c>
      <c r="AF60" s="4"/>
      <c r="AG60" s="5">
        <v>1000000</v>
      </c>
      <c r="AH60" s="5">
        <v>1000000</v>
      </c>
      <c r="AI60" s="5">
        <v>0</v>
      </c>
      <c r="AJ60" s="5">
        <v>1000000</v>
      </c>
      <c r="AK60" s="5">
        <v>0</v>
      </c>
      <c r="AL60" s="5">
        <v>1000000</v>
      </c>
      <c r="AM60" s="5"/>
    </row>
    <row r="61" spans="1:39" ht="63.75" x14ac:dyDescent="0.25">
      <c r="A61" s="4" t="s">
        <v>14</v>
      </c>
      <c r="B61" s="4" t="str">
        <f>VLOOKUP(A61,'Ledger &amp; Group'!A:C,2,0)</f>
        <v>Cavinkare</v>
      </c>
      <c r="C61" s="4">
        <f>VLOOKUP(A61,'Ledger &amp; Group'!A:C,3,0)</f>
        <v>60</v>
      </c>
      <c r="D61" s="45">
        <f t="shared" si="0"/>
        <v>44759</v>
      </c>
      <c r="E61" s="4" t="str">
        <f ca="1">IF(D61&lt;=TODAY(),IF(ISNA(VLOOKUP(V61,'Unreconciled AR'!C:C,1,0)),"Due","Unreconciled AR"),"Outstanding")</f>
        <v>Outstanding</v>
      </c>
      <c r="F61" s="4">
        <f t="shared" ca="1" si="1"/>
        <v>0</v>
      </c>
      <c r="G61" s="4" t="str">
        <f ca="1">LOOKUP(F61,{-10000,-60,-30,-15,0,1,10000},{"&gt;60","31-60","16-30","01-15","Due on Today","OS"})</f>
        <v>Due on Today</v>
      </c>
      <c r="H61" s="4" t="s">
        <v>103</v>
      </c>
      <c r="I61" s="4" t="s">
        <v>103</v>
      </c>
      <c r="J61" s="4" t="s">
        <v>104</v>
      </c>
      <c r="K61" s="4" t="s">
        <v>111</v>
      </c>
      <c r="L61" s="4" t="s">
        <v>112</v>
      </c>
      <c r="M61" s="4" t="s">
        <v>113</v>
      </c>
      <c r="N61" s="4" t="s">
        <v>103</v>
      </c>
      <c r="O61" s="4" t="s">
        <v>432</v>
      </c>
      <c r="P61" s="5"/>
      <c r="Q61" s="5"/>
      <c r="R61" s="4" t="s">
        <v>433</v>
      </c>
      <c r="S61" s="5"/>
      <c r="T61" s="4" t="s">
        <v>107</v>
      </c>
      <c r="U61" s="45">
        <v>44699</v>
      </c>
      <c r="V61" s="4" t="s">
        <v>219</v>
      </c>
      <c r="W61" s="45">
        <v>44699</v>
      </c>
      <c r="X61" s="4" t="s">
        <v>8</v>
      </c>
      <c r="Y61" s="5">
        <v>1</v>
      </c>
      <c r="Z61" s="4" t="s">
        <v>108</v>
      </c>
      <c r="AA61" s="5"/>
      <c r="AB61" s="5">
        <v>38</v>
      </c>
      <c r="AC61" s="4" t="s">
        <v>109</v>
      </c>
      <c r="AD61" s="45">
        <v>44699</v>
      </c>
      <c r="AE61" s="4" t="s">
        <v>219</v>
      </c>
      <c r="AF61" s="4"/>
      <c r="AG61" s="5">
        <v>1000000</v>
      </c>
      <c r="AH61" s="5">
        <v>1000000</v>
      </c>
      <c r="AI61" s="5">
        <v>0</v>
      </c>
      <c r="AJ61" s="5">
        <v>1000000</v>
      </c>
      <c r="AK61" s="5">
        <v>0</v>
      </c>
      <c r="AL61" s="5">
        <v>1000000</v>
      </c>
      <c r="AM61" s="5"/>
    </row>
    <row r="62" spans="1:39" ht="63.75" x14ac:dyDescent="0.25">
      <c r="A62" s="4" t="s">
        <v>14</v>
      </c>
      <c r="B62" s="4" t="str">
        <f>VLOOKUP(A62,'Ledger &amp; Group'!A:C,2,0)</f>
        <v>Cavinkare</v>
      </c>
      <c r="C62" s="4">
        <f>VLOOKUP(A62,'Ledger &amp; Group'!A:C,3,0)</f>
        <v>60</v>
      </c>
      <c r="D62" s="45">
        <f t="shared" si="0"/>
        <v>44759</v>
      </c>
      <c r="E62" s="4" t="str">
        <f ca="1">IF(D62&lt;=TODAY(),IF(ISNA(VLOOKUP(V62,'Unreconciled AR'!C:C,1,0)),"Due","Unreconciled AR"),"Outstanding")</f>
        <v>Outstanding</v>
      </c>
      <c r="F62" s="4">
        <f t="shared" ca="1" si="1"/>
        <v>0</v>
      </c>
      <c r="G62" s="4" t="str">
        <f ca="1">LOOKUP(F62,{-10000,-60,-30,-15,0,1,10000},{"&gt;60","31-60","16-30","01-15","Due on Today","OS"})</f>
        <v>Due on Today</v>
      </c>
      <c r="H62" s="4" t="s">
        <v>103</v>
      </c>
      <c r="I62" s="4" t="s">
        <v>103</v>
      </c>
      <c r="J62" s="4" t="s">
        <v>104</v>
      </c>
      <c r="K62" s="4" t="s">
        <v>111</v>
      </c>
      <c r="L62" s="4" t="s">
        <v>112</v>
      </c>
      <c r="M62" s="4" t="s">
        <v>113</v>
      </c>
      <c r="N62" s="4" t="s">
        <v>103</v>
      </c>
      <c r="O62" s="4" t="s">
        <v>432</v>
      </c>
      <c r="P62" s="5"/>
      <c r="Q62" s="5"/>
      <c r="R62" s="4" t="s">
        <v>433</v>
      </c>
      <c r="S62" s="5"/>
      <c r="T62" s="4" t="s">
        <v>107</v>
      </c>
      <c r="U62" s="45">
        <v>44699</v>
      </c>
      <c r="V62" s="4" t="s">
        <v>220</v>
      </c>
      <c r="W62" s="45">
        <v>44699</v>
      </c>
      <c r="X62" s="4" t="s">
        <v>8</v>
      </c>
      <c r="Y62" s="5">
        <v>1</v>
      </c>
      <c r="Z62" s="4" t="s">
        <v>108</v>
      </c>
      <c r="AA62" s="5"/>
      <c r="AB62" s="5">
        <v>37</v>
      </c>
      <c r="AC62" s="4" t="s">
        <v>109</v>
      </c>
      <c r="AD62" s="45">
        <v>44699</v>
      </c>
      <c r="AE62" s="4" t="s">
        <v>220</v>
      </c>
      <c r="AF62" s="4"/>
      <c r="AG62" s="5">
        <v>1000000</v>
      </c>
      <c r="AH62" s="5">
        <v>1000000</v>
      </c>
      <c r="AI62" s="5">
        <v>0</v>
      </c>
      <c r="AJ62" s="5">
        <v>1000000</v>
      </c>
      <c r="AK62" s="5">
        <v>0</v>
      </c>
      <c r="AL62" s="5">
        <v>1000000</v>
      </c>
      <c r="AM62" s="5"/>
    </row>
    <row r="63" spans="1:39" ht="63.75" x14ac:dyDescent="0.25">
      <c r="A63" s="4" t="s">
        <v>14</v>
      </c>
      <c r="B63" s="4" t="str">
        <f>VLOOKUP(A63,'Ledger &amp; Group'!A:C,2,0)</f>
        <v>Cavinkare</v>
      </c>
      <c r="C63" s="4">
        <f>VLOOKUP(A63,'Ledger &amp; Group'!A:C,3,0)</f>
        <v>60</v>
      </c>
      <c r="D63" s="45">
        <f t="shared" si="0"/>
        <v>44759</v>
      </c>
      <c r="E63" s="4" t="str">
        <f ca="1">IF(D63&lt;=TODAY(),IF(ISNA(VLOOKUP(V63,'Unreconciled AR'!C:C,1,0)),"Due","Unreconciled AR"),"Outstanding")</f>
        <v>Outstanding</v>
      </c>
      <c r="F63" s="4">
        <f t="shared" ca="1" si="1"/>
        <v>0</v>
      </c>
      <c r="G63" s="4" t="str">
        <f ca="1">LOOKUP(F63,{-10000,-60,-30,-15,0,1,10000},{"&gt;60","31-60","16-30","01-15","Due on Today","OS"})</f>
        <v>Due on Today</v>
      </c>
      <c r="H63" s="4" t="s">
        <v>103</v>
      </c>
      <c r="I63" s="4" t="s">
        <v>103</v>
      </c>
      <c r="J63" s="4" t="s">
        <v>104</v>
      </c>
      <c r="K63" s="4" t="s">
        <v>111</v>
      </c>
      <c r="L63" s="4" t="s">
        <v>112</v>
      </c>
      <c r="M63" s="4" t="s">
        <v>113</v>
      </c>
      <c r="N63" s="4" t="s">
        <v>103</v>
      </c>
      <c r="O63" s="4" t="s">
        <v>432</v>
      </c>
      <c r="P63" s="5"/>
      <c r="Q63" s="5"/>
      <c r="R63" s="4" t="s">
        <v>433</v>
      </c>
      <c r="S63" s="5"/>
      <c r="T63" s="4" t="s">
        <v>107</v>
      </c>
      <c r="U63" s="45">
        <v>44699</v>
      </c>
      <c r="V63" s="4" t="s">
        <v>221</v>
      </c>
      <c r="W63" s="45">
        <v>44699</v>
      </c>
      <c r="X63" s="4" t="s">
        <v>8</v>
      </c>
      <c r="Y63" s="5">
        <v>1</v>
      </c>
      <c r="Z63" s="4" t="s">
        <v>108</v>
      </c>
      <c r="AA63" s="5"/>
      <c r="AB63" s="5">
        <v>37</v>
      </c>
      <c r="AC63" s="4" t="s">
        <v>109</v>
      </c>
      <c r="AD63" s="45">
        <v>44699</v>
      </c>
      <c r="AE63" s="4" t="s">
        <v>221</v>
      </c>
      <c r="AF63" s="4"/>
      <c r="AG63" s="5">
        <v>1000000</v>
      </c>
      <c r="AH63" s="5">
        <v>1000000</v>
      </c>
      <c r="AI63" s="5">
        <v>0</v>
      </c>
      <c r="AJ63" s="5">
        <v>1000000</v>
      </c>
      <c r="AK63" s="5">
        <v>0</v>
      </c>
      <c r="AL63" s="5">
        <v>1000000</v>
      </c>
      <c r="AM63" s="5"/>
    </row>
    <row r="64" spans="1:39" ht="63.75" x14ac:dyDescent="0.25">
      <c r="A64" s="4" t="s">
        <v>14</v>
      </c>
      <c r="B64" s="4" t="str">
        <f>VLOOKUP(A64,'Ledger &amp; Group'!A:C,2,0)</f>
        <v>Cavinkare</v>
      </c>
      <c r="C64" s="4">
        <f>VLOOKUP(A64,'Ledger &amp; Group'!A:C,3,0)</f>
        <v>60</v>
      </c>
      <c r="D64" s="45">
        <f t="shared" si="0"/>
        <v>44759</v>
      </c>
      <c r="E64" s="4" t="str">
        <f ca="1">IF(D64&lt;=TODAY(),IF(ISNA(VLOOKUP(V64,'Unreconciled AR'!C:C,1,0)),"Due","Unreconciled AR"),"Outstanding")</f>
        <v>Outstanding</v>
      </c>
      <c r="F64" s="4">
        <f t="shared" ca="1" si="1"/>
        <v>0</v>
      </c>
      <c r="G64" s="4" t="str">
        <f ca="1">LOOKUP(F64,{-10000,-60,-30,-15,0,1,10000},{"&gt;60","31-60","16-30","01-15","Due on Today","OS"})</f>
        <v>Due on Today</v>
      </c>
      <c r="H64" s="4" t="s">
        <v>103</v>
      </c>
      <c r="I64" s="4" t="s">
        <v>103</v>
      </c>
      <c r="J64" s="4" t="s">
        <v>104</v>
      </c>
      <c r="K64" s="4" t="s">
        <v>111</v>
      </c>
      <c r="L64" s="4" t="s">
        <v>112</v>
      </c>
      <c r="M64" s="4" t="s">
        <v>113</v>
      </c>
      <c r="N64" s="4" t="s">
        <v>103</v>
      </c>
      <c r="O64" s="4" t="s">
        <v>432</v>
      </c>
      <c r="P64" s="5"/>
      <c r="Q64" s="5"/>
      <c r="R64" s="4" t="s">
        <v>433</v>
      </c>
      <c r="S64" s="5"/>
      <c r="T64" s="4" t="s">
        <v>107</v>
      </c>
      <c r="U64" s="45">
        <v>44699</v>
      </c>
      <c r="V64" s="4" t="s">
        <v>235</v>
      </c>
      <c r="W64" s="45">
        <v>44699</v>
      </c>
      <c r="X64" s="4" t="s">
        <v>8</v>
      </c>
      <c r="Y64" s="5">
        <v>1</v>
      </c>
      <c r="Z64" s="4" t="s">
        <v>108</v>
      </c>
      <c r="AA64" s="5"/>
      <c r="AB64" s="5">
        <v>34</v>
      </c>
      <c r="AC64" s="4" t="s">
        <v>109</v>
      </c>
      <c r="AD64" s="45">
        <v>44699</v>
      </c>
      <c r="AE64" s="4" t="s">
        <v>235</v>
      </c>
      <c r="AF64" s="4"/>
      <c r="AG64" s="5">
        <v>1000000</v>
      </c>
      <c r="AH64" s="5">
        <v>1000000</v>
      </c>
      <c r="AI64" s="5">
        <v>0</v>
      </c>
      <c r="AJ64" s="5">
        <v>1000000</v>
      </c>
      <c r="AK64" s="5">
        <v>0</v>
      </c>
      <c r="AL64" s="5">
        <v>1000000</v>
      </c>
      <c r="AM64" s="5"/>
    </row>
    <row r="65" spans="1:39" ht="63.75" x14ac:dyDescent="0.25">
      <c r="A65" s="4" t="s">
        <v>14</v>
      </c>
      <c r="B65" s="4" t="str">
        <f>VLOOKUP(A65,'Ledger &amp; Group'!A:C,2,0)</f>
        <v>Cavinkare</v>
      </c>
      <c r="C65" s="4">
        <f>VLOOKUP(A65,'Ledger &amp; Group'!A:C,3,0)</f>
        <v>60</v>
      </c>
      <c r="D65" s="45">
        <f t="shared" si="0"/>
        <v>44759</v>
      </c>
      <c r="E65" s="4" t="str">
        <f ca="1">IF(D65&lt;=TODAY(),IF(ISNA(VLOOKUP(V65,'Unreconciled AR'!C:C,1,0)),"Due","Unreconciled AR"),"Outstanding")</f>
        <v>Outstanding</v>
      </c>
      <c r="F65" s="4">
        <f t="shared" ca="1" si="1"/>
        <v>0</v>
      </c>
      <c r="G65" s="4" t="str">
        <f ca="1">LOOKUP(F65,{-10000,-60,-30,-15,0,1,10000},{"&gt;60","31-60","16-30","01-15","Due on Today","OS"})</f>
        <v>Due on Today</v>
      </c>
      <c r="H65" s="4" t="s">
        <v>103</v>
      </c>
      <c r="I65" s="4" t="s">
        <v>103</v>
      </c>
      <c r="J65" s="4" t="s">
        <v>104</v>
      </c>
      <c r="K65" s="4" t="s">
        <v>111</v>
      </c>
      <c r="L65" s="4" t="s">
        <v>112</v>
      </c>
      <c r="M65" s="4" t="s">
        <v>113</v>
      </c>
      <c r="N65" s="4" t="s">
        <v>103</v>
      </c>
      <c r="O65" s="4" t="s">
        <v>432</v>
      </c>
      <c r="P65" s="5"/>
      <c r="Q65" s="5"/>
      <c r="R65" s="4" t="s">
        <v>433</v>
      </c>
      <c r="S65" s="5"/>
      <c r="T65" s="4" t="s">
        <v>107</v>
      </c>
      <c r="U65" s="45">
        <v>44699</v>
      </c>
      <c r="V65" s="4" t="s">
        <v>236</v>
      </c>
      <c r="W65" s="45">
        <v>44699</v>
      </c>
      <c r="X65" s="4" t="s">
        <v>8</v>
      </c>
      <c r="Y65" s="5">
        <v>1</v>
      </c>
      <c r="Z65" s="4" t="s">
        <v>108</v>
      </c>
      <c r="AA65" s="5"/>
      <c r="AB65" s="5">
        <v>34</v>
      </c>
      <c r="AC65" s="4" t="s">
        <v>109</v>
      </c>
      <c r="AD65" s="45">
        <v>44699</v>
      </c>
      <c r="AE65" s="4" t="s">
        <v>236</v>
      </c>
      <c r="AF65" s="4"/>
      <c r="AG65" s="5">
        <v>1000000</v>
      </c>
      <c r="AH65" s="5">
        <v>1000000</v>
      </c>
      <c r="AI65" s="5">
        <v>0</v>
      </c>
      <c r="AJ65" s="5">
        <v>1000000</v>
      </c>
      <c r="AK65" s="5">
        <v>0</v>
      </c>
      <c r="AL65" s="5">
        <v>1000000</v>
      </c>
      <c r="AM65" s="5"/>
    </row>
    <row r="66" spans="1:39" ht="63.75" x14ac:dyDescent="0.25">
      <c r="A66" s="4" t="s">
        <v>14</v>
      </c>
      <c r="B66" s="4" t="str">
        <f>VLOOKUP(A66,'Ledger &amp; Group'!A:C,2,0)</f>
        <v>Cavinkare</v>
      </c>
      <c r="C66" s="4">
        <f>VLOOKUP(A66,'Ledger &amp; Group'!A:C,3,0)</f>
        <v>60</v>
      </c>
      <c r="D66" s="45">
        <f t="shared" ref="D66:D129" si="2">+W66+C66</f>
        <v>44759</v>
      </c>
      <c r="E66" s="4" t="str">
        <f ca="1">IF(D66&lt;=TODAY(),IF(ISNA(VLOOKUP(V66,'Unreconciled AR'!C:C,1,0)),"Due","Unreconciled AR"),"Outstanding")</f>
        <v>Outstanding</v>
      </c>
      <c r="F66" s="4">
        <f t="shared" ref="F66:F129" ca="1" si="3">TODAY()-W66</f>
        <v>0</v>
      </c>
      <c r="G66" s="4" t="str">
        <f ca="1">LOOKUP(F66,{-10000,-60,-30,-15,0,1,10000},{"&gt;60","31-60","16-30","01-15","Due on Today","OS"})</f>
        <v>Due on Today</v>
      </c>
      <c r="H66" s="4" t="s">
        <v>103</v>
      </c>
      <c r="I66" s="4" t="s">
        <v>103</v>
      </c>
      <c r="J66" s="4" t="s">
        <v>104</v>
      </c>
      <c r="K66" s="4" t="s">
        <v>111</v>
      </c>
      <c r="L66" s="4" t="s">
        <v>112</v>
      </c>
      <c r="M66" s="4" t="s">
        <v>113</v>
      </c>
      <c r="N66" s="4" t="s">
        <v>103</v>
      </c>
      <c r="O66" s="4" t="s">
        <v>432</v>
      </c>
      <c r="P66" s="5"/>
      <c r="Q66" s="5"/>
      <c r="R66" s="4" t="s">
        <v>433</v>
      </c>
      <c r="S66" s="5"/>
      <c r="T66" s="4" t="s">
        <v>107</v>
      </c>
      <c r="U66" s="45">
        <v>44699</v>
      </c>
      <c r="V66" s="4" t="s">
        <v>237</v>
      </c>
      <c r="W66" s="45">
        <v>44699</v>
      </c>
      <c r="X66" s="4" t="s">
        <v>8</v>
      </c>
      <c r="Y66" s="5">
        <v>1</v>
      </c>
      <c r="Z66" s="4" t="s">
        <v>108</v>
      </c>
      <c r="AA66" s="5"/>
      <c r="AB66" s="5">
        <v>33</v>
      </c>
      <c r="AC66" s="4" t="s">
        <v>109</v>
      </c>
      <c r="AD66" s="45">
        <v>44699</v>
      </c>
      <c r="AE66" s="4" t="s">
        <v>237</v>
      </c>
      <c r="AF66" s="4"/>
      <c r="AG66" s="5">
        <v>1000000</v>
      </c>
      <c r="AH66" s="5">
        <v>1000000</v>
      </c>
      <c r="AI66" s="5">
        <v>0</v>
      </c>
      <c r="AJ66" s="5">
        <v>1000000</v>
      </c>
      <c r="AK66" s="5">
        <v>0</v>
      </c>
      <c r="AL66" s="5">
        <v>1000000</v>
      </c>
      <c r="AM66" s="5"/>
    </row>
    <row r="67" spans="1:39" ht="63.75" x14ac:dyDescent="0.25">
      <c r="A67" s="4" t="s">
        <v>14</v>
      </c>
      <c r="B67" s="4" t="str">
        <f>VLOOKUP(A67,'Ledger &amp; Group'!A:C,2,0)</f>
        <v>Cavinkare</v>
      </c>
      <c r="C67" s="4">
        <f>VLOOKUP(A67,'Ledger &amp; Group'!A:C,3,0)</f>
        <v>60</v>
      </c>
      <c r="D67" s="45">
        <f t="shared" si="2"/>
        <v>44759</v>
      </c>
      <c r="E67" s="4" t="str">
        <f ca="1">IF(D67&lt;=TODAY(),IF(ISNA(VLOOKUP(V67,'Unreconciled AR'!C:C,1,0)),"Due","Unreconciled AR"),"Outstanding")</f>
        <v>Outstanding</v>
      </c>
      <c r="F67" s="4">
        <f t="shared" ca="1" si="3"/>
        <v>0</v>
      </c>
      <c r="G67" s="4" t="str">
        <f ca="1">LOOKUP(F67,{-10000,-60,-30,-15,0,1,10000},{"&gt;60","31-60","16-30","01-15","Due on Today","OS"})</f>
        <v>Due on Today</v>
      </c>
      <c r="H67" s="4" t="s">
        <v>103</v>
      </c>
      <c r="I67" s="4" t="s">
        <v>103</v>
      </c>
      <c r="J67" s="4" t="s">
        <v>104</v>
      </c>
      <c r="K67" s="4" t="s">
        <v>111</v>
      </c>
      <c r="L67" s="4" t="s">
        <v>112</v>
      </c>
      <c r="M67" s="4" t="s">
        <v>113</v>
      </c>
      <c r="N67" s="4" t="s">
        <v>103</v>
      </c>
      <c r="O67" s="4" t="s">
        <v>432</v>
      </c>
      <c r="P67" s="5"/>
      <c r="Q67" s="5"/>
      <c r="R67" s="4" t="s">
        <v>433</v>
      </c>
      <c r="S67" s="5"/>
      <c r="T67" s="4" t="s">
        <v>107</v>
      </c>
      <c r="U67" s="45">
        <v>44699</v>
      </c>
      <c r="V67" s="4" t="s">
        <v>238</v>
      </c>
      <c r="W67" s="45">
        <v>44699</v>
      </c>
      <c r="X67" s="4" t="s">
        <v>8</v>
      </c>
      <c r="Y67" s="5">
        <v>1</v>
      </c>
      <c r="Z67" s="4" t="s">
        <v>108</v>
      </c>
      <c r="AA67" s="5"/>
      <c r="AB67" s="5">
        <v>32</v>
      </c>
      <c r="AC67" s="4" t="s">
        <v>109</v>
      </c>
      <c r="AD67" s="45">
        <v>44699</v>
      </c>
      <c r="AE67" s="4" t="s">
        <v>238</v>
      </c>
      <c r="AF67" s="4"/>
      <c r="AG67" s="5">
        <v>1000000</v>
      </c>
      <c r="AH67" s="5">
        <v>1000000</v>
      </c>
      <c r="AI67" s="5">
        <v>0</v>
      </c>
      <c r="AJ67" s="5">
        <v>1000000</v>
      </c>
      <c r="AK67" s="5">
        <v>0</v>
      </c>
      <c r="AL67" s="5">
        <v>1000000</v>
      </c>
      <c r="AM67" s="5"/>
    </row>
    <row r="68" spans="1:39" ht="63.75" x14ac:dyDescent="0.25">
      <c r="A68" s="4" t="s">
        <v>14</v>
      </c>
      <c r="B68" s="4" t="str">
        <f>VLOOKUP(A68,'Ledger &amp; Group'!A:C,2,0)</f>
        <v>Cavinkare</v>
      </c>
      <c r="C68" s="4">
        <f>VLOOKUP(A68,'Ledger &amp; Group'!A:C,3,0)</f>
        <v>60</v>
      </c>
      <c r="D68" s="45">
        <f t="shared" si="2"/>
        <v>44759</v>
      </c>
      <c r="E68" s="4" t="str">
        <f ca="1">IF(D68&lt;=TODAY(),IF(ISNA(VLOOKUP(V68,'Unreconciled AR'!C:C,1,0)),"Due","Unreconciled AR"),"Outstanding")</f>
        <v>Outstanding</v>
      </c>
      <c r="F68" s="4">
        <f t="shared" ca="1" si="3"/>
        <v>0</v>
      </c>
      <c r="G68" s="4" t="str">
        <f ca="1">LOOKUP(F68,{-10000,-60,-30,-15,0,1,10000},{"&gt;60","31-60","16-30","01-15","Due on Today","OS"})</f>
        <v>Due on Today</v>
      </c>
      <c r="H68" s="4" t="s">
        <v>103</v>
      </c>
      <c r="I68" s="4" t="s">
        <v>103</v>
      </c>
      <c r="J68" s="4" t="s">
        <v>104</v>
      </c>
      <c r="K68" s="4" t="s">
        <v>111</v>
      </c>
      <c r="L68" s="4" t="s">
        <v>112</v>
      </c>
      <c r="M68" s="4" t="s">
        <v>113</v>
      </c>
      <c r="N68" s="4" t="s">
        <v>103</v>
      </c>
      <c r="O68" s="4" t="s">
        <v>432</v>
      </c>
      <c r="P68" s="5"/>
      <c r="Q68" s="5"/>
      <c r="R68" s="4" t="s">
        <v>433</v>
      </c>
      <c r="S68" s="5"/>
      <c r="T68" s="4" t="s">
        <v>107</v>
      </c>
      <c r="U68" s="45">
        <v>44699</v>
      </c>
      <c r="V68" s="4" t="s">
        <v>239</v>
      </c>
      <c r="W68" s="45">
        <v>44699</v>
      </c>
      <c r="X68" s="4" t="s">
        <v>8</v>
      </c>
      <c r="Y68" s="5">
        <v>1</v>
      </c>
      <c r="Z68" s="4" t="s">
        <v>108</v>
      </c>
      <c r="AA68" s="5"/>
      <c r="AB68" s="5">
        <v>31</v>
      </c>
      <c r="AC68" s="4" t="s">
        <v>109</v>
      </c>
      <c r="AD68" s="45">
        <v>44699</v>
      </c>
      <c r="AE68" s="4" t="s">
        <v>239</v>
      </c>
      <c r="AF68" s="4"/>
      <c r="AG68" s="5">
        <v>1000000</v>
      </c>
      <c r="AH68" s="5">
        <v>1000000</v>
      </c>
      <c r="AI68" s="5">
        <v>0</v>
      </c>
      <c r="AJ68" s="5">
        <v>1000000</v>
      </c>
      <c r="AK68" s="5">
        <v>0</v>
      </c>
      <c r="AL68" s="5">
        <v>1000000</v>
      </c>
      <c r="AM68" s="5"/>
    </row>
    <row r="69" spans="1:39" ht="63.75" x14ac:dyDescent="0.25">
      <c r="A69" s="4" t="s">
        <v>14</v>
      </c>
      <c r="B69" s="4" t="str">
        <f>VLOOKUP(A69,'Ledger &amp; Group'!A:C,2,0)</f>
        <v>Cavinkare</v>
      </c>
      <c r="C69" s="4">
        <f>VLOOKUP(A69,'Ledger &amp; Group'!A:C,3,0)</f>
        <v>60</v>
      </c>
      <c r="D69" s="45">
        <f t="shared" si="2"/>
        <v>44759</v>
      </c>
      <c r="E69" s="4" t="str">
        <f ca="1">IF(D69&lt;=TODAY(),IF(ISNA(VLOOKUP(V69,'Unreconciled AR'!C:C,1,0)),"Due","Unreconciled AR"),"Outstanding")</f>
        <v>Outstanding</v>
      </c>
      <c r="F69" s="4">
        <f t="shared" ca="1" si="3"/>
        <v>0</v>
      </c>
      <c r="G69" s="4" t="str">
        <f ca="1">LOOKUP(F69,{-10000,-60,-30,-15,0,1,10000},{"&gt;60","31-60","16-30","01-15","Due on Today","OS"})</f>
        <v>Due on Today</v>
      </c>
      <c r="H69" s="4" t="s">
        <v>103</v>
      </c>
      <c r="I69" s="4" t="s">
        <v>103</v>
      </c>
      <c r="J69" s="4" t="s">
        <v>104</v>
      </c>
      <c r="K69" s="4" t="s">
        <v>111</v>
      </c>
      <c r="L69" s="4" t="s">
        <v>112</v>
      </c>
      <c r="M69" s="4" t="s">
        <v>113</v>
      </c>
      <c r="N69" s="4" t="s">
        <v>103</v>
      </c>
      <c r="O69" s="4" t="s">
        <v>432</v>
      </c>
      <c r="P69" s="5"/>
      <c r="Q69" s="5"/>
      <c r="R69" s="4" t="s">
        <v>433</v>
      </c>
      <c r="S69" s="5"/>
      <c r="T69" s="4" t="s">
        <v>107</v>
      </c>
      <c r="U69" s="45">
        <v>44699</v>
      </c>
      <c r="V69" s="4" t="s">
        <v>252</v>
      </c>
      <c r="W69" s="45">
        <v>44699</v>
      </c>
      <c r="X69" s="4" t="s">
        <v>8</v>
      </c>
      <c r="Y69" s="5">
        <v>1</v>
      </c>
      <c r="Z69" s="4" t="s">
        <v>108</v>
      </c>
      <c r="AA69" s="5"/>
      <c r="AB69" s="5">
        <v>30</v>
      </c>
      <c r="AC69" s="4" t="s">
        <v>109</v>
      </c>
      <c r="AD69" s="45">
        <v>44699</v>
      </c>
      <c r="AE69" s="4" t="s">
        <v>252</v>
      </c>
      <c r="AF69" s="4"/>
      <c r="AG69" s="5">
        <v>1000000</v>
      </c>
      <c r="AH69" s="5">
        <v>1000000</v>
      </c>
      <c r="AI69" s="5">
        <v>0</v>
      </c>
      <c r="AJ69" s="5">
        <v>1000000</v>
      </c>
      <c r="AK69" s="5">
        <v>0</v>
      </c>
      <c r="AL69" s="5">
        <v>1000000</v>
      </c>
      <c r="AM69" s="5"/>
    </row>
    <row r="70" spans="1:39" ht="63.75" x14ac:dyDescent="0.25">
      <c r="A70" s="4" t="s">
        <v>14</v>
      </c>
      <c r="B70" s="4" t="str">
        <f>VLOOKUP(A70,'Ledger &amp; Group'!A:C,2,0)</f>
        <v>Cavinkare</v>
      </c>
      <c r="C70" s="4">
        <f>VLOOKUP(A70,'Ledger &amp; Group'!A:C,3,0)</f>
        <v>60</v>
      </c>
      <c r="D70" s="45">
        <f t="shared" si="2"/>
        <v>44759</v>
      </c>
      <c r="E70" s="4" t="str">
        <f ca="1">IF(D70&lt;=TODAY(),IF(ISNA(VLOOKUP(V70,'Unreconciled AR'!C:C,1,0)),"Due","Unreconciled AR"),"Outstanding")</f>
        <v>Outstanding</v>
      </c>
      <c r="F70" s="4">
        <f t="shared" ca="1" si="3"/>
        <v>0</v>
      </c>
      <c r="G70" s="4" t="str">
        <f ca="1">LOOKUP(F70,{-10000,-60,-30,-15,0,1,10000},{"&gt;60","31-60","16-30","01-15","Due on Today","OS"})</f>
        <v>Due on Today</v>
      </c>
      <c r="H70" s="4" t="s">
        <v>103</v>
      </c>
      <c r="I70" s="4" t="s">
        <v>103</v>
      </c>
      <c r="J70" s="4" t="s">
        <v>104</v>
      </c>
      <c r="K70" s="4" t="s">
        <v>111</v>
      </c>
      <c r="L70" s="4" t="s">
        <v>112</v>
      </c>
      <c r="M70" s="4" t="s">
        <v>113</v>
      </c>
      <c r="N70" s="4" t="s">
        <v>103</v>
      </c>
      <c r="O70" s="4" t="s">
        <v>432</v>
      </c>
      <c r="P70" s="5"/>
      <c r="Q70" s="5"/>
      <c r="R70" s="4" t="s">
        <v>433</v>
      </c>
      <c r="S70" s="5"/>
      <c r="T70" s="4" t="s">
        <v>107</v>
      </c>
      <c r="U70" s="45">
        <v>44699</v>
      </c>
      <c r="V70" s="4" t="s">
        <v>253</v>
      </c>
      <c r="W70" s="45">
        <v>44699</v>
      </c>
      <c r="X70" s="4" t="s">
        <v>8</v>
      </c>
      <c r="Y70" s="5">
        <v>1</v>
      </c>
      <c r="Z70" s="4" t="s">
        <v>108</v>
      </c>
      <c r="AA70" s="5"/>
      <c r="AB70" s="5">
        <v>28</v>
      </c>
      <c r="AC70" s="4" t="s">
        <v>109</v>
      </c>
      <c r="AD70" s="45">
        <v>44699</v>
      </c>
      <c r="AE70" s="4" t="s">
        <v>253</v>
      </c>
      <c r="AF70" s="4"/>
      <c r="AG70" s="5">
        <v>1000000</v>
      </c>
      <c r="AH70" s="5">
        <v>1000000</v>
      </c>
      <c r="AI70" s="5">
        <v>0</v>
      </c>
      <c r="AJ70" s="5">
        <v>1000000</v>
      </c>
      <c r="AK70" s="5">
        <v>0</v>
      </c>
      <c r="AL70" s="5">
        <v>1000000</v>
      </c>
      <c r="AM70" s="5"/>
    </row>
    <row r="71" spans="1:39" ht="63.75" x14ac:dyDescent="0.25">
      <c r="A71" s="4" t="s">
        <v>14</v>
      </c>
      <c r="B71" s="4" t="str">
        <f>VLOOKUP(A71,'Ledger &amp; Group'!A:C,2,0)</f>
        <v>Cavinkare</v>
      </c>
      <c r="C71" s="4">
        <f>VLOOKUP(A71,'Ledger &amp; Group'!A:C,3,0)</f>
        <v>60</v>
      </c>
      <c r="D71" s="45">
        <f t="shared" si="2"/>
        <v>44759</v>
      </c>
      <c r="E71" s="4" t="str">
        <f ca="1">IF(D71&lt;=TODAY(),IF(ISNA(VLOOKUP(V71,'Unreconciled AR'!C:C,1,0)),"Due","Unreconciled AR"),"Outstanding")</f>
        <v>Outstanding</v>
      </c>
      <c r="F71" s="4">
        <f t="shared" ca="1" si="3"/>
        <v>0</v>
      </c>
      <c r="G71" s="4" t="str">
        <f ca="1">LOOKUP(F71,{-10000,-60,-30,-15,0,1,10000},{"&gt;60","31-60","16-30","01-15","Due on Today","OS"})</f>
        <v>Due on Today</v>
      </c>
      <c r="H71" s="4" t="s">
        <v>103</v>
      </c>
      <c r="I71" s="4" t="s">
        <v>103</v>
      </c>
      <c r="J71" s="4" t="s">
        <v>104</v>
      </c>
      <c r="K71" s="4" t="s">
        <v>111</v>
      </c>
      <c r="L71" s="4" t="s">
        <v>112</v>
      </c>
      <c r="M71" s="4" t="s">
        <v>113</v>
      </c>
      <c r="N71" s="4" t="s">
        <v>103</v>
      </c>
      <c r="O71" s="4" t="s">
        <v>432</v>
      </c>
      <c r="P71" s="5"/>
      <c r="Q71" s="5"/>
      <c r="R71" s="4" t="s">
        <v>433</v>
      </c>
      <c r="S71" s="5"/>
      <c r="T71" s="4" t="s">
        <v>107</v>
      </c>
      <c r="U71" s="45">
        <v>44699</v>
      </c>
      <c r="V71" s="4" t="s">
        <v>262</v>
      </c>
      <c r="W71" s="45">
        <v>44699</v>
      </c>
      <c r="X71" s="4" t="s">
        <v>8</v>
      </c>
      <c r="Y71" s="5">
        <v>1</v>
      </c>
      <c r="Z71" s="4" t="s">
        <v>108</v>
      </c>
      <c r="AA71" s="5"/>
      <c r="AB71" s="5">
        <v>27</v>
      </c>
      <c r="AC71" s="4" t="s">
        <v>109</v>
      </c>
      <c r="AD71" s="45">
        <v>44699</v>
      </c>
      <c r="AE71" s="4" t="s">
        <v>262</v>
      </c>
      <c r="AF71" s="4"/>
      <c r="AG71" s="5">
        <v>1000000</v>
      </c>
      <c r="AH71" s="5">
        <v>1000000</v>
      </c>
      <c r="AI71" s="5">
        <v>0</v>
      </c>
      <c r="AJ71" s="5">
        <v>1000000</v>
      </c>
      <c r="AK71" s="5">
        <v>0</v>
      </c>
      <c r="AL71" s="5">
        <v>1000000</v>
      </c>
      <c r="AM71" s="5"/>
    </row>
    <row r="72" spans="1:39" ht="63.75" x14ac:dyDescent="0.25">
      <c r="A72" s="4" t="s">
        <v>14</v>
      </c>
      <c r="B72" s="4" t="str">
        <f>VLOOKUP(A72,'Ledger &amp; Group'!A:C,2,0)</f>
        <v>Cavinkare</v>
      </c>
      <c r="C72" s="4">
        <f>VLOOKUP(A72,'Ledger &amp; Group'!A:C,3,0)</f>
        <v>60</v>
      </c>
      <c r="D72" s="45">
        <f t="shared" si="2"/>
        <v>44759</v>
      </c>
      <c r="E72" s="4" t="str">
        <f ca="1">IF(D72&lt;=TODAY(),IF(ISNA(VLOOKUP(V72,'Unreconciled AR'!C:C,1,0)),"Due","Unreconciled AR"),"Outstanding")</f>
        <v>Outstanding</v>
      </c>
      <c r="F72" s="4">
        <f t="shared" ca="1" si="3"/>
        <v>0</v>
      </c>
      <c r="G72" s="4" t="str">
        <f ca="1">LOOKUP(F72,{-10000,-60,-30,-15,0,1,10000},{"&gt;60","31-60","16-30","01-15","Due on Today","OS"})</f>
        <v>Due on Today</v>
      </c>
      <c r="H72" s="4" t="s">
        <v>103</v>
      </c>
      <c r="I72" s="4" t="s">
        <v>103</v>
      </c>
      <c r="J72" s="4" t="s">
        <v>104</v>
      </c>
      <c r="K72" s="4" t="s">
        <v>111</v>
      </c>
      <c r="L72" s="4" t="s">
        <v>112</v>
      </c>
      <c r="M72" s="4" t="s">
        <v>113</v>
      </c>
      <c r="N72" s="4" t="s">
        <v>103</v>
      </c>
      <c r="O72" s="4" t="s">
        <v>432</v>
      </c>
      <c r="P72" s="5"/>
      <c r="Q72" s="5"/>
      <c r="R72" s="4" t="s">
        <v>433</v>
      </c>
      <c r="S72" s="5"/>
      <c r="T72" s="4" t="s">
        <v>107</v>
      </c>
      <c r="U72" s="45">
        <v>44699</v>
      </c>
      <c r="V72" s="4" t="s">
        <v>263</v>
      </c>
      <c r="W72" s="45">
        <v>44699</v>
      </c>
      <c r="X72" s="4" t="s">
        <v>8</v>
      </c>
      <c r="Y72" s="5">
        <v>1</v>
      </c>
      <c r="Z72" s="4" t="s">
        <v>108</v>
      </c>
      <c r="AA72" s="5"/>
      <c r="AB72" s="5">
        <v>27</v>
      </c>
      <c r="AC72" s="4" t="s">
        <v>109</v>
      </c>
      <c r="AD72" s="45">
        <v>44699</v>
      </c>
      <c r="AE72" s="4" t="s">
        <v>263</v>
      </c>
      <c r="AF72" s="4"/>
      <c r="AG72" s="5">
        <v>1000000</v>
      </c>
      <c r="AH72" s="5">
        <v>1000000</v>
      </c>
      <c r="AI72" s="5">
        <v>0</v>
      </c>
      <c r="AJ72" s="5">
        <v>1000000</v>
      </c>
      <c r="AK72" s="5">
        <v>0</v>
      </c>
      <c r="AL72" s="5">
        <v>1000000</v>
      </c>
      <c r="AM72" s="5"/>
    </row>
    <row r="73" spans="1:39" ht="63.75" x14ac:dyDescent="0.25">
      <c r="A73" s="4" t="s">
        <v>14</v>
      </c>
      <c r="B73" s="4" t="str">
        <f>VLOOKUP(A73,'Ledger &amp; Group'!A:C,2,0)</f>
        <v>Cavinkare</v>
      </c>
      <c r="C73" s="4">
        <f>VLOOKUP(A73,'Ledger &amp; Group'!A:C,3,0)</f>
        <v>60</v>
      </c>
      <c r="D73" s="45">
        <f t="shared" si="2"/>
        <v>44759</v>
      </c>
      <c r="E73" s="4" t="str">
        <f ca="1">IF(D73&lt;=TODAY(),IF(ISNA(VLOOKUP(V73,'Unreconciled AR'!C:C,1,0)),"Due","Unreconciled AR"),"Outstanding")</f>
        <v>Outstanding</v>
      </c>
      <c r="F73" s="4">
        <f t="shared" ca="1" si="3"/>
        <v>0</v>
      </c>
      <c r="G73" s="4" t="str">
        <f ca="1">LOOKUP(F73,{-10000,-60,-30,-15,0,1,10000},{"&gt;60","31-60","16-30","01-15","Due on Today","OS"})</f>
        <v>Due on Today</v>
      </c>
      <c r="H73" s="4" t="s">
        <v>103</v>
      </c>
      <c r="I73" s="4" t="s">
        <v>103</v>
      </c>
      <c r="J73" s="4" t="s">
        <v>104</v>
      </c>
      <c r="K73" s="4" t="s">
        <v>111</v>
      </c>
      <c r="L73" s="4" t="s">
        <v>112</v>
      </c>
      <c r="M73" s="4" t="s">
        <v>113</v>
      </c>
      <c r="N73" s="4" t="s">
        <v>103</v>
      </c>
      <c r="O73" s="4" t="s">
        <v>432</v>
      </c>
      <c r="P73" s="5"/>
      <c r="Q73" s="5"/>
      <c r="R73" s="4" t="s">
        <v>433</v>
      </c>
      <c r="S73" s="5"/>
      <c r="T73" s="4" t="s">
        <v>107</v>
      </c>
      <c r="U73" s="45">
        <v>44699</v>
      </c>
      <c r="V73" s="4" t="s">
        <v>270</v>
      </c>
      <c r="W73" s="45">
        <v>44699</v>
      </c>
      <c r="X73" s="4" t="s">
        <v>8</v>
      </c>
      <c r="Y73" s="5">
        <v>1</v>
      </c>
      <c r="Z73" s="4" t="s">
        <v>108</v>
      </c>
      <c r="AA73" s="5"/>
      <c r="AB73" s="5">
        <v>26</v>
      </c>
      <c r="AC73" s="4" t="s">
        <v>109</v>
      </c>
      <c r="AD73" s="45">
        <v>44699</v>
      </c>
      <c r="AE73" s="4" t="s">
        <v>270</v>
      </c>
      <c r="AF73" s="4"/>
      <c r="AG73" s="5">
        <v>1000000</v>
      </c>
      <c r="AH73" s="5">
        <v>1000000</v>
      </c>
      <c r="AI73" s="5">
        <v>0</v>
      </c>
      <c r="AJ73" s="5">
        <v>1000000</v>
      </c>
      <c r="AK73" s="5">
        <v>0</v>
      </c>
      <c r="AL73" s="5">
        <v>1000000</v>
      </c>
      <c r="AM73" s="5"/>
    </row>
    <row r="74" spans="1:39" ht="63.75" x14ac:dyDescent="0.25">
      <c r="A74" s="4" t="s">
        <v>14</v>
      </c>
      <c r="B74" s="4" t="str">
        <f>VLOOKUP(A74,'Ledger &amp; Group'!A:C,2,0)</f>
        <v>Cavinkare</v>
      </c>
      <c r="C74" s="4">
        <f>VLOOKUP(A74,'Ledger &amp; Group'!A:C,3,0)</f>
        <v>60</v>
      </c>
      <c r="D74" s="45">
        <f t="shared" si="2"/>
        <v>44759</v>
      </c>
      <c r="E74" s="4" t="str">
        <f ca="1">IF(D74&lt;=TODAY(),IF(ISNA(VLOOKUP(V74,'Unreconciled AR'!C:C,1,0)),"Due","Unreconciled AR"),"Outstanding")</f>
        <v>Outstanding</v>
      </c>
      <c r="F74" s="4">
        <f t="shared" ca="1" si="3"/>
        <v>0</v>
      </c>
      <c r="G74" s="4" t="str">
        <f ca="1">LOOKUP(F74,{-10000,-60,-30,-15,0,1,10000},{"&gt;60","31-60","16-30","01-15","Due on Today","OS"})</f>
        <v>Due on Today</v>
      </c>
      <c r="H74" s="4" t="s">
        <v>103</v>
      </c>
      <c r="I74" s="4" t="s">
        <v>103</v>
      </c>
      <c r="J74" s="4" t="s">
        <v>104</v>
      </c>
      <c r="K74" s="4" t="s">
        <v>111</v>
      </c>
      <c r="L74" s="4" t="s">
        <v>112</v>
      </c>
      <c r="M74" s="4" t="s">
        <v>113</v>
      </c>
      <c r="N74" s="4" t="s">
        <v>103</v>
      </c>
      <c r="O74" s="4" t="s">
        <v>432</v>
      </c>
      <c r="P74" s="5"/>
      <c r="Q74" s="5"/>
      <c r="R74" s="4" t="s">
        <v>433</v>
      </c>
      <c r="S74" s="5"/>
      <c r="T74" s="4" t="s">
        <v>107</v>
      </c>
      <c r="U74" s="45">
        <v>44699</v>
      </c>
      <c r="V74" s="4" t="s">
        <v>286</v>
      </c>
      <c r="W74" s="45">
        <v>44699</v>
      </c>
      <c r="X74" s="4" t="s">
        <v>8</v>
      </c>
      <c r="Y74" s="5">
        <v>1</v>
      </c>
      <c r="Z74" s="4" t="s">
        <v>108</v>
      </c>
      <c r="AA74" s="5"/>
      <c r="AB74" s="5">
        <v>21</v>
      </c>
      <c r="AC74" s="4" t="s">
        <v>109</v>
      </c>
      <c r="AD74" s="45">
        <v>44699</v>
      </c>
      <c r="AE74" s="4" t="s">
        <v>286</v>
      </c>
      <c r="AF74" s="4"/>
      <c r="AG74" s="5">
        <v>1000000</v>
      </c>
      <c r="AH74" s="5">
        <v>1000000</v>
      </c>
      <c r="AI74" s="5">
        <v>0</v>
      </c>
      <c r="AJ74" s="5">
        <v>1000000</v>
      </c>
      <c r="AK74" s="5">
        <v>0</v>
      </c>
      <c r="AL74" s="5">
        <v>1000000</v>
      </c>
      <c r="AM74" s="5"/>
    </row>
    <row r="75" spans="1:39" ht="63.75" x14ac:dyDescent="0.25">
      <c r="A75" s="4" t="s">
        <v>14</v>
      </c>
      <c r="B75" s="4" t="str">
        <f>VLOOKUP(A75,'Ledger &amp; Group'!A:C,2,0)</f>
        <v>Cavinkare</v>
      </c>
      <c r="C75" s="4">
        <f>VLOOKUP(A75,'Ledger &amp; Group'!A:C,3,0)</f>
        <v>60</v>
      </c>
      <c r="D75" s="45">
        <f t="shared" si="2"/>
        <v>44759</v>
      </c>
      <c r="E75" s="4" t="str">
        <f ca="1">IF(D75&lt;=TODAY(),IF(ISNA(VLOOKUP(V75,'Unreconciled AR'!C:C,1,0)),"Due","Unreconciled AR"),"Outstanding")</f>
        <v>Outstanding</v>
      </c>
      <c r="F75" s="4">
        <f t="shared" ca="1" si="3"/>
        <v>0</v>
      </c>
      <c r="G75" s="4" t="str">
        <f ca="1">LOOKUP(F75,{-10000,-60,-30,-15,0,1,10000},{"&gt;60","31-60","16-30","01-15","Due on Today","OS"})</f>
        <v>Due on Today</v>
      </c>
      <c r="H75" s="4" t="s">
        <v>103</v>
      </c>
      <c r="I75" s="4" t="s">
        <v>103</v>
      </c>
      <c r="J75" s="4" t="s">
        <v>104</v>
      </c>
      <c r="K75" s="4" t="s">
        <v>111</v>
      </c>
      <c r="L75" s="4" t="s">
        <v>112</v>
      </c>
      <c r="M75" s="4" t="s">
        <v>113</v>
      </c>
      <c r="N75" s="4" t="s">
        <v>103</v>
      </c>
      <c r="O75" s="4" t="s">
        <v>432</v>
      </c>
      <c r="P75" s="5"/>
      <c r="Q75" s="5"/>
      <c r="R75" s="4" t="s">
        <v>433</v>
      </c>
      <c r="S75" s="5"/>
      <c r="T75" s="4" t="s">
        <v>107</v>
      </c>
      <c r="U75" s="45">
        <v>44699</v>
      </c>
      <c r="V75" s="4" t="s">
        <v>295</v>
      </c>
      <c r="W75" s="45">
        <v>44699</v>
      </c>
      <c r="X75" s="4" t="s">
        <v>8</v>
      </c>
      <c r="Y75" s="5">
        <v>1</v>
      </c>
      <c r="Z75" s="4" t="s">
        <v>108</v>
      </c>
      <c r="AA75" s="5"/>
      <c r="AB75" s="5">
        <v>19</v>
      </c>
      <c r="AC75" s="4" t="s">
        <v>109</v>
      </c>
      <c r="AD75" s="45">
        <v>44699</v>
      </c>
      <c r="AE75" s="4" t="s">
        <v>295</v>
      </c>
      <c r="AF75" s="4"/>
      <c r="AG75" s="5">
        <v>1000000</v>
      </c>
      <c r="AH75" s="5">
        <v>1000000</v>
      </c>
      <c r="AI75" s="5">
        <v>0</v>
      </c>
      <c r="AJ75" s="5">
        <v>1000000</v>
      </c>
      <c r="AK75" s="5">
        <v>0</v>
      </c>
      <c r="AL75" s="5">
        <v>1000000</v>
      </c>
      <c r="AM75" s="5"/>
    </row>
    <row r="76" spans="1:39" ht="63.75" x14ac:dyDescent="0.25">
      <c r="A76" s="4" t="s">
        <v>14</v>
      </c>
      <c r="B76" s="4" t="str">
        <f>VLOOKUP(A76,'Ledger &amp; Group'!A:C,2,0)</f>
        <v>Cavinkare</v>
      </c>
      <c r="C76" s="4">
        <f>VLOOKUP(A76,'Ledger &amp; Group'!A:C,3,0)</f>
        <v>60</v>
      </c>
      <c r="D76" s="45">
        <f t="shared" si="2"/>
        <v>44759</v>
      </c>
      <c r="E76" s="4" t="str">
        <f ca="1">IF(D76&lt;=TODAY(),IF(ISNA(VLOOKUP(V76,'Unreconciled AR'!C:C,1,0)),"Due","Unreconciled AR"),"Outstanding")</f>
        <v>Outstanding</v>
      </c>
      <c r="F76" s="4">
        <f t="shared" ca="1" si="3"/>
        <v>0</v>
      </c>
      <c r="G76" s="4" t="str">
        <f ca="1">LOOKUP(F76,{-10000,-60,-30,-15,0,1,10000},{"&gt;60","31-60","16-30","01-15","Due on Today","OS"})</f>
        <v>Due on Today</v>
      </c>
      <c r="H76" s="4" t="s">
        <v>103</v>
      </c>
      <c r="I76" s="4" t="s">
        <v>103</v>
      </c>
      <c r="J76" s="4" t="s">
        <v>104</v>
      </c>
      <c r="K76" s="4" t="s">
        <v>111</v>
      </c>
      <c r="L76" s="4" t="s">
        <v>112</v>
      </c>
      <c r="M76" s="4" t="s">
        <v>113</v>
      </c>
      <c r="N76" s="4" t="s">
        <v>103</v>
      </c>
      <c r="O76" s="4" t="s">
        <v>432</v>
      </c>
      <c r="P76" s="5"/>
      <c r="Q76" s="5"/>
      <c r="R76" s="4" t="s">
        <v>433</v>
      </c>
      <c r="S76" s="5"/>
      <c r="T76" s="4" t="s">
        <v>107</v>
      </c>
      <c r="U76" s="45">
        <v>44699</v>
      </c>
      <c r="V76" s="4" t="s">
        <v>296</v>
      </c>
      <c r="W76" s="45">
        <v>44699</v>
      </c>
      <c r="X76" s="4" t="s">
        <v>8</v>
      </c>
      <c r="Y76" s="5">
        <v>1</v>
      </c>
      <c r="Z76" s="4" t="s">
        <v>108</v>
      </c>
      <c r="AA76" s="5"/>
      <c r="AB76" s="5">
        <v>17</v>
      </c>
      <c r="AC76" s="4" t="s">
        <v>109</v>
      </c>
      <c r="AD76" s="45">
        <v>44699</v>
      </c>
      <c r="AE76" s="4" t="s">
        <v>296</v>
      </c>
      <c r="AF76" s="4"/>
      <c r="AG76" s="5">
        <v>1000000</v>
      </c>
      <c r="AH76" s="5">
        <v>1000000</v>
      </c>
      <c r="AI76" s="5">
        <v>0</v>
      </c>
      <c r="AJ76" s="5">
        <v>1000000</v>
      </c>
      <c r="AK76" s="5">
        <v>0</v>
      </c>
      <c r="AL76" s="5">
        <v>1000000</v>
      </c>
      <c r="AM76" s="5"/>
    </row>
    <row r="77" spans="1:39" ht="63.75" x14ac:dyDescent="0.25">
      <c r="A77" s="4" t="s">
        <v>14</v>
      </c>
      <c r="B77" s="4" t="str">
        <f>VLOOKUP(A77,'Ledger &amp; Group'!A:C,2,0)</f>
        <v>Cavinkare</v>
      </c>
      <c r="C77" s="4">
        <f>VLOOKUP(A77,'Ledger &amp; Group'!A:C,3,0)</f>
        <v>60</v>
      </c>
      <c r="D77" s="45">
        <f t="shared" si="2"/>
        <v>44759</v>
      </c>
      <c r="E77" s="4" t="str">
        <f ca="1">IF(D77&lt;=TODAY(),IF(ISNA(VLOOKUP(V77,'Unreconciled AR'!C:C,1,0)),"Due","Unreconciled AR"),"Outstanding")</f>
        <v>Outstanding</v>
      </c>
      <c r="F77" s="4">
        <f t="shared" ca="1" si="3"/>
        <v>0</v>
      </c>
      <c r="G77" s="4" t="str">
        <f ca="1">LOOKUP(F77,{-10000,-60,-30,-15,0,1,10000},{"&gt;60","31-60","16-30","01-15","Due on Today","OS"})</f>
        <v>Due on Today</v>
      </c>
      <c r="H77" s="4" t="s">
        <v>103</v>
      </c>
      <c r="I77" s="4" t="s">
        <v>103</v>
      </c>
      <c r="J77" s="4" t="s">
        <v>104</v>
      </c>
      <c r="K77" s="4" t="s">
        <v>111</v>
      </c>
      <c r="L77" s="4" t="s">
        <v>112</v>
      </c>
      <c r="M77" s="4" t="s">
        <v>113</v>
      </c>
      <c r="N77" s="4" t="s">
        <v>103</v>
      </c>
      <c r="O77" s="4" t="s">
        <v>432</v>
      </c>
      <c r="P77" s="5"/>
      <c r="Q77" s="5"/>
      <c r="R77" s="4" t="s">
        <v>433</v>
      </c>
      <c r="S77" s="5"/>
      <c r="T77" s="4" t="s">
        <v>107</v>
      </c>
      <c r="U77" s="45">
        <v>44699</v>
      </c>
      <c r="V77" s="4" t="s">
        <v>304</v>
      </c>
      <c r="W77" s="45">
        <v>44699</v>
      </c>
      <c r="X77" s="4" t="s">
        <v>8</v>
      </c>
      <c r="Y77" s="5">
        <v>1</v>
      </c>
      <c r="Z77" s="4" t="s">
        <v>108</v>
      </c>
      <c r="AA77" s="5"/>
      <c r="AB77" s="5">
        <v>16</v>
      </c>
      <c r="AC77" s="4" t="s">
        <v>109</v>
      </c>
      <c r="AD77" s="45">
        <v>44699</v>
      </c>
      <c r="AE77" s="4" t="s">
        <v>304</v>
      </c>
      <c r="AF77" s="4"/>
      <c r="AG77" s="5">
        <v>1000000</v>
      </c>
      <c r="AH77" s="5">
        <v>1000000</v>
      </c>
      <c r="AI77" s="5">
        <v>0</v>
      </c>
      <c r="AJ77" s="5">
        <v>1000000</v>
      </c>
      <c r="AK77" s="5">
        <v>0</v>
      </c>
      <c r="AL77" s="5">
        <v>1000000</v>
      </c>
      <c r="AM77" s="5"/>
    </row>
    <row r="78" spans="1:39" ht="63.75" x14ac:dyDescent="0.25">
      <c r="A78" s="4" t="s">
        <v>14</v>
      </c>
      <c r="B78" s="4" t="str">
        <f>VLOOKUP(A78,'Ledger &amp; Group'!A:C,2,0)</f>
        <v>Cavinkare</v>
      </c>
      <c r="C78" s="4">
        <f>VLOOKUP(A78,'Ledger &amp; Group'!A:C,3,0)</f>
        <v>60</v>
      </c>
      <c r="D78" s="45">
        <f t="shared" si="2"/>
        <v>44759</v>
      </c>
      <c r="E78" s="4" t="str">
        <f ca="1">IF(D78&lt;=TODAY(),IF(ISNA(VLOOKUP(V78,'Unreconciled AR'!C:C,1,0)),"Due","Unreconciled AR"),"Outstanding")</f>
        <v>Outstanding</v>
      </c>
      <c r="F78" s="4">
        <f t="shared" ca="1" si="3"/>
        <v>0</v>
      </c>
      <c r="G78" s="4" t="str">
        <f ca="1">LOOKUP(F78,{-10000,-60,-30,-15,0,1,10000},{"&gt;60","31-60","16-30","01-15","Due on Today","OS"})</f>
        <v>Due on Today</v>
      </c>
      <c r="H78" s="4" t="s">
        <v>103</v>
      </c>
      <c r="I78" s="4" t="s">
        <v>103</v>
      </c>
      <c r="J78" s="4" t="s">
        <v>104</v>
      </c>
      <c r="K78" s="4" t="s">
        <v>111</v>
      </c>
      <c r="L78" s="4" t="s">
        <v>112</v>
      </c>
      <c r="M78" s="4" t="s">
        <v>113</v>
      </c>
      <c r="N78" s="4" t="s">
        <v>103</v>
      </c>
      <c r="O78" s="4" t="s">
        <v>432</v>
      </c>
      <c r="P78" s="5"/>
      <c r="Q78" s="5"/>
      <c r="R78" s="4" t="s">
        <v>433</v>
      </c>
      <c r="S78" s="5"/>
      <c r="T78" s="4" t="s">
        <v>107</v>
      </c>
      <c r="U78" s="45">
        <v>44699</v>
      </c>
      <c r="V78" s="4" t="s">
        <v>314</v>
      </c>
      <c r="W78" s="45">
        <v>44699</v>
      </c>
      <c r="X78" s="4" t="s">
        <v>8</v>
      </c>
      <c r="Y78" s="5">
        <v>1</v>
      </c>
      <c r="Z78" s="4" t="s">
        <v>108</v>
      </c>
      <c r="AA78" s="5"/>
      <c r="AB78" s="5">
        <v>14</v>
      </c>
      <c r="AC78" s="4" t="s">
        <v>109</v>
      </c>
      <c r="AD78" s="45">
        <v>44699</v>
      </c>
      <c r="AE78" s="4" t="s">
        <v>314</v>
      </c>
      <c r="AF78" s="4"/>
      <c r="AG78" s="5">
        <v>1000000</v>
      </c>
      <c r="AH78" s="5">
        <v>1000000</v>
      </c>
      <c r="AI78" s="5">
        <v>0</v>
      </c>
      <c r="AJ78" s="5">
        <v>1000000</v>
      </c>
      <c r="AK78" s="5">
        <v>0</v>
      </c>
      <c r="AL78" s="5">
        <v>1000000</v>
      </c>
      <c r="AM78" s="5"/>
    </row>
    <row r="79" spans="1:39" ht="63.75" x14ac:dyDescent="0.25">
      <c r="A79" s="4" t="s">
        <v>14</v>
      </c>
      <c r="B79" s="4" t="str">
        <f>VLOOKUP(A79,'Ledger &amp; Group'!A:C,2,0)</f>
        <v>Cavinkare</v>
      </c>
      <c r="C79" s="4">
        <f>VLOOKUP(A79,'Ledger &amp; Group'!A:C,3,0)</f>
        <v>60</v>
      </c>
      <c r="D79" s="45">
        <f t="shared" si="2"/>
        <v>44759</v>
      </c>
      <c r="E79" s="4" t="str">
        <f ca="1">IF(D79&lt;=TODAY(),IF(ISNA(VLOOKUP(V79,'Unreconciled AR'!C:C,1,0)),"Due","Unreconciled AR"),"Outstanding")</f>
        <v>Outstanding</v>
      </c>
      <c r="F79" s="4">
        <f t="shared" ca="1" si="3"/>
        <v>0</v>
      </c>
      <c r="G79" s="4" t="str">
        <f ca="1">LOOKUP(F79,{-10000,-60,-30,-15,0,1,10000},{"&gt;60","31-60","16-30","01-15","Due on Today","OS"})</f>
        <v>Due on Today</v>
      </c>
      <c r="H79" s="4" t="s">
        <v>103</v>
      </c>
      <c r="I79" s="4" t="s">
        <v>103</v>
      </c>
      <c r="J79" s="4" t="s">
        <v>104</v>
      </c>
      <c r="K79" s="4" t="s">
        <v>111</v>
      </c>
      <c r="L79" s="4" t="s">
        <v>112</v>
      </c>
      <c r="M79" s="4" t="s">
        <v>113</v>
      </c>
      <c r="N79" s="4" t="s">
        <v>103</v>
      </c>
      <c r="O79" s="4" t="s">
        <v>432</v>
      </c>
      <c r="P79" s="5"/>
      <c r="Q79" s="5"/>
      <c r="R79" s="4" t="s">
        <v>433</v>
      </c>
      <c r="S79" s="5"/>
      <c r="T79" s="4" t="s">
        <v>107</v>
      </c>
      <c r="U79" s="45">
        <v>44699</v>
      </c>
      <c r="V79" s="4" t="s">
        <v>319</v>
      </c>
      <c r="W79" s="45">
        <v>44699</v>
      </c>
      <c r="X79" s="4" t="s">
        <v>8</v>
      </c>
      <c r="Y79" s="5">
        <v>1</v>
      </c>
      <c r="Z79" s="4" t="s">
        <v>108</v>
      </c>
      <c r="AA79" s="5"/>
      <c r="AB79" s="5">
        <v>13</v>
      </c>
      <c r="AC79" s="4" t="s">
        <v>109</v>
      </c>
      <c r="AD79" s="45">
        <v>44699</v>
      </c>
      <c r="AE79" s="4" t="s">
        <v>319</v>
      </c>
      <c r="AF79" s="4"/>
      <c r="AG79" s="5">
        <v>1000000</v>
      </c>
      <c r="AH79" s="5">
        <v>1000000</v>
      </c>
      <c r="AI79" s="5">
        <v>0</v>
      </c>
      <c r="AJ79" s="5">
        <v>1000000</v>
      </c>
      <c r="AK79" s="5">
        <v>0</v>
      </c>
      <c r="AL79" s="5">
        <v>1000000</v>
      </c>
      <c r="AM79" s="5"/>
    </row>
    <row r="80" spans="1:39" ht="63.75" x14ac:dyDescent="0.25">
      <c r="A80" s="4" t="s">
        <v>14</v>
      </c>
      <c r="B80" s="4" t="str">
        <f>VLOOKUP(A80,'Ledger &amp; Group'!A:C,2,0)</f>
        <v>Cavinkare</v>
      </c>
      <c r="C80" s="4">
        <f>VLOOKUP(A80,'Ledger &amp; Group'!A:C,3,0)</f>
        <v>60</v>
      </c>
      <c r="D80" s="45">
        <f t="shared" si="2"/>
        <v>44759</v>
      </c>
      <c r="E80" s="4" t="str">
        <f ca="1">IF(D80&lt;=TODAY(),IF(ISNA(VLOOKUP(V80,'Unreconciled AR'!C:C,1,0)),"Due","Unreconciled AR"),"Outstanding")</f>
        <v>Outstanding</v>
      </c>
      <c r="F80" s="4">
        <f t="shared" ca="1" si="3"/>
        <v>0</v>
      </c>
      <c r="G80" s="4" t="str">
        <f ca="1">LOOKUP(F80,{-10000,-60,-30,-15,0,1,10000},{"&gt;60","31-60","16-30","01-15","Due on Today","OS"})</f>
        <v>Due on Today</v>
      </c>
      <c r="H80" s="4" t="s">
        <v>103</v>
      </c>
      <c r="I80" s="4" t="s">
        <v>103</v>
      </c>
      <c r="J80" s="4" t="s">
        <v>104</v>
      </c>
      <c r="K80" s="4" t="s">
        <v>111</v>
      </c>
      <c r="L80" s="4" t="s">
        <v>112</v>
      </c>
      <c r="M80" s="4" t="s">
        <v>113</v>
      </c>
      <c r="N80" s="4" t="s">
        <v>103</v>
      </c>
      <c r="O80" s="4" t="s">
        <v>432</v>
      </c>
      <c r="P80" s="5"/>
      <c r="Q80" s="5"/>
      <c r="R80" s="4" t="s">
        <v>433</v>
      </c>
      <c r="S80" s="5"/>
      <c r="T80" s="4" t="s">
        <v>107</v>
      </c>
      <c r="U80" s="45">
        <v>44699</v>
      </c>
      <c r="V80" s="4" t="s">
        <v>329</v>
      </c>
      <c r="W80" s="45">
        <v>44699</v>
      </c>
      <c r="X80" s="4" t="s">
        <v>8</v>
      </c>
      <c r="Y80" s="5">
        <v>1</v>
      </c>
      <c r="Z80" s="4" t="s">
        <v>108</v>
      </c>
      <c r="AA80" s="5"/>
      <c r="AB80" s="5">
        <v>11</v>
      </c>
      <c r="AC80" s="4" t="s">
        <v>109</v>
      </c>
      <c r="AD80" s="45">
        <v>44699</v>
      </c>
      <c r="AE80" s="4" t="s">
        <v>329</v>
      </c>
      <c r="AF80" s="4"/>
      <c r="AG80" s="5">
        <v>1000000</v>
      </c>
      <c r="AH80" s="5">
        <v>1000000</v>
      </c>
      <c r="AI80" s="5">
        <v>0</v>
      </c>
      <c r="AJ80" s="5">
        <v>1000000</v>
      </c>
      <c r="AK80" s="5">
        <v>0</v>
      </c>
      <c r="AL80" s="5">
        <v>1000000</v>
      </c>
      <c r="AM80" s="5"/>
    </row>
    <row r="81" spans="1:39" ht="63.75" x14ac:dyDescent="0.25">
      <c r="A81" s="4" t="s">
        <v>14</v>
      </c>
      <c r="B81" s="4" t="str">
        <f>VLOOKUP(A81,'Ledger &amp; Group'!A:C,2,0)</f>
        <v>Cavinkare</v>
      </c>
      <c r="C81" s="4">
        <f>VLOOKUP(A81,'Ledger &amp; Group'!A:C,3,0)</f>
        <v>60</v>
      </c>
      <c r="D81" s="45">
        <f t="shared" si="2"/>
        <v>44759</v>
      </c>
      <c r="E81" s="4" t="str">
        <f ca="1">IF(D81&lt;=TODAY(),IF(ISNA(VLOOKUP(V81,'Unreconciled AR'!C:C,1,0)),"Due","Unreconciled AR"),"Outstanding")</f>
        <v>Outstanding</v>
      </c>
      <c r="F81" s="4">
        <f t="shared" ca="1" si="3"/>
        <v>0</v>
      </c>
      <c r="G81" s="4" t="str">
        <f ca="1">LOOKUP(F81,{-10000,-60,-30,-15,0,1,10000},{"&gt;60","31-60","16-30","01-15","Due on Today","OS"})</f>
        <v>Due on Today</v>
      </c>
      <c r="H81" s="4" t="s">
        <v>103</v>
      </c>
      <c r="I81" s="4" t="s">
        <v>103</v>
      </c>
      <c r="J81" s="4" t="s">
        <v>104</v>
      </c>
      <c r="K81" s="4" t="s">
        <v>111</v>
      </c>
      <c r="L81" s="4" t="s">
        <v>112</v>
      </c>
      <c r="M81" s="4" t="s">
        <v>113</v>
      </c>
      <c r="N81" s="4" t="s">
        <v>103</v>
      </c>
      <c r="O81" s="4" t="s">
        <v>432</v>
      </c>
      <c r="P81" s="5"/>
      <c r="Q81" s="5"/>
      <c r="R81" s="4" t="s">
        <v>433</v>
      </c>
      <c r="S81" s="5"/>
      <c r="T81" s="4" t="s">
        <v>107</v>
      </c>
      <c r="U81" s="45">
        <v>44699</v>
      </c>
      <c r="V81" s="4" t="s">
        <v>345</v>
      </c>
      <c r="W81" s="45">
        <v>44699</v>
      </c>
      <c r="X81" s="4" t="s">
        <v>8</v>
      </c>
      <c r="Y81" s="5">
        <v>1</v>
      </c>
      <c r="Z81" s="4" t="s">
        <v>108</v>
      </c>
      <c r="AA81" s="5"/>
      <c r="AB81" s="5">
        <v>9</v>
      </c>
      <c r="AC81" s="4" t="s">
        <v>109</v>
      </c>
      <c r="AD81" s="45">
        <v>44699</v>
      </c>
      <c r="AE81" s="4" t="s">
        <v>345</v>
      </c>
      <c r="AF81" s="4"/>
      <c r="AG81" s="5">
        <v>1000000</v>
      </c>
      <c r="AH81" s="5">
        <v>1000000</v>
      </c>
      <c r="AI81" s="5">
        <v>0</v>
      </c>
      <c r="AJ81" s="5">
        <v>1000000</v>
      </c>
      <c r="AK81" s="5">
        <v>0</v>
      </c>
      <c r="AL81" s="5">
        <v>1000000</v>
      </c>
      <c r="AM81" s="5"/>
    </row>
    <row r="82" spans="1:39" ht="63.75" x14ac:dyDescent="0.25">
      <c r="A82" s="4" t="s">
        <v>14</v>
      </c>
      <c r="B82" s="4" t="str">
        <f>VLOOKUP(A82,'Ledger &amp; Group'!A:C,2,0)</f>
        <v>Cavinkare</v>
      </c>
      <c r="C82" s="4">
        <f>VLOOKUP(A82,'Ledger &amp; Group'!A:C,3,0)</f>
        <v>60</v>
      </c>
      <c r="D82" s="45">
        <f t="shared" si="2"/>
        <v>44759</v>
      </c>
      <c r="E82" s="4" t="str">
        <f ca="1">IF(D82&lt;=TODAY(),IF(ISNA(VLOOKUP(V82,'Unreconciled AR'!C:C,1,0)),"Due","Unreconciled AR"),"Outstanding")</f>
        <v>Outstanding</v>
      </c>
      <c r="F82" s="4">
        <f t="shared" ca="1" si="3"/>
        <v>0</v>
      </c>
      <c r="G82" s="4" t="str">
        <f ca="1">LOOKUP(F82,{-10000,-60,-30,-15,0,1,10000},{"&gt;60","31-60","16-30","01-15","Due on Today","OS"})</f>
        <v>Due on Today</v>
      </c>
      <c r="H82" s="4" t="s">
        <v>103</v>
      </c>
      <c r="I82" s="4" t="s">
        <v>103</v>
      </c>
      <c r="J82" s="4" t="s">
        <v>104</v>
      </c>
      <c r="K82" s="4" t="s">
        <v>111</v>
      </c>
      <c r="L82" s="4" t="s">
        <v>112</v>
      </c>
      <c r="M82" s="4" t="s">
        <v>113</v>
      </c>
      <c r="N82" s="4" t="s">
        <v>103</v>
      </c>
      <c r="O82" s="4" t="s">
        <v>432</v>
      </c>
      <c r="P82" s="5"/>
      <c r="Q82" s="5"/>
      <c r="R82" s="4" t="s">
        <v>433</v>
      </c>
      <c r="S82" s="5"/>
      <c r="T82" s="4" t="s">
        <v>107</v>
      </c>
      <c r="U82" s="45">
        <v>44699</v>
      </c>
      <c r="V82" s="4" t="s">
        <v>346</v>
      </c>
      <c r="W82" s="45">
        <v>44699</v>
      </c>
      <c r="X82" s="4" t="s">
        <v>8</v>
      </c>
      <c r="Y82" s="5">
        <v>1</v>
      </c>
      <c r="Z82" s="4" t="s">
        <v>108</v>
      </c>
      <c r="AA82" s="5"/>
      <c r="AB82" s="5">
        <v>7</v>
      </c>
      <c r="AC82" s="4" t="s">
        <v>109</v>
      </c>
      <c r="AD82" s="45">
        <v>44699</v>
      </c>
      <c r="AE82" s="4" t="s">
        <v>346</v>
      </c>
      <c r="AF82" s="4"/>
      <c r="AG82" s="5">
        <v>1000000</v>
      </c>
      <c r="AH82" s="5">
        <v>1000000</v>
      </c>
      <c r="AI82" s="5">
        <v>0</v>
      </c>
      <c r="AJ82" s="5">
        <v>1000000</v>
      </c>
      <c r="AK82" s="5">
        <v>0</v>
      </c>
      <c r="AL82" s="5">
        <v>1000000</v>
      </c>
      <c r="AM82" s="5"/>
    </row>
    <row r="83" spans="1:39" ht="63.75" x14ac:dyDescent="0.25">
      <c r="A83" s="4" t="s">
        <v>14</v>
      </c>
      <c r="B83" s="4" t="str">
        <f>VLOOKUP(A83,'Ledger &amp; Group'!A:C,2,0)</f>
        <v>Cavinkare</v>
      </c>
      <c r="C83" s="4">
        <f>VLOOKUP(A83,'Ledger &amp; Group'!A:C,3,0)</f>
        <v>60</v>
      </c>
      <c r="D83" s="45">
        <f t="shared" si="2"/>
        <v>44759</v>
      </c>
      <c r="E83" s="4" t="str">
        <f ca="1">IF(D83&lt;=TODAY(),IF(ISNA(VLOOKUP(V83,'Unreconciled AR'!C:C,1,0)),"Due","Unreconciled AR"),"Outstanding")</f>
        <v>Outstanding</v>
      </c>
      <c r="F83" s="4">
        <f t="shared" ca="1" si="3"/>
        <v>0</v>
      </c>
      <c r="G83" s="4" t="str">
        <f ca="1">LOOKUP(F83,{-10000,-60,-30,-15,0,1,10000},{"&gt;60","31-60","16-30","01-15","Due on Today","OS"})</f>
        <v>Due on Today</v>
      </c>
      <c r="H83" s="4" t="s">
        <v>103</v>
      </c>
      <c r="I83" s="4" t="s">
        <v>103</v>
      </c>
      <c r="J83" s="4" t="s">
        <v>104</v>
      </c>
      <c r="K83" s="4" t="s">
        <v>111</v>
      </c>
      <c r="L83" s="4" t="s">
        <v>112</v>
      </c>
      <c r="M83" s="4" t="s">
        <v>113</v>
      </c>
      <c r="N83" s="4" t="s">
        <v>103</v>
      </c>
      <c r="O83" s="4" t="s">
        <v>432</v>
      </c>
      <c r="P83" s="5"/>
      <c r="Q83" s="5"/>
      <c r="R83" s="4" t="s">
        <v>433</v>
      </c>
      <c r="S83" s="5"/>
      <c r="T83" s="4" t="s">
        <v>107</v>
      </c>
      <c r="U83" s="45">
        <v>44699</v>
      </c>
      <c r="V83" s="4" t="s">
        <v>411</v>
      </c>
      <c r="W83" s="45">
        <v>44699</v>
      </c>
      <c r="X83" s="4" t="s">
        <v>8</v>
      </c>
      <c r="Y83" s="5">
        <v>1</v>
      </c>
      <c r="Z83" s="4" t="s">
        <v>108</v>
      </c>
      <c r="AA83" s="5"/>
      <c r="AB83" s="5">
        <v>0</v>
      </c>
      <c r="AC83" s="4" t="s">
        <v>109</v>
      </c>
      <c r="AD83" s="45">
        <v>44699</v>
      </c>
      <c r="AE83" s="4" t="s">
        <v>411</v>
      </c>
      <c r="AF83" s="4"/>
      <c r="AG83" s="5">
        <v>1000000</v>
      </c>
      <c r="AH83" s="5">
        <v>1000000</v>
      </c>
      <c r="AI83" s="5">
        <v>733680</v>
      </c>
      <c r="AJ83" s="5">
        <v>1000000</v>
      </c>
      <c r="AK83" s="5">
        <v>0</v>
      </c>
      <c r="AL83" s="5">
        <v>1000000</v>
      </c>
      <c r="AM83" s="5"/>
    </row>
    <row r="84" spans="1:39" ht="63.75" x14ac:dyDescent="0.25">
      <c r="A84" s="4" t="s">
        <v>15</v>
      </c>
      <c r="B84" s="4" t="str">
        <f>VLOOKUP(A84,'Ledger &amp; Group'!A:C,2,0)</f>
        <v>Cavinkare</v>
      </c>
      <c r="C84" s="4">
        <f>VLOOKUP(A84,'Ledger &amp; Group'!A:C,3,0)</f>
        <v>60</v>
      </c>
      <c r="D84" s="45">
        <f t="shared" si="2"/>
        <v>339</v>
      </c>
      <c r="E84" s="4" t="str">
        <f ca="1">IF(D84&lt;=TODAY(),IF(ISNA(VLOOKUP(V84,'Unreconciled AR'!C:C,1,0)),"Due","Unreconciled AR"),"Outstanding")</f>
        <v>Due</v>
      </c>
      <c r="F84" s="4">
        <f t="shared" ca="1" si="3"/>
        <v>44420</v>
      </c>
      <c r="G84" s="4" t="e">
        <f ca="1">LOOKUP(F84,{-10000,-60,-30,-15,0,1,10000},{"&gt;60","31-60","16-30","01-15","Due on Today","OS"})</f>
        <v>#N/A</v>
      </c>
      <c r="H84" s="4" t="s">
        <v>103</v>
      </c>
      <c r="I84" s="4" t="s">
        <v>103</v>
      </c>
      <c r="J84" s="4" t="s">
        <v>104</v>
      </c>
      <c r="K84" s="4" t="s">
        <v>111</v>
      </c>
      <c r="L84" s="4" t="s">
        <v>112</v>
      </c>
      <c r="M84" s="4" t="s">
        <v>113</v>
      </c>
      <c r="N84" s="4" t="s">
        <v>103</v>
      </c>
      <c r="O84" s="4" t="s">
        <v>432</v>
      </c>
      <c r="P84" s="5"/>
      <c r="Q84" s="5"/>
      <c r="R84" s="4" t="s">
        <v>433</v>
      </c>
      <c r="S84" s="5"/>
      <c r="T84" s="4" t="s">
        <v>107</v>
      </c>
      <c r="U84" s="45">
        <v>279</v>
      </c>
      <c r="V84" s="4" t="s">
        <v>470</v>
      </c>
      <c r="W84" s="45">
        <v>279</v>
      </c>
      <c r="X84" s="4" t="s">
        <v>8</v>
      </c>
      <c r="Y84" s="5">
        <v>1</v>
      </c>
      <c r="Z84" s="4" t="s">
        <v>108</v>
      </c>
      <c r="AA84" s="5"/>
      <c r="AB84" s="5">
        <v>223</v>
      </c>
      <c r="AC84" s="4" t="s">
        <v>109</v>
      </c>
      <c r="AD84" s="45">
        <v>279</v>
      </c>
      <c r="AE84" s="4" t="s">
        <v>470</v>
      </c>
      <c r="AF84" s="4"/>
      <c r="AG84" s="5">
        <v>1000000</v>
      </c>
      <c r="AH84" s="5">
        <v>1000000</v>
      </c>
      <c r="AI84" s="5">
        <v>0</v>
      </c>
      <c r="AJ84" s="5">
        <v>1000000</v>
      </c>
      <c r="AK84" s="5">
        <v>0</v>
      </c>
      <c r="AL84" s="5">
        <v>1000000</v>
      </c>
      <c r="AM84" s="5"/>
    </row>
    <row r="85" spans="1:39" ht="63.75" x14ac:dyDescent="0.25">
      <c r="A85" s="4" t="s">
        <v>15</v>
      </c>
      <c r="B85" s="4" t="str">
        <f>VLOOKUP(A85,'Ledger &amp; Group'!A:C,2,0)</f>
        <v>Cavinkare</v>
      </c>
      <c r="C85" s="4">
        <f>VLOOKUP(A85,'Ledger &amp; Group'!A:C,3,0)</f>
        <v>60</v>
      </c>
      <c r="D85" s="45">
        <f t="shared" si="2"/>
        <v>347</v>
      </c>
      <c r="E85" s="4" t="str">
        <f ca="1">IF(D85&lt;=TODAY(),IF(ISNA(VLOOKUP(V85,'Unreconciled AR'!C:C,1,0)),"Due","Unreconciled AR"),"Outstanding")</f>
        <v>Due</v>
      </c>
      <c r="F85" s="4">
        <f t="shared" ca="1" si="3"/>
        <v>44412</v>
      </c>
      <c r="G85" s="4" t="e">
        <f ca="1">LOOKUP(F85,{-10000,-60,-30,-15,0,1,10000},{"&gt;60","31-60","16-30","01-15","Due on Today","OS"})</f>
        <v>#N/A</v>
      </c>
      <c r="H85" s="4" t="s">
        <v>103</v>
      </c>
      <c r="I85" s="4" t="s">
        <v>103</v>
      </c>
      <c r="J85" s="4" t="s">
        <v>104</v>
      </c>
      <c r="K85" s="4" t="s">
        <v>111</v>
      </c>
      <c r="L85" s="4" t="s">
        <v>112</v>
      </c>
      <c r="M85" s="4" t="s">
        <v>113</v>
      </c>
      <c r="N85" s="4" t="s">
        <v>103</v>
      </c>
      <c r="O85" s="4" t="s">
        <v>432</v>
      </c>
      <c r="P85" s="5"/>
      <c r="Q85" s="5"/>
      <c r="R85" s="4" t="s">
        <v>433</v>
      </c>
      <c r="S85" s="5"/>
      <c r="T85" s="4" t="s">
        <v>107</v>
      </c>
      <c r="U85" s="45">
        <v>287</v>
      </c>
      <c r="V85" s="4" t="s">
        <v>471</v>
      </c>
      <c r="W85" s="45">
        <v>287</v>
      </c>
      <c r="X85" s="4" t="s">
        <v>8</v>
      </c>
      <c r="Y85" s="5">
        <v>1</v>
      </c>
      <c r="Z85" s="4" t="s">
        <v>108</v>
      </c>
      <c r="AA85" s="5"/>
      <c r="AB85" s="5">
        <v>215</v>
      </c>
      <c r="AC85" s="4" t="s">
        <v>109</v>
      </c>
      <c r="AD85" s="45">
        <v>287</v>
      </c>
      <c r="AE85" s="4" t="s">
        <v>471</v>
      </c>
      <c r="AF85" s="4"/>
      <c r="AG85" s="5">
        <v>1000000</v>
      </c>
      <c r="AH85" s="5">
        <v>1000000</v>
      </c>
      <c r="AI85" s="5">
        <v>0</v>
      </c>
      <c r="AJ85" s="5">
        <v>1000000</v>
      </c>
      <c r="AK85" s="5">
        <v>0</v>
      </c>
      <c r="AL85" s="5">
        <v>1000000</v>
      </c>
      <c r="AM85" s="5"/>
    </row>
    <row r="86" spans="1:39" ht="63.75" x14ac:dyDescent="0.25">
      <c r="A86" s="4" t="s">
        <v>15</v>
      </c>
      <c r="B86" s="4" t="str">
        <f>VLOOKUP(A86,'Ledger &amp; Group'!A:C,2,0)</f>
        <v>Cavinkare</v>
      </c>
      <c r="C86" s="4">
        <f>VLOOKUP(A86,'Ledger &amp; Group'!A:C,3,0)</f>
        <v>60</v>
      </c>
      <c r="D86" s="45">
        <f t="shared" si="2"/>
        <v>167</v>
      </c>
      <c r="E86" s="4" t="str">
        <f ca="1">IF(D86&lt;=TODAY(),IF(ISNA(VLOOKUP(V86,'Unreconciled AR'!C:C,1,0)),"Due","Unreconciled AR"),"Outstanding")</f>
        <v>Due</v>
      </c>
      <c r="F86" s="4">
        <f t="shared" ca="1" si="3"/>
        <v>44592</v>
      </c>
      <c r="G86" s="4" t="e">
        <f ca="1">LOOKUP(F86,{-10000,-60,-30,-15,0,1,10000},{"&gt;60","31-60","16-30","01-15","Due on Today","OS"})</f>
        <v>#N/A</v>
      </c>
      <c r="H86" s="4" t="s">
        <v>103</v>
      </c>
      <c r="I86" s="4" t="s">
        <v>103</v>
      </c>
      <c r="J86" s="4" t="s">
        <v>104</v>
      </c>
      <c r="K86" s="4" t="s">
        <v>111</v>
      </c>
      <c r="L86" s="4" t="s">
        <v>112</v>
      </c>
      <c r="M86" s="4" t="s">
        <v>113</v>
      </c>
      <c r="N86" s="4" t="s">
        <v>103</v>
      </c>
      <c r="O86" s="4" t="s">
        <v>432</v>
      </c>
      <c r="P86" s="5"/>
      <c r="Q86" s="5"/>
      <c r="R86" s="4" t="s">
        <v>433</v>
      </c>
      <c r="S86" s="5"/>
      <c r="T86" s="4" t="s">
        <v>107</v>
      </c>
      <c r="U86" s="45">
        <v>107</v>
      </c>
      <c r="V86" s="4" t="s">
        <v>254</v>
      </c>
      <c r="W86" s="45">
        <v>107</v>
      </c>
      <c r="X86" s="4" t="s">
        <v>8</v>
      </c>
      <c r="Y86" s="5">
        <v>1</v>
      </c>
      <c r="Z86" s="4" t="s">
        <v>108</v>
      </c>
      <c r="AA86" s="5"/>
      <c r="AB86" s="5">
        <v>30</v>
      </c>
      <c r="AC86" s="4" t="s">
        <v>109</v>
      </c>
      <c r="AD86" s="45">
        <v>107</v>
      </c>
      <c r="AE86" s="4" t="s">
        <v>254</v>
      </c>
      <c r="AF86" s="4"/>
      <c r="AG86" s="5">
        <v>1000000</v>
      </c>
      <c r="AH86" s="5">
        <v>1000000</v>
      </c>
      <c r="AI86" s="5">
        <v>0</v>
      </c>
      <c r="AJ86" s="5">
        <v>1000000</v>
      </c>
      <c r="AK86" s="5">
        <v>0</v>
      </c>
      <c r="AL86" s="5">
        <v>1000000</v>
      </c>
      <c r="AM86" s="5"/>
    </row>
    <row r="87" spans="1:39" ht="63.75" x14ac:dyDescent="0.25">
      <c r="A87" s="4" t="s">
        <v>15</v>
      </c>
      <c r="B87" s="4" t="str">
        <f>VLOOKUP(A87,'Ledger &amp; Group'!A:C,2,0)</f>
        <v>Cavinkare</v>
      </c>
      <c r="C87" s="4">
        <f>VLOOKUP(A87,'Ledger &amp; Group'!A:C,3,0)</f>
        <v>60</v>
      </c>
      <c r="D87" s="45">
        <f t="shared" si="2"/>
        <v>185</v>
      </c>
      <c r="E87" s="4" t="str">
        <f ca="1">IF(D87&lt;=TODAY(),IF(ISNA(VLOOKUP(V87,'Unreconciled AR'!C:C,1,0)),"Due","Unreconciled AR"),"Outstanding")</f>
        <v>Due</v>
      </c>
      <c r="F87" s="4">
        <f t="shared" ca="1" si="3"/>
        <v>44574</v>
      </c>
      <c r="G87" s="4" t="e">
        <f ca="1">LOOKUP(F87,{-10000,-60,-30,-15,0,1,10000},{"&gt;60","31-60","16-30","01-15","Due on Today","OS"})</f>
        <v>#N/A</v>
      </c>
      <c r="H87" s="4" t="s">
        <v>103</v>
      </c>
      <c r="I87" s="4" t="s">
        <v>103</v>
      </c>
      <c r="J87" s="4" t="s">
        <v>104</v>
      </c>
      <c r="K87" s="4" t="s">
        <v>111</v>
      </c>
      <c r="L87" s="4" t="s">
        <v>112</v>
      </c>
      <c r="M87" s="4" t="s">
        <v>113</v>
      </c>
      <c r="N87" s="4" t="s">
        <v>103</v>
      </c>
      <c r="O87" s="4" t="s">
        <v>432</v>
      </c>
      <c r="P87" s="5"/>
      <c r="Q87" s="5"/>
      <c r="R87" s="4" t="s">
        <v>433</v>
      </c>
      <c r="S87" s="5"/>
      <c r="T87" s="4" t="s">
        <v>107</v>
      </c>
      <c r="U87" s="45">
        <v>125</v>
      </c>
      <c r="V87" s="4" t="s">
        <v>320</v>
      </c>
      <c r="W87" s="45">
        <v>125</v>
      </c>
      <c r="X87" s="4" t="s">
        <v>8</v>
      </c>
      <c r="Y87" s="5">
        <v>1</v>
      </c>
      <c r="Z87" s="4" t="s">
        <v>108</v>
      </c>
      <c r="AA87" s="5"/>
      <c r="AB87" s="5">
        <v>12</v>
      </c>
      <c r="AC87" s="4" t="s">
        <v>109</v>
      </c>
      <c r="AD87" s="45">
        <v>125</v>
      </c>
      <c r="AE87" s="4" t="s">
        <v>320</v>
      </c>
      <c r="AF87" s="5"/>
      <c r="AG87" s="5">
        <v>1000000</v>
      </c>
      <c r="AH87" s="5">
        <v>1000000</v>
      </c>
      <c r="AI87" s="5">
        <v>0</v>
      </c>
      <c r="AJ87" s="5">
        <v>1000000</v>
      </c>
      <c r="AK87" s="5">
        <v>0</v>
      </c>
      <c r="AL87" s="5">
        <v>1000000</v>
      </c>
      <c r="AM87" s="5"/>
    </row>
    <row r="88" spans="1:39" ht="63.75" x14ac:dyDescent="0.25">
      <c r="A88" s="4" t="s">
        <v>15</v>
      </c>
      <c r="B88" s="4" t="str">
        <f>VLOOKUP(A88,'Ledger &amp; Group'!A:C,2,0)</f>
        <v>Cavinkare</v>
      </c>
      <c r="C88" s="4">
        <f>VLOOKUP(A88,'Ledger &amp; Group'!A:C,3,0)</f>
        <v>60</v>
      </c>
      <c r="D88" s="45">
        <f t="shared" si="2"/>
        <v>185</v>
      </c>
      <c r="E88" s="4" t="str">
        <f ca="1">IF(D88&lt;=TODAY(),IF(ISNA(VLOOKUP(V88,'Unreconciled AR'!C:C,1,0)),"Due","Unreconciled AR"),"Outstanding")</f>
        <v>Due</v>
      </c>
      <c r="F88" s="4">
        <f t="shared" ca="1" si="3"/>
        <v>44574</v>
      </c>
      <c r="G88" s="4" t="e">
        <f ca="1">LOOKUP(F88,{-10000,-60,-30,-15,0,1,10000},{"&gt;60","31-60","16-30","01-15","Due on Today","OS"})</f>
        <v>#N/A</v>
      </c>
      <c r="H88" s="4" t="s">
        <v>103</v>
      </c>
      <c r="I88" s="4" t="s">
        <v>103</v>
      </c>
      <c r="J88" s="4" t="s">
        <v>104</v>
      </c>
      <c r="K88" s="4" t="s">
        <v>111</v>
      </c>
      <c r="L88" s="4" t="s">
        <v>112</v>
      </c>
      <c r="M88" s="4" t="s">
        <v>113</v>
      </c>
      <c r="N88" s="4" t="s">
        <v>103</v>
      </c>
      <c r="O88" s="4" t="s">
        <v>432</v>
      </c>
      <c r="P88" s="5"/>
      <c r="Q88" s="5"/>
      <c r="R88" s="4" t="s">
        <v>433</v>
      </c>
      <c r="S88" s="5"/>
      <c r="T88" s="4" t="s">
        <v>107</v>
      </c>
      <c r="U88" s="45">
        <v>125</v>
      </c>
      <c r="V88" s="4" t="s">
        <v>321</v>
      </c>
      <c r="W88" s="45">
        <v>125</v>
      </c>
      <c r="X88" s="4" t="s">
        <v>8</v>
      </c>
      <c r="Y88" s="5">
        <v>1</v>
      </c>
      <c r="Z88" s="4" t="s">
        <v>108</v>
      </c>
      <c r="AA88" s="5"/>
      <c r="AB88" s="5">
        <v>12</v>
      </c>
      <c r="AC88" s="4" t="s">
        <v>109</v>
      </c>
      <c r="AD88" s="45">
        <v>125</v>
      </c>
      <c r="AE88" s="4" t="s">
        <v>321</v>
      </c>
      <c r="AF88" s="4"/>
      <c r="AG88" s="5">
        <v>1000000</v>
      </c>
      <c r="AH88" s="5">
        <v>1000000</v>
      </c>
      <c r="AI88" s="5">
        <v>0</v>
      </c>
      <c r="AJ88" s="5">
        <v>1000000</v>
      </c>
      <c r="AK88" s="5">
        <v>0</v>
      </c>
      <c r="AL88" s="5">
        <v>1000000</v>
      </c>
      <c r="AM88" s="5"/>
    </row>
    <row r="89" spans="1:39" ht="63.75" x14ac:dyDescent="0.25">
      <c r="A89" s="4" t="s">
        <v>15</v>
      </c>
      <c r="B89" s="4" t="str">
        <f>VLOOKUP(A89,'Ledger &amp; Group'!A:C,2,0)</f>
        <v>Cavinkare</v>
      </c>
      <c r="C89" s="4">
        <f>VLOOKUP(A89,'Ledger &amp; Group'!A:C,3,0)</f>
        <v>60</v>
      </c>
      <c r="D89" s="45">
        <f t="shared" si="2"/>
        <v>185</v>
      </c>
      <c r="E89" s="4" t="str">
        <f ca="1">IF(D89&lt;=TODAY(),IF(ISNA(VLOOKUP(V89,'Unreconciled AR'!C:C,1,0)),"Due","Unreconciled AR"),"Outstanding")</f>
        <v>Due</v>
      </c>
      <c r="F89" s="4">
        <f t="shared" ca="1" si="3"/>
        <v>44574</v>
      </c>
      <c r="G89" s="4" t="e">
        <f ca="1">LOOKUP(F89,{-10000,-60,-30,-15,0,1,10000},{"&gt;60","31-60","16-30","01-15","Due on Today","OS"})</f>
        <v>#N/A</v>
      </c>
      <c r="H89" s="4" t="s">
        <v>103</v>
      </c>
      <c r="I89" s="4" t="s">
        <v>103</v>
      </c>
      <c r="J89" s="4" t="s">
        <v>104</v>
      </c>
      <c r="K89" s="4" t="s">
        <v>111</v>
      </c>
      <c r="L89" s="4" t="s">
        <v>112</v>
      </c>
      <c r="M89" s="4" t="s">
        <v>113</v>
      </c>
      <c r="N89" s="4" t="s">
        <v>103</v>
      </c>
      <c r="O89" s="4" t="s">
        <v>432</v>
      </c>
      <c r="P89" s="5"/>
      <c r="Q89" s="5"/>
      <c r="R89" s="4" t="s">
        <v>433</v>
      </c>
      <c r="S89" s="5"/>
      <c r="T89" s="4" t="s">
        <v>107</v>
      </c>
      <c r="U89" s="45">
        <v>125</v>
      </c>
      <c r="V89" s="4" t="s">
        <v>322</v>
      </c>
      <c r="W89" s="45">
        <v>125</v>
      </c>
      <c r="X89" s="4" t="s">
        <v>8</v>
      </c>
      <c r="Y89" s="5">
        <v>1</v>
      </c>
      <c r="Z89" s="4" t="s">
        <v>108</v>
      </c>
      <c r="AA89" s="5"/>
      <c r="AB89" s="5">
        <v>12</v>
      </c>
      <c r="AC89" s="4" t="s">
        <v>109</v>
      </c>
      <c r="AD89" s="45">
        <v>125</v>
      </c>
      <c r="AE89" s="4" t="s">
        <v>322</v>
      </c>
      <c r="AF89" s="4"/>
      <c r="AG89" s="5">
        <v>1000000</v>
      </c>
      <c r="AH89" s="5">
        <v>1000000</v>
      </c>
      <c r="AI89" s="5">
        <v>0</v>
      </c>
      <c r="AJ89" s="5">
        <v>1000000</v>
      </c>
      <c r="AK89" s="5">
        <v>0</v>
      </c>
      <c r="AL89" s="5">
        <v>1000000</v>
      </c>
      <c r="AM89" s="5"/>
    </row>
    <row r="90" spans="1:39" ht="63.75" x14ac:dyDescent="0.25">
      <c r="A90" s="4" t="s">
        <v>15</v>
      </c>
      <c r="B90" s="4" t="str">
        <f>VLOOKUP(A90,'Ledger &amp; Group'!A:C,2,0)</f>
        <v>Cavinkare</v>
      </c>
      <c r="C90" s="4">
        <f>VLOOKUP(A90,'Ledger &amp; Group'!A:C,3,0)</f>
        <v>60</v>
      </c>
      <c r="D90" s="45">
        <f t="shared" si="2"/>
        <v>187</v>
      </c>
      <c r="E90" s="4" t="str">
        <f ca="1">IF(D90&lt;=TODAY(),IF(ISNA(VLOOKUP(V90,'Unreconciled AR'!C:C,1,0)),"Due","Unreconciled AR"),"Outstanding")</f>
        <v>Due</v>
      </c>
      <c r="F90" s="4">
        <f t="shared" ca="1" si="3"/>
        <v>44572</v>
      </c>
      <c r="G90" s="4" t="e">
        <f ca="1">LOOKUP(F90,{-10000,-60,-30,-15,0,1,10000},{"&gt;60","31-60","16-30","01-15","Due on Today","OS"})</f>
        <v>#N/A</v>
      </c>
      <c r="H90" s="4" t="s">
        <v>103</v>
      </c>
      <c r="I90" s="4" t="s">
        <v>103</v>
      </c>
      <c r="J90" s="4" t="s">
        <v>104</v>
      </c>
      <c r="K90" s="4" t="s">
        <v>111</v>
      </c>
      <c r="L90" s="4" t="s">
        <v>112</v>
      </c>
      <c r="M90" s="4" t="s">
        <v>113</v>
      </c>
      <c r="N90" s="4" t="s">
        <v>103</v>
      </c>
      <c r="O90" s="4" t="s">
        <v>432</v>
      </c>
      <c r="P90" s="5"/>
      <c r="Q90" s="5"/>
      <c r="R90" s="4" t="s">
        <v>433</v>
      </c>
      <c r="S90" s="5"/>
      <c r="T90" s="4" t="s">
        <v>107</v>
      </c>
      <c r="U90" s="45">
        <v>127</v>
      </c>
      <c r="V90" s="4" t="s">
        <v>333</v>
      </c>
      <c r="W90" s="45">
        <v>127</v>
      </c>
      <c r="X90" s="4" t="s">
        <v>8</v>
      </c>
      <c r="Y90" s="5">
        <v>1</v>
      </c>
      <c r="Z90" s="4" t="s">
        <v>108</v>
      </c>
      <c r="AA90" s="5"/>
      <c r="AB90" s="5">
        <v>10</v>
      </c>
      <c r="AC90" s="4" t="s">
        <v>109</v>
      </c>
      <c r="AD90" s="45">
        <v>127</v>
      </c>
      <c r="AE90" s="4" t="s">
        <v>333</v>
      </c>
      <c r="AF90" s="5"/>
      <c r="AG90" s="5">
        <v>1000000</v>
      </c>
      <c r="AH90" s="5">
        <v>1000000</v>
      </c>
      <c r="AI90" s="5">
        <v>0</v>
      </c>
      <c r="AJ90" s="5">
        <v>1000000</v>
      </c>
      <c r="AK90" s="5">
        <v>0</v>
      </c>
      <c r="AL90" s="5">
        <v>1000000</v>
      </c>
      <c r="AM90" s="5"/>
    </row>
    <row r="91" spans="1:39" ht="63.75" x14ac:dyDescent="0.25">
      <c r="A91" s="4" t="s">
        <v>15</v>
      </c>
      <c r="B91" s="4" t="str">
        <f>VLOOKUP(A91,'Ledger &amp; Group'!A:C,2,0)</f>
        <v>Cavinkare</v>
      </c>
      <c r="C91" s="4">
        <f>VLOOKUP(A91,'Ledger &amp; Group'!A:C,3,0)</f>
        <v>60</v>
      </c>
      <c r="D91" s="45">
        <f t="shared" si="2"/>
        <v>187</v>
      </c>
      <c r="E91" s="4" t="str">
        <f ca="1">IF(D91&lt;=TODAY(),IF(ISNA(VLOOKUP(V91,'Unreconciled AR'!C:C,1,0)),"Due","Unreconciled AR"),"Outstanding")</f>
        <v>Due</v>
      </c>
      <c r="F91" s="4">
        <f t="shared" ca="1" si="3"/>
        <v>44572</v>
      </c>
      <c r="G91" s="4" t="e">
        <f ca="1">LOOKUP(F91,{-10000,-60,-30,-15,0,1,10000},{"&gt;60","31-60","16-30","01-15","Due on Today","OS"})</f>
        <v>#N/A</v>
      </c>
      <c r="H91" s="4" t="s">
        <v>103</v>
      </c>
      <c r="I91" s="4" t="s">
        <v>103</v>
      </c>
      <c r="J91" s="4" t="s">
        <v>104</v>
      </c>
      <c r="K91" s="4" t="s">
        <v>111</v>
      </c>
      <c r="L91" s="4" t="s">
        <v>112</v>
      </c>
      <c r="M91" s="4" t="s">
        <v>113</v>
      </c>
      <c r="N91" s="4" t="s">
        <v>103</v>
      </c>
      <c r="O91" s="4" t="s">
        <v>432</v>
      </c>
      <c r="P91" s="5"/>
      <c r="Q91" s="5"/>
      <c r="R91" s="4" t="s">
        <v>433</v>
      </c>
      <c r="S91" s="5"/>
      <c r="T91" s="4" t="s">
        <v>107</v>
      </c>
      <c r="U91" s="45">
        <v>127</v>
      </c>
      <c r="V91" s="4" t="s">
        <v>334</v>
      </c>
      <c r="W91" s="45">
        <v>127</v>
      </c>
      <c r="X91" s="4" t="s">
        <v>8</v>
      </c>
      <c r="Y91" s="5">
        <v>1</v>
      </c>
      <c r="Z91" s="4" t="s">
        <v>108</v>
      </c>
      <c r="AA91" s="5"/>
      <c r="AB91" s="5">
        <v>10</v>
      </c>
      <c r="AC91" s="4" t="s">
        <v>109</v>
      </c>
      <c r="AD91" s="45">
        <v>127</v>
      </c>
      <c r="AE91" s="4" t="s">
        <v>334</v>
      </c>
      <c r="AF91" s="5"/>
      <c r="AG91" s="5">
        <v>1000000</v>
      </c>
      <c r="AH91" s="5">
        <v>1000000</v>
      </c>
      <c r="AI91" s="5">
        <v>0</v>
      </c>
      <c r="AJ91" s="5">
        <v>1000000</v>
      </c>
      <c r="AK91" s="5">
        <v>0</v>
      </c>
      <c r="AL91" s="5">
        <v>1000000</v>
      </c>
      <c r="AM91" s="5"/>
    </row>
    <row r="92" spans="1:39" ht="63.75" x14ac:dyDescent="0.25">
      <c r="A92" s="4" t="s">
        <v>15</v>
      </c>
      <c r="B92" s="4" t="str">
        <f>VLOOKUP(A92,'Ledger &amp; Group'!A:C,2,0)</f>
        <v>Cavinkare</v>
      </c>
      <c r="C92" s="4">
        <f>VLOOKUP(A92,'Ledger &amp; Group'!A:C,3,0)</f>
        <v>60</v>
      </c>
      <c r="D92" s="45">
        <f t="shared" si="2"/>
        <v>187</v>
      </c>
      <c r="E92" s="4" t="str">
        <f ca="1">IF(D92&lt;=TODAY(),IF(ISNA(VLOOKUP(V92,'Unreconciled AR'!C:C,1,0)),"Due","Unreconciled AR"),"Outstanding")</f>
        <v>Due</v>
      </c>
      <c r="F92" s="4">
        <f t="shared" ca="1" si="3"/>
        <v>44572</v>
      </c>
      <c r="G92" s="4" t="e">
        <f ca="1">LOOKUP(F92,{-10000,-60,-30,-15,0,1,10000},{"&gt;60","31-60","16-30","01-15","Due on Today","OS"})</f>
        <v>#N/A</v>
      </c>
      <c r="H92" s="4" t="s">
        <v>103</v>
      </c>
      <c r="I92" s="4" t="s">
        <v>103</v>
      </c>
      <c r="J92" s="4" t="s">
        <v>104</v>
      </c>
      <c r="K92" s="4" t="s">
        <v>111</v>
      </c>
      <c r="L92" s="4" t="s">
        <v>112</v>
      </c>
      <c r="M92" s="4" t="s">
        <v>113</v>
      </c>
      <c r="N92" s="4" t="s">
        <v>103</v>
      </c>
      <c r="O92" s="4" t="s">
        <v>432</v>
      </c>
      <c r="P92" s="5"/>
      <c r="Q92" s="5"/>
      <c r="R92" s="4" t="s">
        <v>433</v>
      </c>
      <c r="S92" s="5"/>
      <c r="T92" s="4" t="s">
        <v>107</v>
      </c>
      <c r="U92" s="45">
        <v>127</v>
      </c>
      <c r="V92" s="4" t="s">
        <v>335</v>
      </c>
      <c r="W92" s="45">
        <v>127</v>
      </c>
      <c r="X92" s="4" t="s">
        <v>8</v>
      </c>
      <c r="Y92" s="5">
        <v>1</v>
      </c>
      <c r="Z92" s="4" t="s">
        <v>108</v>
      </c>
      <c r="AA92" s="5"/>
      <c r="AB92" s="5">
        <v>10</v>
      </c>
      <c r="AC92" s="4" t="s">
        <v>109</v>
      </c>
      <c r="AD92" s="45">
        <v>127</v>
      </c>
      <c r="AE92" s="4" t="s">
        <v>335</v>
      </c>
      <c r="AF92" s="4"/>
      <c r="AG92" s="5">
        <v>1000000</v>
      </c>
      <c r="AH92" s="5">
        <v>1000000</v>
      </c>
      <c r="AI92" s="5">
        <v>0</v>
      </c>
      <c r="AJ92" s="5">
        <v>1000000</v>
      </c>
      <c r="AK92" s="5">
        <v>0</v>
      </c>
      <c r="AL92" s="5">
        <v>1000000</v>
      </c>
      <c r="AM92" s="5"/>
    </row>
    <row r="93" spans="1:39" ht="63.75" x14ac:dyDescent="0.25">
      <c r="A93" s="4" t="s">
        <v>15</v>
      </c>
      <c r="B93" s="4" t="str">
        <f>VLOOKUP(A93,'Ledger &amp; Group'!A:C,2,0)</f>
        <v>Cavinkare</v>
      </c>
      <c r="C93" s="4">
        <f>VLOOKUP(A93,'Ledger &amp; Group'!A:C,3,0)</f>
        <v>60</v>
      </c>
      <c r="D93" s="45">
        <f t="shared" si="2"/>
        <v>189</v>
      </c>
      <c r="E93" s="4" t="str">
        <f ca="1">IF(D93&lt;=TODAY(),IF(ISNA(VLOOKUP(V93,'Unreconciled AR'!C:C,1,0)),"Due","Unreconciled AR"),"Outstanding")</f>
        <v>Due</v>
      </c>
      <c r="F93" s="4">
        <f t="shared" ca="1" si="3"/>
        <v>44570</v>
      </c>
      <c r="G93" s="4" t="e">
        <f ca="1">LOOKUP(F93,{-10000,-60,-30,-15,0,1,10000},{"&gt;60","31-60","16-30","01-15","Due on Today","OS"})</f>
        <v>#N/A</v>
      </c>
      <c r="H93" s="4" t="s">
        <v>103</v>
      </c>
      <c r="I93" s="4" t="s">
        <v>103</v>
      </c>
      <c r="J93" s="4" t="s">
        <v>104</v>
      </c>
      <c r="K93" s="4" t="s">
        <v>111</v>
      </c>
      <c r="L93" s="4" t="s">
        <v>112</v>
      </c>
      <c r="M93" s="4" t="s">
        <v>113</v>
      </c>
      <c r="N93" s="4" t="s">
        <v>103</v>
      </c>
      <c r="O93" s="4" t="s">
        <v>432</v>
      </c>
      <c r="P93" s="5"/>
      <c r="Q93" s="5"/>
      <c r="R93" s="4" t="s">
        <v>433</v>
      </c>
      <c r="S93" s="5"/>
      <c r="T93" s="4" t="s">
        <v>107</v>
      </c>
      <c r="U93" s="45">
        <v>129</v>
      </c>
      <c r="V93" s="4" t="s">
        <v>347</v>
      </c>
      <c r="W93" s="45">
        <v>129</v>
      </c>
      <c r="X93" s="4" t="s">
        <v>8</v>
      </c>
      <c r="Y93" s="5">
        <v>1</v>
      </c>
      <c r="Z93" s="4" t="s">
        <v>108</v>
      </c>
      <c r="AA93" s="5"/>
      <c r="AB93" s="5">
        <v>8</v>
      </c>
      <c r="AC93" s="4" t="s">
        <v>109</v>
      </c>
      <c r="AD93" s="45">
        <v>129</v>
      </c>
      <c r="AE93" s="4" t="s">
        <v>347</v>
      </c>
      <c r="AF93" s="4"/>
      <c r="AG93" s="5">
        <v>1000000</v>
      </c>
      <c r="AH93" s="5">
        <v>1000000</v>
      </c>
      <c r="AI93" s="5">
        <v>0</v>
      </c>
      <c r="AJ93" s="5">
        <v>1000000</v>
      </c>
      <c r="AK93" s="5">
        <v>0</v>
      </c>
      <c r="AL93" s="5">
        <v>1000000</v>
      </c>
      <c r="AM93" s="5"/>
    </row>
    <row r="94" spans="1:39" ht="63.75" x14ac:dyDescent="0.25">
      <c r="A94" s="4" t="s">
        <v>15</v>
      </c>
      <c r="B94" s="4" t="str">
        <f>VLOOKUP(A94,'Ledger &amp; Group'!A:C,2,0)</f>
        <v>Cavinkare</v>
      </c>
      <c r="C94" s="4">
        <f>VLOOKUP(A94,'Ledger &amp; Group'!A:C,3,0)</f>
        <v>60</v>
      </c>
      <c r="D94" s="45">
        <f t="shared" si="2"/>
        <v>191</v>
      </c>
      <c r="E94" s="4" t="str">
        <f ca="1">IF(D94&lt;=TODAY(),IF(ISNA(VLOOKUP(V94,'Unreconciled AR'!C:C,1,0)),"Due","Unreconciled AR"),"Outstanding")</f>
        <v>Due</v>
      </c>
      <c r="F94" s="4">
        <f t="shared" ca="1" si="3"/>
        <v>44568</v>
      </c>
      <c r="G94" s="4" t="e">
        <f ca="1">LOOKUP(F94,{-10000,-60,-30,-15,0,1,10000},{"&gt;60","31-60","16-30","01-15","Due on Today","OS"})</f>
        <v>#N/A</v>
      </c>
      <c r="H94" s="4" t="s">
        <v>103</v>
      </c>
      <c r="I94" s="4" t="s">
        <v>103</v>
      </c>
      <c r="J94" s="4" t="s">
        <v>104</v>
      </c>
      <c r="K94" s="4" t="s">
        <v>111</v>
      </c>
      <c r="L94" s="4" t="s">
        <v>112</v>
      </c>
      <c r="M94" s="4" t="s">
        <v>113</v>
      </c>
      <c r="N94" s="4" t="s">
        <v>103</v>
      </c>
      <c r="O94" s="4" t="s">
        <v>432</v>
      </c>
      <c r="P94" s="5"/>
      <c r="Q94" s="5"/>
      <c r="R94" s="4" t="s">
        <v>433</v>
      </c>
      <c r="S94" s="5"/>
      <c r="T94" s="4" t="s">
        <v>107</v>
      </c>
      <c r="U94" s="45">
        <v>131</v>
      </c>
      <c r="V94" s="4" t="s">
        <v>360</v>
      </c>
      <c r="W94" s="45">
        <v>131</v>
      </c>
      <c r="X94" s="4" t="s">
        <v>8</v>
      </c>
      <c r="Y94" s="5">
        <v>1</v>
      </c>
      <c r="Z94" s="4" t="s">
        <v>108</v>
      </c>
      <c r="AA94" s="5"/>
      <c r="AB94" s="5">
        <v>6</v>
      </c>
      <c r="AC94" s="4" t="s">
        <v>109</v>
      </c>
      <c r="AD94" s="45">
        <v>131</v>
      </c>
      <c r="AE94" s="4" t="s">
        <v>360</v>
      </c>
      <c r="AF94" s="4"/>
      <c r="AG94" s="5">
        <v>1000000</v>
      </c>
      <c r="AH94" s="5">
        <v>1000000</v>
      </c>
      <c r="AI94" s="5">
        <v>0</v>
      </c>
      <c r="AJ94" s="5">
        <v>1000000</v>
      </c>
      <c r="AK94" s="5">
        <v>0</v>
      </c>
      <c r="AL94" s="5">
        <v>1000000</v>
      </c>
      <c r="AM94" s="5"/>
    </row>
    <row r="95" spans="1:39" ht="63.75" x14ac:dyDescent="0.25">
      <c r="A95" s="4" t="s">
        <v>15</v>
      </c>
      <c r="B95" s="4" t="str">
        <f>VLOOKUP(A95,'Ledger &amp; Group'!A:C,2,0)</f>
        <v>Cavinkare</v>
      </c>
      <c r="C95" s="4">
        <f>VLOOKUP(A95,'Ledger &amp; Group'!A:C,3,0)</f>
        <v>60</v>
      </c>
      <c r="D95" s="45">
        <f t="shared" si="2"/>
        <v>192</v>
      </c>
      <c r="E95" s="4" t="str">
        <f ca="1">IF(D95&lt;=TODAY(),IF(ISNA(VLOOKUP(V95,'Unreconciled AR'!C:C,1,0)),"Due","Unreconciled AR"),"Outstanding")</f>
        <v>Due</v>
      </c>
      <c r="F95" s="4">
        <f t="shared" ca="1" si="3"/>
        <v>44567</v>
      </c>
      <c r="G95" s="4" t="e">
        <f ca="1">LOOKUP(F95,{-10000,-60,-30,-15,0,1,10000},{"&gt;60","31-60","16-30","01-15","Due on Today","OS"})</f>
        <v>#N/A</v>
      </c>
      <c r="H95" s="4" t="s">
        <v>103</v>
      </c>
      <c r="I95" s="4" t="s">
        <v>103</v>
      </c>
      <c r="J95" s="4" t="s">
        <v>104</v>
      </c>
      <c r="K95" s="4" t="s">
        <v>111</v>
      </c>
      <c r="L95" s="4" t="s">
        <v>112</v>
      </c>
      <c r="M95" s="4" t="s">
        <v>113</v>
      </c>
      <c r="N95" s="4" t="s">
        <v>103</v>
      </c>
      <c r="O95" s="4" t="s">
        <v>432</v>
      </c>
      <c r="P95" s="5"/>
      <c r="Q95" s="5"/>
      <c r="R95" s="4" t="s">
        <v>433</v>
      </c>
      <c r="S95" s="5"/>
      <c r="T95" s="4" t="s">
        <v>107</v>
      </c>
      <c r="U95" s="45">
        <v>132</v>
      </c>
      <c r="V95" s="4" t="s">
        <v>403</v>
      </c>
      <c r="W95" s="45">
        <v>132</v>
      </c>
      <c r="X95" s="4" t="s">
        <v>8</v>
      </c>
      <c r="Y95" s="5">
        <v>1</v>
      </c>
      <c r="Z95" s="4" t="s">
        <v>108</v>
      </c>
      <c r="AA95" s="5"/>
      <c r="AB95" s="5">
        <v>5</v>
      </c>
      <c r="AC95" s="4" t="s">
        <v>109</v>
      </c>
      <c r="AD95" s="45">
        <v>132</v>
      </c>
      <c r="AE95" s="4" t="s">
        <v>403</v>
      </c>
      <c r="AF95" s="4"/>
      <c r="AG95" s="5">
        <v>1000000</v>
      </c>
      <c r="AH95" s="5">
        <v>1000000</v>
      </c>
      <c r="AI95" s="5">
        <v>0</v>
      </c>
      <c r="AJ95" s="5">
        <v>1000000</v>
      </c>
      <c r="AK95" s="5">
        <v>0</v>
      </c>
      <c r="AL95" s="5">
        <v>1000000</v>
      </c>
      <c r="AM95" s="5"/>
    </row>
    <row r="96" spans="1:39" ht="63.75" x14ac:dyDescent="0.25">
      <c r="A96" s="4" t="s">
        <v>15</v>
      </c>
      <c r="B96" s="4" t="str">
        <f>VLOOKUP(A96,'Ledger &amp; Group'!A:C,2,0)</f>
        <v>Cavinkare</v>
      </c>
      <c r="C96" s="4">
        <f>VLOOKUP(A96,'Ledger &amp; Group'!A:C,3,0)</f>
        <v>60</v>
      </c>
      <c r="D96" s="45">
        <f t="shared" si="2"/>
        <v>194</v>
      </c>
      <c r="E96" s="4" t="str">
        <f ca="1">IF(D96&lt;=TODAY(),IF(ISNA(VLOOKUP(V96,'Unreconciled AR'!C:C,1,0)),"Due","Unreconciled AR"),"Outstanding")</f>
        <v>Due</v>
      </c>
      <c r="F96" s="4">
        <f t="shared" ca="1" si="3"/>
        <v>44565</v>
      </c>
      <c r="G96" s="4" t="e">
        <f ca="1">LOOKUP(F96,{-10000,-60,-30,-15,0,1,10000},{"&gt;60","31-60","16-30","01-15","Due on Today","OS"})</f>
        <v>#N/A</v>
      </c>
      <c r="H96" s="4" t="s">
        <v>103</v>
      </c>
      <c r="I96" s="4" t="s">
        <v>103</v>
      </c>
      <c r="J96" s="4" t="s">
        <v>104</v>
      </c>
      <c r="K96" s="4" t="s">
        <v>111</v>
      </c>
      <c r="L96" s="4" t="s">
        <v>112</v>
      </c>
      <c r="M96" s="4" t="s">
        <v>113</v>
      </c>
      <c r="N96" s="4" t="s">
        <v>103</v>
      </c>
      <c r="O96" s="4" t="s">
        <v>432</v>
      </c>
      <c r="P96" s="5"/>
      <c r="Q96" s="5"/>
      <c r="R96" s="4" t="s">
        <v>433</v>
      </c>
      <c r="S96" s="5"/>
      <c r="T96" s="4" t="s">
        <v>107</v>
      </c>
      <c r="U96" s="45">
        <v>134</v>
      </c>
      <c r="V96" s="4" t="s">
        <v>413</v>
      </c>
      <c r="W96" s="45">
        <v>134</v>
      </c>
      <c r="X96" s="4" t="s">
        <v>8</v>
      </c>
      <c r="Y96" s="5">
        <v>1</v>
      </c>
      <c r="Z96" s="4" t="s">
        <v>108</v>
      </c>
      <c r="AA96" s="5"/>
      <c r="AB96" s="5">
        <v>3</v>
      </c>
      <c r="AC96" s="4" t="s">
        <v>109</v>
      </c>
      <c r="AD96" s="45">
        <v>134</v>
      </c>
      <c r="AE96" s="4" t="s">
        <v>413</v>
      </c>
      <c r="AF96" s="4"/>
      <c r="AG96" s="5">
        <v>1000000</v>
      </c>
      <c r="AH96" s="5">
        <v>1000000</v>
      </c>
      <c r="AI96" s="5">
        <v>0</v>
      </c>
      <c r="AJ96" s="5">
        <v>1000000</v>
      </c>
      <c r="AK96" s="5">
        <v>0</v>
      </c>
      <c r="AL96" s="5">
        <v>1000000</v>
      </c>
      <c r="AM96" s="5"/>
    </row>
    <row r="97" spans="1:39" ht="63.75" x14ac:dyDescent="0.25">
      <c r="A97" s="4" t="s">
        <v>15</v>
      </c>
      <c r="B97" s="4" t="str">
        <f>VLOOKUP(A97,'Ledger &amp; Group'!A:C,2,0)</f>
        <v>Cavinkare</v>
      </c>
      <c r="C97" s="4">
        <f>VLOOKUP(A97,'Ledger &amp; Group'!A:C,3,0)</f>
        <v>60</v>
      </c>
      <c r="D97" s="45">
        <f t="shared" si="2"/>
        <v>194</v>
      </c>
      <c r="E97" s="4" t="str">
        <f ca="1">IF(D97&lt;=TODAY(),IF(ISNA(VLOOKUP(V97,'Unreconciled AR'!C:C,1,0)),"Due","Unreconciled AR"),"Outstanding")</f>
        <v>Due</v>
      </c>
      <c r="F97" s="4">
        <f t="shared" ca="1" si="3"/>
        <v>44565</v>
      </c>
      <c r="G97" s="4" t="e">
        <f ca="1">LOOKUP(F97,{-10000,-60,-30,-15,0,1,10000},{"&gt;60","31-60","16-30","01-15","Due on Today","OS"})</f>
        <v>#N/A</v>
      </c>
      <c r="H97" s="4" t="s">
        <v>103</v>
      </c>
      <c r="I97" s="4" t="s">
        <v>103</v>
      </c>
      <c r="J97" s="4" t="s">
        <v>104</v>
      </c>
      <c r="K97" s="4" t="s">
        <v>111</v>
      </c>
      <c r="L97" s="4" t="s">
        <v>112</v>
      </c>
      <c r="M97" s="4" t="s">
        <v>113</v>
      </c>
      <c r="N97" s="4" t="s">
        <v>103</v>
      </c>
      <c r="O97" s="4" t="s">
        <v>432</v>
      </c>
      <c r="P97" s="5"/>
      <c r="Q97" s="5"/>
      <c r="R97" s="4" t="s">
        <v>433</v>
      </c>
      <c r="S97" s="5"/>
      <c r="T97" s="4" t="s">
        <v>107</v>
      </c>
      <c r="U97" s="45">
        <v>134</v>
      </c>
      <c r="V97" s="4" t="s">
        <v>414</v>
      </c>
      <c r="W97" s="45">
        <v>134</v>
      </c>
      <c r="X97" s="4" t="s">
        <v>8</v>
      </c>
      <c r="Y97" s="5">
        <v>1</v>
      </c>
      <c r="Z97" s="4" t="s">
        <v>108</v>
      </c>
      <c r="AA97" s="5"/>
      <c r="AB97" s="5">
        <v>3</v>
      </c>
      <c r="AC97" s="4" t="s">
        <v>109</v>
      </c>
      <c r="AD97" s="45">
        <v>134</v>
      </c>
      <c r="AE97" s="4" t="s">
        <v>414</v>
      </c>
      <c r="AF97" s="4"/>
      <c r="AG97" s="5">
        <v>1000000</v>
      </c>
      <c r="AH97" s="5">
        <v>1000000</v>
      </c>
      <c r="AI97" s="5">
        <v>0</v>
      </c>
      <c r="AJ97" s="5">
        <v>1000000</v>
      </c>
      <c r="AK97" s="5">
        <v>0</v>
      </c>
      <c r="AL97" s="5">
        <v>1000000</v>
      </c>
      <c r="AM97" s="5"/>
    </row>
    <row r="98" spans="1:39" ht="63.75" x14ac:dyDescent="0.25">
      <c r="A98" s="4" t="s">
        <v>15</v>
      </c>
      <c r="B98" s="4" t="str">
        <f>VLOOKUP(A98,'Ledger &amp; Group'!A:C,2,0)</f>
        <v>Cavinkare</v>
      </c>
      <c r="C98" s="4">
        <f>VLOOKUP(A98,'Ledger &amp; Group'!A:C,3,0)</f>
        <v>60</v>
      </c>
      <c r="D98" s="45">
        <f t="shared" si="2"/>
        <v>195</v>
      </c>
      <c r="E98" s="4" t="str">
        <f ca="1">IF(D98&lt;=TODAY(),IF(ISNA(VLOOKUP(V98,'Unreconciled AR'!C:C,1,0)),"Due","Unreconciled AR"),"Outstanding")</f>
        <v>Due</v>
      </c>
      <c r="F98" s="4">
        <f t="shared" ca="1" si="3"/>
        <v>44564</v>
      </c>
      <c r="G98" s="4" t="e">
        <f ca="1">LOOKUP(F98,{-10000,-60,-30,-15,0,1,10000},{"&gt;60","31-60","16-30","01-15","Due on Today","OS"})</f>
        <v>#N/A</v>
      </c>
      <c r="H98" s="4" t="s">
        <v>103</v>
      </c>
      <c r="I98" s="4" t="s">
        <v>103</v>
      </c>
      <c r="J98" s="4" t="s">
        <v>104</v>
      </c>
      <c r="K98" s="4" t="s">
        <v>111</v>
      </c>
      <c r="L98" s="4" t="s">
        <v>112</v>
      </c>
      <c r="M98" s="4" t="s">
        <v>113</v>
      </c>
      <c r="N98" s="4" t="s">
        <v>103</v>
      </c>
      <c r="O98" s="4" t="s">
        <v>432</v>
      </c>
      <c r="P98" s="5"/>
      <c r="Q98" s="5"/>
      <c r="R98" s="4" t="s">
        <v>433</v>
      </c>
      <c r="S98" s="5"/>
      <c r="T98" s="4" t="s">
        <v>107</v>
      </c>
      <c r="U98" s="45">
        <v>135</v>
      </c>
      <c r="V98" s="4" t="s">
        <v>416</v>
      </c>
      <c r="W98" s="45">
        <v>135</v>
      </c>
      <c r="X98" s="4" t="s">
        <v>8</v>
      </c>
      <c r="Y98" s="5">
        <v>1</v>
      </c>
      <c r="Z98" s="4" t="s">
        <v>108</v>
      </c>
      <c r="AA98" s="5"/>
      <c r="AB98" s="5">
        <v>2</v>
      </c>
      <c r="AC98" s="4" t="s">
        <v>109</v>
      </c>
      <c r="AD98" s="45">
        <v>135</v>
      </c>
      <c r="AE98" s="4" t="s">
        <v>416</v>
      </c>
      <c r="AF98" s="4"/>
      <c r="AG98" s="5">
        <v>1000000</v>
      </c>
      <c r="AH98" s="5">
        <v>1000000</v>
      </c>
      <c r="AI98" s="5">
        <v>0</v>
      </c>
      <c r="AJ98" s="5">
        <v>1000000</v>
      </c>
      <c r="AK98" s="5">
        <v>0</v>
      </c>
      <c r="AL98" s="5">
        <v>1000000</v>
      </c>
      <c r="AM98" s="5"/>
    </row>
    <row r="99" spans="1:39" ht="51" x14ac:dyDescent="0.25">
      <c r="A99" s="4" t="s">
        <v>16</v>
      </c>
      <c r="B99" s="4" t="str">
        <f>VLOOKUP(A99,'Ledger &amp; Group'!A:C,2,0)</f>
        <v>Cavinkare</v>
      </c>
      <c r="C99" s="4">
        <f>VLOOKUP(A99,'Ledger &amp; Group'!A:C,3,0)</f>
        <v>60</v>
      </c>
      <c r="D99" s="45">
        <f t="shared" si="2"/>
        <v>343</v>
      </c>
      <c r="E99" s="4" t="str">
        <f ca="1">IF(D99&lt;=TODAY(),IF(ISNA(VLOOKUP(V99,'Unreconciled AR'!C:C,1,0)),"Due","Unreconciled AR"),"Outstanding")</f>
        <v>Due</v>
      </c>
      <c r="F99" s="4">
        <f t="shared" ca="1" si="3"/>
        <v>44416</v>
      </c>
      <c r="G99" s="4" t="e">
        <f ca="1">LOOKUP(F99,{-10000,-60,-30,-15,0,1,10000},{"&gt;60","31-60","16-30","01-15","Due on Today","OS"})</f>
        <v>#N/A</v>
      </c>
      <c r="H99" s="4" t="s">
        <v>103</v>
      </c>
      <c r="I99" s="4" t="s">
        <v>103</v>
      </c>
      <c r="J99" s="4" t="s">
        <v>104</v>
      </c>
      <c r="K99" s="4" t="s">
        <v>111</v>
      </c>
      <c r="L99" s="4" t="s">
        <v>112</v>
      </c>
      <c r="M99" s="4" t="s">
        <v>113</v>
      </c>
      <c r="N99" s="4" t="s">
        <v>103</v>
      </c>
      <c r="O99" s="4" t="s">
        <v>432</v>
      </c>
      <c r="P99" s="5"/>
      <c r="Q99" s="5"/>
      <c r="R99" s="4" t="s">
        <v>433</v>
      </c>
      <c r="S99" s="5"/>
      <c r="T99" s="4" t="s">
        <v>107</v>
      </c>
      <c r="U99" s="45">
        <v>283</v>
      </c>
      <c r="V99" s="4" t="s">
        <v>472</v>
      </c>
      <c r="W99" s="45">
        <v>283</v>
      </c>
      <c r="X99" s="4" t="s">
        <v>8</v>
      </c>
      <c r="Y99" s="5">
        <v>1</v>
      </c>
      <c r="Z99" s="4" t="s">
        <v>108</v>
      </c>
      <c r="AA99" s="5"/>
      <c r="AB99" s="5">
        <v>219</v>
      </c>
      <c r="AC99" s="4" t="s">
        <v>109</v>
      </c>
      <c r="AD99" s="45">
        <v>283</v>
      </c>
      <c r="AE99" s="4" t="s">
        <v>472</v>
      </c>
      <c r="AF99" s="4"/>
      <c r="AG99" s="5">
        <v>1000000</v>
      </c>
      <c r="AH99" s="5">
        <v>1000000</v>
      </c>
      <c r="AI99" s="5">
        <v>0</v>
      </c>
      <c r="AJ99" s="5">
        <v>1000000</v>
      </c>
      <c r="AK99" s="5">
        <v>0</v>
      </c>
      <c r="AL99" s="5">
        <v>1000000</v>
      </c>
      <c r="AM99" s="5"/>
    </row>
    <row r="100" spans="1:39" ht="51" x14ac:dyDescent="0.25">
      <c r="A100" s="4" t="s">
        <v>16</v>
      </c>
      <c r="B100" s="4" t="str">
        <f>VLOOKUP(A100,'Ledger &amp; Group'!A:C,2,0)</f>
        <v>Cavinkare</v>
      </c>
      <c r="C100" s="4">
        <f>VLOOKUP(A100,'Ledger &amp; Group'!A:C,3,0)</f>
        <v>60</v>
      </c>
      <c r="D100" s="45">
        <f t="shared" si="2"/>
        <v>384</v>
      </c>
      <c r="E100" s="4" t="str">
        <f ca="1">IF(D100&lt;=TODAY(),IF(ISNA(VLOOKUP(V100,'Unreconciled AR'!C:C,1,0)),"Due","Unreconciled AR"),"Outstanding")</f>
        <v>Due</v>
      </c>
      <c r="F100" s="4">
        <f t="shared" ca="1" si="3"/>
        <v>44375</v>
      </c>
      <c r="G100" s="4" t="e">
        <f ca="1">LOOKUP(F100,{-10000,-60,-30,-15,0,1,10000},{"&gt;60","31-60","16-30","01-15","Due on Today","OS"})</f>
        <v>#N/A</v>
      </c>
      <c r="H100" s="4" t="s">
        <v>103</v>
      </c>
      <c r="I100" s="4" t="s">
        <v>103</v>
      </c>
      <c r="J100" s="4" t="s">
        <v>104</v>
      </c>
      <c r="K100" s="4" t="s">
        <v>111</v>
      </c>
      <c r="L100" s="4" t="s">
        <v>112</v>
      </c>
      <c r="M100" s="4" t="s">
        <v>113</v>
      </c>
      <c r="N100" s="4" t="s">
        <v>103</v>
      </c>
      <c r="O100" s="4" t="s">
        <v>432</v>
      </c>
      <c r="P100" s="5"/>
      <c r="Q100" s="5"/>
      <c r="R100" s="4" t="s">
        <v>433</v>
      </c>
      <c r="S100" s="5"/>
      <c r="T100" s="4" t="s">
        <v>107</v>
      </c>
      <c r="U100" s="45">
        <v>324</v>
      </c>
      <c r="V100" s="4" t="s">
        <v>473</v>
      </c>
      <c r="W100" s="45">
        <v>324</v>
      </c>
      <c r="X100" s="4" t="s">
        <v>8</v>
      </c>
      <c r="Y100" s="5">
        <v>1</v>
      </c>
      <c r="Z100" s="4" t="s">
        <v>108</v>
      </c>
      <c r="AA100" s="5"/>
      <c r="AB100" s="5">
        <v>178</v>
      </c>
      <c r="AC100" s="4" t="s">
        <v>109</v>
      </c>
      <c r="AD100" s="45">
        <v>324</v>
      </c>
      <c r="AE100" s="4" t="s">
        <v>473</v>
      </c>
      <c r="AF100" s="4"/>
      <c r="AG100" s="5">
        <v>1000000</v>
      </c>
      <c r="AH100" s="5">
        <v>1000000</v>
      </c>
      <c r="AI100" s="5">
        <v>0</v>
      </c>
      <c r="AJ100" s="5">
        <v>1000000</v>
      </c>
      <c r="AK100" s="5">
        <v>0</v>
      </c>
      <c r="AL100" s="5">
        <v>1000000</v>
      </c>
      <c r="AM100" s="5"/>
    </row>
    <row r="101" spans="1:39" ht="51" x14ac:dyDescent="0.25">
      <c r="A101" s="4" t="s">
        <v>16</v>
      </c>
      <c r="B101" s="4" t="str">
        <f>VLOOKUP(A101,'Ledger &amp; Group'!A:C,2,0)</f>
        <v>Cavinkare</v>
      </c>
      <c r="C101" s="4">
        <f>VLOOKUP(A101,'Ledger &amp; Group'!A:C,3,0)</f>
        <v>60</v>
      </c>
      <c r="D101" s="45">
        <f t="shared" si="2"/>
        <v>140</v>
      </c>
      <c r="E101" s="4" t="str">
        <f ca="1">IF(D101&lt;=TODAY(),IF(ISNA(VLOOKUP(V101,'Unreconciled AR'!C:C,1,0)),"Due","Unreconciled AR"),"Outstanding")</f>
        <v>Due</v>
      </c>
      <c r="F101" s="4">
        <f t="shared" ca="1" si="3"/>
        <v>44619</v>
      </c>
      <c r="G101" s="4" t="e">
        <f ca="1">LOOKUP(F101,{-10000,-60,-30,-15,0,1,10000},{"&gt;60","31-60","16-30","01-15","Due on Today","OS"})</f>
        <v>#N/A</v>
      </c>
      <c r="H101" s="4" t="s">
        <v>103</v>
      </c>
      <c r="I101" s="4" t="s">
        <v>103</v>
      </c>
      <c r="J101" s="4" t="s">
        <v>104</v>
      </c>
      <c r="K101" s="4" t="s">
        <v>111</v>
      </c>
      <c r="L101" s="4" t="s">
        <v>112</v>
      </c>
      <c r="M101" s="4" t="s">
        <v>113</v>
      </c>
      <c r="N101" s="4" t="s">
        <v>103</v>
      </c>
      <c r="O101" s="4" t="s">
        <v>432</v>
      </c>
      <c r="P101" s="5"/>
      <c r="Q101" s="5"/>
      <c r="R101" s="4" t="s">
        <v>433</v>
      </c>
      <c r="S101" s="5"/>
      <c r="T101" s="4" t="s">
        <v>107</v>
      </c>
      <c r="U101" s="45">
        <v>80</v>
      </c>
      <c r="V101" s="4" t="s">
        <v>474</v>
      </c>
      <c r="W101" s="45">
        <v>80</v>
      </c>
      <c r="X101" s="4" t="s">
        <v>8</v>
      </c>
      <c r="Y101" s="5">
        <v>1</v>
      </c>
      <c r="Z101" s="4" t="s">
        <v>108</v>
      </c>
      <c r="AA101" s="5"/>
      <c r="AB101" s="5">
        <v>57</v>
      </c>
      <c r="AC101" s="4" t="s">
        <v>109</v>
      </c>
      <c r="AD101" s="45">
        <v>80</v>
      </c>
      <c r="AE101" s="4" t="s">
        <v>474</v>
      </c>
      <c r="AF101" s="4"/>
      <c r="AG101" s="5">
        <v>1000000</v>
      </c>
      <c r="AH101" s="5">
        <v>1000000</v>
      </c>
      <c r="AI101" s="5">
        <v>0</v>
      </c>
      <c r="AJ101" s="5">
        <v>1000000</v>
      </c>
      <c r="AK101" s="5">
        <v>0</v>
      </c>
      <c r="AL101" s="5">
        <v>1000000</v>
      </c>
      <c r="AM101" s="5"/>
    </row>
    <row r="102" spans="1:39" ht="51" x14ac:dyDescent="0.25">
      <c r="A102" s="4" t="s">
        <v>16</v>
      </c>
      <c r="B102" s="4" t="str">
        <f>VLOOKUP(A102,'Ledger &amp; Group'!A:C,2,0)</f>
        <v>Cavinkare</v>
      </c>
      <c r="C102" s="4">
        <f>VLOOKUP(A102,'Ledger &amp; Group'!A:C,3,0)</f>
        <v>60</v>
      </c>
      <c r="D102" s="45">
        <f t="shared" si="2"/>
        <v>141</v>
      </c>
      <c r="E102" s="4" t="str">
        <f ca="1">IF(D102&lt;=TODAY(),IF(ISNA(VLOOKUP(V102,'Unreconciled AR'!C:C,1,0)),"Due","Unreconciled AR"),"Outstanding")</f>
        <v>Due</v>
      </c>
      <c r="F102" s="4">
        <f t="shared" ca="1" si="3"/>
        <v>44618</v>
      </c>
      <c r="G102" s="4" t="e">
        <f ca="1">LOOKUP(F102,{-10000,-60,-30,-15,0,1,10000},{"&gt;60","31-60","16-30","01-15","Due on Today","OS"})</f>
        <v>#N/A</v>
      </c>
      <c r="H102" s="4" t="s">
        <v>103</v>
      </c>
      <c r="I102" s="4" t="s">
        <v>103</v>
      </c>
      <c r="J102" s="4" t="s">
        <v>104</v>
      </c>
      <c r="K102" s="4" t="s">
        <v>111</v>
      </c>
      <c r="L102" s="4" t="s">
        <v>112</v>
      </c>
      <c r="M102" s="4" t="s">
        <v>113</v>
      </c>
      <c r="N102" s="4" t="s">
        <v>103</v>
      </c>
      <c r="O102" s="4" t="s">
        <v>432</v>
      </c>
      <c r="P102" s="5"/>
      <c r="Q102" s="5"/>
      <c r="R102" s="4" t="s">
        <v>433</v>
      </c>
      <c r="S102" s="5"/>
      <c r="T102" s="4" t="s">
        <v>107</v>
      </c>
      <c r="U102" s="45">
        <v>81</v>
      </c>
      <c r="V102" s="4" t="s">
        <v>475</v>
      </c>
      <c r="W102" s="45">
        <v>81</v>
      </c>
      <c r="X102" s="4" t="s">
        <v>8</v>
      </c>
      <c r="Y102" s="5">
        <v>1</v>
      </c>
      <c r="Z102" s="4" t="s">
        <v>108</v>
      </c>
      <c r="AA102" s="5"/>
      <c r="AB102" s="5">
        <v>56</v>
      </c>
      <c r="AC102" s="4" t="s">
        <v>109</v>
      </c>
      <c r="AD102" s="45">
        <v>81</v>
      </c>
      <c r="AE102" s="4" t="s">
        <v>475</v>
      </c>
      <c r="AF102" s="4"/>
      <c r="AG102" s="5">
        <v>1000000</v>
      </c>
      <c r="AH102" s="5">
        <v>1000000</v>
      </c>
      <c r="AI102" s="5">
        <v>0</v>
      </c>
      <c r="AJ102" s="5">
        <v>1000000</v>
      </c>
      <c r="AK102" s="5">
        <v>0</v>
      </c>
      <c r="AL102" s="5">
        <v>1000000</v>
      </c>
      <c r="AM102" s="5"/>
    </row>
    <row r="103" spans="1:39" ht="51" x14ac:dyDescent="0.25">
      <c r="A103" s="4" t="s">
        <v>16</v>
      </c>
      <c r="B103" s="4" t="str">
        <f>VLOOKUP(A103,'Ledger &amp; Group'!A:C,2,0)</f>
        <v>Cavinkare</v>
      </c>
      <c r="C103" s="4">
        <f>VLOOKUP(A103,'Ledger &amp; Group'!A:C,3,0)</f>
        <v>60</v>
      </c>
      <c r="D103" s="45">
        <f t="shared" si="2"/>
        <v>144</v>
      </c>
      <c r="E103" s="4" t="str">
        <f ca="1">IF(D103&lt;=TODAY(),IF(ISNA(VLOOKUP(V103,'Unreconciled AR'!C:C,1,0)),"Due","Unreconciled AR"),"Outstanding")</f>
        <v>Due</v>
      </c>
      <c r="F103" s="4">
        <f t="shared" ca="1" si="3"/>
        <v>44615</v>
      </c>
      <c r="G103" s="4" t="e">
        <f ca="1">LOOKUP(F103,{-10000,-60,-30,-15,0,1,10000},{"&gt;60","31-60","16-30","01-15","Due on Today","OS"})</f>
        <v>#N/A</v>
      </c>
      <c r="H103" s="4" t="s">
        <v>103</v>
      </c>
      <c r="I103" s="4" t="s">
        <v>103</v>
      </c>
      <c r="J103" s="4" t="s">
        <v>104</v>
      </c>
      <c r="K103" s="4" t="s">
        <v>111</v>
      </c>
      <c r="L103" s="4" t="s">
        <v>112</v>
      </c>
      <c r="M103" s="4" t="s">
        <v>113</v>
      </c>
      <c r="N103" s="4" t="s">
        <v>103</v>
      </c>
      <c r="O103" s="4" t="s">
        <v>432</v>
      </c>
      <c r="P103" s="5"/>
      <c r="Q103" s="5"/>
      <c r="R103" s="4" t="s">
        <v>433</v>
      </c>
      <c r="S103" s="5"/>
      <c r="T103" s="4" t="s">
        <v>107</v>
      </c>
      <c r="U103" s="45">
        <v>84</v>
      </c>
      <c r="V103" s="4" t="s">
        <v>476</v>
      </c>
      <c r="W103" s="45">
        <v>84</v>
      </c>
      <c r="X103" s="4" t="s">
        <v>8</v>
      </c>
      <c r="Y103" s="5">
        <v>1</v>
      </c>
      <c r="Z103" s="4" t="s">
        <v>108</v>
      </c>
      <c r="AA103" s="5"/>
      <c r="AB103" s="5">
        <v>53</v>
      </c>
      <c r="AC103" s="4" t="s">
        <v>109</v>
      </c>
      <c r="AD103" s="45">
        <v>84</v>
      </c>
      <c r="AE103" s="4" t="s">
        <v>476</v>
      </c>
      <c r="AF103" s="4"/>
      <c r="AG103" s="5">
        <v>1000000</v>
      </c>
      <c r="AH103" s="5">
        <v>1000000</v>
      </c>
      <c r="AI103" s="5">
        <v>0</v>
      </c>
      <c r="AJ103" s="5">
        <v>1000000</v>
      </c>
      <c r="AK103" s="5">
        <v>0</v>
      </c>
      <c r="AL103" s="5">
        <v>1000000</v>
      </c>
      <c r="AM103" s="5"/>
    </row>
    <row r="104" spans="1:39" ht="51" x14ac:dyDescent="0.25">
      <c r="A104" s="4" t="s">
        <v>16</v>
      </c>
      <c r="B104" s="4" t="str">
        <f>VLOOKUP(A104,'Ledger &amp; Group'!A:C,2,0)</f>
        <v>Cavinkare</v>
      </c>
      <c r="C104" s="4">
        <f>VLOOKUP(A104,'Ledger &amp; Group'!A:C,3,0)</f>
        <v>60</v>
      </c>
      <c r="D104" s="45">
        <f t="shared" si="2"/>
        <v>146</v>
      </c>
      <c r="E104" s="4" t="str">
        <f ca="1">IF(D104&lt;=TODAY(),IF(ISNA(VLOOKUP(V104,'Unreconciled AR'!C:C,1,0)),"Due","Unreconciled AR"),"Outstanding")</f>
        <v>Due</v>
      </c>
      <c r="F104" s="4">
        <f t="shared" ca="1" si="3"/>
        <v>44613</v>
      </c>
      <c r="G104" s="4" t="e">
        <f ca="1">LOOKUP(F104,{-10000,-60,-30,-15,0,1,10000},{"&gt;60","31-60","16-30","01-15","Due on Today","OS"})</f>
        <v>#N/A</v>
      </c>
      <c r="H104" s="4" t="s">
        <v>103</v>
      </c>
      <c r="I104" s="4" t="s">
        <v>103</v>
      </c>
      <c r="J104" s="4" t="s">
        <v>104</v>
      </c>
      <c r="K104" s="4" t="s">
        <v>111</v>
      </c>
      <c r="L104" s="4" t="s">
        <v>112</v>
      </c>
      <c r="M104" s="4" t="s">
        <v>113</v>
      </c>
      <c r="N104" s="4" t="s">
        <v>103</v>
      </c>
      <c r="O104" s="4" t="s">
        <v>432</v>
      </c>
      <c r="P104" s="5"/>
      <c r="Q104" s="5"/>
      <c r="R104" s="4" t="s">
        <v>433</v>
      </c>
      <c r="S104" s="5"/>
      <c r="T104" s="4" t="s">
        <v>107</v>
      </c>
      <c r="U104" s="45">
        <v>86</v>
      </c>
      <c r="V104" s="4" t="s">
        <v>477</v>
      </c>
      <c r="W104" s="45">
        <v>86</v>
      </c>
      <c r="X104" s="4" t="s">
        <v>8</v>
      </c>
      <c r="Y104" s="5">
        <v>1</v>
      </c>
      <c r="Z104" s="4" t="s">
        <v>108</v>
      </c>
      <c r="AA104" s="5"/>
      <c r="AB104" s="5">
        <v>51</v>
      </c>
      <c r="AC104" s="4" t="s">
        <v>109</v>
      </c>
      <c r="AD104" s="45">
        <v>86</v>
      </c>
      <c r="AE104" s="4" t="s">
        <v>477</v>
      </c>
      <c r="AF104" s="4"/>
      <c r="AG104" s="5">
        <v>1000000</v>
      </c>
      <c r="AH104" s="5">
        <v>1000000</v>
      </c>
      <c r="AI104" s="5">
        <v>0</v>
      </c>
      <c r="AJ104" s="5">
        <v>1000000</v>
      </c>
      <c r="AK104" s="5">
        <v>0</v>
      </c>
      <c r="AL104" s="5">
        <v>1000000</v>
      </c>
      <c r="AM104" s="5"/>
    </row>
    <row r="105" spans="1:39" ht="51" x14ac:dyDescent="0.25">
      <c r="A105" s="4" t="s">
        <v>16</v>
      </c>
      <c r="B105" s="4" t="str">
        <f>VLOOKUP(A105,'Ledger &amp; Group'!A:C,2,0)</f>
        <v>Cavinkare</v>
      </c>
      <c r="C105" s="4">
        <f>VLOOKUP(A105,'Ledger &amp; Group'!A:C,3,0)</f>
        <v>60</v>
      </c>
      <c r="D105" s="45">
        <f t="shared" si="2"/>
        <v>147</v>
      </c>
      <c r="E105" s="4" t="str">
        <f ca="1">IF(D105&lt;=TODAY(),IF(ISNA(VLOOKUP(V105,'Unreconciled AR'!C:C,1,0)),"Due","Unreconciled AR"),"Outstanding")</f>
        <v>Due</v>
      </c>
      <c r="F105" s="4">
        <f t="shared" ca="1" si="3"/>
        <v>44612</v>
      </c>
      <c r="G105" s="4" t="e">
        <f ca="1">LOOKUP(F105,{-10000,-60,-30,-15,0,1,10000},{"&gt;60","31-60","16-30","01-15","Due on Today","OS"})</f>
        <v>#N/A</v>
      </c>
      <c r="H105" s="4" t="s">
        <v>103</v>
      </c>
      <c r="I105" s="4" t="s">
        <v>103</v>
      </c>
      <c r="J105" s="4" t="s">
        <v>104</v>
      </c>
      <c r="K105" s="4" t="s">
        <v>111</v>
      </c>
      <c r="L105" s="4" t="s">
        <v>112</v>
      </c>
      <c r="M105" s="4" t="s">
        <v>113</v>
      </c>
      <c r="N105" s="4" t="s">
        <v>103</v>
      </c>
      <c r="O105" s="4" t="s">
        <v>432</v>
      </c>
      <c r="P105" s="5"/>
      <c r="Q105" s="5"/>
      <c r="R105" s="4" t="s">
        <v>433</v>
      </c>
      <c r="S105" s="5"/>
      <c r="T105" s="4" t="s">
        <v>107</v>
      </c>
      <c r="U105" s="45">
        <v>87</v>
      </c>
      <c r="V105" s="4" t="s">
        <v>478</v>
      </c>
      <c r="W105" s="45">
        <v>87</v>
      </c>
      <c r="X105" s="4" t="s">
        <v>8</v>
      </c>
      <c r="Y105" s="5">
        <v>1</v>
      </c>
      <c r="Z105" s="4" t="s">
        <v>108</v>
      </c>
      <c r="AA105" s="5"/>
      <c r="AB105" s="5">
        <v>50</v>
      </c>
      <c r="AC105" s="4" t="s">
        <v>109</v>
      </c>
      <c r="AD105" s="45">
        <v>87</v>
      </c>
      <c r="AE105" s="4" t="s">
        <v>478</v>
      </c>
      <c r="AF105" s="4"/>
      <c r="AG105" s="5">
        <v>1000000</v>
      </c>
      <c r="AH105" s="5">
        <v>1000000</v>
      </c>
      <c r="AI105" s="5">
        <v>0</v>
      </c>
      <c r="AJ105" s="5">
        <v>1000000</v>
      </c>
      <c r="AK105" s="5">
        <v>0</v>
      </c>
      <c r="AL105" s="5">
        <v>1000000</v>
      </c>
      <c r="AM105" s="5"/>
    </row>
    <row r="106" spans="1:39" ht="51" x14ac:dyDescent="0.25">
      <c r="A106" s="4" t="s">
        <v>16</v>
      </c>
      <c r="B106" s="4" t="str">
        <f>VLOOKUP(A106,'Ledger &amp; Group'!A:C,2,0)</f>
        <v>Cavinkare</v>
      </c>
      <c r="C106" s="4">
        <f>VLOOKUP(A106,'Ledger &amp; Group'!A:C,3,0)</f>
        <v>60</v>
      </c>
      <c r="D106" s="45">
        <f t="shared" si="2"/>
        <v>148</v>
      </c>
      <c r="E106" s="4" t="str">
        <f ca="1">IF(D106&lt;=TODAY(),IF(ISNA(VLOOKUP(V106,'Unreconciled AR'!C:C,1,0)),"Due","Unreconciled AR"),"Outstanding")</f>
        <v>Due</v>
      </c>
      <c r="F106" s="4">
        <f t="shared" ca="1" si="3"/>
        <v>44611</v>
      </c>
      <c r="G106" s="4" t="e">
        <f ca="1">LOOKUP(F106,{-10000,-60,-30,-15,0,1,10000},{"&gt;60","31-60","16-30","01-15","Due on Today","OS"})</f>
        <v>#N/A</v>
      </c>
      <c r="H106" s="4" t="s">
        <v>103</v>
      </c>
      <c r="I106" s="4" t="s">
        <v>103</v>
      </c>
      <c r="J106" s="4" t="s">
        <v>104</v>
      </c>
      <c r="K106" s="4" t="s">
        <v>111</v>
      </c>
      <c r="L106" s="4" t="s">
        <v>112</v>
      </c>
      <c r="M106" s="4" t="s">
        <v>113</v>
      </c>
      <c r="N106" s="4" t="s">
        <v>103</v>
      </c>
      <c r="O106" s="4" t="s">
        <v>432</v>
      </c>
      <c r="P106" s="5"/>
      <c r="Q106" s="5"/>
      <c r="R106" s="4" t="s">
        <v>433</v>
      </c>
      <c r="S106" s="5"/>
      <c r="T106" s="4" t="s">
        <v>107</v>
      </c>
      <c r="U106" s="45">
        <v>88</v>
      </c>
      <c r="V106" s="4" t="s">
        <v>479</v>
      </c>
      <c r="W106" s="45">
        <v>88</v>
      </c>
      <c r="X106" s="4" t="s">
        <v>8</v>
      </c>
      <c r="Y106" s="5">
        <v>1</v>
      </c>
      <c r="Z106" s="4" t="s">
        <v>108</v>
      </c>
      <c r="AA106" s="5"/>
      <c r="AB106" s="5">
        <v>49</v>
      </c>
      <c r="AC106" s="4" t="s">
        <v>109</v>
      </c>
      <c r="AD106" s="45">
        <v>88</v>
      </c>
      <c r="AE106" s="4" t="s">
        <v>479</v>
      </c>
      <c r="AF106" s="4"/>
      <c r="AG106" s="5">
        <v>1000000</v>
      </c>
      <c r="AH106" s="5">
        <v>1000000</v>
      </c>
      <c r="AI106" s="5">
        <v>0</v>
      </c>
      <c r="AJ106" s="5">
        <v>1000000</v>
      </c>
      <c r="AK106" s="5">
        <v>0</v>
      </c>
      <c r="AL106" s="5">
        <v>1000000</v>
      </c>
      <c r="AM106" s="5"/>
    </row>
    <row r="107" spans="1:39" ht="51" x14ac:dyDescent="0.25">
      <c r="A107" s="4" t="s">
        <v>16</v>
      </c>
      <c r="B107" s="4" t="str">
        <f>VLOOKUP(A107,'Ledger &amp; Group'!A:C,2,0)</f>
        <v>Cavinkare</v>
      </c>
      <c r="C107" s="4">
        <f>VLOOKUP(A107,'Ledger &amp; Group'!A:C,3,0)</f>
        <v>60</v>
      </c>
      <c r="D107" s="45">
        <f t="shared" si="2"/>
        <v>149</v>
      </c>
      <c r="E107" s="4" t="str">
        <f ca="1">IF(D107&lt;=TODAY(),IF(ISNA(VLOOKUP(V107,'Unreconciled AR'!C:C,1,0)),"Due","Unreconciled AR"),"Outstanding")</f>
        <v>Due</v>
      </c>
      <c r="F107" s="4">
        <f t="shared" ca="1" si="3"/>
        <v>44610</v>
      </c>
      <c r="G107" s="4" t="e">
        <f ca="1">LOOKUP(F107,{-10000,-60,-30,-15,0,1,10000},{"&gt;60","31-60","16-30","01-15","Due on Today","OS"})</f>
        <v>#N/A</v>
      </c>
      <c r="H107" s="4" t="s">
        <v>103</v>
      </c>
      <c r="I107" s="4" t="s">
        <v>103</v>
      </c>
      <c r="J107" s="4" t="s">
        <v>104</v>
      </c>
      <c r="K107" s="4" t="s">
        <v>111</v>
      </c>
      <c r="L107" s="4" t="s">
        <v>112</v>
      </c>
      <c r="M107" s="4" t="s">
        <v>113</v>
      </c>
      <c r="N107" s="4" t="s">
        <v>103</v>
      </c>
      <c r="O107" s="4" t="s">
        <v>432</v>
      </c>
      <c r="P107" s="5"/>
      <c r="Q107" s="5"/>
      <c r="R107" s="4" t="s">
        <v>433</v>
      </c>
      <c r="S107" s="5"/>
      <c r="T107" s="4" t="s">
        <v>107</v>
      </c>
      <c r="U107" s="45">
        <v>89</v>
      </c>
      <c r="V107" s="4" t="s">
        <v>480</v>
      </c>
      <c r="W107" s="45">
        <v>89</v>
      </c>
      <c r="X107" s="4" t="s">
        <v>8</v>
      </c>
      <c r="Y107" s="5">
        <v>1</v>
      </c>
      <c r="Z107" s="4" t="s">
        <v>108</v>
      </c>
      <c r="AA107" s="5"/>
      <c r="AB107" s="5">
        <v>48</v>
      </c>
      <c r="AC107" s="4" t="s">
        <v>109</v>
      </c>
      <c r="AD107" s="45">
        <v>89</v>
      </c>
      <c r="AE107" s="4" t="s">
        <v>480</v>
      </c>
      <c r="AF107" s="4"/>
      <c r="AG107" s="5">
        <v>1000000</v>
      </c>
      <c r="AH107" s="5">
        <v>1000000</v>
      </c>
      <c r="AI107" s="5">
        <v>0</v>
      </c>
      <c r="AJ107" s="5">
        <v>1000000</v>
      </c>
      <c r="AK107" s="5">
        <v>0</v>
      </c>
      <c r="AL107" s="5">
        <v>1000000</v>
      </c>
      <c r="AM107" s="5"/>
    </row>
    <row r="108" spans="1:39" ht="51" x14ac:dyDescent="0.25">
      <c r="A108" s="4" t="s">
        <v>16</v>
      </c>
      <c r="B108" s="4" t="str">
        <f>VLOOKUP(A108,'Ledger &amp; Group'!A:C,2,0)</f>
        <v>Cavinkare</v>
      </c>
      <c r="C108" s="4">
        <f>VLOOKUP(A108,'Ledger &amp; Group'!A:C,3,0)</f>
        <v>60</v>
      </c>
      <c r="D108" s="45">
        <f t="shared" si="2"/>
        <v>154</v>
      </c>
      <c r="E108" s="4" t="str">
        <f ca="1">IF(D108&lt;=TODAY(),IF(ISNA(VLOOKUP(V108,'Unreconciled AR'!C:C,1,0)),"Due","Unreconciled AR"),"Outstanding")</f>
        <v>Due</v>
      </c>
      <c r="F108" s="4">
        <f t="shared" ca="1" si="3"/>
        <v>44605</v>
      </c>
      <c r="G108" s="4" t="e">
        <f ca="1">LOOKUP(F108,{-10000,-60,-30,-15,0,1,10000},{"&gt;60","31-60","16-30","01-15","Due on Today","OS"})</f>
        <v>#N/A</v>
      </c>
      <c r="H108" s="4" t="s">
        <v>103</v>
      </c>
      <c r="I108" s="4" t="s">
        <v>103</v>
      </c>
      <c r="J108" s="4" t="s">
        <v>104</v>
      </c>
      <c r="K108" s="4" t="s">
        <v>111</v>
      </c>
      <c r="L108" s="4" t="s">
        <v>112</v>
      </c>
      <c r="M108" s="4" t="s">
        <v>113</v>
      </c>
      <c r="N108" s="4" t="s">
        <v>103</v>
      </c>
      <c r="O108" s="4" t="s">
        <v>432</v>
      </c>
      <c r="P108" s="5"/>
      <c r="Q108" s="5"/>
      <c r="R108" s="4" t="s">
        <v>433</v>
      </c>
      <c r="S108" s="5"/>
      <c r="T108" s="4" t="s">
        <v>107</v>
      </c>
      <c r="U108" s="45">
        <v>94</v>
      </c>
      <c r="V108" s="4" t="s">
        <v>201</v>
      </c>
      <c r="W108" s="45">
        <v>94</v>
      </c>
      <c r="X108" s="4" t="s">
        <v>8</v>
      </c>
      <c r="Y108" s="5">
        <v>1</v>
      </c>
      <c r="Z108" s="4" t="s">
        <v>108</v>
      </c>
      <c r="AA108" s="5"/>
      <c r="AB108" s="5">
        <v>43</v>
      </c>
      <c r="AC108" s="4" t="s">
        <v>109</v>
      </c>
      <c r="AD108" s="45">
        <v>94</v>
      </c>
      <c r="AE108" s="4" t="s">
        <v>201</v>
      </c>
      <c r="AF108" s="5"/>
      <c r="AG108" s="5">
        <v>1000000</v>
      </c>
      <c r="AH108" s="5">
        <v>1000000</v>
      </c>
      <c r="AI108" s="5">
        <v>0</v>
      </c>
      <c r="AJ108" s="5">
        <v>1000000</v>
      </c>
      <c r="AK108" s="5">
        <v>0</v>
      </c>
      <c r="AL108" s="5">
        <v>1000000</v>
      </c>
      <c r="AM108" s="5"/>
    </row>
    <row r="109" spans="1:39" ht="51" x14ac:dyDescent="0.25">
      <c r="A109" s="4" t="s">
        <v>16</v>
      </c>
      <c r="B109" s="4" t="str">
        <f>VLOOKUP(A109,'Ledger &amp; Group'!A:C,2,0)</f>
        <v>Cavinkare</v>
      </c>
      <c r="C109" s="4">
        <f>VLOOKUP(A109,'Ledger &amp; Group'!A:C,3,0)</f>
        <v>60</v>
      </c>
      <c r="D109" s="45">
        <f t="shared" si="2"/>
        <v>155</v>
      </c>
      <c r="E109" s="4" t="str">
        <f ca="1">IF(D109&lt;=TODAY(),IF(ISNA(VLOOKUP(V109,'Unreconciled AR'!C:C,1,0)),"Due","Unreconciled AR"),"Outstanding")</f>
        <v>Due</v>
      </c>
      <c r="F109" s="4">
        <f t="shared" ca="1" si="3"/>
        <v>44604</v>
      </c>
      <c r="G109" s="4" t="e">
        <f ca="1">LOOKUP(F109,{-10000,-60,-30,-15,0,1,10000},{"&gt;60","31-60","16-30","01-15","Due on Today","OS"})</f>
        <v>#N/A</v>
      </c>
      <c r="H109" s="4" t="s">
        <v>103</v>
      </c>
      <c r="I109" s="4" t="s">
        <v>103</v>
      </c>
      <c r="J109" s="4" t="s">
        <v>104</v>
      </c>
      <c r="K109" s="4" t="s">
        <v>111</v>
      </c>
      <c r="L109" s="4" t="s">
        <v>112</v>
      </c>
      <c r="M109" s="4" t="s">
        <v>113</v>
      </c>
      <c r="N109" s="4" t="s">
        <v>103</v>
      </c>
      <c r="O109" s="4" t="s">
        <v>432</v>
      </c>
      <c r="P109" s="5"/>
      <c r="Q109" s="5"/>
      <c r="R109" s="4" t="s">
        <v>433</v>
      </c>
      <c r="S109" s="5"/>
      <c r="T109" s="4" t="s">
        <v>107</v>
      </c>
      <c r="U109" s="45">
        <v>95</v>
      </c>
      <c r="V109" s="4" t="s">
        <v>210</v>
      </c>
      <c r="W109" s="45">
        <v>95</v>
      </c>
      <c r="X109" s="4" t="s">
        <v>8</v>
      </c>
      <c r="Y109" s="5">
        <v>1</v>
      </c>
      <c r="Z109" s="4" t="s">
        <v>108</v>
      </c>
      <c r="AA109" s="5"/>
      <c r="AB109" s="5">
        <v>42</v>
      </c>
      <c r="AC109" s="4" t="s">
        <v>109</v>
      </c>
      <c r="AD109" s="45">
        <v>95</v>
      </c>
      <c r="AE109" s="4" t="s">
        <v>210</v>
      </c>
      <c r="AF109" s="4"/>
      <c r="AG109" s="5">
        <v>1000000</v>
      </c>
      <c r="AH109" s="5">
        <v>1000000</v>
      </c>
      <c r="AI109" s="5">
        <v>0</v>
      </c>
      <c r="AJ109" s="5">
        <v>1000000</v>
      </c>
      <c r="AK109" s="5">
        <v>0</v>
      </c>
      <c r="AL109" s="5">
        <v>1000000</v>
      </c>
      <c r="AM109" s="5"/>
    </row>
    <row r="110" spans="1:39" ht="51" x14ac:dyDescent="0.25">
      <c r="A110" s="4" t="s">
        <v>16</v>
      </c>
      <c r="B110" s="4" t="str">
        <f>VLOOKUP(A110,'Ledger &amp; Group'!A:C,2,0)</f>
        <v>Cavinkare</v>
      </c>
      <c r="C110" s="4">
        <f>VLOOKUP(A110,'Ledger &amp; Group'!A:C,3,0)</f>
        <v>60</v>
      </c>
      <c r="D110" s="45">
        <f t="shared" si="2"/>
        <v>156</v>
      </c>
      <c r="E110" s="4" t="str">
        <f ca="1">IF(D110&lt;=TODAY(),IF(ISNA(VLOOKUP(V110,'Unreconciled AR'!C:C,1,0)),"Due","Unreconciled AR"),"Outstanding")</f>
        <v>Due</v>
      </c>
      <c r="F110" s="4">
        <f t="shared" ca="1" si="3"/>
        <v>44603</v>
      </c>
      <c r="G110" s="4" t="e">
        <f ca="1">LOOKUP(F110,{-10000,-60,-30,-15,0,1,10000},{"&gt;60","31-60","16-30","01-15","Due on Today","OS"})</f>
        <v>#N/A</v>
      </c>
      <c r="H110" s="4" t="s">
        <v>103</v>
      </c>
      <c r="I110" s="4" t="s">
        <v>103</v>
      </c>
      <c r="J110" s="4" t="s">
        <v>104</v>
      </c>
      <c r="K110" s="4" t="s">
        <v>111</v>
      </c>
      <c r="L110" s="4" t="s">
        <v>112</v>
      </c>
      <c r="M110" s="4" t="s">
        <v>113</v>
      </c>
      <c r="N110" s="4" t="s">
        <v>103</v>
      </c>
      <c r="O110" s="4" t="s">
        <v>432</v>
      </c>
      <c r="P110" s="5"/>
      <c r="Q110" s="5"/>
      <c r="R110" s="4" t="s">
        <v>433</v>
      </c>
      <c r="S110" s="5"/>
      <c r="T110" s="4" t="s">
        <v>107</v>
      </c>
      <c r="U110" s="45">
        <v>96</v>
      </c>
      <c r="V110" s="4" t="s">
        <v>213</v>
      </c>
      <c r="W110" s="45">
        <v>96</v>
      </c>
      <c r="X110" s="4" t="s">
        <v>8</v>
      </c>
      <c r="Y110" s="5">
        <v>1</v>
      </c>
      <c r="Z110" s="4" t="s">
        <v>108</v>
      </c>
      <c r="AA110" s="5"/>
      <c r="AB110" s="5">
        <v>41</v>
      </c>
      <c r="AC110" s="4" t="s">
        <v>109</v>
      </c>
      <c r="AD110" s="45">
        <v>96</v>
      </c>
      <c r="AE110" s="4" t="s">
        <v>213</v>
      </c>
      <c r="AF110" s="4"/>
      <c r="AG110" s="5">
        <v>1000000</v>
      </c>
      <c r="AH110" s="5">
        <v>1000000</v>
      </c>
      <c r="AI110" s="5">
        <v>0</v>
      </c>
      <c r="AJ110" s="5">
        <v>1000000</v>
      </c>
      <c r="AK110" s="5">
        <v>0</v>
      </c>
      <c r="AL110" s="5">
        <v>1000000</v>
      </c>
      <c r="AM110" s="5"/>
    </row>
    <row r="111" spans="1:39" ht="51" x14ac:dyDescent="0.25">
      <c r="A111" s="4" t="s">
        <v>16</v>
      </c>
      <c r="B111" s="4" t="str">
        <f>VLOOKUP(A111,'Ledger &amp; Group'!A:C,2,0)</f>
        <v>Cavinkare</v>
      </c>
      <c r="C111" s="4">
        <f>VLOOKUP(A111,'Ledger &amp; Group'!A:C,3,0)</f>
        <v>60</v>
      </c>
      <c r="D111" s="45">
        <f t="shared" si="2"/>
        <v>157</v>
      </c>
      <c r="E111" s="4" t="str">
        <f ca="1">IF(D111&lt;=TODAY(),IF(ISNA(VLOOKUP(V111,'Unreconciled AR'!C:C,1,0)),"Due","Unreconciled AR"),"Outstanding")</f>
        <v>Due</v>
      </c>
      <c r="F111" s="4">
        <f t="shared" ca="1" si="3"/>
        <v>44602</v>
      </c>
      <c r="G111" s="4" t="e">
        <f ca="1">LOOKUP(F111,{-10000,-60,-30,-15,0,1,10000},{"&gt;60","31-60","16-30","01-15","Due on Today","OS"})</f>
        <v>#N/A</v>
      </c>
      <c r="H111" s="4" t="s">
        <v>103</v>
      </c>
      <c r="I111" s="4" t="s">
        <v>103</v>
      </c>
      <c r="J111" s="4" t="s">
        <v>104</v>
      </c>
      <c r="K111" s="4" t="s">
        <v>111</v>
      </c>
      <c r="L111" s="4" t="s">
        <v>112</v>
      </c>
      <c r="M111" s="4" t="s">
        <v>113</v>
      </c>
      <c r="N111" s="4" t="s">
        <v>103</v>
      </c>
      <c r="O111" s="4" t="s">
        <v>432</v>
      </c>
      <c r="P111" s="5"/>
      <c r="Q111" s="5"/>
      <c r="R111" s="4" t="s">
        <v>433</v>
      </c>
      <c r="S111" s="5"/>
      <c r="T111" s="4" t="s">
        <v>107</v>
      </c>
      <c r="U111" s="45">
        <v>97</v>
      </c>
      <c r="V111" s="4" t="s">
        <v>216</v>
      </c>
      <c r="W111" s="45">
        <v>97</v>
      </c>
      <c r="X111" s="4" t="s">
        <v>8</v>
      </c>
      <c r="Y111" s="5">
        <v>1</v>
      </c>
      <c r="Z111" s="4" t="s">
        <v>108</v>
      </c>
      <c r="AA111" s="5"/>
      <c r="AB111" s="5">
        <v>40</v>
      </c>
      <c r="AC111" s="4" t="s">
        <v>109</v>
      </c>
      <c r="AD111" s="45">
        <v>97</v>
      </c>
      <c r="AE111" s="4" t="s">
        <v>216</v>
      </c>
      <c r="AF111" s="4"/>
      <c r="AG111" s="5">
        <v>1000000</v>
      </c>
      <c r="AH111" s="5">
        <v>1000000</v>
      </c>
      <c r="AI111" s="5">
        <v>0</v>
      </c>
      <c r="AJ111" s="5">
        <v>1000000</v>
      </c>
      <c r="AK111" s="5">
        <v>0</v>
      </c>
      <c r="AL111" s="5">
        <v>1000000</v>
      </c>
      <c r="AM111" s="5"/>
    </row>
    <row r="112" spans="1:39" ht="51" x14ac:dyDescent="0.25">
      <c r="A112" s="4" t="s">
        <v>16</v>
      </c>
      <c r="B112" s="4" t="str">
        <f>VLOOKUP(A112,'Ledger &amp; Group'!A:C,2,0)</f>
        <v>Cavinkare</v>
      </c>
      <c r="C112" s="4">
        <f>VLOOKUP(A112,'Ledger &amp; Group'!A:C,3,0)</f>
        <v>60</v>
      </c>
      <c r="D112" s="45">
        <f t="shared" si="2"/>
        <v>159</v>
      </c>
      <c r="E112" s="4" t="str">
        <f ca="1">IF(D112&lt;=TODAY(),IF(ISNA(VLOOKUP(V112,'Unreconciled AR'!C:C,1,0)),"Due","Unreconciled AR"),"Outstanding")</f>
        <v>Due</v>
      </c>
      <c r="F112" s="4">
        <f t="shared" ca="1" si="3"/>
        <v>44600</v>
      </c>
      <c r="G112" s="4" t="e">
        <f ca="1">LOOKUP(F112,{-10000,-60,-30,-15,0,1,10000},{"&gt;60","31-60","16-30","01-15","Due on Today","OS"})</f>
        <v>#N/A</v>
      </c>
      <c r="H112" s="4" t="s">
        <v>103</v>
      </c>
      <c r="I112" s="4" t="s">
        <v>103</v>
      </c>
      <c r="J112" s="4" t="s">
        <v>104</v>
      </c>
      <c r="K112" s="4" t="s">
        <v>111</v>
      </c>
      <c r="L112" s="4" t="s">
        <v>112</v>
      </c>
      <c r="M112" s="4" t="s">
        <v>113</v>
      </c>
      <c r="N112" s="4" t="s">
        <v>103</v>
      </c>
      <c r="O112" s="4" t="s">
        <v>432</v>
      </c>
      <c r="P112" s="5"/>
      <c r="Q112" s="5"/>
      <c r="R112" s="4" t="s">
        <v>433</v>
      </c>
      <c r="S112" s="5"/>
      <c r="T112" s="4" t="s">
        <v>107</v>
      </c>
      <c r="U112" s="45">
        <v>99</v>
      </c>
      <c r="V112" s="4" t="s">
        <v>222</v>
      </c>
      <c r="W112" s="45">
        <v>99</v>
      </c>
      <c r="X112" s="4" t="s">
        <v>8</v>
      </c>
      <c r="Y112" s="5">
        <v>1</v>
      </c>
      <c r="Z112" s="4" t="s">
        <v>108</v>
      </c>
      <c r="AA112" s="5"/>
      <c r="AB112" s="5">
        <v>38</v>
      </c>
      <c r="AC112" s="4" t="s">
        <v>109</v>
      </c>
      <c r="AD112" s="45">
        <v>99</v>
      </c>
      <c r="AE112" s="4" t="s">
        <v>222</v>
      </c>
      <c r="AF112" s="4"/>
      <c r="AG112" s="5">
        <v>1000000</v>
      </c>
      <c r="AH112" s="5">
        <v>1000000</v>
      </c>
      <c r="AI112" s="5">
        <v>0</v>
      </c>
      <c r="AJ112" s="5">
        <v>1000000</v>
      </c>
      <c r="AK112" s="5">
        <v>0</v>
      </c>
      <c r="AL112" s="5">
        <v>1000000</v>
      </c>
      <c r="AM112" s="5"/>
    </row>
    <row r="113" spans="1:39" ht="51" x14ac:dyDescent="0.25">
      <c r="A113" s="4" t="s">
        <v>16</v>
      </c>
      <c r="B113" s="4" t="str">
        <f>VLOOKUP(A113,'Ledger &amp; Group'!A:C,2,0)</f>
        <v>Cavinkare</v>
      </c>
      <c r="C113" s="4">
        <f>VLOOKUP(A113,'Ledger &amp; Group'!A:C,3,0)</f>
        <v>60</v>
      </c>
      <c r="D113" s="45">
        <f t="shared" si="2"/>
        <v>160</v>
      </c>
      <c r="E113" s="4" t="str">
        <f ca="1">IF(D113&lt;=TODAY(),IF(ISNA(VLOOKUP(V113,'Unreconciled AR'!C:C,1,0)),"Due","Unreconciled AR"),"Outstanding")</f>
        <v>Due</v>
      </c>
      <c r="F113" s="4">
        <f t="shared" ca="1" si="3"/>
        <v>44599</v>
      </c>
      <c r="G113" s="4" t="e">
        <f ca="1">LOOKUP(F113,{-10000,-60,-30,-15,0,1,10000},{"&gt;60","31-60","16-30","01-15","Due on Today","OS"})</f>
        <v>#N/A</v>
      </c>
      <c r="H113" s="4" t="s">
        <v>103</v>
      </c>
      <c r="I113" s="4" t="s">
        <v>103</v>
      </c>
      <c r="J113" s="4" t="s">
        <v>104</v>
      </c>
      <c r="K113" s="4" t="s">
        <v>111</v>
      </c>
      <c r="L113" s="4" t="s">
        <v>112</v>
      </c>
      <c r="M113" s="4" t="s">
        <v>113</v>
      </c>
      <c r="N113" s="4" t="s">
        <v>103</v>
      </c>
      <c r="O113" s="4" t="s">
        <v>432</v>
      </c>
      <c r="P113" s="5"/>
      <c r="Q113" s="5"/>
      <c r="R113" s="4" t="s">
        <v>433</v>
      </c>
      <c r="S113" s="5"/>
      <c r="T113" s="4" t="s">
        <v>107</v>
      </c>
      <c r="U113" s="45">
        <v>100</v>
      </c>
      <c r="V113" s="4" t="s">
        <v>223</v>
      </c>
      <c r="W113" s="45">
        <v>100</v>
      </c>
      <c r="X113" s="4" t="s">
        <v>8</v>
      </c>
      <c r="Y113" s="5">
        <v>1</v>
      </c>
      <c r="Z113" s="4" t="s">
        <v>108</v>
      </c>
      <c r="AA113" s="5"/>
      <c r="AB113" s="5">
        <v>37</v>
      </c>
      <c r="AC113" s="4" t="s">
        <v>109</v>
      </c>
      <c r="AD113" s="45">
        <v>100</v>
      </c>
      <c r="AE113" s="4" t="s">
        <v>223</v>
      </c>
      <c r="AF113" s="4"/>
      <c r="AG113" s="5">
        <v>1000000</v>
      </c>
      <c r="AH113" s="5">
        <v>1000000</v>
      </c>
      <c r="AI113" s="5">
        <v>0</v>
      </c>
      <c r="AJ113" s="5">
        <v>1000000</v>
      </c>
      <c r="AK113" s="5">
        <v>0</v>
      </c>
      <c r="AL113" s="5">
        <v>1000000</v>
      </c>
      <c r="AM113" s="5"/>
    </row>
    <row r="114" spans="1:39" ht="51" x14ac:dyDescent="0.25">
      <c r="A114" s="4" t="s">
        <v>16</v>
      </c>
      <c r="B114" s="4" t="str">
        <f>VLOOKUP(A114,'Ledger &amp; Group'!A:C,2,0)</f>
        <v>Cavinkare</v>
      </c>
      <c r="C114" s="4">
        <f>VLOOKUP(A114,'Ledger &amp; Group'!A:C,3,0)</f>
        <v>60</v>
      </c>
      <c r="D114" s="45">
        <f t="shared" si="2"/>
        <v>162</v>
      </c>
      <c r="E114" s="4" t="str">
        <f ca="1">IF(D114&lt;=TODAY(),IF(ISNA(VLOOKUP(V114,'Unreconciled AR'!C:C,1,0)),"Due","Unreconciled AR"),"Outstanding")</f>
        <v>Due</v>
      </c>
      <c r="F114" s="4">
        <f t="shared" ca="1" si="3"/>
        <v>44597</v>
      </c>
      <c r="G114" s="4" t="e">
        <f ca="1">LOOKUP(F114,{-10000,-60,-30,-15,0,1,10000},{"&gt;60","31-60","16-30","01-15","Due on Today","OS"})</f>
        <v>#N/A</v>
      </c>
      <c r="H114" s="4" t="s">
        <v>103</v>
      </c>
      <c r="I114" s="4" t="s">
        <v>103</v>
      </c>
      <c r="J114" s="4" t="s">
        <v>104</v>
      </c>
      <c r="K114" s="4" t="s">
        <v>111</v>
      </c>
      <c r="L114" s="4" t="s">
        <v>112</v>
      </c>
      <c r="M114" s="4" t="s">
        <v>113</v>
      </c>
      <c r="N114" s="4" t="s">
        <v>103</v>
      </c>
      <c r="O114" s="4" t="s">
        <v>432</v>
      </c>
      <c r="P114" s="5"/>
      <c r="Q114" s="5"/>
      <c r="R114" s="4" t="s">
        <v>433</v>
      </c>
      <c r="S114" s="5"/>
      <c r="T114" s="4" t="s">
        <v>107</v>
      </c>
      <c r="U114" s="45">
        <v>102</v>
      </c>
      <c r="V114" s="4" t="s">
        <v>231</v>
      </c>
      <c r="W114" s="45">
        <v>102</v>
      </c>
      <c r="X114" s="4" t="s">
        <v>8</v>
      </c>
      <c r="Y114" s="5">
        <v>1</v>
      </c>
      <c r="Z114" s="4" t="s">
        <v>108</v>
      </c>
      <c r="AA114" s="5"/>
      <c r="AB114" s="5">
        <v>35</v>
      </c>
      <c r="AC114" s="4" t="s">
        <v>109</v>
      </c>
      <c r="AD114" s="45">
        <v>102</v>
      </c>
      <c r="AE114" s="4" t="s">
        <v>231</v>
      </c>
      <c r="AF114" s="4"/>
      <c r="AG114" s="5">
        <v>1000000</v>
      </c>
      <c r="AH114" s="5">
        <v>1000000</v>
      </c>
      <c r="AI114" s="5">
        <v>0</v>
      </c>
      <c r="AJ114" s="5">
        <v>1000000</v>
      </c>
      <c r="AK114" s="5">
        <v>0</v>
      </c>
      <c r="AL114" s="5">
        <v>1000000</v>
      </c>
      <c r="AM114" s="5"/>
    </row>
    <row r="115" spans="1:39" ht="51" x14ac:dyDescent="0.25">
      <c r="A115" s="4" t="s">
        <v>16</v>
      </c>
      <c r="B115" s="4" t="str">
        <f>VLOOKUP(A115,'Ledger &amp; Group'!A:C,2,0)</f>
        <v>Cavinkare</v>
      </c>
      <c r="C115" s="4">
        <f>VLOOKUP(A115,'Ledger &amp; Group'!A:C,3,0)</f>
        <v>60</v>
      </c>
      <c r="D115" s="45">
        <f t="shared" si="2"/>
        <v>163</v>
      </c>
      <c r="E115" s="4" t="str">
        <f ca="1">IF(D115&lt;=TODAY(),IF(ISNA(VLOOKUP(V115,'Unreconciled AR'!C:C,1,0)),"Due","Unreconciled AR"),"Outstanding")</f>
        <v>Due</v>
      </c>
      <c r="F115" s="4">
        <f t="shared" ca="1" si="3"/>
        <v>44596</v>
      </c>
      <c r="G115" s="4" t="e">
        <f ca="1">LOOKUP(F115,{-10000,-60,-30,-15,0,1,10000},{"&gt;60","31-60","16-30","01-15","Due on Today","OS"})</f>
        <v>#N/A</v>
      </c>
      <c r="H115" s="4" t="s">
        <v>103</v>
      </c>
      <c r="I115" s="4" t="s">
        <v>103</v>
      </c>
      <c r="J115" s="4" t="s">
        <v>104</v>
      </c>
      <c r="K115" s="4" t="s">
        <v>111</v>
      </c>
      <c r="L115" s="4" t="s">
        <v>112</v>
      </c>
      <c r="M115" s="4" t="s">
        <v>113</v>
      </c>
      <c r="N115" s="4" t="s">
        <v>103</v>
      </c>
      <c r="O115" s="4" t="s">
        <v>432</v>
      </c>
      <c r="P115" s="5"/>
      <c r="Q115" s="5"/>
      <c r="R115" s="4" t="s">
        <v>433</v>
      </c>
      <c r="S115" s="5"/>
      <c r="T115" s="4" t="s">
        <v>107</v>
      </c>
      <c r="U115" s="45">
        <v>103</v>
      </c>
      <c r="V115" s="4" t="s">
        <v>240</v>
      </c>
      <c r="W115" s="45">
        <v>103</v>
      </c>
      <c r="X115" s="4" t="s">
        <v>8</v>
      </c>
      <c r="Y115" s="5">
        <v>1</v>
      </c>
      <c r="Z115" s="4" t="s">
        <v>108</v>
      </c>
      <c r="AA115" s="5"/>
      <c r="AB115" s="5">
        <v>34</v>
      </c>
      <c r="AC115" s="4" t="s">
        <v>109</v>
      </c>
      <c r="AD115" s="45">
        <v>103</v>
      </c>
      <c r="AE115" s="4" t="s">
        <v>240</v>
      </c>
      <c r="AF115" s="4"/>
      <c r="AG115" s="5">
        <v>1000000</v>
      </c>
      <c r="AH115" s="5">
        <v>1000000</v>
      </c>
      <c r="AI115" s="5">
        <v>0</v>
      </c>
      <c r="AJ115" s="5">
        <v>1000000</v>
      </c>
      <c r="AK115" s="5">
        <v>0</v>
      </c>
      <c r="AL115" s="5">
        <v>1000000</v>
      </c>
      <c r="AM115" s="5"/>
    </row>
    <row r="116" spans="1:39" ht="51" x14ac:dyDescent="0.25">
      <c r="A116" s="4" t="s">
        <v>16</v>
      </c>
      <c r="B116" s="4" t="str">
        <f>VLOOKUP(A116,'Ledger &amp; Group'!A:C,2,0)</f>
        <v>Cavinkare</v>
      </c>
      <c r="C116" s="4">
        <f>VLOOKUP(A116,'Ledger &amp; Group'!A:C,3,0)</f>
        <v>60</v>
      </c>
      <c r="D116" s="45">
        <f t="shared" si="2"/>
        <v>165</v>
      </c>
      <c r="E116" s="4" t="str">
        <f ca="1">IF(D116&lt;=TODAY(),IF(ISNA(VLOOKUP(V116,'Unreconciled AR'!C:C,1,0)),"Due","Unreconciled AR"),"Outstanding")</f>
        <v>Due</v>
      </c>
      <c r="F116" s="4">
        <f t="shared" ca="1" si="3"/>
        <v>44594</v>
      </c>
      <c r="G116" s="4" t="e">
        <f ca="1">LOOKUP(F116,{-10000,-60,-30,-15,0,1,10000},{"&gt;60","31-60","16-30","01-15","Due on Today","OS"})</f>
        <v>#N/A</v>
      </c>
      <c r="H116" s="4" t="s">
        <v>103</v>
      </c>
      <c r="I116" s="4" t="s">
        <v>103</v>
      </c>
      <c r="J116" s="4" t="s">
        <v>104</v>
      </c>
      <c r="K116" s="4" t="s">
        <v>111</v>
      </c>
      <c r="L116" s="4" t="s">
        <v>112</v>
      </c>
      <c r="M116" s="4" t="s">
        <v>113</v>
      </c>
      <c r="N116" s="4" t="s">
        <v>103</v>
      </c>
      <c r="O116" s="4" t="s">
        <v>432</v>
      </c>
      <c r="P116" s="5"/>
      <c r="Q116" s="5"/>
      <c r="R116" s="4" t="s">
        <v>433</v>
      </c>
      <c r="S116" s="5"/>
      <c r="T116" s="4" t="s">
        <v>107</v>
      </c>
      <c r="U116" s="45">
        <v>105</v>
      </c>
      <c r="V116" s="4" t="s">
        <v>241</v>
      </c>
      <c r="W116" s="45">
        <v>105</v>
      </c>
      <c r="X116" s="4" t="s">
        <v>8</v>
      </c>
      <c r="Y116" s="5">
        <v>1</v>
      </c>
      <c r="Z116" s="4" t="s">
        <v>108</v>
      </c>
      <c r="AA116" s="5"/>
      <c r="AB116" s="5">
        <v>32</v>
      </c>
      <c r="AC116" s="4" t="s">
        <v>109</v>
      </c>
      <c r="AD116" s="45">
        <v>105</v>
      </c>
      <c r="AE116" s="4" t="s">
        <v>241</v>
      </c>
      <c r="AF116" s="4"/>
      <c r="AG116" s="5">
        <v>1000000</v>
      </c>
      <c r="AH116" s="5">
        <v>1000000</v>
      </c>
      <c r="AI116" s="5">
        <v>0</v>
      </c>
      <c r="AJ116" s="5">
        <v>1000000</v>
      </c>
      <c r="AK116" s="5">
        <v>0</v>
      </c>
      <c r="AL116" s="5">
        <v>1000000</v>
      </c>
      <c r="AM116" s="5"/>
    </row>
    <row r="117" spans="1:39" ht="51" x14ac:dyDescent="0.25">
      <c r="A117" s="4" t="s">
        <v>16</v>
      </c>
      <c r="B117" s="4" t="str">
        <f>VLOOKUP(A117,'Ledger &amp; Group'!A:C,2,0)</f>
        <v>Cavinkare</v>
      </c>
      <c r="C117" s="4">
        <f>VLOOKUP(A117,'Ledger &amp; Group'!A:C,3,0)</f>
        <v>60</v>
      </c>
      <c r="D117" s="45">
        <f t="shared" si="2"/>
        <v>166</v>
      </c>
      <c r="E117" s="4" t="str">
        <f ca="1">IF(D117&lt;=TODAY(),IF(ISNA(VLOOKUP(V117,'Unreconciled AR'!C:C,1,0)),"Due","Unreconciled AR"),"Outstanding")</f>
        <v>Due</v>
      </c>
      <c r="F117" s="4">
        <f t="shared" ca="1" si="3"/>
        <v>44593</v>
      </c>
      <c r="G117" s="4" t="e">
        <f ca="1">LOOKUP(F117,{-10000,-60,-30,-15,0,1,10000},{"&gt;60","31-60","16-30","01-15","Due on Today","OS"})</f>
        <v>#N/A</v>
      </c>
      <c r="H117" s="4" t="s">
        <v>103</v>
      </c>
      <c r="I117" s="4" t="s">
        <v>103</v>
      </c>
      <c r="J117" s="4" t="s">
        <v>104</v>
      </c>
      <c r="K117" s="4" t="s">
        <v>111</v>
      </c>
      <c r="L117" s="4" t="s">
        <v>112</v>
      </c>
      <c r="M117" s="4" t="s">
        <v>113</v>
      </c>
      <c r="N117" s="4" t="s">
        <v>103</v>
      </c>
      <c r="O117" s="4" t="s">
        <v>432</v>
      </c>
      <c r="P117" s="5"/>
      <c r="Q117" s="5"/>
      <c r="R117" s="4" t="s">
        <v>433</v>
      </c>
      <c r="S117" s="5"/>
      <c r="T117" s="4" t="s">
        <v>107</v>
      </c>
      <c r="U117" s="45">
        <v>106</v>
      </c>
      <c r="V117" s="4" t="s">
        <v>242</v>
      </c>
      <c r="W117" s="45">
        <v>106</v>
      </c>
      <c r="X117" s="4" t="s">
        <v>8</v>
      </c>
      <c r="Y117" s="5">
        <v>1</v>
      </c>
      <c r="Z117" s="4" t="s">
        <v>108</v>
      </c>
      <c r="AA117" s="5"/>
      <c r="AB117" s="5">
        <v>31</v>
      </c>
      <c r="AC117" s="4" t="s">
        <v>109</v>
      </c>
      <c r="AD117" s="45">
        <v>106</v>
      </c>
      <c r="AE117" s="4" t="s">
        <v>242</v>
      </c>
      <c r="AF117" s="4"/>
      <c r="AG117" s="5">
        <v>1000000</v>
      </c>
      <c r="AH117" s="5">
        <v>1000000</v>
      </c>
      <c r="AI117" s="5">
        <v>0</v>
      </c>
      <c r="AJ117" s="5">
        <v>1000000</v>
      </c>
      <c r="AK117" s="5">
        <v>0</v>
      </c>
      <c r="AL117" s="5">
        <v>1000000</v>
      </c>
      <c r="AM117" s="5"/>
    </row>
    <row r="118" spans="1:39" ht="51" x14ac:dyDescent="0.25">
      <c r="A118" s="4" t="s">
        <v>16</v>
      </c>
      <c r="B118" s="4" t="str">
        <f>VLOOKUP(A118,'Ledger &amp; Group'!A:C,2,0)</f>
        <v>Cavinkare</v>
      </c>
      <c r="C118" s="4">
        <f>VLOOKUP(A118,'Ledger &amp; Group'!A:C,3,0)</f>
        <v>60</v>
      </c>
      <c r="D118" s="45">
        <f t="shared" si="2"/>
        <v>167</v>
      </c>
      <c r="E118" s="4" t="str">
        <f ca="1">IF(D118&lt;=TODAY(),IF(ISNA(VLOOKUP(V118,'Unreconciled AR'!C:C,1,0)),"Due","Unreconciled AR"),"Outstanding")</f>
        <v>Due</v>
      </c>
      <c r="F118" s="4">
        <f t="shared" ca="1" si="3"/>
        <v>44592</v>
      </c>
      <c r="G118" s="4" t="e">
        <f ca="1">LOOKUP(F118,{-10000,-60,-30,-15,0,1,10000},{"&gt;60","31-60","16-30","01-15","Due on Today","OS"})</f>
        <v>#N/A</v>
      </c>
      <c r="H118" s="4" t="s">
        <v>103</v>
      </c>
      <c r="I118" s="4" t="s">
        <v>103</v>
      </c>
      <c r="J118" s="4" t="s">
        <v>104</v>
      </c>
      <c r="K118" s="4" t="s">
        <v>111</v>
      </c>
      <c r="L118" s="4" t="s">
        <v>112</v>
      </c>
      <c r="M118" s="4" t="s">
        <v>113</v>
      </c>
      <c r="N118" s="4" t="s">
        <v>103</v>
      </c>
      <c r="O118" s="4" t="s">
        <v>432</v>
      </c>
      <c r="P118" s="5"/>
      <c r="Q118" s="5"/>
      <c r="R118" s="4" t="s">
        <v>433</v>
      </c>
      <c r="S118" s="5"/>
      <c r="T118" s="4" t="s">
        <v>107</v>
      </c>
      <c r="U118" s="45">
        <v>107</v>
      </c>
      <c r="V118" s="4" t="s">
        <v>255</v>
      </c>
      <c r="W118" s="45">
        <v>107</v>
      </c>
      <c r="X118" s="4" t="s">
        <v>8</v>
      </c>
      <c r="Y118" s="5">
        <v>1</v>
      </c>
      <c r="Z118" s="4" t="s">
        <v>108</v>
      </c>
      <c r="AA118" s="5"/>
      <c r="AB118" s="5">
        <v>30</v>
      </c>
      <c r="AC118" s="4" t="s">
        <v>109</v>
      </c>
      <c r="AD118" s="45">
        <v>107</v>
      </c>
      <c r="AE118" s="4" t="s">
        <v>255</v>
      </c>
      <c r="AF118" s="4"/>
      <c r="AG118" s="5">
        <v>1000000</v>
      </c>
      <c r="AH118" s="5">
        <v>1000000</v>
      </c>
      <c r="AI118" s="5">
        <v>0</v>
      </c>
      <c r="AJ118" s="5">
        <v>1000000</v>
      </c>
      <c r="AK118" s="5">
        <v>0</v>
      </c>
      <c r="AL118" s="5">
        <v>1000000</v>
      </c>
      <c r="AM118" s="5"/>
    </row>
    <row r="119" spans="1:39" ht="51" x14ac:dyDescent="0.25">
      <c r="A119" s="4" t="s">
        <v>16</v>
      </c>
      <c r="B119" s="4" t="str">
        <f>VLOOKUP(A119,'Ledger &amp; Group'!A:C,2,0)</f>
        <v>Cavinkare</v>
      </c>
      <c r="C119" s="4">
        <f>VLOOKUP(A119,'Ledger &amp; Group'!A:C,3,0)</f>
        <v>60</v>
      </c>
      <c r="D119" s="45">
        <f t="shared" si="2"/>
        <v>169</v>
      </c>
      <c r="E119" s="4" t="str">
        <f ca="1">IF(D119&lt;=TODAY(),IF(ISNA(VLOOKUP(V119,'Unreconciled AR'!C:C,1,0)),"Due","Unreconciled AR"),"Outstanding")</f>
        <v>Due</v>
      </c>
      <c r="F119" s="4">
        <f t="shared" ca="1" si="3"/>
        <v>44590</v>
      </c>
      <c r="G119" s="4" t="e">
        <f ca="1">LOOKUP(F119,{-10000,-60,-30,-15,0,1,10000},{"&gt;60","31-60","16-30","01-15","Due on Today","OS"})</f>
        <v>#N/A</v>
      </c>
      <c r="H119" s="4" t="s">
        <v>103</v>
      </c>
      <c r="I119" s="4" t="s">
        <v>103</v>
      </c>
      <c r="J119" s="4" t="s">
        <v>104</v>
      </c>
      <c r="K119" s="4" t="s">
        <v>111</v>
      </c>
      <c r="L119" s="4" t="s">
        <v>112</v>
      </c>
      <c r="M119" s="4" t="s">
        <v>113</v>
      </c>
      <c r="N119" s="4" t="s">
        <v>103</v>
      </c>
      <c r="O119" s="4" t="s">
        <v>432</v>
      </c>
      <c r="P119" s="5"/>
      <c r="Q119" s="5"/>
      <c r="R119" s="4" t="s">
        <v>433</v>
      </c>
      <c r="S119" s="5"/>
      <c r="T119" s="4" t="s">
        <v>107</v>
      </c>
      <c r="U119" s="45">
        <v>109</v>
      </c>
      <c r="V119" s="4" t="s">
        <v>256</v>
      </c>
      <c r="W119" s="45">
        <v>109</v>
      </c>
      <c r="X119" s="4" t="s">
        <v>8</v>
      </c>
      <c r="Y119" s="5">
        <v>1</v>
      </c>
      <c r="Z119" s="4" t="s">
        <v>108</v>
      </c>
      <c r="AA119" s="5"/>
      <c r="AB119" s="5">
        <v>28</v>
      </c>
      <c r="AC119" s="4" t="s">
        <v>109</v>
      </c>
      <c r="AD119" s="45">
        <v>109</v>
      </c>
      <c r="AE119" s="4" t="s">
        <v>256</v>
      </c>
      <c r="AF119" s="4"/>
      <c r="AG119" s="5">
        <v>1000000</v>
      </c>
      <c r="AH119" s="5">
        <v>1000000</v>
      </c>
      <c r="AI119" s="5">
        <v>0</v>
      </c>
      <c r="AJ119" s="5">
        <v>1000000</v>
      </c>
      <c r="AK119" s="5">
        <v>0</v>
      </c>
      <c r="AL119" s="5">
        <v>1000000</v>
      </c>
      <c r="AM119" s="5"/>
    </row>
    <row r="120" spans="1:39" ht="51" x14ac:dyDescent="0.25">
      <c r="A120" s="4" t="s">
        <v>16</v>
      </c>
      <c r="B120" s="4" t="str">
        <f>VLOOKUP(A120,'Ledger &amp; Group'!A:C,2,0)</f>
        <v>Cavinkare</v>
      </c>
      <c r="C120" s="4">
        <f>VLOOKUP(A120,'Ledger &amp; Group'!A:C,3,0)</f>
        <v>60</v>
      </c>
      <c r="D120" s="45">
        <f t="shared" si="2"/>
        <v>170</v>
      </c>
      <c r="E120" s="4" t="str">
        <f ca="1">IF(D120&lt;=TODAY(),IF(ISNA(VLOOKUP(V120,'Unreconciled AR'!C:C,1,0)),"Due","Unreconciled AR"),"Outstanding")</f>
        <v>Due</v>
      </c>
      <c r="F120" s="4">
        <f t="shared" ca="1" si="3"/>
        <v>44589</v>
      </c>
      <c r="G120" s="4" t="e">
        <f ca="1">LOOKUP(F120,{-10000,-60,-30,-15,0,1,10000},{"&gt;60","31-60","16-30","01-15","Due on Today","OS"})</f>
        <v>#N/A</v>
      </c>
      <c r="H120" s="4" t="s">
        <v>103</v>
      </c>
      <c r="I120" s="4" t="s">
        <v>103</v>
      </c>
      <c r="J120" s="4" t="s">
        <v>104</v>
      </c>
      <c r="K120" s="4" t="s">
        <v>111</v>
      </c>
      <c r="L120" s="4" t="s">
        <v>112</v>
      </c>
      <c r="M120" s="4" t="s">
        <v>113</v>
      </c>
      <c r="N120" s="4" t="s">
        <v>103</v>
      </c>
      <c r="O120" s="4" t="s">
        <v>432</v>
      </c>
      <c r="P120" s="5"/>
      <c r="Q120" s="5"/>
      <c r="R120" s="4" t="s">
        <v>433</v>
      </c>
      <c r="S120" s="5"/>
      <c r="T120" s="4" t="s">
        <v>107</v>
      </c>
      <c r="U120" s="45">
        <v>110</v>
      </c>
      <c r="V120" s="4" t="s">
        <v>264</v>
      </c>
      <c r="W120" s="45">
        <v>110</v>
      </c>
      <c r="X120" s="4" t="s">
        <v>8</v>
      </c>
      <c r="Y120" s="5">
        <v>1</v>
      </c>
      <c r="Z120" s="4" t="s">
        <v>108</v>
      </c>
      <c r="AA120" s="5"/>
      <c r="AB120" s="5">
        <v>27</v>
      </c>
      <c r="AC120" s="4" t="s">
        <v>109</v>
      </c>
      <c r="AD120" s="45">
        <v>110</v>
      </c>
      <c r="AE120" s="4" t="s">
        <v>264</v>
      </c>
      <c r="AF120" s="4"/>
      <c r="AG120" s="5">
        <v>1000000</v>
      </c>
      <c r="AH120" s="5">
        <v>1000000</v>
      </c>
      <c r="AI120" s="5">
        <v>0</v>
      </c>
      <c r="AJ120" s="5">
        <v>1000000</v>
      </c>
      <c r="AK120" s="5">
        <v>0</v>
      </c>
      <c r="AL120" s="5">
        <v>1000000</v>
      </c>
      <c r="AM120" s="5"/>
    </row>
    <row r="121" spans="1:39" ht="51" x14ac:dyDescent="0.25">
      <c r="A121" s="4" t="s">
        <v>16</v>
      </c>
      <c r="B121" s="4" t="str">
        <f>VLOOKUP(A121,'Ledger &amp; Group'!A:C,2,0)</f>
        <v>Cavinkare</v>
      </c>
      <c r="C121" s="4">
        <f>VLOOKUP(A121,'Ledger &amp; Group'!A:C,3,0)</f>
        <v>60</v>
      </c>
      <c r="D121" s="45">
        <f t="shared" si="2"/>
        <v>172</v>
      </c>
      <c r="E121" s="4" t="str">
        <f ca="1">IF(D121&lt;=TODAY(),IF(ISNA(VLOOKUP(V121,'Unreconciled AR'!C:C,1,0)),"Due","Unreconciled AR"),"Outstanding")</f>
        <v>Due</v>
      </c>
      <c r="F121" s="4">
        <f t="shared" ca="1" si="3"/>
        <v>44587</v>
      </c>
      <c r="G121" s="4" t="e">
        <f ca="1">LOOKUP(F121,{-10000,-60,-30,-15,0,1,10000},{"&gt;60","31-60","16-30","01-15","Due on Today","OS"})</f>
        <v>#N/A</v>
      </c>
      <c r="H121" s="4" t="s">
        <v>103</v>
      </c>
      <c r="I121" s="4" t="s">
        <v>103</v>
      </c>
      <c r="J121" s="4" t="s">
        <v>104</v>
      </c>
      <c r="K121" s="4" t="s">
        <v>111</v>
      </c>
      <c r="L121" s="4" t="s">
        <v>112</v>
      </c>
      <c r="M121" s="4" t="s">
        <v>113</v>
      </c>
      <c r="N121" s="4" t="s">
        <v>103</v>
      </c>
      <c r="O121" s="4" t="s">
        <v>432</v>
      </c>
      <c r="P121" s="5"/>
      <c r="Q121" s="5"/>
      <c r="R121" s="4" t="s">
        <v>433</v>
      </c>
      <c r="S121" s="5"/>
      <c r="T121" s="4" t="s">
        <v>107</v>
      </c>
      <c r="U121" s="45">
        <v>112</v>
      </c>
      <c r="V121" s="4" t="s">
        <v>271</v>
      </c>
      <c r="W121" s="45">
        <v>112</v>
      </c>
      <c r="X121" s="4" t="s">
        <v>8</v>
      </c>
      <c r="Y121" s="5">
        <v>1</v>
      </c>
      <c r="Z121" s="4" t="s">
        <v>108</v>
      </c>
      <c r="AA121" s="5"/>
      <c r="AB121" s="5">
        <v>25</v>
      </c>
      <c r="AC121" s="4" t="s">
        <v>109</v>
      </c>
      <c r="AD121" s="45">
        <v>112</v>
      </c>
      <c r="AE121" s="4" t="s">
        <v>271</v>
      </c>
      <c r="AF121" s="4"/>
      <c r="AG121" s="5">
        <v>1000000</v>
      </c>
      <c r="AH121" s="5">
        <v>1000000</v>
      </c>
      <c r="AI121" s="5">
        <v>0</v>
      </c>
      <c r="AJ121" s="5">
        <v>1000000</v>
      </c>
      <c r="AK121" s="5">
        <v>0</v>
      </c>
      <c r="AL121" s="5">
        <v>1000000</v>
      </c>
      <c r="AM121" s="5"/>
    </row>
    <row r="122" spans="1:39" ht="51" x14ac:dyDescent="0.25">
      <c r="A122" s="4" t="s">
        <v>16</v>
      </c>
      <c r="B122" s="4" t="str">
        <f>VLOOKUP(A122,'Ledger &amp; Group'!A:C,2,0)</f>
        <v>Cavinkare</v>
      </c>
      <c r="C122" s="4">
        <f>VLOOKUP(A122,'Ledger &amp; Group'!A:C,3,0)</f>
        <v>60</v>
      </c>
      <c r="D122" s="45">
        <f t="shared" si="2"/>
        <v>173</v>
      </c>
      <c r="E122" s="4" t="str">
        <f ca="1">IF(D122&lt;=TODAY(),IF(ISNA(VLOOKUP(V122,'Unreconciled AR'!C:C,1,0)),"Due","Unreconciled AR"),"Outstanding")</f>
        <v>Due</v>
      </c>
      <c r="F122" s="4">
        <f t="shared" ca="1" si="3"/>
        <v>44586</v>
      </c>
      <c r="G122" s="4" t="e">
        <f ca="1">LOOKUP(F122,{-10000,-60,-30,-15,0,1,10000},{"&gt;60","31-60","16-30","01-15","Due on Today","OS"})</f>
        <v>#N/A</v>
      </c>
      <c r="H122" s="4" t="s">
        <v>103</v>
      </c>
      <c r="I122" s="4" t="s">
        <v>103</v>
      </c>
      <c r="J122" s="4" t="s">
        <v>104</v>
      </c>
      <c r="K122" s="4" t="s">
        <v>111</v>
      </c>
      <c r="L122" s="4" t="s">
        <v>112</v>
      </c>
      <c r="M122" s="4" t="s">
        <v>113</v>
      </c>
      <c r="N122" s="4" t="s">
        <v>103</v>
      </c>
      <c r="O122" s="4" t="s">
        <v>432</v>
      </c>
      <c r="P122" s="5"/>
      <c r="Q122" s="5"/>
      <c r="R122" s="4" t="s">
        <v>433</v>
      </c>
      <c r="S122" s="5"/>
      <c r="T122" s="4" t="s">
        <v>107</v>
      </c>
      <c r="U122" s="45">
        <v>113</v>
      </c>
      <c r="V122" s="4" t="s">
        <v>278</v>
      </c>
      <c r="W122" s="45">
        <v>113</v>
      </c>
      <c r="X122" s="4" t="s">
        <v>8</v>
      </c>
      <c r="Y122" s="5">
        <v>1</v>
      </c>
      <c r="Z122" s="4" t="s">
        <v>108</v>
      </c>
      <c r="AA122" s="5"/>
      <c r="AB122" s="5">
        <v>24</v>
      </c>
      <c r="AC122" s="4" t="s">
        <v>109</v>
      </c>
      <c r="AD122" s="45">
        <v>113</v>
      </c>
      <c r="AE122" s="4" t="s">
        <v>278</v>
      </c>
      <c r="AF122" s="4"/>
      <c r="AG122" s="5">
        <v>1000000</v>
      </c>
      <c r="AH122" s="5">
        <v>1000000</v>
      </c>
      <c r="AI122" s="5">
        <v>0</v>
      </c>
      <c r="AJ122" s="5">
        <v>1000000</v>
      </c>
      <c r="AK122" s="5">
        <v>0</v>
      </c>
      <c r="AL122" s="5">
        <v>1000000</v>
      </c>
      <c r="AM122" s="5"/>
    </row>
    <row r="123" spans="1:39" ht="51" x14ac:dyDescent="0.25">
      <c r="A123" s="4" t="s">
        <v>16</v>
      </c>
      <c r="B123" s="4" t="str">
        <f>VLOOKUP(A123,'Ledger &amp; Group'!A:C,2,0)</f>
        <v>Cavinkare</v>
      </c>
      <c r="C123" s="4">
        <f>VLOOKUP(A123,'Ledger &amp; Group'!A:C,3,0)</f>
        <v>60</v>
      </c>
      <c r="D123" s="45">
        <f t="shared" si="2"/>
        <v>176</v>
      </c>
      <c r="E123" s="4" t="str">
        <f ca="1">IF(D123&lt;=TODAY(),IF(ISNA(VLOOKUP(V123,'Unreconciled AR'!C:C,1,0)),"Due","Unreconciled AR"),"Outstanding")</f>
        <v>Due</v>
      </c>
      <c r="F123" s="4">
        <f t="shared" ca="1" si="3"/>
        <v>44583</v>
      </c>
      <c r="G123" s="4" t="e">
        <f ca="1">LOOKUP(F123,{-10000,-60,-30,-15,0,1,10000},{"&gt;60","31-60","16-30","01-15","Due on Today","OS"})</f>
        <v>#N/A</v>
      </c>
      <c r="H123" s="4" t="s">
        <v>103</v>
      </c>
      <c r="I123" s="4" t="s">
        <v>103</v>
      </c>
      <c r="J123" s="4" t="s">
        <v>104</v>
      </c>
      <c r="K123" s="4" t="s">
        <v>111</v>
      </c>
      <c r="L123" s="4" t="s">
        <v>112</v>
      </c>
      <c r="M123" s="4" t="s">
        <v>113</v>
      </c>
      <c r="N123" s="4" t="s">
        <v>103</v>
      </c>
      <c r="O123" s="4" t="s">
        <v>432</v>
      </c>
      <c r="P123" s="5"/>
      <c r="Q123" s="5"/>
      <c r="R123" s="4" t="s">
        <v>433</v>
      </c>
      <c r="S123" s="5"/>
      <c r="T123" s="4" t="s">
        <v>107</v>
      </c>
      <c r="U123" s="45">
        <v>116</v>
      </c>
      <c r="V123" s="4" t="s">
        <v>279</v>
      </c>
      <c r="W123" s="45">
        <v>116</v>
      </c>
      <c r="X123" s="4" t="s">
        <v>8</v>
      </c>
      <c r="Y123" s="5">
        <v>1</v>
      </c>
      <c r="Z123" s="4" t="s">
        <v>108</v>
      </c>
      <c r="AA123" s="5"/>
      <c r="AB123" s="5">
        <v>21</v>
      </c>
      <c r="AC123" s="4" t="s">
        <v>109</v>
      </c>
      <c r="AD123" s="45">
        <v>116</v>
      </c>
      <c r="AE123" s="4" t="s">
        <v>279</v>
      </c>
      <c r="AF123" s="4"/>
      <c r="AG123" s="5">
        <v>1000000</v>
      </c>
      <c r="AH123" s="5">
        <v>1000000</v>
      </c>
      <c r="AI123" s="5">
        <v>0</v>
      </c>
      <c r="AJ123" s="5">
        <v>1000000</v>
      </c>
      <c r="AK123" s="5">
        <v>0</v>
      </c>
      <c r="AL123" s="5">
        <v>1000000</v>
      </c>
      <c r="AM123" s="5"/>
    </row>
    <row r="124" spans="1:39" ht="51" x14ac:dyDescent="0.25">
      <c r="A124" s="4" t="s">
        <v>16</v>
      </c>
      <c r="B124" s="4" t="str">
        <f>VLOOKUP(A124,'Ledger &amp; Group'!A:C,2,0)</f>
        <v>Cavinkare</v>
      </c>
      <c r="C124" s="4">
        <f>VLOOKUP(A124,'Ledger &amp; Group'!A:C,3,0)</f>
        <v>60</v>
      </c>
      <c r="D124" s="45">
        <f t="shared" si="2"/>
        <v>177</v>
      </c>
      <c r="E124" s="4" t="str">
        <f ca="1">IF(D124&lt;=TODAY(),IF(ISNA(VLOOKUP(V124,'Unreconciled AR'!C:C,1,0)),"Due","Unreconciled AR"),"Outstanding")</f>
        <v>Due</v>
      </c>
      <c r="F124" s="4">
        <f t="shared" ca="1" si="3"/>
        <v>44582</v>
      </c>
      <c r="G124" s="4" t="e">
        <f ca="1">LOOKUP(F124,{-10000,-60,-30,-15,0,1,10000},{"&gt;60","31-60","16-30","01-15","Due on Today","OS"})</f>
        <v>#N/A</v>
      </c>
      <c r="H124" s="4" t="s">
        <v>103</v>
      </c>
      <c r="I124" s="4" t="s">
        <v>103</v>
      </c>
      <c r="J124" s="4" t="s">
        <v>104</v>
      </c>
      <c r="K124" s="4" t="s">
        <v>111</v>
      </c>
      <c r="L124" s="4" t="s">
        <v>112</v>
      </c>
      <c r="M124" s="4" t="s">
        <v>113</v>
      </c>
      <c r="N124" s="4" t="s">
        <v>103</v>
      </c>
      <c r="O124" s="4" t="s">
        <v>432</v>
      </c>
      <c r="P124" s="5"/>
      <c r="Q124" s="5"/>
      <c r="R124" s="4" t="s">
        <v>433</v>
      </c>
      <c r="S124" s="5"/>
      <c r="T124" s="4" t="s">
        <v>107</v>
      </c>
      <c r="U124" s="45">
        <v>117</v>
      </c>
      <c r="V124" s="4" t="s">
        <v>289</v>
      </c>
      <c r="W124" s="45">
        <v>117</v>
      </c>
      <c r="X124" s="4" t="s">
        <v>8</v>
      </c>
      <c r="Y124" s="5">
        <v>1</v>
      </c>
      <c r="Z124" s="4" t="s">
        <v>108</v>
      </c>
      <c r="AA124" s="5"/>
      <c r="AB124" s="5">
        <v>20</v>
      </c>
      <c r="AC124" s="4" t="s">
        <v>109</v>
      </c>
      <c r="AD124" s="45">
        <v>117</v>
      </c>
      <c r="AE124" s="4" t="s">
        <v>289</v>
      </c>
      <c r="AF124" s="4"/>
      <c r="AG124" s="5">
        <v>1000000</v>
      </c>
      <c r="AH124" s="5">
        <v>1000000</v>
      </c>
      <c r="AI124" s="5">
        <v>0</v>
      </c>
      <c r="AJ124" s="5">
        <v>1000000</v>
      </c>
      <c r="AK124" s="5">
        <v>0</v>
      </c>
      <c r="AL124" s="5">
        <v>1000000</v>
      </c>
      <c r="AM124" s="5"/>
    </row>
    <row r="125" spans="1:39" ht="51" x14ac:dyDescent="0.25">
      <c r="A125" s="4" t="s">
        <v>16</v>
      </c>
      <c r="B125" s="4" t="str">
        <f>VLOOKUP(A125,'Ledger &amp; Group'!A:C,2,0)</f>
        <v>Cavinkare</v>
      </c>
      <c r="C125" s="4">
        <f>VLOOKUP(A125,'Ledger &amp; Group'!A:C,3,0)</f>
        <v>60</v>
      </c>
      <c r="D125" s="45">
        <f t="shared" si="2"/>
        <v>178</v>
      </c>
      <c r="E125" s="4" t="str">
        <f ca="1">IF(D125&lt;=TODAY(),IF(ISNA(VLOOKUP(V125,'Unreconciled AR'!C:C,1,0)),"Due","Unreconciled AR"),"Outstanding")</f>
        <v>Due</v>
      </c>
      <c r="F125" s="4">
        <f t="shared" ca="1" si="3"/>
        <v>44581</v>
      </c>
      <c r="G125" s="4" t="e">
        <f ca="1">LOOKUP(F125,{-10000,-60,-30,-15,0,1,10000},{"&gt;60","31-60","16-30","01-15","Due on Today","OS"})</f>
        <v>#N/A</v>
      </c>
      <c r="H125" s="4" t="s">
        <v>103</v>
      </c>
      <c r="I125" s="4" t="s">
        <v>103</v>
      </c>
      <c r="J125" s="4" t="s">
        <v>104</v>
      </c>
      <c r="K125" s="4" t="s">
        <v>111</v>
      </c>
      <c r="L125" s="4" t="s">
        <v>112</v>
      </c>
      <c r="M125" s="4" t="s">
        <v>113</v>
      </c>
      <c r="N125" s="4" t="s">
        <v>103</v>
      </c>
      <c r="O125" s="4" t="s">
        <v>432</v>
      </c>
      <c r="P125" s="5"/>
      <c r="Q125" s="5"/>
      <c r="R125" s="4" t="s">
        <v>433</v>
      </c>
      <c r="S125" s="5"/>
      <c r="T125" s="4" t="s">
        <v>107</v>
      </c>
      <c r="U125" s="45">
        <v>118</v>
      </c>
      <c r="V125" s="4" t="s">
        <v>297</v>
      </c>
      <c r="W125" s="45">
        <v>118</v>
      </c>
      <c r="X125" s="4" t="s">
        <v>8</v>
      </c>
      <c r="Y125" s="5">
        <v>1</v>
      </c>
      <c r="Z125" s="4" t="s">
        <v>108</v>
      </c>
      <c r="AA125" s="5"/>
      <c r="AB125" s="5">
        <v>19</v>
      </c>
      <c r="AC125" s="4" t="s">
        <v>109</v>
      </c>
      <c r="AD125" s="45">
        <v>118</v>
      </c>
      <c r="AE125" s="4" t="s">
        <v>297</v>
      </c>
      <c r="AF125" s="4"/>
      <c r="AG125" s="5">
        <v>1000000</v>
      </c>
      <c r="AH125" s="5">
        <v>1000000</v>
      </c>
      <c r="AI125" s="5">
        <v>0</v>
      </c>
      <c r="AJ125" s="5">
        <v>1000000</v>
      </c>
      <c r="AK125" s="5">
        <v>0</v>
      </c>
      <c r="AL125" s="5">
        <v>1000000</v>
      </c>
      <c r="AM125" s="5"/>
    </row>
    <row r="126" spans="1:39" ht="51" x14ac:dyDescent="0.25">
      <c r="A126" s="4" t="s">
        <v>16</v>
      </c>
      <c r="B126" s="4" t="str">
        <f>VLOOKUP(A126,'Ledger &amp; Group'!A:C,2,0)</f>
        <v>Cavinkare</v>
      </c>
      <c r="C126" s="4">
        <f>VLOOKUP(A126,'Ledger &amp; Group'!A:C,3,0)</f>
        <v>60</v>
      </c>
      <c r="D126" s="45">
        <f t="shared" si="2"/>
        <v>180</v>
      </c>
      <c r="E126" s="4" t="str">
        <f ca="1">IF(D126&lt;=TODAY(),IF(ISNA(VLOOKUP(V126,'Unreconciled AR'!C:C,1,0)),"Due","Unreconciled AR"),"Outstanding")</f>
        <v>Due</v>
      </c>
      <c r="F126" s="4">
        <f t="shared" ca="1" si="3"/>
        <v>44579</v>
      </c>
      <c r="G126" s="4" t="e">
        <f ca="1">LOOKUP(F126,{-10000,-60,-30,-15,0,1,10000},{"&gt;60","31-60","16-30","01-15","Due on Today","OS"})</f>
        <v>#N/A</v>
      </c>
      <c r="H126" s="4" t="s">
        <v>103</v>
      </c>
      <c r="I126" s="4" t="s">
        <v>103</v>
      </c>
      <c r="J126" s="4" t="s">
        <v>104</v>
      </c>
      <c r="K126" s="4" t="s">
        <v>111</v>
      </c>
      <c r="L126" s="4" t="s">
        <v>112</v>
      </c>
      <c r="M126" s="4" t="s">
        <v>113</v>
      </c>
      <c r="N126" s="4" t="s">
        <v>103</v>
      </c>
      <c r="O126" s="4" t="s">
        <v>432</v>
      </c>
      <c r="P126" s="5"/>
      <c r="Q126" s="5"/>
      <c r="R126" s="4" t="s">
        <v>433</v>
      </c>
      <c r="S126" s="5"/>
      <c r="T126" s="4" t="s">
        <v>107</v>
      </c>
      <c r="U126" s="45">
        <v>120</v>
      </c>
      <c r="V126" s="4" t="s">
        <v>301</v>
      </c>
      <c r="W126" s="45">
        <v>120</v>
      </c>
      <c r="X126" s="4" t="s">
        <v>8</v>
      </c>
      <c r="Y126" s="5">
        <v>1</v>
      </c>
      <c r="Z126" s="4" t="s">
        <v>108</v>
      </c>
      <c r="AA126" s="5"/>
      <c r="AB126" s="5">
        <v>17</v>
      </c>
      <c r="AC126" s="4" t="s">
        <v>109</v>
      </c>
      <c r="AD126" s="45">
        <v>120</v>
      </c>
      <c r="AE126" s="4" t="s">
        <v>301</v>
      </c>
      <c r="AF126" s="4"/>
      <c r="AG126" s="5">
        <v>1000000</v>
      </c>
      <c r="AH126" s="5">
        <v>1000000</v>
      </c>
      <c r="AI126" s="5">
        <v>0</v>
      </c>
      <c r="AJ126" s="5">
        <v>1000000</v>
      </c>
      <c r="AK126" s="5">
        <v>0</v>
      </c>
      <c r="AL126" s="5">
        <v>1000000</v>
      </c>
      <c r="AM126" s="5"/>
    </row>
    <row r="127" spans="1:39" ht="51" x14ac:dyDescent="0.25">
      <c r="A127" s="4" t="s">
        <v>16</v>
      </c>
      <c r="B127" s="4" t="str">
        <f>VLOOKUP(A127,'Ledger &amp; Group'!A:C,2,0)</f>
        <v>Cavinkare</v>
      </c>
      <c r="C127" s="4">
        <f>VLOOKUP(A127,'Ledger &amp; Group'!A:C,3,0)</f>
        <v>60</v>
      </c>
      <c r="D127" s="45">
        <f t="shared" si="2"/>
        <v>181</v>
      </c>
      <c r="E127" s="4" t="str">
        <f ca="1">IF(D127&lt;=TODAY(),IF(ISNA(VLOOKUP(V127,'Unreconciled AR'!C:C,1,0)),"Due","Unreconciled AR"),"Outstanding")</f>
        <v>Due</v>
      </c>
      <c r="F127" s="4">
        <f t="shared" ca="1" si="3"/>
        <v>44578</v>
      </c>
      <c r="G127" s="4" t="e">
        <f ca="1">LOOKUP(F127,{-10000,-60,-30,-15,0,1,10000},{"&gt;60","31-60","16-30","01-15","Due on Today","OS"})</f>
        <v>#N/A</v>
      </c>
      <c r="H127" s="4" t="s">
        <v>103</v>
      </c>
      <c r="I127" s="4" t="s">
        <v>103</v>
      </c>
      <c r="J127" s="4" t="s">
        <v>104</v>
      </c>
      <c r="K127" s="4" t="s">
        <v>111</v>
      </c>
      <c r="L127" s="4" t="s">
        <v>112</v>
      </c>
      <c r="M127" s="4" t="s">
        <v>113</v>
      </c>
      <c r="N127" s="4" t="s">
        <v>103</v>
      </c>
      <c r="O127" s="4" t="s">
        <v>432</v>
      </c>
      <c r="P127" s="5"/>
      <c r="Q127" s="5"/>
      <c r="R127" s="4" t="s">
        <v>433</v>
      </c>
      <c r="S127" s="5"/>
      <c r="T127" s="4" t="s">
        <v>107</v>
      </c>
      <c r="U127" s="45">
        <v>121</v>
      </c>
      <c r="V127" s="4" t="s">
        <v>305</v>
      </c>
      <c r="W127" s="45">
        <v>121</v>
      </c>
      <c r="X127" s="4" t="s">
        <v>8</v>
      </c>
      <c r="Y127" s="5">
        <v>1</v>
      </c>
      <c r="Z127" s="4" t="s">
        <v>108</v>
      </c>
      <c r="AA127" s="5"/>
      <c r="AB127" s="5">
        <v>16</v>
      </c>
      <c r="AC127" s="4" t="s">
        <v>109</v>
      </c>
      <c r="AD127" s="45">
        <v>121</v>
      </c>
      <c r="AE127" s="4" t="s">
        <v>305</v>
      </c>
      <c r="AF127" s="4"/>
      <c r="AG127" s="5">
        <v>1000000</v>
      </c>
      <c r="AH127" s="5">
        <v>1000000</v>
      </c>
      <c r="AI127" s="5">
        <v>0</v>
      </c>
      <c r="AJ127" s="5">
        <v>1000000</v>
      </c>
      <c r="AK127" s="5">
        <v>0</v>
      </c>
      <c r="AL127" s="5">
        <v>1000000</v>
      </c>
      <c r="AM127" s="5"/>
    </row>
    <row r="128" spans="1:39" ht="51" x14ac:dyDescent="0.25">
      <c r="A128" s="4" t="s">
        <v>16</v>
      </c>
      <c r="B128" s="4" t="str">
        <f>VLOOKUP(A128,'Ledger &amp; Group'!A:C,2,0)</f>
        <v>Cavinkare</v>
      </c>
      <c r="C128" s="4">
        <f>VLOOKUP(A128,'Ledger &amp; Group'!A:C,3,0)</f>
        <v>60</v>
      </c>
      <c r="D128" s="45">
        <f t="shared" si="2"/>
        <v>183</v>
      </c>
      <c r="E128" s="4" t="str">
        <f ca="1">IF(D128&lt;=TODAY(),IF(ISNA(VLOOKUP(V128,'Unreconciled AR'!C:C,1,0)),"Due","Unreconciled AR"),"Outstanding")</f>
        <v>Due</v>
      </c>
      <c r="F128" s="4">
        <f t="shared" ca="1" si="3"/>
        <v>44576</v>
      </c>
      <c r="G128" s="4" t="e">
        <f ca="1">LOOKUP(F128,{-10000,-60,-30,-15,0,1,10000},{"&gt;60","31-60","16-30","01-15","Due on Today","OS"})</f>
        <v>#N/A</v>
      </c>
      <c r="H128" s="4" t="s">
        <v>103</v>
      </c>
      <c r="I128" s="4" t="s">
        <v>103</v>
      </c>
      <c r="J128" s="4" t="s">
        <v>104</v>
      </c>
      <c r="K128" s="4" t="s">
        <v>111</v>
      </c>
      <c r="L128" s="4" t="s">
        <v>112</v>
      </c>
      <c r="M128" s="4" t="s">
        <v>113</v>
      </c>
      <c r="N128" s="4" t="s">
        <v>103</v>
      </c>
      <c r="O128" s="4" t="s">
        <v>432</v>
      </c>
      <c r="P128" s="5"/>
      <c r="Q128" s="5"/>
      <c r="R128" s="4" t="s">
        <v>433</v>
      </c>
      <c r="S128" s="5"/>
      <c r="T128" s="4" t="s">
        <v>107</v>
      </c>
      <c r="U128" s="45">
        <v>123</v>
      </c>
      <c r="V128" s="4" t="s">
        <v>315</v>
      </c>
      <c r="W128" s="45">
        <v>123</v>
      </c>
      <c r="X128" s="4" t="s">
        <v>8</v>
      </c>
      <c r="Y128" s="5">
        <v>1</v>
      </c>
      <c r="Z128" s="4" t="s">
        <v>108</v>
      </c>
      <c r="AA128" s="5"/>
      <c r="AB128" s="5">
        <v>14</v>
      </c>
      <c r="AC128" s="4" t="s">
        <v>109</v>
      </c>
      <c r="AD128" s="45">
        <v>123</v>
      </c>
      <c r="AE128" s="4" t="s">
        <v>315</v>
      </c>
      <c r="AF128" s="4"/>
      <c r="AG128" s="5">
        <v>1000000</v>
      </c>
      <c r="AH128" s="5">
        <v>1000000</v>
      </c>
      <c r="AI128" s="5">
        <v>0</v>
      </c>
      <c r="AJ128" s="5">
        <v>1000000</v>
      </c>
      <c r="AK128" s="5">
        <v>0</v>
      </c>
      <c r="AL128" s="5">
        <v>1000000</v>
      </c>
      <c r="AM128" s="5"/>
    </row>
    <row r="129" spans="1:39" ht="51" x14ac:dyDescent="0.25">
      <c r="A129" s="4" t="s">
        <v>16</v>
      </c>
      <c r="B129" s="4" t="str">
        <f>VLOOKUP(A129,'Ledger &amp; Group'!A:C,2,0)</f>
        <v>Cavinkare</v>
      </c>
      <c r="C129" s="4">
        <f>VLOOKUP(A129,'Ledger &amp; Group'!A:C,3,0)</f>
        <v>60</v>
      </c>
      <c r="D129" s="45">
        <f t="shared" si="2"/>
        <v>184</v>
      </c>
      <c r="E129" s="4" t="str">
        <f ca="1">IF(D129&lt;=TODAY(),IF(ISNA(VLOOKUP(V129,'Unreconciled AR'!C:C,1,0)),"Due","Unreconciled AR"),"Outstanding")</f>
        <v>Due</v>
      </c>
      <c r="F129" s="4">
        <f t="shared" ca="1" si="3"/>
        <v>44575</v>
      </c>
      <c r="G129" s="4" t="e">
        <f ca="1">LOOKUP(F129,{-10000,-60,-30,-15,0,1,10000},{"&gt;60","31-60","16-30","01-15","Due on Today","OS"})</f>
        <v>#N/A</v>
      </c>
      <c r="H129" s="4" t="s">
        <v>103</v>
      </c>
      <c r="I129" s="4" t="s">
        <v>103</v>
      </c>
      <c r="J129" s="4" t="s">
        <v>104</v>
      </c>
      <c r="K129" s="4" t="s">
        <v>111</v>
      </c>
      <c r="L129" s="4" t="s">
        <v>112</v>
      </c>
      <c r="M129" s="4" t="s">
        <v>113</v>
      </c>
      <c r="N129" s="4" t="s">
        <v>103</v>
      </c>
      <c r="O129" s="4" t="s">
        <v>432</v>
      </c>
      <c r="P129" s="5"/>
      <c r="Q129" s="5"/>
      <c r="R129" s="4" t="s">
        <v>433</v>
      </c>
      <c r="S129" s="5"/>
      <c r="T129" s="4" t="s">
        <v>107</v>
      </c>
      <c r="U129" s="45">
        <v>124</v>
      </c>
      <c r="V129" s="4" t="s">
        <v>323</v>
      </c>
      <c r="W129" s="45">
        <v>124</v>
      </c>
      <c r="X129" s="4" t="s">
        <v>8</v>
      </c>
      <c r="Y129" s="5">
        <v>1</v>
      </c>
      <c r="Z129" s="4" t="s">
        <v>108</v>
      </c>
      <c r="AA129" s="5"/>
      <c r="AB129" s="5">
        <v>13</v>
      </c>
      <c r="AC129" s="4" t="s">
        <v>109</v>
      </c>
      <c r="AD129" s="45">
        <v>124</v>
      </c>
      <c r="AE129" s="4" t="s">
        <v>323</v>
      </c>
      <c r="AF129" s="4"/>
      <c r="AG129" s="5">
        <v>1000000</v>
      </c>
      <c r="AH129" s="5">
        <v>1000000</v>
      </c>
      <c r="AI129" s="5">
        <v>0</v>
      </c>
      <c r="AJ129" s="5">
        <v>1000000</v>
      </c>
      <c r="AK129" s="5">
        <v>0</v>
      </c>
      <c r="AL129" s="5">
        <v>1000000</v>
      </c>
      <c r="AM129" s="5"/>
    </row>
    <row r="130" spans="1:39" ht="51" x14ac:dyDescent="0.25">
      <c r="A130" s="4" t="s">
        <v>16</v>
      </c>
      <c r="B130" s="4" t="str">
        <f>VLOOKUP(A130,'Ledger &amp; Group'!A:C,2,0)</f>
        <v>Cavinkare</v>
      </c>
      <c r="C130" s="4">
        <f>VLOOKUP(A130,'Ledger &amp; Group'!A:C,3,0)</f>
        <v>60</v>
      </c>
      <c r="D130" s="45">
        <f t="shared" ref="D130:D193" si="4">+W130+C130</f>
        <v>186</v>
      </c>
      <c r="E130" s="4" t="str">
        <f ca="1">IF(D130&lt;=TODAY(),IF(ISNA(VLOOKUP(V130,'Unreconciled AR'!C:C,1,0)),"Due","Unreconciled AR"),"Outstanding")</f>
        <v>Due</v>
      </c>
      <c r="F130" s="4">
        <f t="shared" ref="F130:F193" ca="1" si="5">TODAY()-W130</f>
        <v>44573</v>
      </c>
      <c r="G130" s="4" t="e">
        <f ca="1">LOOKUP(F130,{-10000,-60,-30,-15,0,1,10000},{"&gt;60","31-60","16-30","01-15","Due on Today","OS"})</f>
        <v>#N/A</v>
      </c>
      <c r="H130" s="4" t="s">
        <v>103</v>
      </c>
      <c r="I130" s="4" t="s">
        <v>103</v>
      </c>
      <c r="J130" s="4" t="s">
        <v>104</v>
      </c>
      <c r="K130" s="4" t="s">
        <v>111</v>
      </c>
      <c r="L130" s="4" t="s">
        <v>112</v>
      </c>
      <c r="M130" s="4" t="s">
        <v>113</v>
      </c>
      <c r="N130" s="4" t="s">
        <v>103</v>
      </c>
      <c r="O130" s="4" t="s">
        <v>432</v>
      </c>
      <c r="P130" s="5"/>
      <c r="Q130" s="5"/>
      <c r="R130" s="4" t="s">
        <v>433</v>
      </c>
      <c r="S130" s="5"/>
      <c r="T130" s="4" t="s">
        <v>107</v>
      </c>
      <c r="U130" s="45">
        <v>126</v>
      </c>
      <c r="V130" s="4" t="s">
        <v>330</v>
      </c>
      <c r="W130" s="45">
        <v>126</v>
      </c>
      <c r="X130" s="4" t="s">
        <v>8</v>
      </c>
      <c r="Y130" s="5">
        <v>1</v>
      </c>
      <c r="Z130" s="4" t="s">
        <v>108</v>
      </c>
      <c r="AA130" s="5"/>
      <c r="AB130" s="5">
        <v>11</v>
      </c>
      <c r="AC130" s="4" t="s">
        <v>109</v>
      </c>
      <c r="AD130" s="45">
        <v>126</v>
      </c>
      <c r="AE130" s="4" t="s">
        <v>330</v>
      </c>
      <c r="AF130" s="4"/>
      <c r="AG130" s="5">
        <v>1000000</v>
      </c>
      <c r="AH130" s="5">
        <v>1000000</v>
      </c>
      <c r="AI130" s="5">
        <v>0</v>
      </c>
      <c r="AJ130" s="5">
        <v>1000000</v>
      </c>
      <c r="AK130" s="5">
        <v>0</v>
      </c>
      <c r="AL130" s="5">
        <v>1000000</v>
      </c>
      <c r="AM130" s="5"/>
    </row>
    <row r="131" spans="1:39" ht="51" x14ac:dyDescent="0.25">
      <c r="A131" s="4" t="s">
        <v>16</v>
      </c>
      <c r="B131" s="4" t="str">
        <f>VLOOKUP(A131,'Ledger &amp; Group'!A:C,2,0)</f>
        <v>Cavinkare</v>
      </c>
      <c r="C131" s="4">
        <f>VLOOKUP(A131,'Ledger &amp; Group'!A:C,3,0)</f>
        <v>60</v>
      </c>
      <c r="D131" s="45">
        <f t="shared" si="4"/>
        <v>188</v>
      </c>
      <c r="E131" s="4" t="str">
        <f ca="1">IF(D131&lt;=TODAY(),IF(ISNA(VLOOKUP(V131,'Unreconciled AR'!C:C,1,0)),"Due","Unreconciled AR"),"Outstanding")</f>
        <v>Due</v>
      </c>
      <c r="F131" s="4">
        <f t="shared" ca="1" si="5"/>
        <v>44571</v>
      </c>
      <c r="G131" s="4" t="e">
        <f ca="1">LOOKUP(F131,{-10000,-60,-30,-15,0,1,10000},{"&gt;60","31-60","16-30","01-15","Due on Today","OS"})</f>
        <v>#N/A</v>
      </c>
      <c r="H131" s="4" t="s">
        <v>103</v>
      </c>
      <c r="I131" s="4" t="s">
        <v>103</v>
      </c>
      <c r="J131" s="4" t="s">
        <v>104</v>
      </c>
      <c r="K131" s="4" t="s">
        <v>111</v>
      </c>
      <c r="L131" s="4" t="s">
        <v>112</v>
      </c>
      <c r="M131" s="4" t="s">
        <v>113</v>
      </c>
      <c r="N131" s="4" t="s">
        <v>103</v>
      </c>
      <c r="O131" s="4" t="s">
        <v>432</v>
      </c>
      <c r="P131" s="5"/>
      <c r="Q131" s="5"/>
      <c r="R131" s="4" t="s">
        <v>433</v>
      </c>
      <c r="S131" s="5"/>
      <c r="T131" s="4" t="s">
        <v>107</v>
      </c>
      <c r="U131" s="45">
        <v>128</v>
      </c>
      <c r="V131" s="4" t="s">
        <v>348</v>
      </c>
      <c r="W131" s="45">
        <v>128</v>
      </c>
      <c r="X131" s="4" t="s">
        <v>8</v>
      </c>
      <c r="Y131" s="5">
        <v>1</v>
      </c>
      <c r="Z131" s="4" t="s">
        <v>108</v>
      </c>
      <c r="AA131" s="5"/>
      <c r="AB131" s="5">
        <v>9</v>
      </c>
      <c r="AC131" s="4" t="s">
        <v>109</v>
      </c>
      <c r="AD131" s="45">
        <v>128</v>
      </c>
      <c r="AE131" s="4" t="s">
        <v>348</v>
      </c>
      <c r="AF131" s="4"/>
      <c r="AG131" s="5">
        <v>1000000</v>
      </c>
      <c r="AH131" s="5">
        <v>1000000</v>
      </c>
      <c r="AI131" s="5">
        <v>0</v>
      </c>
      <c r="AJ131" s="5">
        <v>1000000</v>
      </c>
      <c r="AK131" s="5">
        <v>0</v>
      </c>
      <c r="AL131" s="5">
        <v>1000000</v>
      </c>
      <c r="AM131" s="5"/>
    </row>
    <row r="132" spans="1:39" ht="51" x14ac:dyDescent="0.25">
      <c r="A132" s="4" t="s">
        <v>16</v>
      </c>
      <c r="B132" s="4" t="str">
        <f>VLOOKUP(A132,'Ledger &amp; Group'!A:C,2,0)</f>
        <v>Cavinkare</v>
      </c>
      <c r="C132" s="4">
        <f>VLOOKUP(A132,'Ledger &amp; Group'!A:C,3,0)</f>
        <v>60</v>
      </c>
      <c r="D132" s="45">
        <f t="shared" si="4"/>
        <v>190</v>
      </c>
      <c r="E132" s="4" t="str">
        <f ca="1">IF(D132&lt;=TODAY(),IF(ISNA(VLOOKUP(V132,'Unreconciled AR'!C:C,1,0)),"Due","Unreconciled AR"),"Outstanding")</f>
        <v>Due</v>
      </c>
      <c r="F132" s="4">
        <f t="shared" ca="1" si="5"/>
        <v>44569</v>
      </c>
      <c r="G132" s="4" t="e">
        <f ca="1">LOOKUP(F132,{-10000,-60,-30,-15,0,1,10000},{"&gt;60","31-60","16-30","01-15","Due on Today","OS"})</f>
        <v>#N/A</v>
      </c>
      <c r="H132" s="4" t="s">
        <v>103</v>
      </c>
      <c r="I132" s="4" t="s">
        <v>103</v>
      </c>
      <c r="J132" s="4" t="s">
        <v>104</v>
      </c>
      <c r="K132" s="4" t="s">
        <v>111</v>
      </c>
      <c r="L132" s="4" t="s">
        <v>112</v>
      </c>
      <c r="M132" s="4" t="s">
        <v>113</v>
      </c>
      <c r="N132" s="4" t="s">
        <v>103</v>
      </c>
      <c r="O132" s="4" t="s">
        <v>432</v>
      </c>
      <c r="P132" s="5"/>
      <c r="Q132" s="5"/>
      <c r="R132" s="4" t="s">
        <v>433</v>
      </c>
      <c r="S132" s="5"/>
      <c r="T132" s="4" t="s">
        <v>107</v>
      </c>
      <c r="U132" s="45">
        <v>130</v>
      </c>
      <c r="V132" s="4" t="s">
        <v>349</v>
      </c>
      <c r="W132" s="45">
        <v>130</v>
      </c>
      <c r="X132" s="4" t="s">
        <v>8</v>
      </c>
      <c r="Y132" s="5">
        <v>1</v>
      </c>
      <c r="Z132" s="4" t="s">
        <v>108</v>
      </c>
      <c r="AA132" s="5"/>
      <c r="AB132" s="5">
        <v>7</v>
      </c>
      <c r="AC132" s="4" t="s">
        <v>109</v>
      </c>
      <c r="AD132" s="45">
        <v>130</v>
      </c>
      <c r="AE132" s="4" t="s">
        <v>349</v>
      </c>
      <c r="AF132" s="4"/>
      <c r="AG132" s="5">
        <v>1000000</v>
      </c>
      <c r="AH132" s="5">
        <v>1000000</v>
      </c>
      <c r="AI132" s="5">
        <v>0</v>
      </c>
      <c r="AJ132" s="5">
        <v>1000000</v>
      </c>
      <c r="AK132" s="5">
        <v>0</v>
      </c>
      <c r="AL132" s="5">
        <v>1000000</v>
      </c>
      <c r="AM132" s="5"/>
    </row>
    <row r="133" spans="1:39" ht="51" x14ac:dyDescent="0.25">
      <c r="A133" s="4" t="s">
        <v>16</v>
      </c>
      <c r="B133" s="4" t="str">
        <f>VLOOKUP(A133,'Ledger &amp; Group'!A:C,2,0)</f>
        <v>Cavinkare</v>
      </c>
      <c r="C133" s="4">
        <f>VLOOKUP(A133,'Ledger &amp; Group'!A:C,3,0)</f>
        <v>60</v>
      </c>
      <c r="D133" s="45">
        <f t="shared" si="4"/>
        <v>192</v>
      </c>
      <c r="E133" s="4" t="str">
        <f ca="1">IF(D133&lt;=TODAY(),IF(ISNA(VLOOKUP(V133,'Unreconciled AR'!C:C,1,0)),"Due","Unreconciled AR"),"Outstanding")</f>
        <v>Due</v>
      </c>
      <c r="F133" s="4">
        <f t="shared" ca="1" si="5"/>
        <v>44567</v>
      </c>
      <c r="G133" s="4" t="e">
        <f ca="1">LOOKUP(F133,{-10000,-60,-30,-15,0,1,10000},{"&gt;60","31-60","16-30","01-15","Due on Today","OS"})</f>
        <v>#N/A</v>
      </c>
      <c r="H133" s="4" t="s">
        <v>103</v>
      </c>
      <c r="I133" s="4" t="s">
        <v>103</v>
      </c>
      <c r="J133" s="4" t="s">
        <v>104</v>
      </c>
      <c r="K133" s="4" t="s">
        <v>111</v>
      </c>
      <c r="L133" s="4" t="s">
        <v>112</v>
      </c>
      <c r="M133" s="4" t="s">
        <v>113</v>
      </c>
      <c r="N133" s="4" t="s">
        <v>103</v>
      </c>
      <c r="O133" s="4" t="s">
        <v>432</v>
      </c>
      <c r="P133" s="5"/>
      <c r="Q133" s="5"/>
      <c r="R133" s="4" t="s">
        <v>433</v>
      </c>
      <c r="S133" s="5"/>
      <c r="T133" s="4" t="s">
        <v>107</v>
      </c>
      <c r="U133" s="45">
        <v>132</v>
      </c>
      <c r="V133" s="4" t="s">
        <v>404</v>
      </c>
      <c r="W133" s="45">
        <v>132</v>
      </c>
      <c r="X133" s="4" t="s">
        <v>8</v>
      </c>
      <c r="Y133" s="5">
        <v>1</v>
      </c>
      <c r="Z133" s="4" t="s">
        <v>108</v>
      </c>
      <c r="AA133" s="5"/>
      <c r="AB133" s="5">
        <v>5</v>
      </c>
      <c r="AC133" s="4" t="s">
        <v>109</v>
      </c>
      <c r="AD133" s="45">
        <v>132</v>
      </c>
      <c r="AE133" s="4" t="s">
        <v>404</v>
      </c>
      <c r="AF133" s="4"/>
      <c r="AG133" s="5">
        <v>1000000</v>
      </c>
      <c r="AH133" s="5">
        <v>1000000</v>
      </c>
      <c r="AI133" s="5">
        <v>0</v>
      </c>
      <c r="AJ133" s="5">
        <v>1000000</v>
      </c>
      <c r="AK133" s="5">
        <v>0</v>
      </c>
      <c r="AL133" s="5">
        <v>1000000</v>
      </c>
      <c r="AM133" s="5"/>
    </row>
    <row r="134" spans="1:39" ht="51" x14ac:dyDescent="0.25">
      <c r="A134" s="4" t="s">
        <v>16</v>
      </c>
      <c r="B134" s="4" t="str">
        <f>VLOOKUP(A134,'Ledger &amp; Group'!A:C,2,0)</f>
        <v>Cavinkare</v>
      </c>
      <c r="C134" s="4">
        <f>VLOOKUP(A134,'Ledger &amp; Group'!A:C,3,0)</f>
        <v>60</v>
      </c>
      <c r="D134" s="45">
        <f t="shared" si="4"/>
        <v>193</v>
      </c>
      <c r="E134" s="4" t="str">
        <f ca="1">IF(D134&lt;=TODAY(),IF(ISNA(VLOOKUP(V134,'Unreconciled AR'!C:C,1,0)),"Due","Unreconciled AR"),"Outstanding")</f>
        <v>Due</v>
      </c>
      <c r="F134" s="4">
        <f t="shared" ca="1" si="5"/>
        <v>44566</v>
      </c>
      <c r="G134" s="4" t="e">
        <f ca="1">LOOKUP(F134,{-10000,-60,-30,-15,0,1,10000},{"&gt;60","31-60","16-30","01-15","Due on Today","OS"})</f>
        <v>#N/A</v>
      </c>
      <c r="H134" s="4" t="s">
        <v>103</v>
      </c>
      <c r="I134" s="4" t="s">
        <v>103</v>
      </c>
      <c r="J134" s="4" t="s">
        <v>104</v>
      </c>
      <c r="K134" s="4" t="s">
        <v>111</v>
      </c>
      <c r="L134" s="4" t="s">
        <v>112</v>
      </c>
      <c r="M134" s="4" t="s">
        <v>113</v>
      </c>
      <c r="N134" s="4" t="s">
        <v>103</v>
      </c>
      <c r="O134" s="4" t="s">
        <v>432</v>
      </c>
      <c r="P134" s="5"/>
      <c r="Q134" s="5"/>
      <c r="R134" s="4" t="s">
        <v>433</v>
      </c>
      <c r="S134" s="5"/>
      <c r="T134" s="4" t="s">
        <v>107</v>
      </c>
      <c r="U134" s="45">
        <v>133</v>
      </c>
      <c r="V134" s="4" t="s">
        <v>405</v>
      </c>
      <c r="W134" s="45">
        <v>133</v>
      </c>
      <c r="X134" s="4" t="s">
        <v>8</v>
      </c>
      <c r="Y134" s="5">
        <v>1</v>
      </c>
      <c r="Z134" s="4" t="s">
        <v>108</v>
      </c>
      <c r="AA134" s="5"/>
      <c r="AB134" s="5">
        <v>4</v>
      </c>
      <c r="AC134" s="4" t="s">
        <v>109</v>
      </c>
      <c r="AD134" s="45">
        <v>133</v>
      </c>
      <c r="AE134" s="4" t="s">
        <v>405</v>
      </c>
      <c r="AF134" s="4"/>
      <c r="AG134" s="5">
        <v>1000000</v>
      </c>
      <c r="AH134" s="5">
        <v>1000000</v>
      </c>
      <c r="AI134" s="5">
        <v>0</v>
      </c>
      <c r="AJ134" s="5">
        <v>1000000</v>
      </c>
      <c r="AK134" s="5">
        <v>0</v>
      </c>
      <c r="AL134" s="5">
        <v>1000000</v>
      </c>
      <c r="AM134" s="5"/>
    </row>
    <row r="135" spans="1:39" ht="51" x14ac:dyDescent="0.25">
      <c r="A135" s="4" t="s">
        <v>16</v>
      </c>
      <c r="B135" s="4" t="str">
        <f>VLOOKUP(A135,'Ledger &amp; Group'!A:C,2,0)</f>
        <v>Cavinkare</v>
      </c>
      <c r="C135" s="4">
        <f>VLOOKUP(A135,'Ledger &amp; Group'!A:C,3,0)</f>
        <v>60</v>
      </c>
      <c r="D135" s="45">
        <f t="shared" si="4"/>
        <v>197</v>
      </c>
      <c r="E135" s="4" t="str">
        <f ca="1">IF(D135&lt;=TODAY(),IF(ISNA(VLOOKUP(V135,'Unreconciled AR'!C:C,1,0)),"Due","Unreconciled AR"),"Outstanding")</f>
        <v>Due</v>
      </c>
      <c r="F135" s="4">
        <f t="shared" ca="1" si="5"/>
        <v>44562</v>
      </c>
      <c r="G135" s="4" t="e">
        <f ca="1">LOOKUP(F135,{-10000,-60,-30,-15,0,1,10000},{"&gt;60","31-60","16-30","01-15","Due on Today","OS"})</f>
        <v>#N/A</v>
      </c>
      <c r="H135" s="4" t="s">
        <v>103</v>
      </c>
      <c r="I135" s="4" t="s">
        <v>103</v>
      </c>
      <c r="J135" s="4" t="s">
        <v>104</v>
      </c>
      <c r="K135" s="4" t="s">
        <v>111</v>
      </c>
      <c r="L135" s="4" t="s">
        <v>112</v>
      </c>
      <c r="M135" s="4" t="s">
        <v>113</v>
      </c>
      <c r="N135" s="4" t="s">
        <v>103</v>
      </c>
      <c r="O135" s="4" t="s">
        <v>432</v>
      </c>
      <c r="P135" s="5"/>
      <c r="Q135" s="5"/>
      <c r="R135" s="4" t="s">
        <v>433</v>
      </c>
      <c r="S135" s="5"/>
      <c r="T135" s="4" t="s">
        <v>107</v>
      </c>
      <c r="U135" s="45">
        <v>137</v>
      </c>
      <c r="V135" s="4" t="s">
        <v>417</v>
      </c>
      <c r="W135" s="45">
        <v>137</v>
      </c>
      <c r="X135" s="4" t="s">
        <v>8</v>
      </c>
      <c r="Y135" s="5">
        <v>1</v>
      </c>
      <c r="Z135" s="4" t="s">
        <v>108</v>
      </c>
      <c r="AA135" s="5"/>
      <c r="AB135" s="5">
        <v>0</v>
      </c>
      <c r="AC135" s="4" t="s">
        <v>109</v>
      </c>
      <c r="AD135" s="45">
        <v>137</v>
      </c>
      <c r="AE135" s="4" t="s">
        <v>417</v>
      </c>
      <c r="AF135" s="4"/>
      <c r="AG135" s="5">
        <v>1000000</v>
      </c>
      <c r="AH135" s="5">
        <v>1000000</v>
      </c>
      <c r="AI135" s="5">
        <v>1142385</v>
      </c>
      <c r="AJ135" s="5">
        <v>1000000</v>
      </c>
      <c r="AK135" s="5">
        <v>0</v>
      </c>
      <c r="AL135" s="5">
        <v>1000000</v>
      </c>
      <c r="AM135" s="5"/>
    </row>
    <row r="136" spans="1:39" ht="51" x14ac:dyDescent="0.25">
      <c r="A136" s="4" t="s">
        <v>17</v>
      </c>
      <c r="B136" s="4" t="str">
        <f>VLOOKUP(A136,'Ledger &amp; Group'!A:C,2,0)</f>
        <v>Cavinkare</v>
      </c>
      <c r="C136" s="4">
        <f>VLOOKUP(A136,'Ledger &amp; Group'!A:C,3,0)</f>
        <v>60</v>
      </c>
      <c r="D136" s="45">
        <f t="shared" si="4"/>
        <v>142</v>
      </c>
      <c r="E136" s="4" t="str">
        <f ca="1">IF(D136&lt;=TODAY(),IF(ISNA(VLOOKUP(V136,'Unreconciled AR'!C:C,1,0)),"Due","Unreconciled AR"),"Outstanding")</f>
        <v>Due</v>
      </c>
      <c r="F136" s="4">
        <f t="shared" ca="1" si="5"/>
        <v>44617</v>
      </c>
      <c r="G136" s="4" t="e">
        <f ca="1">LOOKUP(F136,{-10000,-60,-30,-15,0,1,10000},{"&gt;60","31-60","16-30","01-15","Due on Today","OS"})</f>
        <v>#N/A</v>
      </c>
      <c r="H136" s="4" t="s">
        <v>103</v>
      </c>
      <c r="I136" s="4" t="s">
        <v>103</v>
      </c>
      <c r="J136" s="4" t="s">
        <v>104</v>
      </c>
      <c r="K136" s="4" t="s">
        <v>111</v>
      </c>
      <c r="L136" s="4" t="s">
        <v>112</v>
      </c>
      <c r="M136" s="4" t="s">
        <v>113</v>
      </c>
      <c r="N136" s="4" t="s">
        <v>103</v>
      </c>
      <c r="O136" s="4" t="s">
        <v>432</v>
      </c>
      <c r="P136" s="5"/>
      <c r="Q136" s="5"/>
      <c r="R136" s="4" t="s">
        <v>433</v>
      </c>
      <c r="S136" s="5"/>
      <c r="T136" s="4" t="s">
        <v>107</v>
      </c>
      <c r="U136" s="45">
        <v>82</v>
      </c>
      <c r="V136" s="4" t="s">
        <v>481</v>
      </c>
      <c r="W136" s="45">
        <v>82</v>
      </c>
      <c r="X136" s="4" t="s">
        <v>8</v>
      </c>
      <c r="Y136" s="5">
        <v>1</v>
      </c>
      <c r="Z136" s="4" t="s">
        <v>108</v>
      </c>
      <c r="AA136" s="5"/>
      <c r="AB136" s="5">
        <v>55</v>
      </c>
      <c r="AC136" s="4" t="s">
        <v>109</v>
      </c>
      <c r="AD136" s="45">
        <v>82</v>
      </c>
      <c r="AE136" s="4" t="s">
        <v>481</v>
      </c>
      <c r="AF136" s="4"/>
      <c r="AG136" s="5">
        <v>1000000</v>
      </c>
      <c r="AH136" s="5">
        <v>1000000</v>
      </c>
      <c r="AI136" s="5">
        <v>0</v>
      </c>
      <c r="AJ136" s="5">
        <v>1000000</v>
      </c>
      <c r="AK136" s="5">
        <v>0</v>
      </c>
      <c r="AL136" s="5">
        <v>1000000</v>
      </c>
      <c r="AM136" s="5"/>
    </row>
    <row r="137" spans="1:39" ht="51" x14ac:dyDescent="0.25">
      <c r="A137" s="4" t="s">
        <v>17</v>
      </c>
      <c r="B137" s="4" t="str">
        <f>VLOOKUP(A137,'Ledger &amp; Group'!A:C,2,0)</f>
        <v>Cavinkare</v>
      </c>
      <c r="C137" s="4">
        <f>VLOOKUP(A137,'Ledger &amp; Group'!A:C,3,0)</f>
        <v>60</v>
      </c>
      <c r="D137" s="45">
        <f t="shared" si="4"/>
        <v>144</v>
      </c>
      <c r="E137" s="4" t="str">
        <f ca="1">IF(D137&lt;=TODAY(),IF(ISNA(VLOOKUP(V137,'Unreconciled AR'!C:C,1,0)),"Due","Unreconciled AR"),"Outstanding")</f>
        <v>Due</v>
      </c>
      <c r="F137" s="4">
        <f t="shared" ca="1" si="5"/>
        <v>44615</v>
      </c>
      <c r="G137" s="4" t="e">
        <f ca="1">LOOKUP(F137,{-10000,-60,-30,-15,0,1,10000},{"&gt;60","31-60","16-30","01-15","Due on Today","OS"})</f>
        <v>#N/A</v>
      </c>
      <c r="H137" s="4" t="s">
        <v>103</v>
      </c>
      <c r="I137" s="4" t="s">
        <v>103</v>
      </c>
      <c r="J137" s="4" t="s">
        <v>104</v>
      </c>
      <c r="K137" s="4" t="s">
        <v>111</v>
      </c>
      <c r="L137" s="4" t="s">
        <v>112</v>
      </c>
      <c r="M137" s="4" t="s">
        <v>113</v>
      </c>
      <c r="N137" s="4" t="s">
        <v>103</v>
      </c>
      <c r="O137" s="4" t="s">
        <v>432</v>
      </c>
      <c r="P137" s="5"/>
      <c r="Q137" s="5"/>
      <c r="R137" s="4" t="s">
        <v>433</v>
      </c>
      <c r="S137" s="5"/>
      <c r="T137" s="4" t="s">
        <v>107</v>
      </c>
      <c r="U137" s="45">
        <v>84</v>
      </c>
      <c r="V137" s="4" t="s">
        <v>482</v>
      </c>
      <c r="W137" s="45">
        <v>84</v>
      </c>
      <c r="X137" s="4" t="s">
        <v>8</v>
      </c>
      <c r="Y137" s="5">
        <v>1</v>
      </c>
      <c r="Z137" s="4" t="s">
        <v>108</v>
      </c>
      <c r="AA137" s="5"/>
      <c r="AB137" s="5">
        <v>53</v>
      </c>
      <c r="AC137" s="4" t="s">
        <v>109</v>
      </c>
      <c r="AD137" s="45">
        <v>84</v>
      </c>
      <c r="AE137" s="4" t="s">
        <v>482</v>
      </c>
      <c r="AF137" s="4"/>
      <c r="AG137" s="5">
        <v>1000000</v>
      </c>
      <c r="AH137" s="5">
        <v>1000000</v>
      </c>
      <c r="AI137" s="5">
        <v>0</v>
      </c>
      <c r="AJ137" s="5">
        <v>1000000</v>
      </c>
      <c r="AK137" s="5">
        <v>0</v>
      </c>
      <c r="AL137" s="5">
        <v>1000000</v>
      </c>
      <c r="AM137" s="5"/>
    </row>
    <row r="138" spans="1:39" ht="51" x14ac:dyDescent="0.25">
      <c r="A138" s="4" t="s">
        <v>17</v>
      </c>
      <c r="B138" s="4" t="str">
        <f>VLOOKUP(A138,'Ledger &amp; Group'!A:C,2,0)</f>
        <v>Cavinkare</v>
      </c>
      <c r="C138" s="4">
        <f>VLOOKUP(A138,'Ledger &amp; Group'!A:C,3,0)</f>
        <v>60</v>
      </c>
      <c r="D138" s="45">
        <f t="shared" si="4"/>
        <v>146</v>
      </c>
      <c r="E138" s="4" t="str">
        <f ca="1">IF(D138&lt;=TODAY(),IF(ISNA(VLOOKUP(V138,'Unreconciled AR'!C:C,1,0)),"Due","Unreconciled AR"),"Outstanding")</f>
        <v>Due</v>
      </c>
      <c r="F138" s="4">
        <f t="shared" ca="1" si="5"/>
        <v>44613</v>
      </c>
      <c r="G138" s="4" t="e">
        <f ca="1">LOOKUP(F138,{-10000,-60,-30,-15,0,1,10000},{"&gt;60","31-60","16-30","01-15","Due on Today","OS"})</f>
        <v>#N/A</v>
      </c>
      <c r="H138" s="4" t="s">
        <v>103</v>
      </c>
      <c r="I138" s="4" t="s">
        <v>103</v>
      </c>
      <c r="J138" s="4" t="s">
        <v>104</v>
      </c>
      <c r="K138" s="4" t="s">
        <v>111</v>
      </c>
      <c r="L138" s="4" t="s">
        <v>112</v>
      </c>
      <c r="M138" s="4" t="s">
        <v>113</v>
      </c>
      <c r="N138" s="4" t="s">
        <v>103</v>
      </c>
      <c r="O138" s="4" t="s">
        <v>432</v>
      </c>
      <c r="P138" s="5"/>
      <c r="Q138" s="5"/>
      <c r="R138" s="4" t="s">
        <v>433</v>
      </c>
      <c r="S138" s="5"/>
      <c r="T138" s="4" t="s">
        <v>107</v>
      </c>
      <c r="U138" s="45">
        <v>86</v>
      </c>
      <c r="V138" s="4" t="s">
        <v>483</v>
      </c>
      <c r="W138" s="45">
        <v>86</v>
      </c>
      <c r="X138" s="4" t="s">
        <v>8</v>
      </c>
      <c r="Y138" s="5">
        <v>1</v>
      </c>
      <c r="Z138" s="4" t="s">
        <v>108</v>
      </c>
      <c r="AA138" s="5"/>
      <c r="AB138" s="5">
        <v>51</v>
      </c>
      <c r="AC138" s="4" t="s">
        <v>109</v>
      </c>
      <c r="AD138" s="45">
        <v>86</v>
      </c>
      <c r="AE138" s="4" t="s">
        <v>483</v>
      </c>
      <c r="AF138" s="4"/>
      <c r="AG138" s="5">
        <v>1000000</v>
      </c>
      <c r="AH138" s="5">
        <v>1000000</v>
      </c>
      <c r="AI138" s="5">
        <v>0</v>
      </c>
      <c r="AJ138" s="5">
        <v>1000000</v>
      </c>
      <c r="AK138" s="5">
        <v>0</v>
      </c>
      <c r="AL138" s="5">
        <v>1000000</v>
      </c>
      <c r="AM138" s="5"/>
    </row>
    <row r="139" spans="1:39" ht="51" x14ac:dyDescent="0.25">
      <c r="A139" s="4" t="s">
        <v>17</v>
      </c>
      <c r="B139" s="4" t="str">
        <f>VLOOKUP(A139,'Ledger &amp; Group'!A:C,2,0)</f>
        <v>Cavinkare</v>
      </c>
      <c r="C139" s="4">
        <f>VLOOKUP(A139,'Ledger &amp; Group'!A:C,3,0)</f>
        <v>60</v>
      </c>
      <c r="D139" s="45">
        <f t="shared" si="4"/>
        <v>146</v>
      </c>
      <c r="E139" s="4" t="str">
        <f ca="1">IF(D139&lt;=TODAY(),IF(ISNA(VLOOKUP(V139,'Unreconciled AR'!C:C,1,0)),"Due","Unreconciled AR"),"Outstanding")</f>
        <v>Due</v>
      </c>
      <c r="F139" s="4">
        <f t="shared" ca="1" si="5"/>
        <v>44613</v>
      </c>
      <c r="G139" s="4" t="e">
        <f ca="1">LOOKUP(F139,{-10000,-60,-30,-15,0,1,10000},{"&gt;60","31-60","16-30","01-15","Due on Today","OS"})</f>
        <v>#N/A</v>
      </c>
      <c r="H139" s="4" t="s">
        <v>103</v>
      </c>
      <c r="I139" s="4" t="s">
        <v>103</v>
      </c>
      <c r="J139" s="4" t="s">
        <v>104</v>
      </c>
      <c r="K139" s="4" t="s">
        <v>111</v>
      </c>
      <c r="L139" s="4" t="s">
        <v>112</v>
      </c>
      <c r="M139" s="4" t="s">
        <v>113</v>
      </c>
      <c r="N139" s="4" t="s">
        <v>103</v>
      </c>
      <c r="O139" s="4" t="s">
        <v>432</v>
      </c>
      <c r="P139" s="5"/>
      <c r="Q139" s="5"/>
      <c r="R139" s="4" t="s">
        <v>433</v>
      </c>
      <c r="S139" s="5"/>
      <c r="T139" s="4" t="s">
        <v>107</v>
      </c>
      <c r="U139" s="45">
        <v>86</v>
      </c>
      <c r="V139" s="4" t="s">
        <v>484</v>
      </c>
      <c r="W139" s="45">
        <v>86</v>
      </c>
      <c r="X139" s="4" t="s">
        <v>8</v>
      </c>
      <c r="Y139" s="5">
        <v>1</v>
      </c>
      <c r="Z139" s="4" t="s">
        <v>108</v>
      </c>
      <c r="AA139" s="5"/>
      <c r="AB139" s="5">
        <v>51</v>
      </c>
      <c r="AC139" s="4" t="s">
        <v>109</v>
      </c>
      <c r="AD139" s="45">
        <v>86</v>
      </c>
      <c r="AE139" s="4" t="s">
        <v>484</v>
      </c>
      <c r="AF139" s="4"/>
      <c r="AG139" s="5">
        <v>1000000</v>
      </c>
      <c r="AH139" s="5">
        <v>1000000</v>
      </c>
      <c r="AI139" s="5">
        <v>0</v>
      </c>
      <c r="AJ139" s="5">
        <v>1000000</v>
      </c>
      <c r="AK139" s="5">
        <v>0</v>
      </c>
      <c r="AL139" s="5">
        <v>1000000</v>
      </c>
      <c r="AM139" s="5"/>
    </row>
    <row r="140" spans="1:39" ht="51" x14ac:dyDescent="0.25">
      <c r="A140" s="4" t="s">
        <v>17</v>
      </c>
      <c r="B140" s="4" t="str">
        <f>VLOOKUP(A140,'Ledger &amp; Group'!A:C,2,0)</f>
        <v>Cavinkare</v>
      </c>
      <c r="C140" s="4">
        <f>VLOOKUP(A140,'Ledger &amp; Group'!A:C,3,0)</f>
        <v>60</v>
      </c>
      <c r="D140" s="45">
        <f t="shared" si="4"/>
        <v>147</v>
      </c>
      <c r="E140" s="4" t="str">
        <f ca="1">IF(D140&lt;=TODAY(),IF(ISNA(VLOOKUP(V140,'Unreconciled AR'!C:C,1,0)),"Due","Unreconciled AR"),"Outstanding")</f>
        <v>Due</v>
      </c>
      <c r="F140" s="4">
        <f t="shared" ca="1" si="5"/>
        <v>44612</v>
      </c>
      <c r="G140" s="4" t="e">
        <f ca="1">LOOKUP(F140,{-10000,-60,-30,-15,0,1,10000},{"&gt;60","31-60","16-30","01-15","Due on Today","OS"})</f>
        <v>#N/A</v>
      </c>
      <c r="H140" s="4" t="s">
        <v>103</v>
      </c>
      <c r="I140" s="4" t="s">
        <v>103</v>
      </c>
      <c r="J140" s="4" t="s">
        <v>104</v>
      </c>
      <c r="K140" s="4" t="s">
        <v>111</v>
      </c>
      <c r="L140" s="4" t="s">
        <v>112</v>
      </c>
      <c r="M140" s="4" t="s">
        <v>113</v>
      </c>
      <c r="N140" s="4" t="s">
        <v>103</v>
      </c>
      <c r="O140" s="4" t="s">
        <v>432</v>
      </c>
      <c r="P140" s="5"/>
      <c r="Q140" s="5"/>
      <c r="R140" s="4" t="s">
        <v>433</v>
      </c>
      <c r="S140" s="5"/>
      <c r="T140" s="4" t="s">
        <v>107</v>
      </c>
      <c r="U140" s="45">
        <v>87</v>
      </c>
      <c r="V140" s="4" t="s">
        <v>485</v>
      </c>
      <c r="W140" s="45">
        <v>87</v>
      </c>
      <c r="X140" s="4" t="s">
        <v>8</v>
      </c>
      <c r="Y140" s="5">
        <v>1</v>
      </c>
      <c r="Z140" s="4" t="s">
        <v>108</v>
      </c>
      <c r="AA140" s="5"/>
      <c r="AB140" s="5">
        <v>50</v>
      </c>
      <c r="AC140" s="4" t="s">
        <v>109</v>
      </c>
      <c r="AD140" s="45">
        <v>87</v>
      </c>
      <c r="AE140" s="4" t="s">
        <v>485</v>
      </c>
      <c r="AF140" s="5"/>
      <c r="AG140" s="5">
        <v>1000000</v>
      </c>
      <c r="AH140" s="5">
        <v>1000000</v>
      </c>
      <c r="AI140" s="5">
        <v>0</v>
      </c>
      <c r="AJ140" s="5">
        <v>1000000</v>
      </c>
      <c r="AK140" s="5">
        <v>0</v>
      </c>
      <c r="AL140" s="5">
        <v>1000000</v>
      </c>
      <c r="AM140" s="5"/>
    </row>
    <row r="141" spans="1:39" ht="51" x14ac:dyDescent="0.25">
      <c r="A141" s="4" t="s">
        <v>17</v>
      </c>
      <c r="B141" s="4" t="str">
        <f>VLOOKUP(A141,'Ledger &amp; Group'!A:C,2,0)</f>
        <v>Cavinkare</v>
      </c>
      <c r="C141" s="4">
        <f>VLOOKUP(A141,'Ledger &amp; Group'!A:C,3,0)</f>
        <v>60</v>
      </c>
      <c r="D141" s="45">
        <f t="shared" si="4"/>
        <v>148</v>
      </c>
      <c r="E141" s="4" t="str">
        <f ca="1">IF(D141&lt;=TODAY(),IF(ISNA(VLOOKUP(V141,'Unreconciled AR'!C:C,1,0)),"Due","Unreconciled AR"),"Outstanding")</f>
        <v>Due</v>
      </c>
      <c r="F141" s="4">
        <f t="shared" ca="1" si="5"/>
        <v>44611</v>
      </c>
      <c r="G141" s="4" t="e">
        <f ca="1">LOOKUP(F141,{-10000,-60,-30,-15,0,1,10000},{"&gt;60","31-60","16-30","01-15","Due on Today","OS"})</f>
        <v>#N/A</v>
      </c>
      <c r="H141" s="4" t="s">
        <v>103</v>
      </c>
      <c r="I141" s="4" t="s">
        <v>103</v>
      </c>
      <c r="J141" s="4" t="s">
        <v>104</v>
      </c>
      <c r="K141" s="4" t="s">
        <v>111</v>
      </c>
      <c r="L141" s="4" t="s">
        <v>112</v>
      </c>
      <c r="M141" s="4" t="s">
        <v>113</v>
      </c>
      <c r="N141" s="4" t="s">
        <v>103</v>
      </c>
      <c r="O141" s="4" t="s">
        <v>432</v>
      </c>
      <c r="P141" s="5"/>
      <c r="Q141" s="5"/>
      <c r="R141" s="4" t="s">
        <v>433</v>
      </c>
      <c r="S141" s="5"/>
      <c r="T141" s="4" t="s">
        <v>107</v>
      </c>
      <c r="U141" s="45">
        <v>88</v>
      </c>
      <c r="V141" s="4" t="s">
        <v>486</v>
      </c>
      <c r="W141" s="45">
        <v>88</v>
      </c>
      <c r="X141" s="4" t="s">
        <v>8</v>
      </c>
      <c r="Y141" s="5">
        <v>1</v>
      </c>
      <c r="Z141" s="4" t="s">
        <v>108</v>
      </c>
      <c r="AA141" s="5"/>
      <c r="AB141" s="5">
        <v>49</v>
      </c>
      <c r="AC141" s="4" t="s">
        <v>109</v>
      </c>
      <c r="AD141" s="45">
        <v>88</v>
      </c>
      <c r="AE141" s="4" t="s">
        <v>486</v>
      </c>
      <c r="AF141" s="4"/>
      <c r="AG141" s="5">
        <v>1000000</v>
      </c>
      <c r="AH141" s="5">
        <v>1000000</v>
      </c>
      <c r="AI141" s="5">
        <v>0</v>
      </c>
      <c r="AJ141" s="5">
        <v>1000000</v>
      </c>
      <c r="AK141" s="5">
        <v>0</v>
      </c>
      <c r="AL141" s="5">
        <v>1000000</v>
      </c>
      <c r="AM141" s="5"/>
    </row>
    <row r="142" spans="1:39" ht="51" x14ac:dyDescent="0.25">
      <c r="A142" s="4" t="s">
        <v>17</v>
      </c>
      <c r="B142" s="4" t="str">
        <f>VLOOKUP(A142,'Ledger &amp; Group'!A:C,2,0)</f>
        <v>Cavinkare</v>
      </c>
      <c r="C142" s="4">
        <f>VLOOKUP(A142,'Ledger &amp; Group'!A:C,3,0)</f>
        <v>60</v>
      </c>
      <c r="D142" s="45">
        <f t="shared" si="4"/>
        <v>149</v>
      </c>
      <c r="E142" s="4" t="str">
        <f ca="1">IF(D142&lt;=TODAY(),IF(ISNA(VLOOKUP(V142,'Unreconciled AR'!C:C,1,0)),"Due","Unreconciled AR"),"Outstanding")</f>
        <v>Due</v>
      </c>
      <c r="F142" s="4">
        <f t="shared" ca="1" si="5"/>
        <v>44610</v>
      </c>
      <c r="G142" s="4" t="e">
        <f ca="1">LOOKUP(F142,{-10000,-60,-30,-15,0,1,10000},{"&gt;60","31-60","16-30","01-15","Due on Today","OS"})</f>
        <v>#N/A</v>
      </c>
      <c r="H142" s="4" t="s">
        <v>103</v>
      </c>
      <c r="I142" s="4" t="s">
        <v>103</v>
      </c>
      <c r="J142" s="4" t="s">
        <v>104</v>
      </c>
      <c r="K142" s="4" t="s">
        <v>111</v>
      </c>
      <c r="L142" s="4" t="s">
        <v>112</v>
      </c>
      <c r="M142" s="4" t="s">
        <v>113</v>
      </c>
      <c r="N142" s="4" t="s">
        <v>103</v>
      </c>
      <c r="O142" s="4" t="s">
        <v>432</v>
      </c>
      <c r="P142" s="5"/>
      <c r="Q142" s="5"/>
      <c r="R142" s="4" t="s">
        <v>433</v>
      </c>
      <c r="S142" s="5"/>
      <c r="T142" s="4" t="s">
        <v>107</v>
      </c>
      <c r="U142" s="45">
        <v>89</v>
      </c>
      <c r="V142" s="4" t="s">
        <v>487</v>
      </c>
      <c r="W142" s="45">
        <v>89</v>
      </c>
      <c r="X142" s="4" t="s">
        <v>8</v>
      </c>
      <c r="Y142" s="5">
        <v>1</v>
      </c>
      <c r="Z142" s="4" t="s">
        <v>108</v>
      </c>
      <c r="AA142" s="5"/>
      <c r="AB142" s="5">
        <v>48</v>
      </c>
      <c r="AC142" s="4" t="s">
        <v>109</v>
      </c>
      <c r="AD142" s="45">
        <v>89</v>
      </c>
      <c r="AE142" s="4" t="s">
        <v>487</v>
      </c>
      <c r="AF142" s="4"/>
      <c r="AG142" s="5">
        <v>1000000</v>
      </c>
      <c r="AH142" s="5">
        <v>1000000</v>
      </c>
      <c r="AI142" s="5">
        <v>0</v>
      </c>
      <c r="AJ142" s="5">
        <v>1000000</v>
      </c>
      <c r="AK142" s="5">
        <v>0</v>
      </c>
      <c r="AL142" s="5">
        <v>1000000</v>
      </c>
      <c r="AM142" s="5"/>
    </row>
    <row r="143" spans="1:39" ht="51" x14ac:dyDescent="0.25">
      <c r="A143" s="4" t="s">
        <v>17</v>
      </c>
      <c r="B143" s="4" t="str">
        <f>VLOOKUP(A143,'Ledger &amp; Group'!A:C,2,0)</f>
        <v>Cavinkare</v>
      </c>
      <c r="C143" s="4">
        <f>VLOOKUP(A143,'Ledger &amp; Group'!A:C,3,0)</f>
        <v>60</v>
      </c>
      <c r="D143" s="45">
        <f t="shared" si="4"/>
        <v>154</v>
      </c>
      <c r="E143" s="4" t="str">
        <f ca="1">IF(D143&lt;=TODAY(),IF(ISNA(VLOOKUP(V143,'Unreconciled AR'!C:C,1,0)),"Due","Unreconciled AR"),"Outstanding")</f>
        <v>Due</v>
      </c>
      <c r="F143" s="4">
        <f t="shared" ca="1" si="5"/>
        <v>44605</v>
      </c>
      <c r="G143" s="4" t="e">
        <f ca="1">LOOKUP(F143,{-10000,-60,-30,-15,0,1,10000},{"&gt;60","31-60","16-30","01-15","Due on Today","OS"})</f>
        <v>#N/A</v>
      </c>
      <c r="H143" s="4" t="s">
        <v>103</v>
      </c>
      <c r="I143" s="4" t="s">
        <v>103</v>
      </c>
      <c r="J143" s="4" t="s">
        <v>104</v>
      </c>
      <c r="K143" s="4" t="s">
        <v>111</v>
      </c>
      <c r="L143" s="4" t="s">
        <v>112</v>
      </c>
      <c r="M143" s="4" t="s">
        <v>113</v>
      </c>
      <c r="N143" s="4" t="s">
        <v>103</v>
      </c>
      <c r="O143" s="4" t="s">
        <v>432</v>
      </c>
      <c r="P143" s="5"/>
      <c r="Q143" s="5"/>
      <c r="R143" s="4" t="s">
        <v>433</v>
      </c>
      <c r="S143" s="5"/>
      <c r="T143" s="4" t="s">
        <v>107</v>
      </c>
      <c r="U143" s="45">
        <v>94</v>
      </c>
      <c r="V143" s="4" t="s">
        <v>202</v>
      </c>
      <c r="W143" s="45">
        <v>94</v>
      </c>
      <c r="X143" s="4" t="s">
        <v>8</v>
      </c>
      <c r="Y143" s="5">
        <v>1</v>
      </c>
      <c r="Z143" s="4" t="s">
        <v>108</v>
      </c>
      <c r="AA143" s="5"/>
      <c r="AB143" s="5">
        <v>43</v>
      </c>
      <c r="AC143" s="4" t="s">
        <v>109</v>
      </c>
      <c r="AD143" s="45">
        <v>94</v>
      </c>
      <c r="AE143" s="4" t="s">
        <v>202</v>
      </c>
      <c r="AF143" s="4"/>
      <c r="AG143" s="5">
        <v>1000000</v>
      </c>
      <c r="AH143" s="5">
        <v>1000000</v>
      </c>
      <c r="AI143" s="5">
        <v>0</v>
      </c>
      <c r="AJ143" s="5">
        <v>1000000</v>
      </c>
      <c r="AK143" s="5">
        <v>0</v>
      </c>
      <c r="AL143" s="5">
        <v>1000000</v>
      </c>
      <c r="AM143" s="5"/>
    </row>
    <row r="144" spans="1:39" ht="51" x14ac:dyDescent="0.25">
      <c r="A144" s="4" t="s">
        <v>17</v>
      </c>
      <c r="B144" s="4" t="str">
        <f>VLOOKUP(A144,'Ledger &amp; Group'!A:C,2,0)</f>
        <v>Cavinkare</v>
      </c>
      <c r="C144" s="4">
        <f>VLOOKUP(A144,'Ledger &amp; Group'!A:C,3,0)</f>
        <v>60</v>
      </c>
      <c r="D144" s="45">
        <f t="shared" si="4"/>
        <v>154</v>
      </c>
      <c r="E144" s="4" t="str">
        <f ca="1">IF(D144&lt;=TODAY(),IF(ISNA(VLOOKUP(V144,'Unreconciled AR'!C:C,1,0)),"Due","Unreconciled AR"),"Outstanding")</f>
        <v>Due</v>
      </c>
      <c r="F144" s="4">
        <f t="shared" ca="1" si="5"/>
        <v>44605</v>
      </c>
      <c r="G144" s="4" t="e">
        <f ca="1">LOOKUP(F144,{-10000,-60,-30,-15,0,1,10000},{"&gt;60","31-60","16-30","01-15","Due on Today","OS"})</f>
        <v>#N/A</v>
      </c>
      <c r="H144" s="4" t="s">
        <v>103</v>
      </c>
      <c r="I144" s="4" t="s">
        <v>103</v>
      </c>
      <c r="J144" s="4" t="s">
        <v>104</v>
      </c>
      <c r="K144" s="4" t="s">
        <v>111</v>
      </c>
      <c r="L144" s="4" t="s">
        <v>112</v>
      </c>
      <c r="M144" s="4" t="s">
        <v>113</v>
      </c>
      <c r="N144" s="4" t="s">
        <v>103</v>
      </c>
      <c r="O144" s="4" t="s">
        <v>432</v>
      </c>
      <c r="P144" s="5"/>
      <c r="Q144" s="5"/>
      <c r="R144" s="4" t="s">
        <v>433</v>
      </c>
      <c r="S144" s="5"/>
      <c r="T144" s="4" t="s">
        <v>107</v>
      </c>
      <c r="U144" s="45">
        <v>94</v>
      </c>
      <c r="V144" s="4" t="s">
        <v>203</v>
      </c>
      <c r="W144" s="45">
        <v>94</v>
      </c>
      <c r="X144" s="4" t="s">
        <v>8</v>
      </c>
      <c r="Y144" s="5">
        <v>1</v>
      </c>
      <c r="Z144" s="4" t="s">
        <v>108</v>
      </c>
      <c r="AA144" s="5"/>
      <c r="AB144" s="5">
        <v>43</v>
      </c>
      <c r="AC144" s="4" t="s">
        <v>109</v>
      </c>
      <c r="AD144" s="45">
        <v>94</v>
      </c>
      <c r="AE144" s="4" t="s">
        <v>203</v>
      </c>
      <c r="AF144" s="4"/>
      <c r="AG144" s="5">
        <v>1000000</v>
      </c>
      <c r="AH144" s="5">
        <v>1000000</v>
      </c>
      <c r="AI144" s="5">
        <v>0</v>
      </c>
      <c r="AJ144" s="5">
        <v>1000000</v>
      </c>
      <c r="AK144" s="5">
        <v>0</v>
      </c>
      <c r="AL144" s="5">
        <v>1000000</v>
      </c>
      <c r="AM144" s="5"/>
    </row>
    <row r="145" spans="1:39" ht="51" x14ac:dyDescent="0.25">
      <c r="A145" s="4" t="s">
        <v>17</v>
      </c>
      <c r="B145" s="4" t="str">
        <f>VLOOKUP(A145,'Ledger &amp; Group'!A:C,2,0)</f>
        <v>Cavinkare</v>
      </c>
      <c r="C145" s="4">
        <f>VLOOKUP(A145,'Ledger &amp; Group'!A:C,3,0)</f>
        <v>60</v>
      </c>
      <c r="D145" s="45">
        <f t="shared" si="4"/>
        <v>162</v>
      </c>
      <c r="E145" s="4" t="str">
        <f ca="1">IF(D145&lt;=TODAY(),IF(ISNA(VLOOKUP(V145,'Unreconciled AR'!C:C,1,0)),"Due","Unreconciled AR"),"Outstanding")</f>
        <v>Due</v>
      </c>
      <c r="F145" s="4">
        <f t="shared" ca="1" si="5"/>
        <v>44597</v>
      </c>
      <c r="G145" s="4" t="e">
        <f ca="1">LOOKUP(F145,{-10000,-60,-30,-15,0,1,10000},{"&gt;60","31-60","16-30","01-15","Due on Today","OS"})</f>
        <v>#N/A</v>
      </c>
      <c r="H145" s="4" t="s">
        <v>103</v>
      </c>
      <c r="I145" s="4" t="s">
        <v>103</v>
      </c>
      <c r="J145" s="4" t="s">
        <v>104</v>
      </c>
      <c r="K145" s="4" t="s">
        <v>111</v>
      </c>
      <c r="L145" s="4" t="s">
        <v>112</v>
      </c>
      <c r="M145" s="4" t="s">
        <v>113</v>
      </c>
      <c r="N145" s="4" t="s">
        <v>103</v>
      </c>
      <c r="O145" s="4" t="s">
        <v>432</v>
      </c>
      <c r="P145" s="5"/>
      <c r="Q145" s="5"/>
      <c r="R145" s="4" t="s">
        <v>433</v>
      </c>
      <c r="S145" s="5"/>
      <c r="T145" s="4" t="s">
        <v>107</v>
      </c>
      <c r="U145" s="45">
        <v>102</v>
      </c>
      <c r="V145" s="4" t="s">
        <v>224</v>
      </c>
      <c r="W145" s="45">
        <v>102</v>
      </c>
      <c r="X145" s="4" t="s">
        <v>8</v>
      </c>
      <c r="Y145" s="5">
        <v>1</v>
      </c>
      <c r="Z145" s="4" t="s">
        <v>108</v>
      </c>
      <c r="AA145" s="5"/>
      <c r="AB145" s="5">
        <v>35</v>
      </c>
      <c r="AC145" s="4" t="s">
        <v>109</v>
      </c>
      <c r="AD145" s="45">
        <v>102</v>
      </c>
      <c r="AE145" s="4" t="s">
        <v>224</v>
      </c>
      <c r="AF145" s="4"/>
      <c r="AG145" s="5">
        <v>1000000</v>
      </c>
      <c r="AH145" s="5">
        <v>1000000</v>
      </c>
      <c r="AI145" s="5">
        <v>0</v>
      </c>
      <c r="AJ145" s="5">
        <v>1000000</v>
      </c>
      <c r="AK145" s="5">
        <v>0</v>
      </c>
      <c r="AL145" s="5">
        <v>1000000</v>
      </c>
      <c r="AM145" s="5"/>
    </row>
    <row r="146" spans="1:39" ht="51" x14ac:dyDescent="0.25">
      <c r="A146" s="4" t="s">
        <v>17</v>
      </c>
      <c r="B146" s="4" t="str">
        <f>VLOOKUP(A146,'Ledger &amp; Group'!A:C,2,0)</f>
        <v>Cavinkare</v>
      </c>
      <c r="C146" s="4">
        <f>VLOOKUP(A146,'Ledger &amp; Group'!A:C,3,0)</f>
        <v>60</v>
      </c>
      <c r="D146" s="45">
        <f t="shared" si="4"/>
        <v>166</v>
      </c>
      <c r="E146" s="4" t="str">
        <f ca="1">IF(D146&lt;=TODAY(),IF(ISNA(VLOOKUP(V146,'Unreconciled AR'!C:C,1,0)),"Due","Unreconciled AR"),"Outstanding")</f>
        <v>Due</v>
      </c>
      <c r="F146" s="4">
        <f t="shared" ca="1" si="5"/>
        <v>44593</v>
      </c>
      <c r="G146" s="4" t="e">
        <f ca="1">LOOKUP(F146,{-10000,-60,-30,-15,0,1,10000},{"&gt;60","31-60","16-30","01-15","Due on Today","OS"})</f>
        <v>#N/A</v>
      </c>
      <c r="H146" s="4" t="s">
        <v>103</v>
      </c>
      <c r="I146" s="4" t="s">
        <v>103</v>
      </c>
      <c r="J146" s="4" t="s">
        <v>104</v>
      </c>
      <c r="K146" s="4" t="s">
        <v>111</v>
      </c>
      <c r="L146" s="4" t="s">
        <v>112</v>
      </c>
      <c r="M146" s="4" t="s">
        <v>113</v>
      </c>
      <c r="N146" s="4" t="s">
        <v>103</v>
      </c>
      <c r="O146" s="4" t="s">
        <v>432</v>
      </c>
      <c r="P146" s="5"/>
      <c r="Q146" s="5"/>
      <c r="R146" s="4" t="s">
        <v>433</v>
      </c>
      <c r="S146" s="5"/>
      <c r="T146" s="4" t="s">
        <v>107</v>
      </c>
      <c r="U146" s="45">
        <v>106</v>
      </c>
      <c r="V146" s="4" t="s">
        <v>243</v>
      </c>
      <c r="W146" s="45">
        <v>106</v>
      </c>
      <c r="X146" s="4" t="s">
        <v>8</v>
      </c>
      <c r="Y146" s="5">
        <v>1</v>
      </c>
      <c r="Z146" s="4" t="s">
        <v>108</v>
      </c>
      <c r="AA146" s="5"/>
      <c r="AB146" s="5">
        <v>31</v>
      </c>
      <c r="AC146" s="4" t="s">
        <v>109</v>
      </c>
      <c r="AD146" s="45">
        <v>106</v>
      </c>
      <c r="AE146" s="4" t="s">
        <v>243</v>
      </c>
      <c r="AF146" s="4"/>
      <c r="AG146" s="5">
        <v>1000000</v>
      </c>
      <c r="AH146" s="5">
        <v>1000000</v>
      </c>
      <c r="AI146" s="5">
        <v>0</v>
      </c>
      <c r="AJ146" s="5">
        <v>1000000</v>
      </c>
      <c r="AK146" s="5">
        <v>0</v>
      </c>
      <c r="AL146" s="5">
        <v>1000000</v>
      </c>
      <c r="AM146" s="5"/>
    </row>
    <row r="147" spans="1:39" ht="51" x14ac:dyDescent="0.25">
      <c r="A147" s="4" t="s">
        <v>17</v>
      </c>
      <c r="B147" s="4" t="str">
        <f>VLOOKUP(A147,'Ledger &amp; Group'!A:C,2,0)</f>
        <v>Cavinkare</v>
      </c>
      <c r="C147" s="4">
        <f>VLOOKUP(A147,'Ledger &amp; Group'!A:C,3,0)</f>
        <v>60</v>
      </c>
      <c r="D147" s="45">
        <f t="shared" si="4"/>
        <v>167</v>
      </c>
      <c r="E147" s="4" t="str">
        <f ca="1">IF(D147&lt;=TODAY(),IF(ISNA(VLOOKUP(V147,'Unreconciled AR'!C:C,1,0)),"Due","Unreconciled AR"),"Outstanding")</f>
        <v>Due</v>
      </c>
      <c r="F147" s="4">
        <f t="shared" ca="1" si="5"/>
        <v>44592</v>
      </c>
      <c r="G147" s="4" t="e">
        <f ca="1">LOOKUP(F147,{-10000,-60,-30,-15,0,1,10000},{"&gt;60","31-60","16-30","01-15","Due on Today","OS"})</f>
        <v>#N/A</v>
      </c>
      <c r="H147" s="4" t="s">
        <v>103</v>
      </c>
      <c r="I147" s="4" t="s">
        <v>103</v>
      </c>
      <c r="J147" s="4" t="s">
        <v>104</v>
      </c>
      <c r="K147" s="4" t="s">
        <v>111</v>
      </c>
      <c r="L147" s="4" t="s">
        <v>112</v>
      </c>
      <c r="M147" s="4" t="s">
        <v>113</v>
      </c>
      <c r="N147" s="4" t="s">
        <v>103</v>
      </c>
      <c r="O147" s="4" t="s">
        <v>432</v>
      </c>
      <c r="P147" s="5"/>
      <c r="Q147" s="5"/>
      <c r="R147" s="4" t="s">
        <v>433</v>
      </c>
      <c r="S147" s="5"/>
      <c r="T147" s="4" t="s">
        <v>107</v>
      </c>
      <c r="U147" s="45">
        <v>107</v>
      </c>
      <c r="V147" s="4" t="s">
        <v>257</v>
      </c>
      <c r="W147" s="45">
        <v>107</v>
      </c>
      <c r="X147" s="4" t="s">
        <v>8</v>
      </c>
      <c r="Y147" s="5">
        <v>1</v>
      </c>
      <c r="Z147" s="4" t="s">
        <v>108</v>
      </c>
      <c r="AA147" s="5"/>
      <c r="AB147" s="5">
        <v>30</v>
      </c>
      <c r="AC147" s="4" t="s">
        <v>109</v>
      </c>
      <c r="AD147" s="45">
        <v>107</v>
      </c>
      <c r="AE147" s="4" t="s">
        <v>257</v>
      </c>
      <c r="AF147" s="4"/>
      <c r="AG147" s="5">
        <v>1000000</v>
      </c>
      <c r="AH147" s="5">
        <v>1000000</v>
      </c>
      <c r="AI147" s="5">
        <v>0</v>
      </c>
      <c r="AJ147" s="5">
        <v>1000000</v>
      </c>
      <c r="AK147" s="5">
        <v>0</v>
      </c>
      <c r="AL147" s="5">
        <v>1000000</v>
      </c>
      <c r="AM147" s="5"/>
    </row>
    <row r="148" spans="1:39" ht="51" x14ac:dyDescent="0.25">
      <c r="A148" s="4" t="s">
        <v>17</v>
      </c>
      <c r="B148" s="4" t="str">
        <f>VLOOKUP(A148,'Ledger &amp; Group'!A:C,2,0)</f>
        <v>Cavinkare</v>
      </c>
      <c r="C148" s="4">
        <f>VLOOKUP(A148,'Ledger &amp; Group'!A:C,3,0)</f>
        <v>60</v>
      </c>
      <c r="D148" s="45">
        <f t="shared" si="4"/>
        <v>172</v>
      </c>
      <c r="E148" s="4" t="str">
        <f ca="1">IF(D148&lt;=TODAY(),IF(ISNA(VLOOKUP(V148,'Unreconciled AR'!C:C,1,0)),"Due","Unreconciled AR"),"Outstanding")</f>
        <v>Due</v>
      </c>
      <c r="F148" s="4">
        <f t="shared" ca="1" si="5"/>
        <v>44587</v>
      </c>
      <c r="G148" s="4" t="e">
        <f ca="1">LOOKUP(F148,{-10000,-60,-30,-15,0,1,10000},{"&gt;60","31-60","16-30","01-15","Due on Today","OS"})</f>
        <v>#N/A</v>
      </c>
      <c r="H148" s="4" t="s">
        <v>103</v>
      </c>
      <c r="I148" s="4" t="s">
        <v>103</v>
      </c>
      <c r="J148" s="4" t="s">
        <v>104</v>
      </c>
      <c r="K148" s="4" t="s">
        <v>111</v>
      </c>
      <c r="L148" s="4" t="s">
        <v>112</v>
      </c>
      <c r="M148" s="4" t="s">
        <v>113</v>
      </c>
      <c r="N148" s="4" t="s">
        <v>103</v>
      </c>
      <c r="O148" s="4" t="s">
        <v>432</v>
      </c>
      <c r="P148" s="5"/>
      <c r="Q148" s="5"/>
      <c r="R148" s="4" t="s">
        <v>433</v>
      </c>
      <c r="S148" s="5"/>
      <c r="T148" s="4" t="s">
        <v>107</v>
      </c>
      <c r="U148" s="45">
        <v>112</v>
      </c>
      <c r="V148" s="4" t="s">
        <v>272</v>
      </c>
      <c r="W148" s="45">
        <v>112</v>
      </c>
      <c r="X148" s="4" t="s">
        <v>8</v>
      </c>
      <c r="Y148" s="5">
        <v>1</v>
      </c>
      <c r="Z148" s="4" t="s">
        <v>108</v>
      </c>
      <c r="AA148" s="5"/>
      <c r="AB148" s="5">
        <v>25</v>
      </c>
      <c r="AC148" s="4" t="s">
        <v>109</v>
      </c>
      <c r="AD148" s="45">
        <v>112</v>
      </c>
      <c r="AE148" s="4" t="s">
        <v>272</v>
      </c>
      <c r="AF148" s="4"/>
      <c r="AG148" s="5">
        <v>1000000</v>
      </c>
      <c r="AH148" s="5">
        <v>1000000</v>
      </c>
      <c r="AI148" s="5">
        <v>0</v>
      </c>
      <c r="AJ148" s="5">
        <v>1000000</v>
      </c>
      <c r="AK148" s="5">
        <v>0</v>
      </c>
      <c r="AL148" s="5">
        <v>1000000</v>
      </c>
      <c r="AM148" s="5"/>
    </row>
    <row r="149" spans="1:39" ht="51" x14ac:dyDescent="0.25">
      <c r="A149" s="4" t="s">
        <v>17</v>
      </c>
      <c r="B149" s="4" t="str">
        <f>VLOOKUP(A149,'Ledger &amp; Group'!A:C,2,0)</f>
        <v>Cavinkare</v>
      </c>
      <c r="C149" s="4">
        <f>VLOOKUP(A149,'Ledger &amp; Group'!A:C,3,0)</f>
        <v>60</v>
      </c>
      <c r="D149" s="45">
        <f t="shared" si="4"/>
        <v>178</v>
      </c>
      <c r="E149" s="4" t="str">
        <f ca="1">IF(D149&lt;=TODAY(),IF(ISNA(VLOOKUP(V149,'Unreconciled AR'!C:C,1,0)),"Due","Unreconciled AR"),"Outstanding")</f>
        <v>Due</v>
      </c>
      <c r="F149" s="4">
        <f t="shared" ca="1" si="5"/>
        <v>44581</v>
      </c>
      <c r="G149" s="4" t="e">
        <f ca="1">LOOKUP(F149,{-10000,-60,-30,-15,0,1,10000},{"&gt;60","31-60","16-30","01-15","Due on Today","OS"})</f>
        <v>#N/A</v>
      </c>
      <c r="H149" s="4" t="s">
        <v>103</v>
      </c>
      <c r="I149" s="4" t="s">
        <v>103</v>
      </c>
      <c r="J149" s="4" t="s">
        <v>104</v>
      </c>
      <c r="K149" s="4" t="s">
        <v>111</v>
      </c>
      <c r="L149" s="4" t="s">
        <v>112</v>
      </c>
      <c r="M149" s="4" t="s">
        <v>113</v>
      </c>
      <c r="N149" s="4" t="s">
        <v>103</v>
      </c>
      <c r="O149" s="4" t="s">
        <v>432</v>
      </c>
      <c r="P149" s="5"/>
      <c r="Q149" s="5"/>
      <c r="R149" s="4" t="s">
        <v>433</v>
      </c>
      <c r="S149" s="5"/>
      <c r="T149" s="4" t="s">
        <v>107</v>
      </c>
      <c r="U149" s="45">
        <v>118</v>
      </c>
      <c r="V149" s="4" t="s">
        <v>298</v>
      </c>
      <c r="W149" s="45">
        <v>118</v>
      </c>
      <c r="X149" s="4" t="s">
        <v>8</v>
      </c>
      <c r="Y149" s="5">
        <v>1</v>
      </c>
      <c r="Z149" s="4" t="s">
        <v>108</v>
      </c>
      <c r="AA149" s="5"/>
      <c r="AB149" s="5">
        <v>19</v>
      </c>
      <c r="AC149" s="4" t="s">
        <v>109</v>
      </c>
      <c r="AD149" s="45">
        <v>118</v>
      </c>
      <c r="AE149" s="4" t="s">
        <v>298</v>
      </c>
      <c r="AF149" s="4"/>
      <c r="AG149" s="5">
        <v>1000000</v>
      </c>
      <c r="AH149" s="5">
        <v>1000000</v>
      </c>
      <c r="AI149" s="5">
        <v>0</v>
      </c>
      <c r="AJ149" s="5">
        <v>1000000</v>
      </c>
      <c r="AK149" s="5">
        <v>0</v>
      </c>
      <c r="AL149" s="5">
        <v>1000000</v>
      </c>
      <c r="AM149" s="5"/>
    </row>
    <row r="150" spans="1:39" ht="51" x14ac:dyDescent="0.25">
      <c r="A150" s="4" t="s">
        <v>17</v>
      </c>
      <c r="B150" s="4" t="str">
        <f>VLOOKUP(A150,'Ledger &amp; Group'!A:C,2,0)</f>
        <v>Cavinkare</v>
      </c>
      <c r="C150" s="4">
        <f>VLOOKUP(A150,'Ledger &amp; Group'!A:C,3,0)</f>
        <v>60</v>
      </c>
      <c r="D150" s="45">
        <f t="shared" si="4"/>
        <v>184</v>
      </c>
      <c r="E150" s="4" t="str">
        <f ca="1">IF(D150&lt;=TODAY(),IF(ISNA(VLOOKUP(V150,'Unreconciled AR'!C:C,1,0)),"Due","Unreconciled AR"),"Outstanding")</f>
        <v>Due</v>
      </c>
      <c r="F150" s="4">
        <f t="shared" ca="1" si="5"/>
        <v>44575</v>
      </c>
      <c r="G150" s="4" t="e">
        <f ca="1">LOOKUP(F150,{-10000,-60,-30,-15,0,1,10000},{"&gt;60","31-60","16-30","01-15","Due on Today","OS"})</f>
        <v>#N/A</v>
      </c>
      <c r="H150" s="4" t="s">
        <v>103</v>
      </c>
      <c r="I150" s="4" t="s">
        <v>103</v>
      </c>
      <c r="J150" s="4" t="s">
        <v>104</v>
      </c>
      <c r="K150" s="4" t="s">
        <v>111</v>
      </c>
      <c r="L150" s="4" t="s">
        <v>112</v>
      </c>
      <c r="M150" s="4" t="s">
        <v>113</v>
      </c>
      <c r="N150" s="4" t="s">
        <v>103</v>
      </c>
      <c r="O150" s="4" t="s">
        <v>432</v>
      </c>
      <c r="P150" s="5"/>
      <c r="Q150" s="5"/>
      <c r="R150" s="4" t="s">
        <v>433</v>
      </c>
      <c r="S150" s="5"/>
      <c r="T150" s="4" t="s">
        <v>107</v>
      </c>
      <c r="U150" s="45">
        <v>124</v>
      </c>
      <c r="V150" s="4" t="s">
        <v>324</v>
      </c>
      <c r="W150" s="45">
        <v>124</v>
      </c>
      <c r="X150" s="4" t="s">
        <v>8</v>
      </c>
      <c r="Y150" s="5">
        <v>1</v>
      </c>
      <c r="Z150" s="4" t="s">
        <v>108</v>
      </c>
      <c r="AA150" s="5"/>
      <c r="AB150" s="5">
        <v>13</v>
      </c>
      <c r="AC150" s="4" t="s">
        <v>109</v>
      </c>
      <c r="AD150" s="45">
        <v>124</v>
      </c>
      <c r="AE150" s="4" t="s">
        <v>324</v>
      </c>
      <c r="AF150" s="4"/>
      <c r="AG150" s="5">
        <v>1000000</v>
      </c>
      <c r="AH150" s="5">
        <v>1000000</v>
      </c>
      <c r="AI150" s="5">
        <v>0</v>
      </c>
      <c r="AJ150" s="5">
        <v>1000000</v>
      </c>
      <c r="AK150" s="5">
        <v>0</v>
      </c>
      <c r="AL150" s="5">
        <v>1000000</v>
      </c>
      <c r="AM150" s="5"/>
    </row>
    <row r="151" spans="1:39" ht="51" x14ac:dyDescent="0.25">
      <c r="A151" s="4" t="s">
        <v>17</v>
      </c>
      <c r="B151" s="4" t="str">
        <f>VLOOKUP(A151,'Ledger &amp; Group'!A:C,2,0)</f>
        <v>Cavinkare</v>
      </c>
      <c r="C151" s="4">
        <f>VLOOKUP(A151,'Ledger &amp; Group'!A:C,3,0)</f>
        <v>60</v>
      </c>
      <c r="D151" s="45">
        <f t="shared" si="4"/>
        <v>197</v>
      </c>
      <c r="E151" s="4" t="str">
        <f ca="1">IF(D151&lt;=TODAY(),IF(ISNA(VLOOKUP(V151,'Unreconciled AR'!C:C,1,0)),"Due","Unreconciled AR"),"Outstanding")</f>
        <v>Due</v>
      </c>
      <c r="F151" s="4">
        <f t="shared" ca="1" si="5"/>
        <v>44562</v>
      </c>
      <c r="G151" s="4" t="e">
        <f ca="1">LOOKUP(F151,{-10000,-60,-30,-15,0,1,10000},{"&gt;60","31-60","16-30","01-15","Due on Today","OS"})</f>
        <v>#N/A</v>
      </c>
      <c r="H151" s="4" t="s">
        <v>103</v>
      </c>
      <c r="I151" s="4" t="s">
        <v>103</v>
      </c>
      <c r="J151" s="4" t="s">
        <v>104</v>
      </c>
      <c r="K151" s="4" t="s">
        <v>111</v>
      </c>
      <c r="L151" s="4" t="s">
        <v>112</v>
      </c>
      <c r="M151" s="4" t="s">
        <v>113</v>
      </c>
      <c r="N151" s="4" t="s">
        <v>103</v>
      </c>
      <c r="O151" s="4" t="s">
        <v>432</v>
      </c>
      <c r="P151" s="5"/>
      <c r="Q151" s="5"/>
      <c r="R151" s="4" t="s">
        <v>433</v>
      </c>
      <c r="S151" s="5"/>
      <c r="T151" s="4" t="s">
        <v>107</v>
      </c>
      <c r="U151" s="45">
        <v>137</v>
      </c>
      <c r="V151" s="4" t="s">
        <v>418</v>
      </c>
      <c r="W151" s="45">
        <v>137</v>
      </c>
      <c r="X151" s="4" t="s">
        <v>8</v>
      </c>
      <c r="Y151" s="5">
        <v>1</v>
      </c>
      <c r="Z151" s="4" t="s">
        <v>108</v>
      </c>
      <c r="AA151" s="5"/>
      <c r="AB151" s="5">
        <v>0</v>
      </c>
      <c r="AC151" s="4" t="s">
        <v>109</v>
      </c>
      <c r="AD151" s="45">
        <v>137</v>
      </c>
      <c r="AE151" s="4" t="s">
        <v>418</v>
      </c>
      <c r="AF151" s="4"/>
      <c r="AG151" s="5">
        <v>1000000</v>
      </c>
      <c r="AH151" s="5">
        <v>1000000</v>
      </c>
      <c r="AI151" s="5">
        <v>556968</v>
      </c>
      <c r="AJ151" s="5">
        <v>1000000</v>
      </c>
      <c r="AK151" s="5">
        <v>0</v>
      </c>
      <c r="AL151" s="5">
        <v>1000000</v>
      </c>
      <c r="AM151" s="5"/>
    </row>
    <row r="152" spans="1:39" ht="216.75" x14ac:dyDescent="0.25">
      <c r="A152" s="4" t="s">
        <v>18</v>
      </c>
      <c r="B152" s="4" t="str">
        <f>VLOOKUP(A152,'Ledger &amp; Group'!A:C,2,0)</f>
        <v>Cavinkare</v>
      </c>
      <c r="C152" s="4">
        <f>VLOOKUP(A152,'Ledger &amp; Group'!A:C,3,0)</f>
        <v>60</v>
      </c>
      <c r="D152" s="45">
        <f t="shared" si="4"/>
        <v>235</v>
      </c>
      <c r="E152" s="4" t="str">
        <f ca="1">IF(D152&lt;=TODAY(),IF(ISNA(VLOOKUP(V152,'Unreconciled AR'!C:C,1,0)),"Due","Unreconciled AR"),"Outstanding")</f>
        <v>Due</v>
      </c>
      <c r="F152" s="4">
        <f t="shared" ca="1" si="5"/>
        <v>44524</v>
      </c>
      <c r="G152" s="4" t="e">
        <f ca="1">LOOKUP(F152,{-10000,-60,-30,-15,0,1,10000},{"&gt;60","31-60","16-30","01-15","Due on Today","OS"})</f>
        <v>#N/A</v>
      </c>
      <c r="H152" s="4" t="s">
        <v>103</v>
      </c>
      <c r="I152" s="4" t="s">
        <v>103</v>
      </c>
      <c r="J152" s="4" t="s">
        <v>104</v>
      </c>
      <c r="K152" s="4" t="s">
        <v>111</v>
      </c>
      <c r="L152" s="4" t="s">
        <v>112</v>
      </c>
      <c r="M152" s="4" t="s">
        <v>113</v>
      </c>
      <c r="N152" s="4" t="s">
        <v>103</v>
      </c>
      <c r="O152" s="4" t="s">
        <v>432</v>
      </c>
      <c r="P152" s="5"/>
      <c r="Q152" s="5"/>
      <c r="R152" s="4" t="s">
        <v>433</v>
      </c>
      <c r="S152" s="5"/>
      <c r="T152" s="4" t="s">
        <v>107</v>
      </c>
      <c r="U152" s="45">
        <v>175</v>
      </c>
      <c r="V152" s="4" t="s">
        <v>52</v>
      </c>
      <c r="W152" s="45">
        <v>175</v>
      </c>
      <c r="X152" s="4" t="s">
        <v>8</v>
      </c>
      <c r="Y152" s="5">
        <v>1</v>
      </c>
      <c r="Z152" s="4" t="s">
        <v>116</v>
      </c>
      <c r="AA152" s="5"/>
      <c r="AB152" s="5">
        <v>692</v>
      </c>
      <c r="AC152" s="4" t="s">
        <v>109</v>
      </c>
      <c r="AD152" s="45">
        <v>175</v>
      </c>
      <c r="AE152" s="4" t="s">
        <v>52</v>
      </c>
      <c r="AF152" s="5"/>
      <c r="AG152" s="5">
        <v>1000000</v>
      </c>
      <c r="AH152" s="5">
        <v>1000000</v>
      </c>
      <c r="AI152" s="5">
        <v>0</v>
      </c>
      <c r="AJ152" s="5">
        <v>1000000</v>
      </c>
      <c r="AK152" s="5">
        <v>0</v>
      </c>
      <c r="AL152" s="5">
        <v>1000000</v>
      </c>
      <c r="AM152" s="5"/>
    </row>
    <row r="153" spans="1:39" ht="216.75" x14ac:dyDescent="0.25">
      <c r="A153" s="4" t="s">
        <v>18</v>
      </c>
      <c r="B153" s="4" t="str">
        <f>VLOOKUP(A153,'Ledger &amp; Group'!A:C,2,0)</f>
        <v>Cavinkare</v>
      </c>
      <c r="C153" s="4">
        <f>VLOOKUP(A153,'Ledger &amp; Group'!A:C,3,0)</f>
        <v>60</v>
      </c>
      <c r="D153" s="45">
        <f t="shared" si="4"/>
        <v>236</v>
      </c>
      <c r="E153" s="4" t="str">
        <f ca="1">IF(D153&lt;=TODAY(),IF(ISNA(VLOOKUP(V153,'Unreconciled AR'!C:C,1,0)),"Due","Unreconciled AR"),"Outstanding")</f>
        <v>Due</v>
      </c>
      <c r="F153" s="4">
        <f t="shared" ca="1" si="5"/>
        <v>44523</v>
      </c>
      <c r="G153" s="4" t="e">
        <f ca="1">LOOKUP(F153,{-10000,-60,-30,-15,0,1,10000},{"&gt;60","31-60","16-30","01-15","Due on Today","OS"})</f>
        <v>#N/A</v>
      </c>
      <c r="H153" s="4" t="s">
        <v>103</v>
      </c>
      <c r="I153" s="4" t="s">
        <v>103</v>
      </c>
      <c r="J153" s="4" t="s">
        <v>104</v>
      </c>
      <c r="K153" s="4" t="s">
        <v>111</v>
      </c>
      <c r="L153" s="4" t="s">
        <v>112</v>
      </c>
      <c r="M153" s="4" t="s">
        <v>113</v>
      </c>
      <c r="N153" s="4" t="s">
        <v>103</v>
      </c>
      <c r="O153" s="4" t="s">
        <v>432</v>
      </c>
      <c r="P153" s="5"/>
      <c r="Q153" s="5"/>
      <c r="R153" s="4" t="s">
        <v>433</v>
      </c>
      <c r="S153" s="5"/>
      <c r="T153" s="4" t="s">
        <v>107</v>
      </c>
      <c r="U153" s="45">
        <v>176</v>
      </c>
      <c r="V153" s="4" t="s">
        <v>53</v>
      </c>
      <c r="W153" s="45">
        <v>176</v>
      </c>
      <c r="X153" s="4" t="s">
        <v>8</v>
      </c>
      <c r="Y153" s="5">
        <v>1</v>
      </c>
      <c r="Z153" s="4" t="s">
        <v>116</v>
      </c>
      <c r="AA153" s="5"/>
      <c r="AB153" s="5">
        <v>691</v>
      </c>
      <c r="AC153" s="4" t="s">
        <v>109</v>
      </c>
      <c r="AD153" s="45">
        <v>176</v>
      </c>
      <c r="AE153" s="4" t="s">
        <v>53</v>
      </c>
      <c r="AF153" s="5"/>
      <c r="AG153" s="5">
        <v>1000000</v>
      </c>
      <c r="AH153" s="5">
        <v>1000000</v>
      </c>
      <c r="AI153" s="5">
        <v>0</v>
      </c>
      <c r="AJ153" s="5">
        <v>1000000</v>
      </c>
      <c r="AK153" s="5">
        <v>0</v>
      </c>
      <c r="AL153" s="5">
        <v>1000000</v>
      </c>
      <c r="AM153" s="5"/>
    </row>
    <row r="154" spans="1:39" ht="216.75" x14ac:dyDescent="0.25">
      <c r="A154" s="4" t="s">
        <v>18</v>
      </c>
      <c r="B154" s="4" t="str">
        <f>VLOOKUP(A154,'Ledger &amp; Group'!A:C,2,0)</f>
        <v>Cavinkare</v>
      </c>
      <c r="C154" s="4">
        <f>VLOOKUP(A154,'Ledger &amp; Group'!A:C,3,0)</f>
        <v>60</v>
      </c>
      <c r="D154" s="45">
        <f t="shared" si="4"/>
        <v>236</v>
      </c>
      <c r="E154" s="4" t="str">
        <f ca="1">IF(D154&lt;=TODAY(),IF(ISNA(VLOOKUP(V154,'Unreconciled AR'!C:C,1,0)),"Due","Unreconciled AR"),"Outstanding")</f>
        <v>Due</v>
      </c>
      <c r="F154" s="4">
        <f t="shared" ca="1" si="5"/>
        <v>44523</v>
      </c>
      <c r="G154" s="4" t="e">
        <f ca="1">LOOKUP(F154,{-10000,-60,-30,-15,0,1,10000},{"&gt;60","31-60","16-30","01-15","Due on Today","OS"})</f>
        <v>#N/A</v>
      </c>
      <c r="H154" s="4" t="s">
        <v>103</v>
      </c>
      <c r="I154" s="4" t="s">
        <v>103</v>
      </c>
      <c r="J154" s="4" t="s">
        <v>104</v>
      </c>
      <c r="K154" s="4" t="s">
        <v>111</v>
      </c>
      <c r="L154" s="4" t="s">
        <v>112</v>
      </c>
      <c r="M154" s="4" t="s">
        <v>113</v>
      </c>
      <c r="N154" s="4" t="s">
        <v>103</v>
      </c>
      <c r="O154" s="4" t="s">
        <v>432</v>
      </c>
      <c r="P154" s="5"/>
      <c r="Q154" s="5"/>
      <c r="R154" s="4" t="s">
        <v>433</v>
      </c>
      <c r="S154" s="5"/>
      <c r="T154" s="4" t="s">
        <v>107</v>
      </c>
      <c r="U154" s="45">
        <v>176</v>
      </c>
      <c r="V154" s="4" t="s">
        <v>54</v>
      </c>
      <c r="W154" s="45">
        <v>176</v>
      </c>
      <c r="X154" s="4" t="s">
        <v>8</v>
      </c>
      <c r="Y154" s="5">
        <v>1</v>
      </c>
      <c r="Z154" s="4" t="s">
        <v>116</v>
      </c>
      <c r="AA154" s="5"/>
      <c r="AB154" s="5">
        <v>691</v>
      </c>
      <c r="AC154" s="4" t="s">
        <v>109</v>
      </c>
      <c r="AD154" s="45">
        <v>176</v>
      </c>
      <c r="AE154" s="4" t="s">
        <v>54</v>
      </c>
      <c r="AF154" s="5"/>
      <c r="AG154" s="5">
        <v>1000000</v>
      </c>
      <c r="AH154" s="5">
        <v>1000000</v>
      </c>
      <c r="AI154" s="5">
        <v>0</v>
      </c>
      <c r="AJ154" s="5">
        <v>1000000</v>
      </c>
      <c r="AK154" s="5">
        <v>0</v>
      </c>
      <c r="AL154" s="5">
        <v>1000000</v>
      </c>
      <c r="AM154" s="5"/>
    </row>
    <row r="155" spans="1:39" ht="153" x14ac:dyDescent="0.25">
      <c r="A155" s="4" t="s">
        <v>18</v>
      </c>
      <c r="B155" s="4" t="str">
        <f>VLOOKUP(A155,'Ledger &amp; Group'!A:C,2,0)</f>
        <v>Cavinkare</v>
      </c>
      <c r="C155" s="4">
        <f>VLOOKUP(A155,'Ledger &amp; Group'!A:C,3,0)</f>
        <v>60</v>
      </c>
      <c r="D155" s="45">
        <f t="shared" si="4"/>
        <v>311</v>
      </c>
      <c r="E155" s="4" t="str">
        <f ca="1">IF(D155&lt;=TODAY(),IF(ISNA(VLOOKUP(V155,'Unreconciled AR'!C:C,1,0)),"Due","Unreconciled AR"),"Outstanding")</f>
        <v>Due</v>
      </c>
      <c r="F155" s="4">
        <f t="shared" ca="1" si="5"/>
        <v>44448</v>
      </c>
      <c r="G155" s="4" t="e">
        <f ca="1">LOOKUP(F155,{-10000,-60,-30,-15,0,1,10000},{"&gt;60","31-60","16-30","01-15","Due on Today","OS"})</f>
        <v>#N/A</v>
      </c>
      <c r="H155" s="4" t="s">
        <v>103</v>
      </c>
      <c r="I155" s="4" t="s">
        <v>103</v>
      </c>
      <c r="J155" s="4" t="s">
        <v>104</v>
      </c>
      <c r="K155" s="4" t="s">
        <v>111</v>
      </c>
      <c r="L155" s="4" t="s">
        <v>112</v>
      </c>
      <c r="M155" s="4" t="s">
        <v>113</v>
      </c>
      <c r="N155" s="4" t="s">
        <v>103</v>
      </c>
      <c r="O155" s="4" t="s">
        <v>432</v>
      </c>
      <c r="P155" s="5"/>
      <c r="Q155" s="5"/>
      <c r="R155" s="4" t="s">
        <v>433</v>
      </c>
      <c r="S155" s="5"/>
      <c r="T155" s="4" t="s">
        <v>107</v>
      </c>
      <c r="U155" s="45">
        <v>251</v>
      </c>
      <c r="V155" s="4" t="s">
        <v>178</v>
      </c>
      <c r="W155" s="45">
        <v>251</v>
      </c>
      <c r="X155" s="4" t="s">
        <v>8</v>
      </c>
      <c r="Y155" s="5">
        <v>1</v>
      </c>
      <c r="Z155" s="4" t="s">
        <v>361</v>
      </c>
      <c r="AA155" s="5"/>
      <c r="AB155" s="5">
        <v>251</v>
      </c>
      <c r="AC155" s="4" t="s">
        <v>109</v>
      </c>
      <c r="AD155" s="45">
        <v>251</v>
      </c>
      <c r="AE155" s="4" t="s">
        <v>178</v>
      </c>
      <c r="AF155" s="5"/>
      <c r="AG155" s="5">
        <v>1000000</v>
      </c>
      <c r="AH155" s="5">
        <v>1000000</v>
      </c>
      <c r="AI155" s="5">
        <v>0</v>
      </c>
      <c r="AJ155" s="5">
        <v>1000000</v>
      </c>
      <c r="AK155" s="5">
        <v>0</v>
      </c>
      <c r="AL155" s="5">
        <v>1000000</v>
      </c>
      <c r="AM155" s="5"/>
    </row>
    <row r="156" spans="1:39" ht="63.75" x14ac:dyDescent="0.25">
      <c r="A156" s="4" t="s">
        <v>18</v>
      </c>
      <c r="B156" s="4" t="str">
        <f>VLOOKUP(A156,'Ledger &amp; Group'!A:C,2,0)</f>
        <v>Cavinkare</v>
      </c>
      <c r="C156" s="4">
        <f>VLOOKUP(A156,'Ledger &amp; Group'!A:C,3,0)</f>
        <v>60</v>
      </c>
      <c r="D156" s="45">
        <f t="shared" si="4"/>
        <v>342</v>
      </c>
      <c r="E156" s="4" t="str">
        <f ca="1">IF(D156&lt;=TODAY(),IF(ISNA(VLOOKUP(V156,'Unreconciled AR'!C:C,1,0)),"Due","Unreconciled AR"),"Outstanding")</f>
        <v>Due</v>
      </c>
      <c r="F156" s="4">
        <f t="shared" ca="1" si="5"/>
        <v>44417</v>
      </c>
      <c r="G156" s="4" t="e">
        <f ca="1">LOOKUP(F156,{-10000,-60,-30,-15,0,1,10000},{"&gt;60","31-60","16-30","01-15","Due on Today","OS"})</f>
        <v>#N/A</v>
      </c>
      <c r="H156" s="4" t="s">
        <v>103</v>
      </c>
      <c r="I156" s="4" t="s">
        <v>103</v>
      </c>
      <c r="J156" s="4" t="s">
        <v>104</v>
      </c>
      <c r="K156" s="4" t="s">
        <v>111</v>
      </c>
      <c r="L156" s="4" t="s">
        <v>112</v>
      </c>
      <c r="M156" s="4" t="s">
        <v>113</v>
      </c>
      <c r="N156" s="4" t="s">
        <v>103</v>
      </c>
      <c r="O156" s="4" t="s">
        <v>432</v>
      </c>
      <c r="P156" s="5"/>
      <c r="Q156" s="5"/>
      <c r="R156" s="4" t="s">
        <v>433</v>
      </c>
      <c r="S156" s="5"/>
      <c r="T156" s="4" t="s">
        <v>107</v>
      </c>
      <c r="U156" s="45">
        <v>282</v>
      </c>
      <c r="V156" s="4" t="s">
        <v>488</v>
      </c>
      <c r="W156" s="45">
        <v>282</v>
      </c>
      <c r="X156" s="4" t="s">
        <v>8</v>
      </c>
      <c r="Y156" s="5">
        <v>1</v>
      </c>
      <c r="Z156" s="4" t="s">
        <v>108</v>
      </c>
      <c r="AA156" s="5"/>
      <c r="AB156" s="5">
        <v>220</v>
      </c>
      <c r="AC156" s="4" t="s">
        <v>109</v>
      </c>
      <c r="AD156" s="45">
        <v>282</v>
      </c>
      <c r="AE156" s="4" t="s">
        <v>488</v>
      </c>
      <c r="AF156" s="4"/>
      <c r="AG156" s="5">
        <v>1000000</v>
      </c>
      <c r="AH156" s="5">
        <v>1000000</v>
      </c>
      <c r="AI156" s="5">
        <v>0</v>
      </c>
      <c r="AJ156" s="5">
        <v>1000000</v>
      </c>
      <c r="AK156" s="5">
        <v>0</v>
      </c>
      <c r="AL156" s="5">
        <v>1000000</v>
      </c>
      <c r="AM156" s="5"/>
    </row>
    <row r="157" spans="1:39" ht="63.75" x14ac:dyDescent="0.25">
      <c r="A157" s="4" t="s">
        <v>18</v>
      </c>
      <c r="B157" s="4" t="str">
        <f>VLOOKUP(A157,'Ledger &amp; Group'!A:C,2,0)</f>
        <v>Cavinkare</v>
      </c>
      <c r="C157" s="4">
        <f>VLOOKUP(A157,'Ledger &amp; Group'!A:C,3,0)</f>
        <v>60</v>
      </c>
      <c r="D157" s="45">
        <f t="shared" si="4"/>
        <v>143</v>
      </c>
      <c r="E157" s="4" t="str">
        <f ca="1">IF(D157&lt;=TODAY(),IF(ISNA(VLOOKUP(V157,'Unreconciled AR'!C:C,1,0)),"Due","Unreconciled AR"),"Outstanding")</f>
        <v>Due</v>
      </c>
      <c r="F157" s="4">
        <f t="shared" ca="1" si="5"/>
        <v>44616</v>
      </c>
      <c r="G157" s="4" t="e">
        <f ca="1">LOOKUP(F157,{-10000,-60,-30,-15,0,1,10000},{"&gt;60","31-60","16-30","01-15","Due on Today","OS"})</f>
        <v>#N/A</v>
      </c>
      <c r="H157" s="4" t="s">
        <v>103</v>
      </c>
      <c r="I157" s="4" t="s">
        <v>103</v>
      </c>
      <c r="J157" s="4" t="s">
        <v>104</v>
      </c>
      <c r="K157" s="4" t="s">
        <v>111</v>
      </c>
      <c r="L157" s="4" t="s">
        <v>112</v>
      </c>
      <c r="M157" s="4" t="s">
        <v>113</v>
      </c>
      <c r="N157" s="4" t="s">
        <v>103</v>
      </c>
      <c r="O157" s="4" t="s">
        <v>432</v>
      </c>
      <c r="P157" s="5"/>
      <c r="Q157" s="5"/>
      <c r="R157" s="4" t="s">
        <v>433</v>
      </c>
      <c r="S157" s="5"/>
      <c r="T157" s="4" t="s">
        <v>107</v>
      </c>
      <c r="U157" s="45">
        <v>83</v>
      </c>
      <c r="V157" s="4" t="s">
        <v>489</v>
      </c>
      <c r="W157" s="45">
        <v>83</v>
      </c>
      <c r="X157" s="4" t="s">
        <v>8</v>
      </c>
      <c r="Y157" s="5">
        <v>1</v>
      </c>
      <c r="Z157" s="4" t="s">
        <v>108</v>
      </c>
      <c r="AA157" s="5"/>
      <c r="AB157" s="5">
        <v>54</v>
      </c>
      <c r="AC157" s="4" t="s">
        <v>109</v>
      </c>
      <c r="AD157" s="45">
        <v>83</v>
      </c>
      <c r="AE157" s="4" t="s">
        <v>489</v>
      </c>
      <c r="AF157" s="4"/>
      <c r="AG157" s="5">
        <v>1000000</v>
      </c>
      <c r="AH157" s="5">
        <v>1000000</v>
      </c>
      <c r="AI157" s="5">
        <v>0</v>
      </c>
      <c r="AJ157" s="5">
        <v>1000000</v>
      </c>
      <c r="AK157" s="5">
        <v>0</v>
      </c>
      <c r="AL157" s="5">
        <v>1000000</v>
      </c>
      <c r="AM157" s="5"/>
    </row>
    <row r="158" spans="1:39" ht="63.75" x14ac:dyDescent="0.25">
      <c r="A158" s="4" t="s">
        <v>18</v>
      </c>
      <c r="B158" s="4" t="str">
        <f>VLOOKUP(A158,'Ledger &amp; Group'!A:C,2,0)</f>
        <v>Cavinkare</v>
      </c>
      <c r="C158" s="4">
        <f>VLOOKUP(A158,'Ledger &amp; Group'!A:C,3,0)</f>
        <v>60</v>
      </c>
      <c r="D158" s="45">
        <f t="shared" si="4"/>
        <v>172</v>
      </c>
      <c r="E158" s="4" t="str">
        <f ca="1">IF(D158&lt;=TODAY(),IF(ISNA(VLOOKUP(V158,'Unreconciled AR'!C:C,1,0)),"Due","Unreconciled AR"),"Outstanding")</f>
        <v>Due</v>
      </c>
      <c r="F158" s="4">
        <f t="shared" ca="1" si="5"/>
        <v>44587</v>
      </c>
      <c r="G158" s="4" t="e">
        <f ca="1">LOOKUP(F158,{-10000,-60,-30,-15,0,1,10000},{"&gt;60","31-60","16-30","01-15","Due on Today","OS"})</f>
        <v>#N/A</v>
      </c>
      <c r="H158" s="4" t="s">
        <v>103</v>
      </c>
      <c r="I158" s="4" t="s">
        <v>103</v>
      </c>
      <c r="J158" s="4" t="s">
        <v>104</v>
      </c>
      <c r="K158" s="4" t="s">
        <v>111</v>
      </c>
      <c r="L158" s="4" t="s">
        <v>112</v>
      </c>
      <c r="M158" s="4" t="s">
        <v>113</v>
      </c>
      <c r="N158" s="4" t="s">
        <v>103</v>
      </c>
      <c r="O158" s="4" t="s">
        <v>432</v>
      </c>
      <c r="P158" s="5"/>
      <c r="Q158" s="5"/>
      <c r="R158" s="4" t="s">
        <v>433</v>
      </c>
      <c r="S158" s="5"/>
      <c r="T158" s="4" t="s">
        <v>107</v>
      </c>
      <c r="U158" s="45">
        <v>112</v>
      </c>
      <c r="V158" s="4" t="s">
        <v>273</v>
      </c>
      <c r="W158" s="45">
        <v>112</v>
      </c>
      <c r="X158" s="4" t="s">
        <v>8</v>
      </c>
      <c r="Y158" s="5">
        <v>1</v>
      </c>
      <c r="Z158" s="4" t="s">
        <v>108</v>
      </c>
      <c r="AA158" s="5"/>
      <c r="AB158" s="5">
        <v>25</v>
      </c>
      <c r="AC158" s="4" t="s">
        <v>109</v>
      </c>
      <c r="AD158" s="45">
        <v>112</v>
      </c>
      <c r="AE158" s="4" t="s">
        <v>273</v>
      </c>
      <c r="AF158" s="4"/>
      <c r="AG158" s="5">
        <v>1000000</v>
      </c>
      <c r="AH158" s="5">
        <v>1000000</v>
      </c>
      <c r="AI158" s="5">
        <v>0</v>
      </c>
      <c r="AJ158" s="5">
        <v>1000000</v>
      </c>
      <c r="AK158" s="5">
        <v>0</v>
      </c>
      <c r="AL158" s="5">
        <v>1000000</v>
      </c>
      <c r="AM158" s="5"/>
    </row>
    <row r="159" spans="1:39" ht="63.75" x14ac:dyDescent="0.25">
      <c r="A159" s="4" t="s">
        <v>18</v>
      </c>
      <c r="B159" s="4" t="str">
        <f>VLOOKUP(A159,'Ledger &amp; Group'!A:C,2,0)</f>
        <v>Cavinkare</v>
      </c>
      <c r="C159" s="4">
        <f>VLOOKUP(A159,'Ledger &amp; Group'!A:C,3,0)</f>
        <v>60</v>
      </c>
      <c r="D159" s="45">
        <f t="shared" si="4"/>
        <v>185</v>
      </c>
      <c r="E159" s="4" t="str">
        <f ca="1">IF(D159&lt;=TODAY(),IF(ISNA(VLOOKUP(V159,'Unreconciled AR'!C:C,1,0)),"Due","Unreconciled AR"),"Outstanding")</f>
        <v>Due</v>
      </c>
      <c r="F159" s="4">
        <f t="shared" ca="1" si="5"/>
        <v>44574</v>
      </c>
      <c r="G159" s="4" t="e">
        <f ca="1">LOOKUP(F159,{-10000,-60,-30,-15,0,1,10000},{"&gt;60","31-60","16-30","01-15","Due on Today","OS"})</f>
        <v>#N/A</v>
      </c>
      <c r="H159" s="4" t="s">
        <v>103</v>
      </c>
      <c r="I159" s="4" t="s">
        <v>103</v>
      </c>
      <c r="J159" s="4" t="s">
        <v>104</v>
      </c>
      <c r="K159" s="4" t="s">
        <v>111</v>
      </c>
      <c r="L159" s="4" t="s">
        <v>112</v>
      </c>
      <c r="M159" s="4" t="s">
        <v>113</v>
      </c>
      <c r="N159" s="4" t="s">
        <v>103</v>
      </c>
      <c r="O159" s="4" t="s">
        <v>432</v>
      </c>
      <c r="P159" s="5"/>
      <c r="Q159" s="5"/>
      <c r="R159" s="4" t="s">
        <v>433</v>
      </c>
      <c r="S159" s="5"/>
      <c r="T159" s="4" t="s">
        <v>107</v>
      </c>
      <c r="U159" s="45">
        <v>125</v>
      </c>
      <c r="V159" s="4" t="s">
        <v>325</v>
      </c>
      <c r="W159" s="45">
        <v>125</v>
      </c>
      <c r="X159" s="4" t="s">
        <v>8</v>
      </c>
      <c r="Y159" s="5">
        <v>1</v>
      </c>
      <c r="Z159" s="4" t="s">
        <v>108</v>
      </c>
      <c r="AA159" s="5"/>
      <c r="AB159" s="5">
        <v>12</v>
      </c>
      <c r="AC159" s="4" t="s">
        <v>109</v>
      </c>
      <c r="AD159" s="45">
        <v>125</v>
      </c>
      <c r="AE159" s="4" t="s">
        <v>325</v>
      </c>
      <c r="AF159" s="4"/>
      <c r="AG159" s="5">
        <v>1000000</v>
      </c>
      <c r="AH159" s="5">
        <v>1000000</v>
      </c>
      <c r="AI159" s="5">
        <v>0</v>
      </c>
      <c r="AJ159" s="5">
        <v>1000000</v>
      </c>
      <c r="AK159" s="5">
        <v>0</v>
      </c>
      <c r="AL159" s="5">
        <v>1000000</v>
      </c>
      <c r="AM159" s="5"/>
    </row>
    <row r="160" spans="1:39" ht="63.75" x14ac:dyDescent="0.25">
      <c r="A160" s="4" t="s">
        <v>18</v>
      </c>
      <c r="B160" s="4" t="str">
        <f>VLOOKUP(A160,'Ledger &amp; Group'!A:C,2,0)</f>
        <v>Cavinkare</v>
      </c>
      <c r="C160" s="4">
        <f>VLOOKUP(A160,'Ledger &amp; Group'!A:C,3,0)</f>
        <v>60</v>
      </c>
      <c r="D160" s="45">
        <f t="shared" si="4"/>
        <v>185</v>
      </c>
      <c r="E160" s="4" t="str">
        <f ca="1">IF(D160&lt;=TODAY(),IF(ISNA(VLOOKUP(V160,'Unreconciled AR'!C:C,1,0)),"Due","Unreconciled AR"),"Outstanding")</f>
        <v>Due</v>
      </c>
      <c r="F160" s="4">
        <f t="shared" ca="1" si="5"/>
        <v>44574</v>
      </c>
      <c r="G160" s="4" t="e">
        <f ca="1">LOOKUP(F160,{-10000,-60,-30,-15,0,1,10000},{"&gt;60","31-60","16-30","01-15","Due on Today","OS"})</f>
        <v>#N/A</v>
      </c>
      <c r="H160" s="4" t="s">
        <v>103</v>
      </c>
      <c r="I160" s="4" t="s">
        <v>103</v>
      </c>
      <c r="J160" s="4" t="s">
        <v>104</v>
      </c>
      <c r="K160" s="4" t="s">
        <v>111</v>
      </c>
      <c r="L160" s="4" t="s">
        <v>112</v>
      </c>
      <c r="M160" s="4" t="s">
        <v>113</v>
      </c>
      <c r="N160" s="4" t="s">
        <v>103</v>
      </c>
      <c r="O160" s="4" t="s">
        <v>432</v>
      </c>
      <c r="P160" s="5"/>
      <c r="Q160" s="5"/>
      <c r="R160" s="4" t="s">
        <v>433</v>
      </c>
      <c r="S160" s="5"/>
      <c r="T160" s="4" t="s">
        <v>107</v>
      </c>
      <c r="U160" s="45">
        <v>125</v>
      </c>
      <c r="V160" s="4" t="s">
        <v>326</v>
      </c>
      <c r="W160" s="45">
        <v>125</v>
      </c>
      <c r="X160" s="4" t="s">
        <v>8</v>
      </c>
      <c r="Y160" s="5">
        <v>1</v>
      </c>
      <c r="Z160" s="4" t="s">
        <v>108</v>
      </c>
      <c r="AA160" s="5"/>
      <c r="AB160" s="5">
        <v>12</v>
      </c>
      <c r="AC160" s="4" t="s">
        <v>109</v>
      </c>
      <c r="AD160" s="45">
        <v>125</v>
      </c>
      <c r="AE160" s="4" t="s">
        <v>326</v>
      </c>
      <c r="AF160" s="4"/>
      <c r="AG160" s="5">
        <v>1000000</v>
      </c>
      <c r="AH160" s="5">
        <v>1000000</v>
      </c>
      <c r="AI160" s="5">
        <v>0</v>
      </c>
      <c r="AJ160" s="5">
        <v>1000000</v>
      </c>
      <c r="AK160" s="5">
        <v>0</v>
      </c>
      <c r="AL160" s="5">
        <v>1000000</v>
      </c>
      <c r="AM160" s="5"/>
    </row>
    <row r="161" spans="1:39" ht="63.75" x14ac:dyDescent="0.25">
      <c r="A161" s="4" t="s">
        <v>18</v>
      </c>
      <c r="B161" s="4" t="str">
        <f>VLOOKUP(A161,'Ledger &amp; Group'!A:C,2,0)</f>
        <v>Cavinkare</v>
      </c>
      <c r="C161" s="4">
        <f>VLOOKUP(A161,'Ledger &amp; Group'!A:C,3,0)</f>
        <v>60</v>
      </c>
      <c r="D161" s="45">
        <f t="shared" si="4"/>
        <v>187</v>
      </c>
      <c r="E161" s="4" t="str">
        <f ca="1">IF(D161&lt;=TODAY(),IF(ISNA(VLOOKUP(V161,'Unreconciled AR'!C:C,1,0)),"Due","Unreconciled AR"),"Outstanding")</f>
        <v>Due</v>
      </c>
      <c r="F161" s="4">
        <f t="shared" ca="1" si="5"/>
        <v>44572</v>
      </c>
      <c r="G161" s="4" t="e">
        <f ca="1">LOOKUP(F161,{-10000,-60,-30,-15,0,1,10000},{"&gt;60","31-60","16-30","01-15","Due on Today","OS"})</f>
        <v>#N/A</v>
      </c>
      <c r="H161" s="4" t="s">
        <v>103</v>
      </c>
      <c r="I161" s="4" t="s">
        <v>103</v>
      </c>
      <c r="J161" s="4" t="s">
        <v>104</v>
      </c>
      <c r="K161" s="4" t="s">
        <v>111</v>
      </c>
      <c r="L161" s="4" t="s">
        <v>112</v>
      </c>
      <c r="M161" s="4" t="s">
        <v>113</v>
      </c>
      <c r="N161" s="4" t="s">
        <v>103</v>
      </c>
      <c r="O161" s="4" t="s">
        <v>432</v>
      </c>
      <c r="P161" s="5"/>
      <c r="Q161" s="5"/>
      <c r="R161" s="4" t="s">
        <v>433</v>
      </c>
      <c r="S161" s="5"/>
      <c r="T161" s="4" t="s">
        <v>107</v>
      </c>
      <c r="U161" s="45">
        <v>127</v>
      </c>
      <c r="V161" s="4" t="s">
        <v>336</v>
      </c>
      <c r="W161" s="45">
        <v>127</v>
      </c>
      <c r="X161" s="4" t="s">
        <v>8</v>
      </c>
      <c r="Y161" s="5">
        <v>1</v>
      </c>
      <c r="Z161" s="4" t="s">
        <v>108</v>
      </c>
      <c r="AA161" s="5"/>
      <c r="AB161" s="5">
        <v>10</v>
      </c>
      <c r="AC161" s="4" t="s">
        <v>109</v>
      </c>
      <c r="AD161" s="45">
        <v>127</v>
      </c>
      <c r="AE161" s="4" t="s">
        <v>336</v>
      </c>
      <c r="AF161" s="4"/>
      <c r="AG161" s="5">
        <v>1000000</v>
      </c>
      <c r="AH161" s="5">
        <v>1000000</v>
      </c>
      <c r="AI161" s="5">
        <v>0</v>
      </c>
      <c r="AJ161" s="5">
        <v>1000000</v>
      </c>
      <c r="AK161" s="5">
        <v>0</v>
      </c>
      <c r="AL161" s="5">
        <v>1000000</v>
      </c>
      <c r="AM161" s="5"/>
    </row>
    <row r="162" spans="1:39" ht="63.75" x14ac:dyDescent="0.25">
      <c r="A162" s="4" t="s">
        <v>18</v>
      </c>
      <c r="B162" s="4" t="str">
        <f>VLOOKUP(A162,'Ledger &amp; Group'!A:C,2,0)</f>
        <v>Cavinkare</v>
      </c>
      <c r="C162" s="4">
        <f>VLOOKUP(A162,'Ledger &amp; Group'!A:C,3,0)</f>
        <v>60</v>
      </c>
      <c r="D162" s="45">
        <f t="shared" si="4"/>
        <v>187</v>
      </c>
      <c r="E162" s="4" t="str">
        <f ca="1">IF(D162&lt;=TODAY(),IF(ISNA(VLOOKUP(V162,'Unreconciled AR'!C:C,1,0)),"Due","Unreconciled AR"),"Outstanding")</f>
        <v>Due</v>
      </c>
      <c r="F162" s="4">
        <f t="shared" ca="1" si="5"/>
        <v>44572</v>
      </c>
      <c r="G162" s="4" t="e">
        <f ca="1">LOOKUP(F162,{-10000,-60,-30,-15,0,1,10000},{"&gt;60","31-60","16-30","01-15","Due on Today","OS"})</f>
        <v>#N/A</v>
      </c>
      <c r="H162" s="4" t="s">
        <v>103</v>
      </c>
      <c r="I162" s="4" t="s">
        <v>103</v>
      </c>
      <c r="J162" s="4" t="s">
        <v>104</v>
      </c>
      <c r="K162" s="4" t="s">
        <v>111</v>
      </c>
      <c r="L162" s="4" t="s">
        <v>112</v>
      </c>
      <c r="M162" s="4" t="s">
        <v>113</v>
      </c>
      <c r="N162" s="4" t="s">
        <v>103</v>
      </c>
      <c r="O162" s="4" t="s">
        <v>432</v>
      </c>
      <c r="P162" s="5"/>
      <c r="Q162" s="5"/>
      <c r="R162" s="4" t="s">
        <v>433</v>
      </c>
      <c r="S162" s="5"/>
      <c r="T162" s="4" t="s">
        <v>107</v>
      </c>
      <c r="U162" s="45">
        <v>127</v>
      </c>
      <c r="V162" s="4" t="s">
        <v>337</v>
      </c>
      <c r="W162" s="45">
        <v>127</v>
      </c>
      <c r="X162" s="4" t="s">
        <v>8</v>
      </c>
      <c r="Y162" s="5">
        <v>1</v>
      </c>
      <c r="Z162" s="4" t="s">
        <v>108</v>
      </c>
      <c r="AA162" s="5"/>
      <c r="AB162" s="5">
        <v>10</v>
      </c>
      <c r="AC162" s="4" t="s">
        <v>109</v>
      </c>
      <c r="AD162" s="45">
        <v>127</v>
      </c>
      <c r="AE162" s="4" t="s">
        <v>337</v>
      </c>
      <c r="AF162" s="4"/>
      <c r="AG162" s="5">
        <v>1000000</v>
      </c>
      <c r="AH162" s="5">
        <v>1000000</v>
      </c>
      <c r="AI162" s="5">
        <v>0</v>
      </c>
      <c r="AJ162" s="5">
        <v>1000000</v>
      </c>
      <c r="AK162" s="5">
        <v>0</v>
      </c>
      <c r="AL162" s="5">
        <v>1000000</v>
      </c>
      <c r="AM162" s="5"/>
    </row>
    <row r="163" spans="1:39" ht="63.75" x14ac:dyDescent="0.25">
      <c r="A163" s="4" t="s">
        <v>18</v>
      </c>
      <c r="B163" s="4" t="str">
        <f>VLOOKUP(A163,'Ledger &amp; Group'!A:C,2,0)</f>
        <v>Cavinkare</v>
      </c>
      <c r="C163" s="4">
        <f>VLOOKUP(A163,'Ledger &amp; Group'!A:C,3,0)</f>
        <v>60</v>
      </c>
      <c r="D163" s="45">
        <f t="shared" si="4"/>
        <v>188</v>
      </c>
      <c r="E163" s="4" t="str">
        <f ca="1">IF(D163&lt;=TODAY(),IF(ISNA(VLOOKUP(V163,'Unreconciled AR'!C:C,1,0)),"Due","Unreconciled AR"),"Outstanding")</f>
        <v>Due</v>
      </c>
      <c r="F163" s="4">
        <f t="shared" ca="1" si="5"/>
        <v>44571</v>
      </c>
      <c r="G163" s="4" t="e">
        <f ca="1">LOOKUP(F163,{-10000,-60,-30,-15,0,1,10000},{"&gt;60","31-60","16-30","01-15","Due on Today","OS"})</f>
        <v>#N/A</v>
      </c>
      <c r="H163" s="4" t="s">
        <v>103</v>
      </c>
      <c r="I163" s="4" t="s">
        <v>103</v>
      </c>
      <c r="J163" s="4" t="s">
        <v>104</v>
      </c>
      <c r="K163" s="4" t="s">
        <v>111</v>
      </c>
      <c r="L163" s="4" t="s">
        <v>112</v>
      </c>
      <c r="M163" s="4" t="s">
        <v>113</v>
      </c>
      <c r="N163" s="4" t="s">
        <v>103</v>
      </c>
      <c r="O163" s="4" t="s">
        <v>432</v>
      </c>
      <c r="P163" s="5"/>
      <c r="Q163" s="5"/>
      <c r="R163" s="4" t="s">
        <v>433</v>
      </c>
      <c r="S163" s="5"/>
      <c r="T163" s="4" t="s">
        <v>107</v>
      </c>
      <c r="U163" s="45">
        <v>128</v>
      </c>
      <c r="V163" s="4" t="s">
        <v>339</v>
      </c>
      <c r="W163" s="45">
        <v>128</v>
      </c>
      <c r="X163" s="4" t="s">
        <v>8</v>
      </c>
      <c r="Y163" s="5">
        <v>1</v>
      </c>
      <c r="Z163" s="4" t="s">
        <v>108</v>
      </c>
      <c r="AA163" s="5"/>
      <c r="AB163" s="5">
        <v>9</v>
      </c>
      <c r="AC163" s="4" t="s">
        <v>109</v>
      </c>
      <c r="AD163" s="45">
        <v>128</v>
      </c>
      <c r="AE163" s="4" t="s">
        <v>339</v>
      </c>
      <c r="AF163" s="4"/>
      <c r="AG163" s="5">
        <v>1000000</v>
      </c>
      <c r="AH163" s="5">
        <v>1000000</v>
      </c>
      <c r="AI163" s="5">
        <v>0</v>
      </c>
      <c r="AJ163" s="5">
        <v>1000000</v>
      </c>
      <c r="AK163" s="5">
        <v>0</v>
      </c>
      <c r="AL163" s="5">
        <v>1000000</v>
      </c>
      <c r="AM163" s="5"/>
    </row>
    <row r="164" spans="1:39" ht="63.75" x14ac:dyDescent="0.25">
      <c r="A164" s="4" t="s">
        <v>18</v>
      </c>
      <c r="B164" s="4" t="str">
        <f>VLOOKUP(A164,'Ledger &amp; Group'!A:C,2,0)</f>
        <v>Cavinkare</v>
      </c>
      <c r="C164" s="4">
        <f>VLOOKUP(A164,'Ledger &amp; Group'!A:C,3,0)</f>
        <v>60</v>
      </c>
      <c r="D164" s="45">
        <f t="shared" si="4"/>
        <v>189</v>
      </c>
      <c r="E164" s="4" t="str">
        <f ca="1">IF(D164&lt;=TODAY(),IF(ISNA(VLOOKUP(V164,'Unreconciled AR'!C:C,1,0)),"Due","Unreconciled AR"),"Outstanding")</f>
        <v>Due</v>
      </c>
      <c r="F164" s="4">
        <f t="shared" ca="1" si="5"/>
        <v>44570</v>
      </c>
      <c r="G164" s="4" t="e">
        <f ca="1">LOOKUP(F164,{-10000,-60,-30,-15,0,1,10000},{"&gt;60","31-60","16-30","01-15","Due on Today","OS"})</f>
        <v>#N/A</v>
      </c>
      <c r="H164" s="4" t="s">
        <v>103</v>
      </c>
      <c r="I164" s="4" t="s">
        <v>103</v>
      </c>
      <c r="J164" s="4" t="s">
        <v>104</v>
      </c>
      <c r="K164" s="4" t="s">
        <v>111</v>
      </c>
      <c r="L164" s="4" t="s">
        <v>112</v>
      </c>
      <c r="M164" s="4" t="s">
        <v>113</v>
      </c>
      <c r="N164" s="4" t="s">
        <v>103</v>
      </c>
      <c r="O164" s="4" t="s">
        <v>432</v>
      </c>
      <c r="P164" s="5"/>
      <c r="Q164" s="5"/>
      <c r="R164" s="4" t="s">
        <v>433</v>
      </c>
      <c r="S164" s="5"/>
      <c r="T164" s="4" t="s">
        <v>107</v>
      </c>
      <c r="U164" s="45">
        <v>129</v>
      </c>
      <c r="V164" s="4" t="s">
        <v>350</v>
      </c>
      <c r="W164" s="45">
        <v>129</v>
      </c>
      <c r="X164" s="4" t="s">
        <v>8</v>
      </c>
      <c r="Y164" s="5">
        <v>1</v>
      </c>
      <c r="Z164" s="4" t="s">
        <v>108</v>
      </c>
      <c r="AA164" s="5"/>
      <c r="AB164" s="5">
        <v>8</v>
      </c>
      <c r="AC164" s="4" t="s">
        <v>109</v>
      </c>
      <c r="AD164" s="45">
        <v>129</v>
      </c>
      <c r="AE164" s="4" t="s">
        <v>350</v>
      </c>
      <c r="AF164" s="4"/>
      <c r="AG164" s="5">
        <v>1000000</v>
      </c>
      <c r="AH164" s="5">
        <v>1000000</v>
      </c>
      <c r="AI164" s="5">
        <v>0</v>
      </c>
      <c r="AJ164" s="5">
        <v>1000000</v>
      </c>
      <c r="AK164" s="5">
        <v>0</v>
      </c>
      <c r="AL164" s="5">
        <v>1000000</v>
      </c>
      <c r="AM164" s="5"/>
    </row>
    <row r="165" spans="1:39" ht="63.75" x14ac:dyDescent="0.25">
      <c r="A165" s="4" t="s">
        <v>18</v>
      </c>
      <c r="B165" s="4" t="str">
        <f>VLOOKUP(A165,'Ledger &amp; Group'!A:C,2,0)</f>
        <v>Cavinkare</v>
      </c>
      <c r="C165" s="4">
        <f>VLOOKUP(A165,'Ledger &amp; Group'!A:C,3,0)</f>
        <v>60</v>
      </c>
      <c r="D165" s="45">
        <f t="shared" si="4"/>
        <v>190</v>
      </c>
      <c r="E165" s="4" t="str">
        <f ca="1">IF(D165&lt;=TODAY(),IF(ISNA(VLOOKUP(V165,'Unreconciled AR'!C:C,1,0)),"Due","Unreconciled AR"),"Outstanding")</f>
        <v>Due</v>
      </c>
      <c r="F165" s="4">
        <f t="shared" ca="1" si="5"/>
        <v>44569</v>
      </c>
      <c r="G165" s="4" t="e">
        <f ca="1">LOOKUP(F165,{-10000,-60,-30,-15,0,1,10000},{"&gt;60","31-60","16-30","01-15","Due on Today","OS"})</f>
        <v>#N/A</v>
      </c>
      <c r="H165" s="4" t="s">
        <v>103</v>
      </c>
      <c r="I165" s="4" t="s">
        <v>103</v>
      </c>
      <c r="J165" s="4" t="s">
        <v>104</v>
      </c>
      <c r="K165" s="4" t="s">
        <v>111</v>
      </c>
      <c r="L165" s="4" t="s">
        <v>112</v>
      </c>
      <c r="M165" s="4" t="s">
        <v>113</v>
      </c>
      <c r="N165" s="4" t="s">
        <v>103</v>
      </c>
      <c r="O165" s="4" t="s">
        <v>432</v>
      </c>
      <c r="P165" s="5"/>
      <c r="Q165" s="5"/>
      <c r="R165" s="4" t="s">
        <v>433</v>
      </c>
      <c r="S165" s="5"/>
      <c r="T165" s="4" t="s">
        <v>107</v>
      </c>
      <c r="U165" s="45">
        <v>130</v>
      </c>
      <c r="V165" s="4" t="s">
        <v>351</v>
      </c>
      <c r="W165" s="45">
        <v>130</v>
      </c>
      <c r="X165" s="4" t="s">
        <v>8</v>
      </c>
      <c r="Y165" s="5">
        <v>1</v>
      </c>
      <c r="Z165" s="4" t="s">
        <v>108</v>
      </c>
      <c r="AA165" s="5"/>
      <c r="AB165" s="5">
        <v>7</v>
      </c>
      <c r="AC165" s="4" t="s">
        <v>109</v>
      </c>
      <c r="AD165" s="45">
        <v>130</v>
      </c>
      <c r="AE165" s="4" t="s">
        <v>351</v>
      </c>
      <c r="AF165" s="4"/>
      <c r="AG165" s="5">
        <v>1000000</v>
      </c>
      <c r="AH165" s="5">
        <v>1000000</v>
      </c>
      <c r="AI165" s="5">
        <v>0</v>
      </c>
      <c r="AJ165" s="5">
        <v>1000000</v>
      </c>
      <c r="AK165" s="5">
        <v>0</v>
      </c>
      <c r="AL165" s="5">
        <v>1000000</v>
      </c>
      <c r="AM165" s="5"/>
    </row>
    <row r="166" spans="1:39" ht="63.75" x14ac:dyDescent="0.25">
      <c r="A166" s="4" t="s">
        <v>18</v>
      </c>
      <c r="B166" s="4" t="str">
        <f>VLOOKUP(A166,'Ledger &amp; Group'!A:C,2,0)</f>
        <v>Cavinkare</v>
      </c>
      <c r="C166" s="4">
        <f>VLOOKUP(A166,'Ledger &amp; Group'!A:C,3,0)</f>
        <v>60</v>
      </c>
      <c r="D166" s="45">
        <f t="shared" si="4"/>
        <v>191</v>
      </c>
      <c r="E166" s="4" t="str">
        <f ca="1">IF(D166&lt;=TODAY(),IF(ISNA(VLOOKUP(V166,'Unreconciled AR'!C:C,1,0)),"Due","Unreconciled AR"),"Outstanding")</f>
        <v>Due</v>
      </c>
      <c r="F166" s="4">
        <f t="shared" ca="1" si="5"/>
        <v>44568</v>
      </c>
      <c r="G166" s="4" t="e">
        <f ca="1">LOOKUP(F166,{-10000,-60,-30,-15,0,1,10000},{"&gt;60","31-60","16-30","01-15","Due on Today","OS"})</f>
        <v>#N/A</v>
      </c>
      <c r="H166" s="4" t="s">
        <v>103</v>
      </c>
      <c r="I166" s="4" t="s">
        <v>103</v>
      </c>
      <c r="J166" s="4" t="s">
        <v>104</v>
      </c>
      <c r="K166" s="4" t="s">
        <v>111</v>
      </c>
      <c r="L166" s="4" t="s">
        <v>112</v>
      </c>
      <c r="M166" s="4" t="s">
        <v>113</v>
      </c>
      <c r="N166" s="4" t="s">
        <v>103</v>
      </c>
      <c r="O166" s="4" t="s">
        <v>432</v>
      </c>
      <c r="P166" s="5"/>
      <c r="Q166" s="5"/>
      <c r="R166" s="4" t="s">
        <v>433</v>
      </c>
      <c r="S166" s="5"/>
      <c r="T166" s="4" t="s">
        <v>107</v>
      </c>
      <c r="U166" s="45">
        <v>131</v>
      </c>
      <c r="V166" s="4" t="s">
        <v>362</v>
      </c>
      <c r="W166" s="45">
        <v>131</v>
      </c>
      <c r="X166" s="4" t="s">
        <v>8</v>
      </c>
      <c r="Y166" s="5">
        <v>1</v>
      </c>
      <c r="Z166" s="4" t="s">
        <v>108</v>
      </c>
      <c r="AA166" s="5"/>
      <c r="AB166" s="5">
        <v>6</v>
      </c>
      <c r="AC166" s="4" t="s">
        <v>109</v>
      </c>
      <c r="AD166" s="45">
        <v>131</v>
      </c>
      <c r="AE166" s="4" t="s">
        <v>362</v>
      </c>
      <c r="AF166" s="4"/>
      <c r="AG166" s="5">
        <v>1000000</v>
      </c>
      <c r="AH166" s="5">
        <v>1000000</v>
      </c>
      <c r="AI166" s="5">
        <v>0</v>
      </c>
      <c r="AJ166" s="5">
        <v>1000000</v>
      </c>
      <c r="AK166" s="5">
        <v>0</v>
      </c>
      <c r="AL166" s="5">
        <v>1000000</v>
      </c>
      <c r="AM166" s="5"/>
    </row>
    <row r="167" spans="1:39" ht="63.75" x14ac:dyDescent="0.25">
      <c r="A167" s="4" t="s">
        <v>18</v>
      </c>
      <c r="B167" s="4" t="str">
        <f>VLOOKUP(A167,'Ledger &amp; Group'!A:C,2,0)</f>
        <v>Cavinkare</v>
      </c>
      <c r="C167" s="4">
        <f>VLOOKUP(A167,'Ledger &amp; Group'!A:C,3,0)</f>
        <v>60</v>
      </c>
      <c r="D167" s="45">
        <f t="shared" si="4"/>
        <v>191</v>
      </c>
      <c r="E167" s="4" t="str">
        <f ca="1">IF(D167&lt;=TODAY(),IF(ISNA(VLOOKUP(V167,'Unreconciled AR'!C:C,1,0)),"Due","Unreconciled AR"),"Outstanding")</f>
        <v>Due</v>
      </c>
      <c r="F167" s="4">
        <f t="shared" ca="1" si="5"/>
        <v>44568</v>
      </c>
      <c r="G167" s="4" t="e">
        <f ca="1">LOOKUP(F167,{-10000,-60,-30,-15,0,1,10000},{"&gt;60","31-60","16-30","01-15","Due on Today","OS"})</f>
        <v>#N/A</v>
      </c>
      <c r="H167" s="4" t="s">
        <v>103</v>
      </c>
      <c r="I167" s="4" t="s">
        <v>103</v>
      </c>
      <c r="J167" s="4" t="s">
        <v>104</v>
      </c>
      <c r="K167" s="4" t="s">
        <v>111</v>
      </c>
      <c r="L167" s="4" t="s">
        <v>112</v>
      </c>
      <c r="M167" s="4" t="s">
        <v>113</v>
      </c>
      <c r="N167" s="4" t="s">
        <v>103</v>
      </c>
      <c r="O167" s="4" t="s">
        <v>432</v>
      </c>
      <c r="P167" s="5"/>
      <c r="Q167" s="5"/>
      <c r="R167" s="4" t="s">
        <v>433</v>
      </c>
      <c r="S167" s="5"/>
      <c r="T167" s="4" t="s">
        <v>107</v>
      </c>
      <c r="U167" s="45">
        <v>131</v>
      </c>
      <c r="V167" s="4" t="s">
        <v>363</v>
      </c>
      <c r="W167" s="45">
        <v>131</v>
      </c>
      <c r="X167" s="4" t="s">
        <v>8</v>
      </c>
      <c r="Y167" s="5">
        <v>1</v>
      </c>
      <c r="Z167" s="4" t="s">
        <v>108</v>
      </c>
      <c r="AA167" s="5"/>
      <c r="AB167" s="5">
        <v>6</v>
      </c>
      <c r="AC167" s="4" t="s">
        <v>109</v>
      </c>
      <c r="AD167" s="45">
        <v>131</v>
      </c>
      <c r="AE167" s="4" t="s">
        <v>363</v>
      </c>
      <c r="AF167" s="4"/>
      <c r="AG167" s="5">
        <v>1000000</v>
      </c>
      <c r="AH167" s="5">
        <v>1000000</v>
      </c>
      <c r="AI167" s="5">
        <v>0</v>
      </c>
      <c r="AJ167" s="5">
        <v>1000000</v>
      </c>
      <c r="AK167" s="5">
        <v>0</v>
      </c>
      <c r="AL167" s="5">
        <v>1000000</v>
      </c>
      <c r="AM167" s="5"/>
    </row>
    <row r="168" spans="1:39" ht="63.75" x14ac:dyDescent="0.25">
      <c r="A168" s="4" t="s">
        <v>18</v>
      </c>
      <c r="B168" s="4" t="str">
        <f>VLOOKUP(A168,'Ledger &amp; Group'!A:C,2,0)</f>
        <v>Cavinkare</v>
      </c>
      <c r="C168" s="4">
        <f>VLOOKUP(A168,'Ledger &amp; Group'!A:C,3,0)</f>
        <v>60</v>
      </c>
      <c r="D168" s="45">
        <f t="shared" si="4"/>
        <v>192</v>
      </c>
      <c r="E168" s="4" t="str">
        <f ca="1">IF(D168&lt;=TODAY(),IF(ISNA(VLOOKUP(V168,'Unreconciled AR'!C:C,1,0)),"Due","Unreconciled AR"),"Outstanding")</f>
        <v>Due</v>
      </c>
      <c r="F168" s="4">
        <f t="shared" ca="1" si="5"/>
        <v>44567</v>
      </c>
      <c r="G168" s="4" t="e">
        <f ca="1">LOOKUP(F168,{-10000,-60,-30,-15,0,1,10000},{"&gt;60","31-60","16-30","01-15","Due on Today","OS"})</f>
        <v>#N/A</v>
      </c>
      <c r="H168" s="4" t="s">
        <v>103</v>
      </c>
      <c r="I168" s="4" t="s">
        <v>103</v>
      </c>
      <c r="J168" s="4" t="s">
        <v>104</v>
      </c>
      <c r="K168" s="4" t="s">
        <v>111</v>
      </c>
      <c r="L168" s="4" t="s">
        <v>112</v>
      </c>
      <c r="M168" s="4" t="s">
        <v>113</v>
      </c>
      <c r="N168" s="4" t="s">
        <v>103</v>
      </c>
      <c r="O168" s="4" t="s">
        <v>432</v>
      </c>
      <c r="P168" s="5"/>
      <c r="Q168" s="5"/>
      <c r="R168" s="4" t="s">
        <v>433</v>
      </c>
      <c r="S168" s="5"/>
      <c r="T168" s="4" t="s">
        <v>107</v>
      </c>
      <c r="U168" s="45">
        <v>132</v>
      </c>
      <c r="V168" s="4" t="s">
        <v>406</v>
      </c>
      <c r="W168" s="45">
        <v>132</v>
      </c>
      <c r="X168" s="4" t="s">
        <v>8</v>
      </c>
      <c r="Y168" s="5">
        <v>1</v>
      </c>
      <c r="Z168" s="4" t="s">
        <v>108</v>
      </c>
      <c r="AA168" s="5"/>
      <c r="AB168" s="5">
        <v>5</v>
      </c>
      <c r="AC168" s="4" t="s">
        <v>109</v>
      </c>
      <c r="AD168" s="45">
        <v>132</v>
      </c>
      <c r="AE168" s="4" t="s">
        <v>406</v>
      </c>
      <c r="AF168" s="4"/>
      <c r="AG168" s="5">
        <v>1000000</v>
      </c>
      <c r="AH168" s="5">
        <v>1000000</v>
      </c>
      <c r="AI168" s="5">
        <v>0</v>
      </c>
      <c r="AJ168" s="5">
        <v>1000000</v>
      </c>
      <c r="AK168" s="5">
        <v>0</v>
      </c>
      <c r="AL168" s="5">
        <v>1000000</v>
      </c>
      <c r="AM168" s="5"/>
    </row>
    <row r="169" spans="1:39" ht="63.75" x14ac:dyDescent="0.25">
      <c r="A169" s="4" t="s">
        <v>18</v>
      </c>
      <c r="B169" s="4" t="str">
        <f>VLOOKUP(A169,'Ledger &amp; Group'!A:C,2,0)</f>
        <v>Cavinkare</v>
      </c>
      <c r="C169" s="4">
        <f>VLOOKUP(A169,'Ledger &amp; Group'!A:C,3,0)</f>
        <v>60</v>
      </c>
      <c r="D169" s="45">
        <f t="shared" si="4"/>
        <v>194</v>
      </c>
      <c r="E169" s="4" t="str">
        <f ca="1">IF(D169&lt;=TODAY(),IF(ISNA(VLOOKUP(V169,'Unreconciled AR'!C:C,1,0)),"Due","Unreconciled AR"),"Outstanding")</f>
        <v>Due</v>
      </c>
      <c r="F169" s="4">
        <f t="shared" ca="1" si="5"/>
        <v>44565</v>
      </c>
      <c r="G169" s="4" t="e">
        <f ca="1">LOOKUP(F169,{-10000,-60,-30,-15,0,1,10000},{"&gt;60","31-60","16-30","01-15","Due on Today","OS"})</f>
        <v>#N/A</v>
      </c>
      <c r="H169" s="4" t="s">
        <v>103</v>
      </c>
      <c r="I169" s="4" t="s">
        <v>103</v>
      </c>
      <c r="J169" s="4" t="s">
        <v>104</v>
      </c>
      <c r="K169" s="4" t="s">
        <v>111</v>
      </c>
      <c r="L169" s="4" t="s">
        <v>112</v>
      </c>
      <c r="M169" s="4" t="s">
        <v>113</v>
      </c>
      <c r="N169" s="4" t="s">
        <v>103</v>
      </c>
      <c r="O169" s="4" t="s">
        <v>432</v>
      </c>
      <c r="P169" s="5"/>
      <c r="Q169" s="5"/>
      <c r="R169" s="4" t="s">
        <v>433</v>
      </c>
      <c r="S169" s="5"/>
      <c r="T169" s="4" t="s">
        <v>107</v>
      </c>
      <c r="U169" s="45">
        <v>134</v>
      </c>
      <c r="V169" s="4" t="s">
        <v>419</v>
      </c>
      <c r="W169" s="45">
        <v>134</v>
      </c>
      <c r="X169" s="4" t="s">
        <v>8</v>
      </c>
      <c r="Y169" s="5">
        <v>1</v>
      </c>
      <c r="Z169" s="4" t="s">
        <v>108</v>
      </c>
      <c r="AA169" s="5"/>
      <c r="AB169" s="5">
        <v>3</v>
      </c>
      <c r="AC169" s="4" t="s">
        <v>109</v>
      </c>
      <c r="AD169" s="45">
        <v>134</v>
      </c>
      <c r="AE169" s="4" t="s">
        <v>419</v>
      </c>
      <c r="AF169" s="4"/>
      <c r="AG169" s="5">
        <v>1000000</v>
      </c>
      <c r="AH169" s="5">
        <v>1000000</v>
      </c>
      <c r="AI169" s="5">
        <v>0</v>
      </c>
      <c r="AJ169" s="5">
        <v>1000000</v>
      </c>
      <c r="AK169" s="5">
        <v>0</v>
      </c>
      <c r="AL169" s="5">
        <v>1000000</v>
      </c>
      <c r="AM169" s="5"/>
    </row>
    <row r="170" spans="1:39" ht="63.75" x14ac:dyDescent="0.25">
      <c r="A170" s="4" t="s">
        <v>18</v>
      </c>
      <c r="B170" s="4" t="str">
        <f>VLOOKUP(A170,'Ledger &amp; Group'!A:C,2,0)</f>
        <v>Cavinkare</v>
      </c>
      <c r="C170" s="4">
        <f>VLOOKUP(A170,'Ledger &amp; Group'!A:C,3,0)</f>
        <v>60</v>
      </c>
      <c r="D170" s="45">
        <f t="shared" si="4"/>
        <v>194</v>
      </c>
      <c r="E170" s="4" t="str">
        <f ca="1">IF(D170&lt;=TODAY(),IF(ISNA(VLOOKUP(V170,'Unreconciled AR'!C:C,1,0)),"Due","Unreconciled AR"),"Outstanding")</f>
        <v>Due</v>
      </c>
      <c r="F170" s="4">
        <f t="shared" ca="1" si="5"/>
        <v>44565</v>
      </c>
      <c r="G170" s="4" t="e">
        <f ca="1">LOOKUP(F170,{-10000,-60,-30,-15,0,1,10000},{"&gt;60","31-60","16-30","01-15","Due on Today","OS"})</f>
        <v>#N/A</v>
      </c>
      <c r="H170" s="4" t="s">
        <v>103</v>
      </c>
      <c r="I170" s="4" t="s">
        <v>103</v>
      </c>
      <c r="J170" s="4" t="s">
        <v>104</v>
      </c>
      <c r="K170" s="4" t="s">
        <v>111</v>
      </c>
      <c r="L170" s="4" t="s">
        <v>112</v>
      </c>
      <c r="M170" s="4" t="s">
        <v>113</v>
      </c>
      <c r="N170" s="4" t="s">
        <v>103</v>
      </c>
      <c r="O170" s="4" t="s">
        <v>432</v>
      </c>
      <c r="P170" s="5"/>
      <c r="Q170" s="5"/>
      <c r="R170" s="4" t="s">
        <v>433</v>
      </c>
      <c r="S170" s="5"/>
      <c r="T170" s="4" t="s">
        <v>107</v>
      </c>
      <c r="U170" s="45">
        <v>134</v>
      </c>
      <c r="V170" s="4" t="s">
        <v>420</v>
      </c>
      <c r="W170" s="45">
        <v>134</v>
      </c>
      <c r="X170" s="4" t="s">
        <v>8</v>
      </c>
      <c r="Y170" s="5">
        <v>1</v>
      </c>
      <c r="Z170" s="4" t="s">
        <v>108</v>
      </c>
      <c r="AA170" s="5"/>
      <c r="AB170" s="5">
        <v>3</v>
      </c>
      <c r="AC170" s="4" t="s">
        <v>109</v>
      </c>
      <c r="AD170" s="45">
        <v>134</v>
      </c>
      <c r="AE170" s="4" t="s">
        <v>420</v>
      </c>
      <c r="AF170" s="4"/>
      <c r="AG170" s="5">
        <v>1000000</v>
      </c>
      <c r="AH170" s="5">
        <v>1000000</v>
      </c>
      <c r="AI170" s="5">
        <v>0</v>
      </c>
      <c r="AJ170" s="5">
        <v>1000000</v>
      </c>
      <c r="AK170" s="5">
        <v>0</v>
      </c>
      <c r="AL170" s="5">
        <v>1000000</v>
      </c>
      <c r="AM170" s="5"/>
    </row>
    <row r="171" spans="1:39" ht="63.75" x14ac:dyDescent="0.25">
      <c r="A171" s="4" t="s">
        <v>18</v>
      </c>
      <c r="B171" s="4" t="str">
        <f>VLOOKUP(A171,'Ledger &amp; Group'!A:C,2,0)</f>
        <v>Cavinkare</v>
      </c>
      <c r="C171" s="4">
        <f>VLOOKUP(A171,'Ledger &amp; Group'!A:C,3,0)</f>
        <v>60</v>
      </c>
      <c r="D171" s="45">
        <f t="shared" si="4"/>
        <v>195</v>
      </c>
      <c r="E171" s="4" t="str">
        <f ca="1">IF(D171&lt;=TODAY(),IF(ISNA(VLOOKUP(V171,'Unreconciled AR'!C:C,1,0)),"Due","Unreconciled AR"),"Outstanding")</f>
        <v>Due</v>
      </c>
      <c r="F171" s="4">
        <f t="shared" ca="1" si="5"/>
        <v>44564</v>
      </c>
      <c r="G171" s="4" t="e">
        <f ca="1">LOOKUP(F171,{-10000,-60,-30,-15,0,1,10000},{"&gt;60","31-60","16-30","01-15","Due on Today","OS"})</f>
        <v>#N/A</v>
      </c>
      <c r="H171" s="4" t="s">
        <v>103</v>
      </c>
      <c r="I171" s="4" t="s">
        <v>103</v>
      </c>
      <c r="J171" s="4" t="s">
        <v>104</v>
      </c>
      <c r="K171" s="4" t="s">
        <v>111</v>
      </c>
      <c r="L171" s="4" t="s">
        <v>112</v>
      </c>
      <c r="M171" s="4" t="s">
        <v>113</v>
      </c>
      <c r="N171" s="4" t="s">
        <v>103</v>
      </c>
      <c r="O171" s="4" t="s">
        <v>432</v>
      </c>
      <c r="P171" s="5"/>
      <c r="Q171" s="5"/>
      <c r="R171" s="4" t="s">
        <v>433</v>
      </c>
      <c r="S171" s="5"/>
      <c r="T171" s="4" t="s">
        <v>107</v>
      </c>
      <c r="U171" s="45">
        <v>135</v>
      </c>
      <c r="V171" s="4" t="s">
        <v>421</v>
      </c>
      <c r="W171" s="45">
        <v>135</v>
      </c>
      <c r="X171" s="4" t="s">
        <v>8</v>
      </c>
      <c r="Y171" s="5">
        <v>1</v>
      </c>
      <c r="Z171" s="4" t="s">
        <v>108</v>
      </c>
      <c r="AA171" s="5"/>
      <c r="AB171" s="5">
        <v>2</v>
      </c>
      <c r="AC171" s="4" t="s">
        <v>109</v>
      </c>
      <c r="AD171" s="45">
        <v>135</v>
      </c>
      <c r="AE171" s="4" t="s">
        <v>421</v>
      </c>
      <c r="AF171" s="4"/>
      <c r="AG171" s="5">
        <v>1000000</v>
      </c>
      <c r="AH171" s="5">
        <v>1000000</v>
      </c>
      <c r="AI171" s="5">
        <v>0</v>
      </c>
      <c r="AJ171" s="5">
        <v>1000000</v>
      </c>
      <c r="AK171" s="5">
        <v>0</v>
      </c>
      <c r="AL171" s="5">
        <v>1000000</v>
      </c>
      <c r="AM171" s="5"/>
    </row>
    <row r="172" spans="1:39" ht="63.75" x14ac:dyDescent="0.25">
      <c r="A172" s="4" t="s">
        <v>19</v>
      </c>
      <c r="B172" s="4" t="str">
        <f>VLOOKUP(A172,'Ledger &amp; Group'!A:C,2,0)</f>
        <v>Cavinkare</v>
      </c>
      <c r="C172" s="4">
        <f>VLOOKUP(A172,'Ledger &amp; Group'!A:C,3,0)</f>
        <v>60</v>
      </c>
      <c r="D172" s="45">
        <f t="shared" si="4"/>
        <v>124</v>
      </c>
      <c r="E172" s="4" t="str">
        <f ca="1">IF(D172&lt;=TODAY(),IF(ISNA(VLOOKUP(V172,'Unreconciled AR'!C:C,1,0)),"Due","Unreconciled AR"),"Outstanding")</f>
        <v>Due</v>
      </c>
      <c r="F172" s="4">
        <f t="shared" ca="1" si="5"/>
        <v>44635</v>
      </c>
      <c r="G172" s="4" t="e">
        <f ca="1">LOOKUP(F172,{-10000,-60,-30,-15,0,1,10000},{"&gt;60","31-60","16-30","01-15","Due on Today","OS"})</f>
        <v>#N/A</v>
      </c>
      <c r="H172" s="4" t="s">
        <v>103</v>
      </c>
      <c r="I172" s="4" t="s">
        <v>103</v>
      </c>
      <c r="J172" s="4" t="s">
        <v>104</v>
      </c>
      <c r="K172" s="4" t="s">
        <v>111</v>
      </c>
      <c r="L172" s="4" t="s">
        <v>112</v>
      </c>
      <c r="M172" s="4" t="s">
        <v>113</v>
      </c>
      <c r="N172" s="4" t="s">
        <v>103</v>
      </c>
      <c r="O172" s="4" t="s">
        <v>432</v>
      </c>
      <c r="P172" s="5"/>
      <c r="Q172" s="5"/>
      <c r="R172" s="4" t="s">
        <v>433</v>
      </c>
      <c r="S172" s="5"/>
      <c r="T172" s="4" t="s">
        <v>107</v>
      </c>
      <c r="U172" s="45">
        <v>64</v>
      </c>
      <c r="V172" s="4" t="s">
        <v>490</v>
      </c>
      <c r="W172" s="45">
        <v>64</v>
      </c>
      <c r="X172" s="4" t="s">
        <v>8</v>
      </c>
      <c r="Y172" s="5">
        <v>1</v>
      </c>
      <c r="Z172" s="4" t="s">
        <v>108</v>
      </c>
      <c r="AA172" s="5"/>
      <c r="AB172" s="5">
        <v>73</v>
      </c>
      <c r="AC172" s="4" t="s">
        <v>109</v>
      </c>
      <c r="AD172" s="45">
        <v>64</v>
      </c>
      <c r="AE172" s="4" t="s">
        <v>490</v>
      </c>
      <c r="AF172" s="4"/>
      <c r="AG172" s="5">
        <v>1000000</v>
      </c>
      <c r="AH172" s="5">
        <v>1000000</v>
      </c>
      <c r="AI172" s="5">
        <v>0</v>
      </c>
      <c r="AJ172" s="5">
        <v>1000000</v>
      </c>
      <c r="AK172" s="5">
        <v>0</v>
      </c>
      <c r="AL172" s="5">
        <v>1000000</v>
      </c>
      <c r="AM172" s="5"/>
    </row>
    <row r="173" spans="1:39" ht="63.75" x14ac:dyDescent="0.25">
      <c r="A173" s="4" t="s">
        <v>19</v>
      </c>
      <c r="B173" s="4" t="str">
        <f>VLOOKUP(A173,'Ledger &amp; Group'!A:C,2,0)</f>
        <v>Cavinkare</v>
      </c>
      <c r="C173" s="4">
        <f>VLOOKUP(A173,'Ledger &amp; Group'!A:C,3,0)</f>
        <v>60</v>
      </c>
      <c r="D173" s="45">
        <f t="shared" si="4"/>
        <v>145</v>
      </c>
      <c r="E173" s="4" t="str">
        <f ca="1">IF(D173&lt;=TODAY(),IF(ISNA(VLOOKUP(V173,'Unreconciled AR'!C:C,1,0)),"Due","Unreconciled AR"),"Outstanding")</f>
        <v>Due</v>
      </c>
      <c r="F173" s="4">
        <f t="shared" ca="1" si="5"/>
        <v>44614</v>
      </c>
      <c r="G173" s="4" t="e">
        <f ca="1">LOOKUP(F173,{-10000,-60,-30,-15,0,1,10000},{"&gt;60","31-60","16-30","01-15","Due on Today","OS"})</f>
        <v>#N/A</v>
      </c>
      <c r="H173" s="4" t="s">
        <v>103</v>
      </c>
      <c r="I173" s="4" t="s">
        <v>103</v>
      </c>
      <c r="J173" s="4" t="s">
        <v>104</v>
      </c>
      <c r="K173" s="4" t="s">
        <v>111</v>
      </c>
      <c r="L173" s="4" t="s">
        <v>112</v>
      </c>
      <c r="M173" s="4" t="s">
        <v>113</v>
      </c>
      <c r="N173" s="4" t="s">
        <v>103</v>
      </c>
      <c r="O173" s="4" t="s">
        <v>432</v>
      </c>
      <c r="P173" s="5"/>
      <c r="Q173" s="5"/>
      <c r="R173" s="4" t="s">
        <v>433</v>
      </c>
      <c r="S173" s="5"/>
      <c r="T173" s="4" t="s">
        <v>107</v>
      </c>
      <c r="U173" s="45">
        <v>85</v>
      </c>
      <c r="V173" s="4" t="s">
        <v>491</v>
      </c>
      <c r="W173" s="45">
        <v>85</v>
      </c>
      <c r="X173" s="4" t="s">
        <v>8</v>
      </c>
      <c r="Y173" s="5">
        <v>1</v>
      </c>
      <c r="Z173" s="4" t="s">
        <v>108</v>
      </c>
      <c r="AA173" s="5"/>
      <c r="AB173" s="5">
        <v>52</v>
      </c>
      <c r="AC173" s="4" t="s">
        <v>109</v>
      </c>
      <c r="AD173" s="45">
        <v>85</v>
      </c>
      <c r="AE173" s="4" t="s">
        <v>491</v>
      </c>
      <c r="AF173" s="4"/>
      <c r="AG173" s="5">
        <v>1000000</v>
      </c>
      <c r="AH173" s="5">
        <v>1000000</v>
      </c>
      <c r="AI173" s="5">
        <v>0</v>
      </c>
      <c r="AJ173" s="5">
        <v>1000000</v>
      </c>
      <c r="AK173" s="5">
        <v>0</v>
      </c>
      <c r="AL173" s="5">
        <v>1000000</v>
      </c>
      <c r="AM173" s="5"/>
    </row>
    <row r="174" spans="1:39" ht="63.75" x14ac:dyDescent="0.25">
      <c r="A174" s="4" t="s">
        <v>19</v>
      </c>
      <c r="B174" s="4" t="str">
        <f>VLOOKUP(A174,'Ledger &amp; Group'!A:C,2,0)</f>
        <v>Cavinkare</v>
      </c>
      <c r="C174" s="4">
        <f>VLOOKUP(A174,'Ledger &amp; Group'!A:C,3,0)</f>
        <v>60</v>
      </c>
      <c r="D174" s="45">
        <f t="shared" si="4"/>
        <v>176</v>
      </c>
      <c r="E174" s="4" t="str">
        <f ca="1">IF(D174&lt;=TODAY(),IF(ISNA(VLOOKUP(V174,'Unreconciled AR'!C:C,1,0)),"Due","Unreconciled AR"),"Outstanding")</f>
        <v>Due</v>
      </c>
      <c r="F174" s="4">
        <f t="shared" ca="1" si="5"/>
        <v>44583</v>
      </c>
      <c r="G174" s="4" t="e">
        <f ca="1">LOOKUP(F174,{-10000,-60,-30,-15,0,1,10000},{"&gt;60","31-60","16-30","01-15","Due on Today","OS"})</f>
        <v>#N/A</v>
      </c>
      <c r="H174" s="4" t="s">
        <v>103</v>
      </c>
      <c r="I174" s="4" t="s">
        <v>103</v>
      </c>
      <c r="J174" s="4" t="s">
        <v>104</v>
      </c>
      <c r="K174" s="4" t="s">
        <v>111</v>
      </c>
      <c r="L174" s="4" t="s">
        <v>112</v>
      </c>
      <c r="M174" s="4" t="s">
        <v>113</v>
      </c>
      <c r="N174" s="4" t="s">
        <v>103</v>
      </c>
      <c r="O174" s="4" t="s">
        <v>432</v>
      </c>
      <c r="P174" s="5"/>
      <c r="Q174" s="5"/>
      <c r="R174" s="4" t="s">
        <v>433</v>
      </c>
      <c r="S174" s="5"/>
      <c r="T174" s="4" t="s">
        <v>107</v>
      </c>
      <c r="U174" s="45">
        <v>116</v>
      </c>
      <c r="V174" s="4" t="s">
        <v>287</v>
      </c>
      <c r="W174" s="45">
        <v>116</v>
      </c>
      <c r="X174" s="4" t="s">
        <v>8</v>
      </c>
      <c r="Y174" s="5">
        <v>1</v>
      </c>
      <c r="Z174" s="4" t="s">
        <v>108</v>
      </c>
      <c r="AA174" s="5"/>
      <c r="AB174" s="5">
        <v>21</v>
      </c>
      <c r="AC174" s="4" t="s">
        <v>109</v>
      </c>
      <c r="AD174" s="45">
        <v>116</v>
      </c>
      <c r="AE174" s="4" t="s">
        <v>287</v>
      </c>
      <c r="AF174" s="4"/>
      <c r="AG174" s="5">
        <v>1000000</v>
      </c>
      <c r="AH174" s="5">
        <v>1000000</v>
      </c>
      <c r="AI174" s="5">
        <v>0</v>
      </c>
      <c r="AJ174" s="5">
        <v>1000000</v>
      </c>
      <c r="AK174" s="5">
        <v>0</v>
      </c>
      <c r="AL174" s="5">
        <v>1000000</v>
      </c>
      <c r="AM174" s="5"/>
    </row>
    <row r="175" spans="1:39" ht="63.75" x14ac:dyDescent="0.25">
      <c r="A175" s="4" t="s">
        <v>19</v>
      </c>
      <c r="B175" s="4" t="str">
        <f>VLOOKUP(A175,'Ledger &amp; Group'!A:C,2,0)</f>
        <v>Cavinkare</v>
      </c>
      <c r="C175" s="4">
        <f>VLOOKUP(A175,'Ledger &amp; Group'!A:C,3,0)</f>
        <v>60</v>
      </c>
      <c r="D175" s="45">
        <f t="shared" si="4"/>
        <v>187</v>
      </c>
      <c r="E175" s="4" t="str">
        <f ca="1">IF(D175&lt;=TODAY(),IF(ISNA(VLOOKUP(V175,'Unreconciled AR'!C:C,1,0)),"Due","Unreconciled AR"),"Outstanding")</f>
        <v>Due</v>
      </c>
      <c r="F175" s="4">
        <f t="shared" ca="1" si="5"/>
        <v>44572</v>
      </c>
      <c r="G175" s="4" t="e">
        <f ca="1">LOOKUP(F175,{-10000,-60,-30,-15,0,1,10000},{"&gt;60","31-60","16-30","01-15","Due on Today","OS"})</f>
        <v>#N/A</v>
      </c>
      <c r="H175" s="4" t="s">
        <v>103</v>
      </c>
      <c r="I175" s="4" t="s">
        <v>103</v>
      </c>
      <c r="J175" s="4" t="s">
        <v>104</v>
      </c>
      <c r="K175" s="4" t="s">
        <v>111</v>
      </c>
      <c r="L175" s="4" t="s">
        <v>112</v>
      </c>
      <c r="M175" s="4" t="s">
        <v>113</v>
      </c>
      <c r="N175" s="4" t="s">
        <v>103</v>
      </c>
      <c r="O175" s="4" t="s">
        <v>432</v>
      </c>
      <c r="P175" s="5"/>
      <c r="Q175" s="5"/>
      <c r="R175" s="4" t="s">
        <v>433</v>
      </c>
      <c r="S175" s="5"/>
      <c r="T175" s="4" t="s">
        <v>107</v>
      </c>
      <c r="U175" s="45">
        <v>127</v>
      </c>
      <c r="V175" s="4" t="s">
        <v>340</v>
      </c>
      <c r="W175" s="45">
        <v>127</v>
      </c>
      <c r="X175" s="4" t="s">
        <v>8</v>
      </c>
      <c r="Y175" s="5">
        <v>1</v>
      </c>
      <c r="Z175" s="4" t="s">
        <v>108</v>
      </c>
      <c r="AA175" s="5"/>
      <c r="AB175" s="5">
        <v>10</v>
      </c>
      <c r="AC175" s="4" t="s">
        <v>109</v>
      </c>
      <c r="AD175" s="45">
        <v>127</v>
      </c>
      <c r="AE175" s="4" t="s">
        <v>340</v>
      </c>
      <c r="AF175" s="4"/>
      <c r="AG175" s="5">
        <v>1000000</v>
      </c>
      <c r="AH175" s="5">
        <v>1000000</v>
      </c>
      <c r="AI175" s="5">
        <v>0</v>
      </c>
      <c r="AJ175" s="5">
        <v>1000000</v>
      </c>
      <c r="AK175" s="5">
        <v>0</v>
      </c>
      <c r="AL175" s="5">
        <v>1000000</v>
      </c>
      <c r="AM175" s="5"/>
    </row>
    <row r="176" spans="1:39" ht="63.75" x14ac:dyDescent="0.25">
      <c r="A176" s="4" t="s">
        <v>19</v>
      </c>
      <c r="B176" s="4" t="str">
        <f>VLOOKUP(A176,'Ledger &amp; Group'!A:C,2,0)</f>
        <v>Cavinkare</v>
      </c>
      <c r="C176" s="4">
        <f>VLOOKUP(A176,'Ledger &amp; Group'!A:C,3,0)</f>
        <v>60</v>
      </c>
      <c r="D176" s="45">
        <f t="shared" si="4"/>
        <v>191</v>
      </c>
      <c r="E176" s="4" t="str">
        <f ca="1">IF(D176&lt;=TODAY(),IF(ISNA(VLOOKUP(V176,'Unreconciled AR'!C:C,1,0)),"Due","Unreconciled AR"),"Outstanding")</f>
        <v>Due</v>
      </c>
      <c r="F176" s="4">
        <f t="shared" ca="1" si="5"/>
        <v>44568</v>
      </c>
      <c r="G176" s="4" t="e">
        <f ca="1">LOOKUP(F176,{-10000,-60,-30,-15,0,1,10000},{"&gt;60","31-60","16-30","01-15","Due on Today","OS"})</f>
        <v>#N/A</v>
      </c>
      <c r="H176" s="4" t="s">
        <v>103</v>
      </c>
      <c r="I176" s="4" t="s">
        <v>103</v>
      </c>
      <c r="J176" s="4" t="s">
        <v>104</v>
      </c>
      <c r="K176" s="4" t="s">
        <v>111</v>
      </c>
      <c r="L176" s="4" t="s">
        <v>112</v>
      </c>
      <c r="M176" s="4" t="s">
        <v>113</v>
      </c>
      <c r="N176" s="4" t="s">
        <v>103</v>
      </c>
      <c r="O176" s="4" t="s">
        <v>432</v>
      </c>
      <c r="P176" s="5"/>
      <c r="Q176" s="5"/>
      <c r="R176" s="4" t="s">
        <v>433</v>
      </c>
      <c r="S176" s="5"/>
      <c r="T176" s="4" t="s">
        <v>107</v>
      </c>
      <c r="U176" s="45">
        <v>131</v>
      </c>
      <c r="V176" s="4" t="s">
        <v>364</v>
      </c>
      <c r="W176" s="45">
        <v>131</v>
      </c>
      <c r="X176" s="4" t="s">
        <v>8</v>
      </c>
      <c r="Y176" s="5">
        <v>1</v>
      </c>
      <c r="Z176" s="4" t="s">
        <v>108</v>
      </c>
      <c r="AA176" s="5"/>
      <c r="AB176" s="5">
        <v>6</v>
      </c>
      <c r="AC176" s="4" t="s">
        <v>109</v>
      </c>
      <c r="AD176" s="45">
        <v>131</v>
      </c>
      <c r="AE176" s="4" t="s">
        <v>364</v>
      </c>
      <c r="AF176" s="4"/>
      <c r="AG176" s="5">
        <v>1000000</v>
      </c>
      <c r="AH176" s="5">
        <v>1000000</v>
      </c>
      <c r="AI176" s="5">
        <v>0</v>
      </c>
      <c r="AJ176" s="5">
        <v>1000000</v>
      </c>
      <c r="AK176" s="5">
        <v>0</v>
      </c>
      <c r="AL176" s="5">
        <v>1000000</v>
      </c>
      <c r="AM176" s="5"/>
    </row>
    <row r="177" spans="1:39" ht="51" x14ac:dyDescent="0.25">
      <c r="A177" s="4" t="s">
        <v>20</v>
      </c>
      <c r="B177" s="4" t="str">
        <f>VLOOKUP(A177,'Ledger &amp; Group'!A:C,2,0)</f>
        <v>Cavinkare</v>
      </c>
      <c r="C177" s="4">
        <f>VLOOKUP(A177,'Ledger &amp; Group'!A:C,3,0)</f>
        <v>60</v>
      </c>
      <c r="D177" s="45">
        <f t="shared" si="4"/>
        <v>342</v>
      </c>
      <c r="E177" s="4" t="str">
        <f ca="1">IF(D177&lt;=TODAY(),IF(ISNA(VLOOKUP(V177,'Unreconciled AR'!C:C,1,0)),"Due","Unreconciled AR"),"Outstanding")</f>
        <v>Due</v>
      </c>
      <c r="F177" s="4">
        <f t="shared" ca="1" si="5"/>
        <v>44417</v>
      </c>
      <c r="G177" s="4" t="e">
        <f ca="1">LOOKUP(F177,{-10000,-60,-30,-15,0,1,10000},{"&gt;60","31-60","16-30","01-15","Due on Today","OS"})</f>
        <v>#N/A</v>
      </c>
      <c r="H177" s="4" t="s">
        <v>103</v>
      </c>
      <c r="I177" s="4" t="s">
        <v>103</v>
      </c>
      <c r="J177" s="4" t="s">
        <v>104</v>
      </c>
      <c r="K177" s="4" t="s">
        <v>111</v>
      </c>
      <c r="L177" s="4" t="s">
        <v>112</v>
      </c>
      <c r="M177" s="4" t="s">
        <v>113</v>
      </c>
      <c r="N177" s="4" t="s">
        <v>103</v>
      </c>
      <c r="O177" s="4" t="s">
        <v>432</v>
      </c>
      <c r="P177" s="5"/>
      <c r="Q177" s="5"/>
      <c r="R177" s="4" t="s">
        <v>433</v>
      </c>
      <c r="S177" s="5"/>
      <c r="T177" s="4" t="s">
        <v>107</v>
      </c>
      <c r="U177" s="45">
        <v>282</v>
      </c>
      <c r="V177" s="4" t="s">
        <v>492</v>
      </c>
      <c r="W177" s="45">
        <v>282</v>
      </c>
      <c r="X177" s="4" t="s">
        <v>8</v>
      </c>
      <c r="Y177" s="5">
        <v>1</v>
      </c>
      <c r="Z177" s="4" t="s">
        <v>108</v>
      </c>
      <c r="AA177" s="5"/>
      <c r="AB177" s="5">
        <v>220</v>
      </c>
      <c r="AC177" s="4" t="s">
        <v>109</v>
      </c>
      <c r="AD177" s="45">
        <v>282</v>
      </c>
      <c r="AE177" s="4" t="s">
        <v>492</v>
      </c>
      <c r="AF177" s="4"/>
      <c r="AG177" s="5">
        <v>1000000</v>
      </c>
      <c r="AH177" s="5">
        <v>1000000</v>
      </c>
      <c r="AI177" s="5">
        <v>0</v>
      </c>
      <c r="AJ177" s="5">
        <v>1000000</v>
      </c>
      <c r="AK177" s="5">
        <v>0</v>
      </c>
      <c r="AL177" s="5">
        <v>1000000</v>
      </c>
      <c r="AM177" s="5"/>
    </row>
    <row r="178" spans="1:39" ht="51" x14ac:dyDescent="0.25">
      <c r="A178" s="4" t="s">
        <v>20</v>
      </c>
      <c r="B178" s="4" t="str">
        <f>VLOOKUP(A178,'Ledger &amp; Group'!A:C,2,0)</f>
        <v>Cavinkare</v>
      </c>
      <c r="C178" s="4">
        <f>VLOOKUP(A178,'Ledger &amp; Group'!A:C,3,0)</f>
        <v>60</v>
      </c>
      <c r="D178" s="45">
        <f t="shared" si="4"/>
        <v>426</v>
      </c>
      <c r="E178" s="4" t="str">
        <f ca="1">IF(D178&lt;=TODAY(),IF(ISNA(VLOOKUP(V178,'Unreconciled AR'!C:C,1,0)),"Due","Unreconciled AR"),"Outstanding")</f>
        <v>Due</v>
      </c>
      <c r="F178" s="4">
        <f t="shared" ca="1" si="5"/>
        <v>44333</v>
      </c>
      <c r="G178" s="4" t="e">
        <f ca="1">LOOKUP(F178,{-10000,-60,-30,-15,0,1,10000},{"&gt;60","31-60","16-30","01-15","Due on Today","OS"})</f>
        <v>#N/A</v>
      </c>
      <c r="H178" s="4" t="s">
        <v>103</v>
      </c>
      <c r="I178" s="4" t="s">
        <v>103</v>
      </c>
      <c r="J178" s="4" t="s">
        <v>104</v>
      </c>
      <c r="K178" s="4" t="s">
        <v>111</v>
      </c>
      <c r="L178" s="4" t="s">
        <v>112</v>
      </c>
      <c r="M178" s="4" t="s">
        <v>113</v>
      </c>
      <c r="N178" s="4" t="s">
        <v>103</v>
      </c>
      <c r="O178" s="4" t="s">
        <v>432</v>
      </c>
      <c r="P178" s="5"/>
      <c r="Q178" s="5"/>
      <c r="R178" s="4" t="s">
        <v>433</v>
      </c>
      <c r="S178" s="5"/>
      <c r="T178" s="4" t="s">
        <v>107</v>
      </c>
      <c r="U178" s="45">
        <v>366</v>
      </c>
      <c r="V178" s="4" t="s">
        <v>493</v>
      </c>
      <c r="W178" s="45">
        <v>366</v>
      </c>
      <c r="X178" s="4" t="s">
        <v>8</v>
      </c>
      <c r="Y178" s="5">
        <v>1</v>
      </c>
      <c r="Z178" s="4" t="s">
        <v>108</v>
      </c>
      <c r="AA178" s="5"/>
      <c r="AB178" s="5">
        <v>136</v>
      </c>
      <c r="AC178" s="4" t="s">
        <v>109</v>
      </c>
      <c r="AD178" s="45">
        <v>366</v>
      </c>
      <c r="AE178" s="4" t="s">
        <v>493</v>
      </c>
      <c r="AF178" s="5"/>
      <c r="AG178" s="5">
        <v>1000000</v>
      </c>
      <c r="AH178" s="5">
        <v>1000000</v>
      </c>
      <c r="AI178" s="5">
        <v>0</v>
      </c>
      <c r="AJ178" s="5">
        <v>1000000</v>
      </c>
      <c r="AK178" s="5">
        <v>0</v>
      </c>
      <c r="AL178" s="5">
        <v>1000000</v>
      </c>
      <c r="AM178" s="5"/>
    </row>
    <row r="179" spans="1:39" ht="51" x14ac:dyDescent="0.25">
      <c r="A179" s="4" t="s">
        <v>20</v>
      </c>
      <c r="B179" s="4" t="str">
        <f>VLOOKUP(A179,'Ledger &amp; Group'!A:C,2,0)</f>
        <v>Cavinkare</v>
      </c>
      <c r="C179" s="4">
        <f>VLOOKUP(A179,'Ledger &amp; Group'!A:C,3,0)</f>
        <v>60</v>
      </c>
      <c r="D179" s="45">
        <f t="shared" si="4"/>
        <v>114</v>
      </c>
      <c r="E179" s="4" t="str">
        <f ca="1">IF(D179&lt;=TODAY(),IF(ISNA(VLOOKUP(V179,'Unreconciled AR'!C:C,1,0)),"Due","Unreconciled AR"),"Outstanding")</f>
        <v>Due</v>
      </c>
      <c r="F179" s="4">
        <f t="shared" ca="1" si="5"/>
        <v>44645</v>
      </c>
      <c r="G179" s="4" t="e">
        <f ca="1">LOOKUP(F179,{-10000,-60,-30,-15,0,1,10000},{"&gt;60","31-60","16-30","01-15","Due on Today","OS"})</f>
        <v>#N/A</v>
      </c>
      <c r="H179" s="4" t="s">
        <v>103</v>
      </c>
      <c r="I179" s="4" t="s">
        <v>103</v>
      </c>
      <c r="J179" s="4" t="s">
        <v>104</v>
      </c>
      <c r="K179" s="4" t="s">
        <v>111</v>
      </c>
      <c r="L179" s="4" t="s">
        <v>112</v>
      </c>
      <c r="M179" s="4" t="s">
        <v>113</v>
      </c>
      <c r="N179" s="4" t="s">
        <v>103</v>
      </c>
      <c r="O179" s="4" t="s">
        <v>432</v>
      </c>
      <c r="P179" s="5"/>
      <c r="Q179" s="5"/>
      <c r="R179" s="4" t="s">
        <v>433</v>
      </c>
      <c r="S179" s="5"/>
      <c r="T179" s="4" t="s">
        <v>107</v>
      </c>
      <c r="U179" s="45">
        <v>54</v>
      </c>
      <c r="V179" s="4" t="s">
        <v>494</v>
      </c>
      <c r="W179" s="45">
        <v>54</v>
      </c>
      <c r="X179" s="4" t="s">
        <v>8</v>
      </c>
      <c r="Y179" s="5">
        <v>1</v>
      </c>
      <c r="Z179" s="4" t="s">
        <v>108</v>
      </c>
      <c r="AA179" s="5"/>
      <c r="AB179" s="5">
        <v>82</v>
      </c>
      <c r="AC179" s="4" t="s">
        <v>109</v>
      </c>
      <c r="AD179" s="45">
        <v>54</v>
      </c>
      <c r="AE179" s="4" t="s">
        <v>494</v>
      </c>
      <c r="AF179" s="4"/>
      <c r="AG179" s="5">
        <v>1000000</v>
      </c>
      <c r="AH179" s="5">
        <v>1000000</v>
      </c>
      <c r="AI179" s="5">
        <v>0</v>
      </c>
      <c r="AJ179" s="5">
        <v>1000000</v>
      </c>
      <c r="AK179" s="5">
        <v>0</v>
      </c>
      <c r="AL179" s="5">
        <v>1000000</v>
      </c>
      <c r="AM179" s="5"/>
    </row>
    <row r="180" spans="1:39" ht="51" x14ac:dyDescent="0.25">
      <c r="A180" s="4" t="s">
        <v>20</v>
      </c>
      <c r="B180" s="4" t="str">
        <f>VLOOKUP(A180,'Ledger &amp; Group'!A:C,2,0)</f>
        <v>Cavinkare</v>
      </c>
      <c r="C180" s="4">
        <f>VLOOKUP(A180,'Ledger &amp; Group'!A:C,3,0)</f>
        <v>60</v>
      </c>
      <c r="D180" s="45">
        <f t="shared" si="4"/>
        <v>131</v>
      </c>
      <c r="E180" s="4" t="str">
        <f ca="1">IF(D180&lt;=TODAY(),IF(ISNA(VLOOKUP(V180,'Unreconciled AR'!C:C,1,0)),"Due","Unreconciled AR"),"Outstanding")</f>
        <v>Due</v>
      </c>
      <c r="F180" s="4">
        <f t="shared" ca="1" si="5"/>
        <v>44628</v>
      </c>
      <c r="G180" s="4" t="e">
        <f ca="1">LOOKUP(F180,{-10000,-60,-30,-15,0,1,10000},{"&gt;60","31-60","16-30","01-15","Due on Today","OS"})</f>
        <v>#N/A</v>
      </c>
      <c r="H180" s="4" t="s">
        <v>103</v>
      </c>
      <c r="I180" s="4" t="s">
        <v>103</v>
      </c>
      <c r="J180" s="4" t="s">
        <v>104</v>
      </c>
      <c r="K180" s="4" t="s">
        <v>111</v>
      </c>
      <c r="L180" s="4" t="s">
        <v>112</v>
      </c>
      <c r="M180" s="4" t="s">
        <v>113</v>
      </c>
      <c r="N180" s="4" t="s">
        <v>103</v>
      </c>
      <c r="O180" s="4" t="s">
        <v>432</v>
      </c>
      <c r="P180" s="5"/>
      <c r="Q180" s="5"/>
      <c r="R180" s="4" t="s">
        <v>433</v>
      </c>
      <c r="S180" s="5"/>
      <c r="T180" s="4" t="s">
        <v>107</v>
      </c>
      <c r="U180" s="45">
        <v>71</v>
      </c>
      <c r="V180" s="4" t="s">
        <v>495</v>
      </c>
      <c r="W180" s="45">
        <v>71</v>
      </c>
      <c r="X180" s="4" t="s">
        <v>8</v>
      </c>
      <c r="Y180" s="5">
        <v>1</v>
      </c>
      <c r="Z180" s="4" t="s">
        <v>108</v>
      </c>
      <c r="AA180" s="5"/>
      <c r="AB180" s="5">
        <v>66</v>
      </c>
      <c r="AC180" s="4" t="s">
        <v>109</v>
      </c>
      <c r="AD180" s="45">
        <v>71</v>
      </c>
      <c r="AE180" s="4" t="s">
        <v>495</v>
      </c>
      <c r="AF180" s="4"/>
      <c r="AG180" s="5">
        <v>1000000</v>
      </c>
      <c r="AH180" s="5">
        <v>1000000</v>
      </c>
      <c r="AI180" s="5">
        <v>0</v>
      </c>
      <c r="AJ180" s="5">
        <v>1000000</v>
      </c>
      <c r="AK180" s="5">
        <v>0</v>
      </c>
      <c r="AL180" s="5">
        <v>1000000</v>
      </c>
      <c r="AM180" s="5"/>
    </row>
    <row r="181" spans="1:39" ht="51" x14ac:dyDescent="0.25">
      <c r="A181" s="4" t="s">
        <v>20</v>
      </c>
      <c r="B181" s="4" t="str">
        <f>VLOOKUP(A181,'Ledger &amp; Group'!A:C,2,0)</f>
        <v>Cavinkare</v>
      </c>
      <c r="C181" s="4">
        <f>VLOOKUP(A181,'Ledger &amp; Group'!A:C,3,0)</f>
        <v>60</v>
      </c>
      <c r="D181" s="45">
        <f t="shared" si="4"/>
        <v>140</v>
      </c>
      <c r="E181" s="4" t="str">
        <f ca="1">IF(D181&lt;=TODAY(),IF(ISNA(VLOOKUP(V181,'Unreconciled AR'!C:C,1,0)),"Due","Unreconciled AR"),"Outstanding")</f>
        <v>Due</v>
      </c>
      <c r="F181" s="4">
        <f t="shared" ca="1" si="5"/>
        <v>44619</v>
      </c>
      <c r="G181" s="4" t="e">
        <f ca="1">LOOKUP(F181,{-10000,-60,-30,-15,0,1,10000},{"&gt;60","31-60","16-30","01-15","Due on Today","OS"})</f>
        <v>#N/A</v>
      </c>
      <c r="H181" s="4" t="s">
        <v>103</v>
      </c>
      <c r="I181" s="4" t="s">
        <v>103</v>
      </c>
      <c r="J181" s="4" t="s">
        <v>104</v>
      </c>
      <c r="K181" s="4" t="s">
        <v>111</v>
      </c>
      <c r="L181" s="4" t="s">
        <v>112</v>
      </c>
      <c r="M181" s="4" t="s">
        <v>113</v>
      </c>
      <c r="N181" s="4" t="s">
        <v>103</v>
      </c>
      <c r="O181" s="4" t="s">
        <v>432</v>
      </c>
      <c r="P181" s="5"/>
      <c r="Q181" s="5"/>
      <c r="R181" s="4" t="s">
        <v>433</v>
      </c>
      <c r="S181" s="5"/>
      <c r="T181" s="4" t="s">
        <v>107</v>
      </c>
      <c r="U181" s="45">
        <v>80</v>
      </c>
      <c r="V181" s="4" t="s">
        <v>496</v>
      </c>
      <c r="W181" s="45">
        <v>80</v>
      </c>
      <c r="X181" s="4" t="s">
        <v>8</v>
      </c>
      <c r="Y181" s="5">
        <v>1</v>
      </c>
      <c r="Z181" s="4" t="s">
        <v>108</v>
      </c>
      <c r="AA181" s="5"/>
      <c r="AB181" s="5">
        <v>57</v>
      </c>
      <c r="AC181" s="4" t="s">
        <v>109</v>
      </c>
      <c r="AD181" s="45">
        <v>80</v>
      </c>
      <c r="AE181" s="4" t="s">
        <v>496</v>
      </c>
      <c r="AF181" s="4"/>
      <c r="AG181" s="5">
        <v>1000000</v>
      </c>
      <c r="AH181" s="5">
        <v>1000000</v>
      </c>
      <c r="AI181" s="5">
        <v>0</v>
      </c>
      <c r="AJ181" s="5">
        <v>1000000</v>
      </c>
      <c r="AK181" s="5">
        <v>0</v>
      </c>
      <c r="AL181" s="5">
        <v>1000000</v>
      </c>
      <c r="AM181" s="5"/>
    </row>
    <row r="182" spans="1:39" ht="51" x14ac:dyDescent="0.25">
      <c r="A182" s="4" t="s">
        <v>20</v>
      </c>
      <c r="B182" s="4" t="str">
        <f>VLOOKUP(A182,'Ledger &amp; Group'!A:C,2,0)</f>
        <v>Cavinkare</v>
      </c>
      <c r="C182" s="4">
        <f>VLOOKUP(A182,'Ledger &amp; Group'!A:C,3,0)</f>
        <v>60</v>
      </c>
      <c r="D182" s="45">
        <f t="shared" si="4"/>
        <v>147</v>
      </c>
      <c r="E182" s="4" t="str">
        <f ca="1">IF(D182&lt;=TODAY(),IF(ISNA(VLOOKUP(V182,'Unreconciled AR'!C:C,1,0)),"Due","Unreconciled AR"),"Outstanding")</f>
        <v>Due</v>
      </c>
      <c r="F182" s="4">
        <f t="shared" ca="1" si="5"/>
        <v>44612</v>
      </c>
      <c r="G182" s="4" t="e">
        <f ca="1">LOOKUP(F182,{-10000,-60,-30,-15,0,1,10000},{"&gt;60","31-60","16-30","01-15","Due on Today","OS"})</f>
        <v>#N/A</v>
      </c>
      <c r="H182" s="4" t="s">
        <v>103</v>
      </c>
      <c r="I182" s="4" t="s">
        <v>103</v>
      </c>
      <c r="J182" s="4" t="s">
        <v>104</v>
      </c>
      <c r="K182" s="4" t="s">
        <v>111</v>
      </c>
      <c r="L182" s="4" t="s">
        <v>112</v>
      </c>
      <c r="M182" s="4" t="s">
        <v>113</v>
      </c>
      <c r="N182" s="4" t="s">
        <v>103</v>
      </c>
      <c r="O182" s="4" t="s">
        <v>432</v>
      </c>
      <c r="P182" s="5"/>
      <c r="Q182" s="5"/>
      <c r="R182" s="4" t="s">
        <v>433</v>
      </c>
      <c r="S182" s="5"/>
      <c r="T182" s="4" t="s">
        <v>107</v>
      </c>
      <c r="U182" s="45">
        <v>87</v>
      </c>
      <c r="V182" s="4" t="s">
        <v>497</v>
      </c>
      <c r="W182" s="45">
        <v>87</v>
      </c>
      <c r="X182" s="4" t="s">
        <v>8</v>
      </c>
      <c r="Y182" s="5">
        <v>1</v>
      </c>
      <c r="Z182" s="4" t="s">
        <v>108</v>
      </c>
      <c r="AA182" s="5"/>
      <c r="AB182" s="5">
        <v>50</v>
      </c>
      <c r="AC182" s="4" t="s">
        <v>109</v>
      </c>
      <c r="AD182" s="45">
        <v>87</v>
      </c>
      <c r="AE182" s="4" t="s">
        <v>497</v>
      </c>
      <c r="AF182" s="4"/>
      <c r="AG182" s="5">
        <v>1000000</v>
      </c>
      <c r="AH182" s="5">
        <v>1000000</v>
      </c>
      <c r="AI182" s="5">
        <v>0</v>
      </c>
      <c r="AJ182" s="5">
        <v>1000000</v>
      </c>
      <c r="AK182" s="5">
        <v>0</v>
      </c>
      <c r="AL182" s="5">
        <v>1000000</v>
      </c>
      <c r="AM182" s="5"/>
    </row>
    <row r="183" spans="1:39" ht="51" x14ac:dyDescent="0.25">
      <c r="A183" s="4" t="s">
        <v>20</v>
      </c>
      <c r="B183" s="4" t="str">
        <f>VLOOKUP(A183,'Ledger &amp; Group'!A:C,2,0)</f>
        <v>Cavinkare</v>
      </c>
      <c r="C183" s="4">
        <f>VLOOKUP(A183,'Ledger &amp; Group'!A:C,3,0)</f>
        <v>60</v>
      </c>
      <c r="D183" s="45">
        <f t="shared" si="4"/>
        <v>163</v>
      </c>
      <c r="E183" s="4" t="str">
        <f ca="1">IF(D183&lt;=TODAY(),IF(ISNA(VLOOKUP(V183,'Unreconciled AR'!C:C,1,0)),"Due","Unreconciled AR"),"Outstanding")</f>
        <v>Due</v>
      </c>
      <c r="F183" s="4">
        <f t="shared" ca="1" si="5"/>
        <v>44596</v>
      </c>
      <c r="G183" s="4" t="e">
        <f ca="1">LOOKUP(F183,{-10000,-60,-30,-15,0,1,10000},{"&gt;60","31-60","16-30","01-15","Due on Today","OS"})</f>
        <v>#N/A</v>
      </c>
      <c r="H183" s="4" t="s">
        <v>103</v>
      </c>
      <c r="I183" s="4" t="s">
        <v>103</v>
      </c>
      <c r="J183" s="4" t="s">
        <v>104</v>
      </c>
      <c r="K183" s="4" t="s">
        <v>111</v>
      </c>
      <c r="L183" s="4" t="s">
        <v>112</v>
      </c>
      <c r="M183" s="4" t="s">
        <v>113</v>
      </c>
      <c r="N183" s="4" t="s">
        <v>103</v>
      </c>
      <c r="O183" s="4" t="s">
        <v>432</v>
      </c>
      <c r="P183" s="5"/>
      <c r="Q183" s="5"/>
      <c r="R183" s="4" t="s">
        <v>433</v>
      </c>
      <c r="S183" s="5"/>
      <c r="T183" s="4" t="s">
        <v>107</v>
      </c>
      <c r="U183" s="45">
        <v>103</v>
      </c>
      <c r="V183" s="4" t="s">
        <v>244</v>
      </c>
      <c r="W183" s="45">
        <v>103</v>
      </c>
      <c r="X183" s="4" t="s">
        <v>8</v>
      </c>
      <c r="Y183" s="5">
        <v>1</v>
      </c>
      <c r="Z183" s="4" t="s">
        <v>108</v>
      </c>
      <c r="AA183" s="5"/>
      <c r="AB183" s="5">
        <v>34</v>
      </c>
      <c r="AC183" s="4" t="s">
        <v>109</v>
      </c>
      <c r="AD183" s="45">
        <v>103</v>
      </c>
      <c r="AE183" s="4" t="s">
        <v>244</v>
      </c>
      <c r="AF183" s="5"/>
      <c r="AG183" s="5">
        <v>1000000</v>
      </c>
      <c r="AH183" s="5">
        <v>1000000</v>
      </c>
      <c r="AI183" s="5">
        <v>0</v>
      </c>
      <c r="AJ183" s="5">
        <v>1000000</v>
      </c>
      <c r="AK183" s="5">
        <v>0</v>
      </c>
      <c r="AL183" s="5">
        <v>1000000</v>
      </c>
      <c r="AM183" s="5"/>
    </row>
    <row r="184" spans="1:39" ht="51" x14ac:dyDescent="0.25">
      <c r="A184" s="4" t="s">
        <v>20</v>
      </c>
      <c r="B184" s="4" t="str">
        <f>VLOOKUP(A184,'Ledger &amp; Group'!A:C,2,0)</f>
        <v>Cavinkare</v>
      </c>
      <c r="C184" s="4">
        <f>VLOOKUP(A184,'Ledger &amp; Group'!A:C,3,0)</f>
        <v>60</v>
      </c>
      <c r="D184" s="45">
        <f t="shared" si="4"/>
        <v>171</v>
      </c>
      <c r="E184" s="4" t="str">
        <f ca="1">IF(D184&lt;=TODAY(),IF(ISNA(VLOOKUP(V184,'Unreconciled AR'!C:C,1,0)),"Due","Unreconciled AR"),"Outstanding")</f>
        <v>Due</v>
      </c>
      <c r="F184" s="4">
        <f t="shared" ca="1" si="5"/>
        <v>44588</v>
      </c>
      <c r="G184" s="4" t="e">
        <f ca="1">LOOKUP(F184,{-10000,-60,-30,-15,0,1,10000},{"&gt;60","31-60","16-30","01-15","Due on Today","OS"})</f>
        <v>#N/A</v>
      </c>
      <c r="H184" s="4" t="s">
        <v>103</v>
      </c>
      <c r="I184" s="4" t="s">
        <v>103</v>
      </c>
      <c r="J184" s="4" t="s">
        <v>104</v>
      </c>
      <c r="K184" s="4" t="s">
        <v>111</v>
      </c>
      <c r="L184" s="4" t="s">
        <v>112</v>
      </c>
      <c r="M184" s="4" t="s">
        <v>113</v>
      </c>
      <c r="N184" s="4" t="s">
        <v>103</v>
      </c>
      <c r="O184" s="4" t="s">
        <v>432</v>
      </c>
      <c r="P184" s="5"/>
      <c r="Q184" s="5"/>
      <c r="R184" s="4" t="s">
        <v>433</v>
      </c>
      <c r="S184" s="5"/>
      <c r="T184" s="4" t="s">
        <v>107</v>
      </c>
      <c r="U184" s="45">
        <v>111</v>
      </c>
      <c r="V184" s="4" t="s">
        <v>274</v>
      </c>
      <c r="W184" s="45">
        <v>111</v>
      </c>
      <c r="X184" s="4" t="s">
        <v>8</v>
      </c>
      <c r="Y184" s="5">
        <v>1</v>
      </c>
      <c r="Z184" s="4" t="s">
        <v>108</v>
      </c>
      <c r="AA184" s="5"/>
      <c r="AB184" s="5">
        <v>26</v>
      </c>
      <c r="AC184" s="4" t="s">
        <v>109</v>
      </c>
      <c r="AD184" s="45">
        <v>111</v>
      </c>
      <c r="AE184" s="4" t="s">
        <v>274</v>
      </c>
      <c r="AF184" s="4"/>
      <c r="AG184" s="5">
        <v>1000000</v>
      </c>
      <c r="AH184" s="5">
        <v>1000000</v>
      </c>
      <c r="AI184" s="5">
        <v>0</v>
      </c>
      <c r="AJ184" s="5">
        <v>1000000</v>
      </c>
      <c r="AK184" s="5">
        <v>0</v>
      </c>
      <c r="AL184" s="5">
        <v>1000000</v>
      </c>
      <c r="AM184" s="5"/>
    </row>
    <row r="185" spans="1:39" ht="51" x14ac:dyDescent="0.25">
      <c r="A185" s="4" t="s">
        <v>20</v>
      </c>
      <c r="B185" s="4" t="str">
        <f>VLOOKUP(A185,'Ledger &amp; Group'!A:C,2,0)</f>
        <v>Cavinkare</v>
      </c>
      <c r="C185" s="4">
        <f>VLOOKUP(A185,'Ledger &amp; Group'!A:C,3,0)</f>
        <v>60</v>
      </c>
      <c r="D185" s="45">
        <f t="shared" si="4"/>
        <v>174</v>
      </c>
      <c r="E185" s="4" t="str">
        <f ca="1">IF(D185&lt;=TODAY(),IF(ISNA(VLOOKUP(V185,'Unreconciled AR'!C:C,1,0)),"Due","Unreconciled AR"),"Outstanding")</f>
        <v>Due</v>
      </c>
      <c r="F185" s="4">
        <f t="shared" ca="1" si="5"/>
        <v>44585</v>
      </c>
      <c r="G185" s="4" t="e">
        <f ca="1">LOOKUP(F185,{-10000,-60,-30,-15,0,1,10000},{"&gt;60","31-60","16-30","01-15","Due on Today","OS"})</f>
        <v>#N/A</v>
      </c>
      <c r="H185" s="4" t="s">
        <v>103</v>
      </c>
      <c r="I185" s="4" t="s">
        <v>103</v>
      </c>
      <c r="J185" s="4" t="s">
        <v>104</v>
      </c>
      <c r="K185" s="4" t="s">
        <v>111</v>
      </c>
      <c r="L185" s="4" t="s">
        <v>112</v>
      </c>
      <c r="M185" s="4" t="s">
        <v>113</v>
      </c>
      <c r="N185" s="4" t="s">
        <v>103</v>
      </c>
      <c r="O185" s="4" t="s">
        <v>432</v>
      </c>
      <c r="P185" s="5"/>
      <c r="Q185" s="5"/>
      <c r="R185" s="4" t="s">
        <v>433</v>
      </c>
      <c r="S185" s="5"/>
      <c r="T185" s="4" t="s">
        <v>107</v>
      </c>
      <c r="U185" s="45">
        <v>114</v>
      </c>
      <c r="V185" s="4" t="s">
        <v>280</v>
      </c>
      <c r="W185" s="45">
        <v>114</v>
      </c>
      <c r="X185" s="4" t="s">
        <v>8</v>
      </c>
      <c r="Y185" s="5">
        <v>1</v>
      </c>
      <c r="Z185" s="4" t="s">
        <v>108</v>
      </c>
      <c r="AA185" s="5"/>
      <c r="AB185" s="5">
        <v>23</v>
      </c>
      <c r="AC185" s="4" t="s">
        <v>109</v>
      </c>
      <c r="AD185" s="45">
        <v>114</v>
      </c>
      <c r="AE185" s="4" t="s">
        <v>280</v>
      </c>
      <c r="AF185" s="4"/>
      <c r="AG185" s="5">
        <v>1000000</v>
      </c>
      <c r="AH185" s="5">
        <v>1000000</v>
      </c>
      <c r="AI185" s="5">
        <v>0</v>
      </c>
      <c r="AJ185" s="5">
        <v>1000000</v>
      </c>
      <c r="AK185" s="5">
        <v>0</v>
      </c>
      <c r="AL185" s="5">
        <v>1000000</v>
      </c>
      <c r="AM185" s="5"/>
    </row>
    <row r="186" spans="1:39" ht="51" x14ac:dyDescent="0.25">
      <c r="A186" s="4" t="s">
        <v>20</v>
      </c>
      <c r="B186" s="4" t="str">
        <f>VLOOKUP(A186,'Ledger &amp; Group'!A:C,2,0)</f>
        <v>Cavinkare</v>
      </c>
      <c r="C186" s="4">
        <f>VLOOKUP(A186,'Ledger &amp; Group'!A:C,3,0)</f>
        <v>60</v>
      </c>
      <c r="D186" s="45">
        <f t="shared" si="4"/>
        <v>181</v>
      </c>
      <c r="E186" s="4" t="str">
        <f ca="1">IF(D186&lt;=TODAY(),IF(ISNA(VLOOKUP(V186,'Unreconciled AR'!C:C,1,0)),"Due","Unreconciled AR"),"Outstanding")</f>
        <v>Due</v>
      </c>
      <c r="F186" s="4">
        <f t="shared" ca="1" si="5"/>
        <v>44578</v>
      </c>
      <c r="G186" s="4" t="e">
        <f ca="1">LOOKUP(F186,{-10000,-60,-30,-15,0,1,10000},{"&gt;60","31-60","16-30","01-15","Due on Today","OS"})</f>
        <v>#N/A</v>
      </c>
      <c r="H186" s="4" t="s">
        <v>103</v>
      </c>
      <c r="I186" s="4" t="s">
        <v>103</v>
      </c>
      <c r="J186" s="4" t="s">
        <v>104</v>
      </c>
      <c r="K186" s="4" t="s">
        <v>111</v>
      </c>
      <c r="L186" s="4" t="s">
        <v>112</v>
      </c>
      <c r="M186" s="4" t="s">
        <v>113</v>
      </c>
      <c r="N186" s="4" t="s">
        <v>103</v>
      </c>
      <c r="O186" s="4" t="s">
        <v>432</v>
      </c>
      <c r="P186" s="5"/>
      <c r="Q186" s="5"/>
      <c r="R186" s="4" t="s">
        <v>433</v>
      </c>
      <c r="S186" s="5"/>
      <c r="T186" s="4" t="s">
        <v>107</v>
      </c>
      <c r="U186" s="45">
        <v>121</v>
      </c>
      <c r="V186" s="4" t="s">
        <v>306</v>
      </c>
      <c r="W186" s="45">
        <v>121</v>
      </c>
      <c r="X186" s="4" t="s">
        <v>8</v>
      </c>
      <c r="Y186" s="5">
        <v>1</v>
      </c>
      <c r="Z186" s="4" t="s">
        <v>108</v>
      </c>
      <c r="AA186" s="5"/>
      <c r="AB186" s="5">
        <v>16</v>
      </c>
      <c r="AC186" s="4" t="s">
        <v>109</v>
      </c>
      <c r="AD186" s="45">
        <v>121</v>
      </c>
      <c r="AE186" s="4" t="s">
        <v>306</v>
      </c>
      <c r="AF186" s="4"/>
      <c r="AG186" s="5">
        <v>1000000</v>
      </c>
      <c r="AH186" s="5">
        <v>1000000</v>
      </c>
      <c r="AI186" s="5">
        <v>0</v>
      </c>
      <c r="AJ186" s="5">
        <v>1000000</v>
      </c>
      <c r="AK186" s="5">
        <v>0</v>
      </c>
      <c r="AL186" s="5">
        <v>1000000</v>
      </c>
      <c r="AM186" s="5"/>
    </row>
    <row r="187" spans="1:39" ht="51" x14ac:dyDescent="0.25">
      <c r="A187" s="4" t="s">
        <v>20</v>
      </c>
      <c r="B187" s="4" t="str">
        <f>VLOOKUP(A187,'Ledger &amp; Group'!A:C,2,0)</f>
        <v>Cavinkare</v>
      </c>
      <c r="C187" s="4">
        <f>VLOOKUP(A187,'Ledger &amp; Group'!A:C,3,0)</f>
        <v>60</v>
      </c>
      <c r="D187" s="45">
        <f t="shared" si="4"/>
        <v>191</v>
      </c>
      <c r="E187" s="4" t="str">
        <f ca="1">IF(D187&lt;=TODAY(),IF(ISNA(VLOOKUP(V187,'Unreconciled AR'!C:C,1,0)),"Due","Unreconciled AR"),"Outstanding")</f>
        <v>Due</v>
      </c>
      <c r="F187" s="4">
        <f t="shared" ca="1" si="5"/>
        <v>44568</v>
      </c>
      <c r="G187" s="4" t="e">
        <f ca="1">LOOKUP(F187,{-10000,-60,-30,-15,0,1,10000},{"&gt;60","31-60","16-30","01-15","Due on Today","OS"})</f>
        <v>#N/A</v>
      </c>
      <c r="H187" s="4" t="s">
        <v>103</v>
      </c>
      <c r="I187" s="4" t="s">
        <v>103</v>
      </c>
      <c r="J187" s="4" t="s">
        <v>104</v>
      </c>
      <c r="K187" s="4" t="s">
        <v>111</v>
      </c>
      <c r="L187" s="4" t="s">
        <v>112</v>
      </c>
      <c r="M187" s="4" t="s">
        <v>113</v>
      </c>
      <c r="N187" s="4" t="s">
        <v>103</v>
      </c>
      <c r="O187" s="4" t="s">
        <v>432</v>
      </c>
      <c r="P187" s="5"/>
      <c r="Q187" s="5"/>
      <c r="R187" s="4" t="s">
        <v>433</v>
      </c>
      <c r="S187" s="5"/>
      <c r="T187" s="4" t="s">
        <v>107</v>
      </c>
      <c r="U187" s="45">
        <v>131</v>
      </c>
      <c r="V187" s="4" t="s">
        <v>365</v>
      </c>
      <c r="W187" s="45">
        <v>131</v>
      </c>
      <c r="X187" s="4" t="s">
        <v>8</v>
      </c>
      <c r="Y187" s="5">
        <v>1</v>
      </c>
      <c r="Z187" s="4" t="s">
        <v>108</v>
      </c>
      <c r="AA187" s="5"/>
      <c r="AB187" s="5">
        <v>6</v>
      </c>
      <c r="AC187" s="4" t="s">
        <v>109</v>
      </c>
      <c r="AD187" s="45">
        <v>131</v>
      </c>
      <c r="AE187" s="4" t="s">
        <v>365</v>
      </c>
      <c r="AF187" s="4"/>
      <c r="AG187" s="5">
        <v>1000000</v>
      </c>
      <c r="AH187" s="5">
        <v>1000000</v>
      </c>
      <c r="AI187" s="5">
        <v>0</v>
      </c>
      <c r="AJ187" s="5">
        <v>1000000</v>
      </c>
      <c r="AK187" s="5">
        <v>0</v>
      </c>
      <c r="AL187" s="5">
        <v>1000000</v>
      </c>
      <c r="AM187" s="5"/>
    </row>
    <row r="188" spans="1:39" ht="51" x14ac:dyDescent="0.25">
      <c r="A188" s="4" t="s">
        <v>21</v>
      </c>
      <c r="B188" s="4" t="str">
        <f>VLOOKUP(A188,'Ledger &amp; Group'!A:C,2,0)</f>
        <v>Cavinkare</v>
      </c>
      <c r="C188" s="4">
        <f>VLOOKUP(A188,'Ledger &amp; Group'!A:C,3,0)</f>
        <v>60</v>
      </c>
      <c r="D188" s="45">
        <f t="shared" si="4"/>
        <v>185</v>
      </c>
      <c r="E188" s="4" t="str">
        <f ca="1">IF(D188&lt;=TODAY(),IF(ISNA(VLOOKUP(V188,'Unreconciled AR'!C:C,1,0)),"Due","Unreconciled AR"),"Outstanding")</f>
        <v>Due</v>
      </c>
      <c r="F188" s="4">
        <f t="shared" ca="1" si="5"/>
        <v>44574</v>
      </c>
      <c r="G188" s="4" t="e">
        <f ca="1">LOOKUP(F188,{-10000,-60,-30,-15,0,1,10000},{"&gt;60","31-60","16-30","01-15","Due on Today","OS"})</f>
        <v>#N/A</v>
      </c>
      <c r="H188" s="4" t="s">
        <v>103</v>
      </c>
      <c r="I188" s="4" t="s">
        <v>103</v>
      </c>
      <c r="J188" s="4" t="s">
        <v>104</v>
      </c>
      <c r="K188" s="4" t="s">
        <v>111</v>
      </c>
      <c r="L188" s="4" t="s">
        <v>112</v>
      </c>
      <c r="M188" s="4" t="s">
        <v>113</v>
      </c>
      <c r="N188" s="4" t="s">
        <v>103</v>
      </c>
      <c r="O188" s="4" t="s">
        <v>432</v>
      </c>
      <c r="P188" s="5"/>
      <c r="Q188" s="5"/>
      <c r="R188" s="4" t="s">
        <v>433</v>
      </c>
      <c r="S188" s="5"/>
      <c r="T188" s="4" t="s">
        <v>107</v>
      </c>
      <c r="U188" s="45">
        <v>125</v>
      </c>
      <c r="V188" s="4" t="s">
        <v>22</v>
      </c>
      <c r="W188" s="45">
        <v>125</v>
      </c>
      <c r="X188" s="4" t="s">
        <v>8</v>
      </c>
      <c r="Y188" s="5">
        <v>1</v>
      </c>
      <c r="Z188" s="4" t="s">
        <v>108</v>
      </c>
      <c r="AA188" s="5"/>
      <c r="AB188" s="5">
        <v>742</v>
      </c>
      <c r="AC188" s="4" t="s">
        <v>109</v>
      </c>
      <c r="AD188" s="45">
        <v>125</v>
      </c>
      <c r="AE188" s="4" t="s">
        <v>22</v>
      </c>
      <c r="AF188" s="5"/>
      <c r="AG188" s="5">
        <v>1000000</v>
      </c>
      <c r="AH188" s="5">
        <v>1000000</v>
      </c>
      <c r="AI188" s="5">
        <v>0</v>
      </c>
      <c r="AJ188" s="5">
        <v>1000000</v>
      </c>
      <c r="AK188" s="5">
        <v>0</v>
      </c>
      <c r="AL188" s="5">
        <v>1000000</v>
      </c>
      <c r="AM188" s="5"/>
    </row>
    <row r="189" spans="1:39" ht="51" x14ac:dyDescent="0.25">
      <c r="A189" s="4" t="s">
        <v>21</v>
      </c>
      <c r="B189" s="4" t="str">
        <f>VLOOKUP(A189,'Ledger &amp; Group'!A:C,2,0)</f>
        <v>Cavinkare</v>
      </c>
      <c r="C189" s="4">
        <f>VLOOKUP(A189,'Ledger &amp; Group'!A:C,3,0)</f>
        <v>60</v>
      </c>
      <c r="D189" s="45">
        <f t="shared" si="4"/>
        <v>343</v>
      </c>
      <c r="E189" s="4" t="str">
        <f ca="1">IF(D189&lt;=TODAY(),IF(ISNA(VLOOKUP(V189,'Unreconciled AR'!C:C,1,0)),"Due","Unreconciled AR"),"Outstanding")</f>
        <v>Due</v>
      </c>
      <c r="F189" s="4">
        <f t="shared" ca="1" si="5"/>
        <v>44416</v>
      </c>
      <c r="G189" s="4" t="e">
        <f ca="1">LOOKUP(F189,{-10000,-60,-30,-15,0,1,10000},{"&gt;60","31-60","16-30","01-15","Due on Today","OS"})</f>
        <v>#N/A</v>
      </c>
      <c r="H189" s="4" t="s">
        <v>103</v>
      </c>
      <c r="I189" s="4" t="s">
        <v>103</v>
      </c>
      <c r="J189" s="4" t="s">
        <v>104</v>
      </c>
      <c r="K189" s="4" t="s">
        <v>111</v>
      </c>
      <c r="L189" s="4" t="s">
        <v>112</v>
      </c>
      <c r="M189" s="4" t="s">
        <v>113</v>
      </c>
      <c r="N189" s="4" t="s">
        <v>103</v>
      </c>
      <c r="O189" s="4" t="s">
        <v>432</v>
      </c>
      <c r="P189" s="5"/>
      <c r="Q189" s="5"/>
      <c r="R189" s="4" t="s">
        <v>433</v>
      </c>
      <c r="S189" s="5"/>
      <c r="T189" s="4" t="s">
        <v>107</v>
      </c>
      <c r="U189" s="45">
        <v>283</v>
      </c>
      <c r="V189" s="4" t="s">
        <v>498</v>
      </c>
      <c r="W189" s="45">
        <v>283</v>
      </c>
      <c r="X189" s="4" t="s">
        <v>8</v>
      </c>
      <c r="Y189" s="5">
        <v>1</v>
      </c>
      <c r="Z189" s="4" t="s">
        <v>108</v>
      </c>
      <c r="AA189" s="5"/>
      <c r="AB189" s="5">
        <v>219</v>
      </c>
      <c r="AC189" s="4" t="s">
        <v>109</v>
      </c>
      <c r="AD189" s="45">
        <v>283</v>
      </c>
      <c r="AE189" s="4" t="s">
        <v>498</v>
      </c>
      <c r="AF189" s="4"/>
      <c r="AG189" s="5">
        <v>1000000</v>
      </c>
      <c r="AH189" s="5">
        <v>1000000</v>
      </c>
      <c r="AI189" s="5">
        <v>0</v>
      </c>
      <c r="AJ189" s="5">
        <v>1000000</v>
      </c>
      <c r="AK189" s="5">
        <v>0</v>
      </c>
      <c r="AL189" s="5">
        <v>1000000</v>
      </c>
      <c r="AM189" s="5"/>
    </row>
    <row r="190" spans="1:39" ht="51" x14ac:dyDescent="0.25">
      <c r="A190" s="4" t="s">
        <v>21</v>
      </c>
      <c r="B190" s="4" t="str">
        <f>VLOOKUP(A190,'Ledger &amp; Group'!A:C,2,0)</f>
        <v>Cavinkare</v>
      </c>
      <c r="C190" s="4">
        <f>VLOOKUP(A190,'Ledger &amp; Group'!A:C,3,0)</f>
        <v>60</v>
      </c>
      <c r="D190" s="45">
        <f t="shared" si="4"/>
        <v>141</v>
      </c>
      <c r="E190" s="4" t="str">
        <f ca="1">IF(D190&lt;=TODAY(),IF(ISNA(VLOOKUP(V190,'Unreconciled AR'!C:C,1,0)),"Due","Unreconciled AR"),"Outstanding")</f>
        <v>Due</v>
      </c>
      <c r="F190" s="4">
        <f t="shared" ca="1" si="5"/>
        <v>44618</v>
      </c>
      <c r="G190" s="4" t="e">
        <f ca="1">LOOKUP(F190,{-10000,-60,-30,-15,0,1,10000},{"&gt;60","31-60","16-30","01-15","Due on Today","OS"})</f>
        <v>#N/A</v>
      </c>
      <c r="H190" s="4" t="s">
        <v>103</v>
      </c>
      <c r="I190" s="4" t="s">
        <v>103</v>
      </c>
      <c r="J190" s="4" t="s">
        <v>104</v>
      </c>
      <c r="K190" s="4" t="s">
        <v>111</v>
      </c>
      <c r="L190" s="4" t="s">
        <v>112</v>
      </c>
      <c r="M190" s="4" t="s">
        <v>113</v>
      </c>
      <c r="N190" s="4" t="s">
        <v>103</v>
      </c>
      <c r="O190" s="4" t="s">
        <v>432</v>
      </c>
      <c r="P190" s="5"/>
      <c r="Q190" s="5"/>
      <c r="R190" s="4" t="s">
        <v>433</v>
      </c>
      <c r="S190" s="5"/>
      <c r="T190" s="4" t="s">
        <v>107</v>
      </c>
      <c r="U190" s="45">
        <v>81</v>
      </c>
      <c r="V190" s="4" t="s">
        <v>499</v>
      </c>
      <c r="W190" s="45">
        <v>81</v>
      </c>
      <c r="X190" s="4" t="s">
        <v>8</v>
      </c>
      <c r="Y190" s="5">
        <v>1</v>
      </c>
      <c r="Z190" s="4" t="s">
        <v>108</v>
      </c>
      <c r="AA190" s="5"/>
      <c r="AB190" s="5">
        <v>56</v>
      </c>
      <c r="AC190" s="4" t="s">
        <v>109</v>
      </c>
      <c r="AD190" s="45">
        <v>81</v>
      </c>
      <c r="AE190" s="4" t="s">
        <v>499</v>
      </c>
      <c r="AF190" s="4"/>
      <c r="AG190" s="5">
        <v>1000000</v>
      </c>
      <c r="AH190" s="5">
        <v>1000000</v>
      </c>
      <c r="AI190" s="5">
        <v>0</v>
      </c>
      <c r="AJ190" s="5">
        <v>1000000</v>
      </c>
      <c r="AK190" s="5">
        <v>0</v>
      </c>
      <c r="AL190" s="5">
        <v>1000000</v>
      </c>
      <c r="AM190" s="5"/>
    </row>
    <row r="191" spans="1:39" ht="51" x14ac:dyDescent="0.25">
      <c r="A191" s="4" t="s">
        <v>21</v>
      </c>
      <c r="B191" s="4" t="str">
        <f>VLOOKUP(A191,'Ledger &amp; Group'!A:C,2,0)</f>
        <v>Cavinkare</v>
      </c>
      <c r="C191" s="4">
        <f>VLOOKUP(A191,'Ledger &amp; Group'!A:C,3,0)</f>
        <v>60</v>
      </c>
      <c r="D191" s="45">
        <f t="shared" si="4"/>
        <v>144</v>
      </c>
      <c r="E191" s="4" t="str">
        <f ca="1">IF(D191&lt;=TODAY(),IF(ISNA(VLOOKUP(V191,'Unreconciled AR'!C:C,1,0)),"Due","Unreconciled AR"),"Outstanding")</f>
        <v>Due</v>
      </c>
      <c r="F191" s="4">
        <f t="shared" ca="1" si="5"/>
        <v>44615</v>
      </c>
      <c r="G191" s="4" t="e">
        <f ca="1">LOOKUP(F191,{-10000,-60,-30,-15,0,1,10000},{"&gt;60","31-60","16-30","01-15","Due on Today","OS"})</f>
        <v>#N/A</v>
      </c>
      <c r="H191" s="4" t="s">
        <v>103</v>
      </c>
      <c r="I191" s="4" t="s">
        <v>103</v>
      </c>
      <c r="J191" s="4" t="s">
        <v>104</v>
      </c>
      <c r="K191" s="4" t="s">
        <v>111</v>
      </c>
      <c r="L191" s="4" t="s">
        <v>112</v>
      </c>
      <c r="M191" s="4" t="s">
        <v>113</v>
      </c>
      <c r="N191" s="4" t="s">
        <v>103</v>
      </c>
      <c r="O191" s="4" t="s">
        <v>432</v>
      </c>
      <c r="P191" s="5"/>
      <c r="Q191" s="5"/>
      <c r="R191" s="4" t="s">
        <v>433</v>
      </c>
      <c r="S191" s="5"/>
      <c r="T191" s="4" t="s">
        <v>107</v>
      </c>
      <c r="U191" s="45">
        <v>84</v>
      </c>
      <c r="V191" s="4" t="s">
        <v>500</v>
      </c>
      <c r="W191" s="45">
        <v>84</v>
      </c>
      <c r="X191" s="4" t="s">
        <v>8</v>
      </c>
      <c r="Y191" s="5">
        <v>1</v>
      </c>
      <c r="Z191" s="4" t="s">
        <v>108</v>
      </c>
      <c r="AA191" s="5"/>
      <c r="AB191" s="5">
        <v>53</v>
      </c>
      <c r="AC191" s="4" t="s">
        <v>109</v>
      </c>
      <c r="AD191" s="45">
        <v>84</v>
      </c>
      <c r="AE191" s="4" t="s">
        <v>500</v>
      </c>
      <c r="AF191" s="4"/>
      <c r="AG191" s="5">
        <v>1000000</v>
      </c>
      <c r="AH191" s="5">
        <v>1000000</v>
      </c>
      <c r="AI191" s="5">
        <v>0</v>
      </c>
      <c r="AJ191" s="5">
        <v>1000000</v>
      </c>
      <c r="AK191" s="5">
        <v>0</v>
      </c>
      <c r="AL191" s="5">
        <v>1000000</v>
      </c>
      <c r="AM191" s="5"/>
    </row>
    <row r="192" spans="1:39" ht="51" x14ac:dyDescent="0.25">
      <c r="A192" s="4" t="s">
        <v>21</v>
      </c>
      <c r="B192" s="4" t="str">
        <f>VLOOKUP(A192,'Ledger &amp; Group'!A:C,2,0)</f>
        <v>Cavinkare</v>
      </c>
      <c r="C192" s="4">
        <f>VLOOKUP(A192,'Ledger &amp; Group'!A:C,3,0)</f>
        <v>60</v>
      </c>
      <c r="D192" s="45">
        <f t="shared" si="4"/>
        <v>146</v>
      </c>
      <c r="E192" s="4" t="str">
        <f ca="1">IF(D192&lt;=TODAY(),IF(ISNA(VLOOKUP(V192,'Unreconciled AR'!C:C,1,0)),"Due","Unreconciled AR"),"Outstanding")</f>
        <v>Due</v>
      </c>
      <c r="F192" s="4">
        <f t="shared" ca="1" si="5"/>
        <v>44613</v>
      </c>
      <c r="G192" s="4" t="e">
        <f ca="1">LOOKUP(F192,{-10000,-60,-30,-15,0,1,10000},{"&gt;60","31-60","16-30","01-15","Due on Today","OS"})</f>
        <v>#N/A</v>
      </c>
      <c r="H192" s="4" t="s">
        <v>103</v>
      </c>
      <c r="I192" s="4" t="s">
        <v>103</v>
      </c>
      <c r="J192" s="4" t="s">
        <v>104</v>
      </c>
      <c r="K192" s="4" t="s">
        <v>111</v>
      </c>
      <c r="L192" s="4" t="s">
        <v>112</v>
      </c>
      <c r="M192" s="4" t="s">
        <v>113</v>
      </c>
      <c r="N192" s="4" t="s">
        <v>103</v>
      </c>
      <c r="O192" s="4" t="s">
        <v>432</v>
      </c>
      <c r="P192" s="5"/>
      <c r="Q192" s="5"/>
      <c r="R192" s="4" t="s">
        <v>433</v>
      </c>
      <c r="S192" s="5"/>
      <c r="T192" s="4" t="s">
        <v>107</v>
      </c>
      <c r="U192" s="45">
        <v>86</v>
      </c>
      <c r="V192" s="4" t="s">
        <v>501</v>
      </c>
      <c r="W192" s="45">
        <v>86</v>
      </c>
      <c r="X192" s="4" t="s">
        <v>8</v>
      </c>
      <c r="Y192" s="5">
        <v>1</v>
      </c>
      <c r="Z192" s="4" t="s">
        <v>108</v>
      </c>
      <c r="AA192" s="5"/>
      <c r="AB192" s="5">
        <v>51</v>
      </c>
      <c r="AC192" s="4" t="s">
        <v>109</v>
      </c>
      <c r="AD192" s="45">
        <v>86</v>
      </c>
      <c r="AE192" s="4" t="s">
        <v>501</v>
      </c>
      <c r="AF192" s="4"/>
      <c r="AG192" s="5">
        <v>1000000</v>
      </c>
      <c r="AH192" s="5">
        <v>1000000</v>
      </c>
      <c r="AI192" s="5">
        <v>0</v>
      </c>
      <c r="AJ192" s="5">
        <v>1000000</v>
      </c>
      <c r="AK192" s="5">
        <v>0</v>
      </c>
      <c r="AL192" s="5">
        <v>1000000</v>
      </c>
      <c r="AM192" s="5"/>
    </row>
    <row r="193" spans="1:39" ht="51" x14ac:dyDescent="0.25">
      <c r="A193" s="4" t="s">
        <v>21</v>
      </c>
      <c r="B193" s="4" t="str">
        <f>VLOOKUP(A193,'Ledger &amp; Group'!A:C,2,0)</f>
        <v>Cavinkare</v>
      </c>
      <c r="C193" s="4">
        <f>VLOOKUP(A193,'Ledger &amp; Group'!A:C,3,0)</f>
        <v>60</v>
      </c>
      <c r="D193" s="45">
        <f t="shared" si="4"/>
        <v>153</v>
      </c>
      <c r="E193" s="4" t="str">
        <f ca="1">IF(D193&lt;=TODAY(),IF(ISNA(VLOOKUP(V193,'Unreconciled AR'!C:C,1,0)),"Due","Unreconciled AR"),"Outstanding")</f>
        <v>Due</v>
      </c>
      <c r="F193" s="4">
        <f t="shared" ca="1" si="5"/>
        <v>44606</v>
      </c>
      <c r="G193" s="4" t="e">
        <f ca="1">LOOKUP(F193,{-10000,-60,-30,-15,0,1,10000},{"&gt;60","31-60","16-30","01-15","Due on Today","OS"})</f>
        <v>#N/A</v>
      </c>
      <c r="H193" s="4" t="s">
        <v>103</v>
      </c>
      <c r="I193" s="4" t="s">
        <v>103</v>
      </c>
      <c r="J193" s="4" t="s">
        <v>104</v>
      </c>
      <c r="K193" s="4" t="s">
        <v>111</v>
      </c>
      <c r="L193" s="4" t="s">
        <v>112</v>
      </c>
      <c r="M193" s="4" t="s">
        <v>113</v>
      </c>
      <c r="N193" s="4" t="s">
        <v>103</v>
      </c>
      <c r="O193" s="4" t="s">
        <v>432</v>
      </c>
      <c r="P193" s="5"/>
      <c r="Q193" s="5"/>
      <c r="R193" s="4" t="s">
        <v>433</v>
      </c>
      <c r="S193" s="5"/>
      <c r="T193" s="4" t="s">
        <v>107</v>
      </c>
      <c r="U193" s="45">
        <v>93</v>
      </c>
      <c r="V193" s="4" t="s">
        <v>204</v>
      </c>
      <c r="W193" s="45">
        <v>93</v>
      </c>
      <c r="X193" s="4" t="s">
        <v>8</v>
      </c>
      <c r="Y193" s="5">
        <v>1</v>
      </c>
      <c r="Z193" s="4" t="s">
        <v>108</v>
      </c>
      <c r="AA193" s="5"/>
      <c r="AB193" s="5">
        <v>44</v>
      </c>
      <c r="AC193" s="4" t="s">
        <v>109</v>
      </c>
      <c r="AD193" s="45">
        <v>93</v>
      </c>
      <c r="AE193" s="4" t="s">
        <v>204</v>
      </c>
      <c r="AF193" s="5"/>
      <c r="AG193" s="5">
        <v>1000000</v>
      </c>
      <c r="AH193" s="5">
        <v>1000000</v>
      </c>
      <c r="AI193" s="5">
        <v>0</v>
      </c>
      <c r="AJ193" s="5">
        <v>1000000</v>
      </c>
      <c r="AK193" s="5">
        <v>0</v>
      </c>
      <c r="AL193" s="5">
        <v>1000000</v>
      </c>
      <c r="AM193" s="5"/>
    </row>
    <row r="194" spans="1:39" ht="51" x14ac:dyDescent="0.25">
      <c r="A194" s="4" t="s">
        <v>21</v>
      </c>
      <c r="B194" s="4" t="str">
        <f>VLOOKUP(A194,'Ledger &amp; Group'!A:C,2,0)</f>
        <v>Cavinkare</v>
      </c>
      <c r="C194" s="4">
        <f>VLOOKUP(A194,'Ledger &amp; Group'!A:C,3,0)</f>
        <v>60</v>
      </c>
      <c r="D194" s="45">
        <f t="shared" ref="D194:D257" si="6">+W194+C194</f>
        <v>155</v>
      </c>
      <c r="E194" s="4" t="str">
        <f ca="1">IF(D194&lt;=TODAY(),IF(ISNA(VLOOKUP(V194,'Unreconciled AR'!C:C,1,0)),"Due","Unreconciled AR"),"Outstanding")</f>
        <v>Due</v>
      </c>
      <c r="F194" s="4">
        <f t="shared" ref="F194:F257" ca="1" si="7">TODAY()-W194</f>
        <v>44604</v>
      </c>
      <c r="G194" s="4" t="e">
        <f ca="1">LOOKUP(F194,{-10000,-60,-30,-15,0,1,10000},{"&gt;60","31-60","16-30","01-15","Due on Today","OS"})</f>
        <v>#N/A</v>
      </c>
      <c r="H194" s="4" t="s">
        <v>103</v>
      </c>
      <c r="I194" s="4" t="s">
        <v>103</v>
      </c>
      <c r="J194" s="4" t="s">
        <v>104</v>
      </c>
      <c r="K194" s="4" t="s">
        <v>111</v>
      </c>
      <c r="L194" s="4" t="s">
        <v>112</v>
      </c>
      <c r="M194" s="4" t="s">
        <v>113</v>
      </c>
      <c r="N194" s="4" t="s">
        <v>103</v>
      </c>
      <c r="O194" s="4" t="s">
        <v>432</v>
      </c>
      <c r="P194" s="5"/>
      <c r="Q194" s="5"/>
      <c r="R194" s="4" t="s">
        <v>433</v>
      </c>
      <c r="S194" s="5"/>
      <c r="T194" s="4" t="s">
        <v>107</v>
      </c>
      <c r="U194" s="45">
        <v>95</v>
      </c>
      <c r="V194" s="4" t="s">
        <v>205</v>
      </c>
      <c r="W194" s="45">
        <v>95</v>
      </c>
      <c r="X194" s="4" t="s">
        <v>8</v>
      </c>
      <c r="Y194" s="5">
        <v>1</v>
      </c>
      <c r="Z194" s="4" t="s">
        <v>108</v>
      </c>
      <c r="AA194" s="5"/>
      <c r="AB194" s="5">
        <v>42</v>
      </c>
      <c r="AC194" s="4" t="s">
        <v>109</v>
      </c>
      <c r="AD194" s="45">
        <v>95</v>
      </c>
      <c r="AE194" s="4" t="s">
        <v>205</v>
      </c>
      <c r="AF194" s="5"/>
      <c r="AG194" s="5">
        <v>1000000</v>
      </c>
      <c r="AH194" s="5">
        <v>1000000</v>
      </c>
      <c r="AI194" s="5">
        <v>0</v>
      </c>
      <c r="AJ194" s="5">
        <v>1000000</v>
      </c>
      <c r="AK194" s="5">
        <v>0</v>
      </c>
      <c r="AL194" s="5">
        <v>1000000</v>
      </c>
      <c r="AM194" s="5"/>
    </row>
    <row r="195" spans="1:39" ht="51" x14ac:dyDescent="0.25">
      <c r="A195" s="4" t="s">
        <v>21</v>
      </c>
      <c r="B195" s="4" t="str">
        <f>VLOOKUP(A195,'Ledger &amp; Group'!A:C,2,0)</f>
        <v>Cavinkare</v>
      </c>
      <c r="C195" s="4">
        <f>VLOOKUP(A195,'Ledger &amp; Group'!A:C,3,0)</f>
        <v>60</v>
      </c>
      <c r="D195" s="45">
        <f t="shared" si="6"/>
        <v>157</v>
      </c>
      <c r="E195" s="4" t="str">
        <f ca="1">IF(D195&lt;=TODAY(),IF(ISNA(VLOOKUP(V195,'Unreconciled AR'!C:C,1,0)),"Due","Unreconciled AR"),"Outstanding")</f>
        <v>Due</v>
      </c>
      <c r="F195" s="4">
        <f t="shared" ca="1" si="7"/>
        <v>44602</v>
      </c>
      <c r="G195" s="4" t="e">
        <f ca="1">LOOKUP(F195,{-10000,-60,-30,-15,0,1,10000},{"&gt;60","31-60","16-30","01-15","Due on Today","OS"})</f>
        <v>#N/A</v>
      </c>
      <c r="H195" s="4" t="s">
        <v>103</v>
      </c>
      <c r="I195" s="4" t="s">
        <v>103</v>
      </c>
      <c r="J195" s="4" t="s">
        <v>104</v>
      </c>
      <c r="K195" s="4" t="s">
        <v>111</v>
      </c>
      <c r="L195" s="4" t="s">
        <v>112</v>
      </c>
      <c r="M195" s="4" t="s">
        <v>113</v>
      </c>
      <c r="N195" s="4" t="s">
        <v>103</v>
      </c>
      <c r="O195" s="4" t="s">
        <v>432</v>
      </c>
      <c r="P195" s="5"/>
      <c r="Q195" s="5"/>
      <c r="R195" s="4" t="s">
        <v>433</v>
      </c>
      <c r="S195" s="5"/>
      <c r="T195" s="4" t="s">
        <v>107</v>
      </c>
      <c r="U195" s="45">
        <v>97</v>
      </c>
      <c r="V195" s="4" t="s">
        <v>217</v>
      </c>
      <c r="W195" s="45">
        <v>97</v>
      </c>
      <c r="X195" s="4" t="s">
        <v>8</v>
      </c>
      <c r="Y195" s="5">
        <v>1</v>
      </c>
      <c r="Z195" s="4" t="s">
        <v>108</v>
      </c>
      <c r="AA195" s="5"/>
      <c r="AB195" s="5">
        <v>40</v>
      </c>
      <c r="AC195" s="4" t="s">
        <v>109</v>
      </c>
      <c r="AD195" s="45">
        <v>97</v>
      </c>
      <c r="AE195" s="4" t="s">
        <v>217</v>
      </c>
      <c r="AF195" s="4"/>
      <c r="AG195" s="5">
        <v>1000000</v>
      </c>
      <c r="AH195" s="5">
        <v>1000000</v>
      </c>
      <c r="AI195" s="5">
        <v>0</v>
      </c>
      <c r="AJ195" s="5">
        <v>1000000</v>
      </c>
      <c r="AK195" s="5">
        <v>0</v>
      </c>
      <c r="AL195" s="5">
        <v>1000000</v>
      </c>
      <c r="AM195" s="5"/>
    </row>
    <row r="196" spans="1:39" ht="51" x14ac:dyDescent="0.25">
      <c r="A196" s="4" t="s">
        <v>21</v>
      </c>
      <c r="B196" s="4" t="str">
        <f>VLOOKUP(A196,'Ledger &amp; Group'!A:C,2,0)</f>
        <v>Cavinkare</v>
      </c>
      <c r="C196" s="4">
        <f>VLOOKUP(A196,'Ledger &amp; Group'!A:C,3,0)</f>
        <v>60</v>
      </c>
      <c r="D196" s="45">
        <f t="shared" si="6"/>
        <v>160</v>
      </c>
      <c r="E196" s="4" t="str">
        <f ca="1">IF(D196&lt;=TODAY(),IF(ISNA(VLOOKUP(V196,'Unreconciled AR'!C:C,1,0)),"Due","Unreconciled AR"),"Outstanding")</f>
        <v>Due</v>
      </c>
      <c r="F196" s="4">
        <f t="shared" ca="1" si="7"/>
        <v>44599</v>
      </c>
      <c r="G196" s="4" t="e">
        <f ca="1">LOOKUP(F196,{-10000,-60,-30,-15,0,1,10000},{"&gt;60","31-60","16-30","01-15","Due on Today","OS"})</f>
        <v>#N/A</v>
      </c>
      <c r="H196" s="4" t="s">
        <v>103</v>
      </c>
      <c r="I196" s="4" t="s">
        <v>103</v>
      </c>
      <c r="J196" s="4" t="s">
        <v>104</v>
      </c>
      <c r="K196" s="4" t="s">
        <v>111</v>
      </c>
      <c r="L196" s="4" t="s">
        <v>112</v>
      </c>
      <c r="M196" s="4" t="s">
        <v>113</v>
      </c>
      <c r="N196" s="4" t="s">
        <v>103</v>
      </c>
      <c r="O196" s="4" t="s">
        <v>432</v>
      </c>
      <c r="P196" s="5"/>
      <c r="Q196" s="5"/>
      <c r="R196" s="4" t="s">
        <v>433</v>
      </c>
      <c r="S196" s="5"/>
      <c r="T196" s="4" t="s">
        <v>107</v>
      </c>
      <c r="U196" s="45">
        <v>100</v>
      </c>
      <c r="V196" s="4" t="s">
        <v>225</v>
      </c>
      <c r="W196" s="45">
        <v>100</v>
      </c>
      <c r="X196" s="4" t="s">
        <v>8</v>
      </c>
      <c r="Y196" s="5">
        <v>1</v>
      </c>
      <c r="Z196" s="4" t="s">
        <v>108</v>
      </c>
      <c r="AA196" s="5"/>
      <c r="AB196" s="5">
        <v>37</v>
      </c>
      <c r="AC196" s="4" t="s">
        <v>109</v>
      </c>
      <c r="AD196" s="45">
        <v>100</v>
      </c>
      <c r="AE196" s="4" t="s">
        <v>225</v>
      </c>
      <c r="AF196" s="4"/>
      <c r="AG196" s="5">
        <v>1000000</v>
      </c>
      <c r="AH196" s="5">
        <v>1000000</v>
      </c>
      <c r="AI196" s="5">
        <v>0</v>
      </c>
      <c r="AJ196" s="5">
        <v>1000000</v>
      </c>
      <c r="AK196" s="5">
        <v>0</v>
      </c>
      <c r="AL196" s="5">
        <v>1000000</v>
      </c>
      <c r="AM196" s="5"/>
    </row>
    <row r="197" spans="1:39" ht="51" x14ac:dyDescent="0.25">
      <c r="A197" s="4" t="s">
        <v>21</v>
      </c>
      <c r="B197" s="4" t="str">
        <f>VLOOKUP(A197,'Ledger &amp; Group'!A:C,2,0)</f>
        <v>Cavinkare</v>
      </c>
      <c r="C197" s="4">
        <f>VLOOKUP(A197,'Ledger &amp; Group'!A:C,3,0)</f>
        <v>60</v>
      </c>
      <c r="D197" s="45">
        <f t="shared" si="6"/>
        <v>162</v>
      </c>
      <c r="E197" s="4" t="str">
        <f ca="1">IF(D197&lt;=TODAY(),IF(ISNA(VLOOKUP(V197,'Unreconciled AR'!C:C,1,0)),"Due","Unreconciled AR"),"Outstanding")</f>
        <v>Due</v>
      </c>
      <c r="F197" s="4">
        <f t="shared" ca="1" si="7"/>
        <v>44597</v>
      </c>
      <c r="G197" s="4" t="e">
        <f ca="1">LOOKUP(F197,{-10000,-60,-30,-15,0,1,10000},{"&gt;60","31-60","16-30","01-15","Due on Today","OS"})</f>
        <v>#N/A</v>
      </c>
      <c r="H197" s="4" t="s">
        <v>103</v>
      </c>
      <c r="I197" s="4" t="s">
        <v>103</v>
      </c>
      <c r="J197" s="4" t="s">
        <v>104</v>
      </c>
      <c r="K197" s="4" t="s">
        <v>111</v>
      </c>
      <c r="L197" s="4" t="s">
        <v>112</v>
      </c>
      <c r="M197" s="4" t="s">
        <v>113</v>
      </c>
      <c r="N197" s="4" t="s">
        <v>103</v>
      </c>
      <c r="O197" s="4" t="s">
        <v>432</v>
      </c>
      <c r="P197" s="5"/>
      <c r="Q197" s="5"/>
      <c r="R197" s="4" t="s">
        <v>433</v>
      </c>
      <c r="S197" s="5"/>
      <c r="T197" s="4" t="s">
        <v>107</v>
      </c>
      <c r="U197" s="45">
        <v>102</v>
      </c>
      <c r="V197" s="4" t="s">
        <v>232</v>
      </c>
      <c r="W197" s="45">
        <v>102</v>
      </c>
      <c r="X197" s="4" t="s">
        <v>8</v>
      </c>
      <c r="Y197" s="5">
        <v>1</v>
      </c>
      <c r="Z197" s="4" t="s">
        <v>108</v>
      </c>
      <c r="AA197" s="5"/>
      <c r="AB197" s="5">
        <v>35</v>
      </c>
      <c r="AC197" s="4" t="s">
        <v>109</v>
      </c>
      <c r="AD197" s="45">
        <v>102</v>
      </c>
      <c r="AE197" s="4" t="s">
        <v>232</v>
      </c>
      <c r="AF197" s="4"/>
      <c r="AG197" s="5">
        <v>1000000</v>
      </c>
      <c r="AH197" s="5">
        <v>1000000</v>
      </c>
      <c r="AI197" s="5">
        <v>0</v>
      </c>
      <c r="AJ197" s="5">
        <v>1000000</v>
      </c>
      <c r="AK197" s="5">
        <v>0</v>
      </c>
      <c r="AL197" s="5">
        <v>1000000</v>
      </c>
      <c r="AM197" s="5"/>
    </row>
    <row r="198" spans="1:39" ht="51" x14ac:dyDescent="0.25">
      <c r="A198" s="4" t="s">
        <v>21</v>
      </c>
      <c r="B198" s="4" t="str">
        <f>VLOOKUP(A198,'Ledger &amp; Group'!A:C,2,0)</f>
        <v>Cavinkare</v>
      </c>
      <c r="C198" s="4">
        <f>VLOOKUP(A198,'Ledger &amp; Group'!A:C,3,0)</f>
        <v>60</v>
      </c>
      <c r="D198" s="45">
        <f t="shared" si="6"/>
        <v>165</v>
      </c>
      <c r="E198" s="4" t="str">
        <f ca="1">IF(D198&lt;=TODAY(),IF(ISNA(VLOOKUP(V198,'Unreconciled AR'!C:C,1,0)),"Due","Unreconciled AR"),"Outstanding")</f>
        <v>Due</v>
      </c>
      <c r="F198" s="4">
        <f t="shared" ca="1" si="7"/>
        <v>44594</v>
      </c>
      <c r="G198" s="4" t="e">
        <f ca="1">LOOKUP(F198,{-10000,-60,-30,-15,0,1,10000},{"&gt;60","31-60","16-30","01-15","Due on Today","OS"})</f>
        <v>#N/A</v>
      </c>
      <c r="H198" s="4" t="s">
        <v>103</v>
      </c>
      <c r="I198" s="4" t="s">
        <v>103</v>
      </c>
      <c r="J198" s="4" t="s">
        <v>104</v>
      </c>
      <c r="K198" s="4" t="s">
        <v>111</v>
      </c>
      <c r="L198" s="4" t="s">
        <v>112</v>
      </c>
      <c r="M198" s="4" t="s">
        <v>113</v>
      </c>
      <c r="N198" s="4" t="s">
        <v>103</v>
      </c>
      <c r="O198" s="4" t="s">
        <v>432</v>
      </c>
      <c r="P198" s="5"/>
      <c r="Q198" s="5"/>
      <c r="R198" s="4" t="s">
        <v>433</v>
      </c>
      <c r="S198" s="5"/>
      <c r="T198" s="4" t="s">
        <v>107</v>
      </c>
      <c r="U198" s="45">
        <v>105</v>
      </c>
      <c r="V198" s="4" t="s">
        <v>245</v>
      </c>
      <c r="W198" s="45">
        <v>105</v>
      </c>
      <c r="X198" s="4" t="s">
        <v>8</v>
      </c>
      <c r="Y198" s="5">
        <v>1</v>
      </c>
      <c r="Z198" s="4" t="s">
        <v>108</v>
      </c>
      <c r="AA198" s="5"/>
      <c r="AB198" s="5">
        <v>32</v>
      </c>
      <c r="AC198" s="4" t="s">
        <v>109</v>
      </c>
      <c r="AD198" s="45">
        <v>105</v>
      </c>
      <c r="AE198" s="4" t="s">
        <v>245</v>
      </c>
      <c r="AF198" s="4"/>
      <c r="AG198" s="5">
        <v>1000000</v>
      </c>
      <c r="AH198" s="5">
        <v>1000000</v>
      </c>
      <c r="AI198" s="5">
        <v>0</v>
      </c>
      <c r="AJ198" s="5">
        <v>1000000</v>
      </c>
      <c r="AK198" s="5">
        <v>0</v>
      </c>
      <c r="AL198" s="5">
        <v>1000000</v>
      </c>
      <c r="AM198" s="5"/>
    </row>
    <row r="199" spans="1:39" ht="51" x14ac:dyDescent="0.25">
      <c r="A199" s="4" t="s">
        <v>21</v>
      </c>
      <c r="B199" s="4" t="str">
        <f>VLOOKUP(A199,'Ledger &amp; Group'!A:C,2,0)</f>
        <v>Cavinkare</v>
      </c>
      <c r="C199" s="4">
        <f>VLOOKUP(A199,'Ledger &amp; Group'!A:C,3,0)</f>
        <v>60</v>
      </c>
      <c r="D199" s="45">
        <f t="shared" si="6"/>
        <v>169</v>
      </c>
      <c r="E199" s="4" t="str">
        <f ca="1">IF(D199&lt;=TODAY(),IF(ISNA(VLOOKUP(V199,'Unreconciled AR'!C:C,1,0)),"Due","Unreconciled AR"),"Outstanding")</f>
        <v>Due</v>
      </c>
      <c r="F199" s="4">
        <f t="shared" ca="1" si="7"/>
        <v>44590</v>
      </c>
      <c r="G199" s="4" t="e">
        <f ca="1">LOOKUP(F199,{-10000,-60,-30,-15,0,1,10000},{"&gt;60","31-60","16-30","01-15","Due on Today","OS"})</f>
        <v>#N/A</v>
      </c>
      <c r="H199" s="4" t="s">
        <v>103</v>
      </c>
      <c r="I199" s="4" t="s">
        <v>103</v>
      </c>
      <c r="J199" s="4" t="s">
        <v>104</v>
      </c>
      <c r="K199" s="4" t="s">
        <v>111</v>
      </c>
      <c r="L199" s="4" t="s">
        <v>112</v>
      </c>
      <c r="M199" s="4" t="s">
        <v>113</v>
      </c>
      <c r="N199" s="4" t="s">
        <v>103</v>
      </c>
      <c r="O199" s="4" t="s">
        <v>432</v>
      </c>
      <c r="P199" s="5"/>
      <c r="Q199" s="5"/>
      <c r="R199" s="4" t="s">
        <v>433</v>
      </c>
      <c r="S199" s="5"/>
      <c r="T199" s="4" t="s">
        <v>107</v>
      </c>
      <c r="U199" s="45">
        <v>109</v>
      </c>
      <c r="V199" s="4" t="s">
        <v>258</v>
      </c>
      <c r="W199" s="45">
        <v>109</v>
      </c>
      <c r="X199" s="4" t="s">
        <v>8</v>
      </c>
      <c r="Y199" s="5">
        <v>1</v>
      </c>
      <c r="Z199" s="4" t="s">
        <v>108</v>
      </c>
      <c r="AA199" s="5"/>
      <c r="AB199" s="5">
        <v>28</v>
      </c>
      <c r="AC199" s="4" t="s">
        <v>109</v>
      </c>
      <c r="AD199" s="45">
        <v>109</v>
      </c>
      <c r="AE199" s="4" t="s">
        <v>258</v>
      </c>
      <c r="AF199" s="4"/>
      <c r="AG199" s="5">
        <v>1000000</v>
      </c>
      <c r="AH199" s="5">
        <v>1000000</v>
      </c>
      <c r="AI199" s="5">
        <v>0</v>
      </c>
      <c r="AJ199" s="5">
        <v>1000000</v>
      </c>
      <c r="AK199" s="5">
        <v>0</v>
      </c>
      <c r="AL199" s="5">
        <v>1000000</v>
      </c>
      <c r="AM199" s="5"/>
    </row>
    <row r="200" spans="1:39" ht="51" x14ac:dyDescent="0.25">
      <c r="A200" s="4" t="s">
        <v>21</v>
      </c>
      <c r="B200" s="4" t="str">
        <f>VLOOKUP(A200,'Ledger &amp; Group'!A:C,2,0)</f>
        <v>Cavinkare</v>
      </c>
      <c r="C200" s="4">
        <f>VLOOKUP(A200,'Ledger &amp; Group'!A:C,3,0)</f>
        <v>60</v>
      </c>
      <c r="D200" s="45">
        <f t="shared" si="6"/>
        <v>171</v>
      </c>
      <c r="E200" s="4" t="str">
        <f ca="1">IF(D200&lt;=TODAY(),IF(ISNA(VLOOKUP(V200,'Unreconciled AR'!C:C,1,0)),"Due","Unreconciled AR"),"Outstanding")</f>
        <v>Due</v>
      </c>
      <c r="F200" s="4">
        <f t="shared" ca="1" si="7"/>
        <v>44588</v>
      </c>
      <c r="G200" s="4" t="e">
        <f ca="1">LOOKUP(F200,{-10000,-60,-30,-15,0,1,10000},{"&gt;60","31-60","16-30","01-15","Due on Today","OS"})</f>
        <v>#N/A</v>
      </c>
      <c r="H200" s="4" t="s">
        <v>103</v>
      </c>
      <c r="I200" s="4" t="s">
        <v>103</v>
      </c>
      <c r="J200" s="4" t="s">
        <v>104</v>
      </c>
      <c r="K200" s="4" t="s">
        <v>111</v>
      </c>
      <c r="L200" s="4" t="s">
        <v>112</v>
      </c>
      <c r="M200" s="4" t="s">
        <v>113</v>
      </c>
      <c r="N200" s="4" t="s">
        <v>103</v>
      </c>
      <c r="O200" s="4" t="s">
        <v>432</v>
      </c>
      <c r="P200" s="5"/>
      <c r="Q200" s="5"/>
      <c r="R200" s="4" t="s">
        <v>433</v>
      </c>
      <c r="S200" s="5"/>
      <c r="T200" s="4" t="s">
        <v>107</v>
      </c>
      <c r="U200" s="45">
        <v>111</v>
      </c>
      <c r="V200" s="4" t="s">
        <v>275</v>
      </c>
      <c r="W200" s="45">
        <v>111</v>
      </c>
      <c r="X200" s="4" t="s">
        <v>8</v>
      </c>
      <c r="Y200" s="5">
        <v>1</v>
      </c>
      <c r="Z200" s="4" t="s">
        <v>108</v>
      </c>
      <c r="AA200" s="5"/>
      <c r="AB200" s="5">
        <v>26</v>
      </c>
      <c r="AC200" s="4" t="s">
        <v>109</v>
      </c>
      <c r="AD200" s="45">
        <v>111</v>
      </c>
      <c r="AE200" s="4" t="s">
        <v>275</v>
      </c>
      <c r="AF200" s="4"/>
      <c r="AG200" s="5">
        <v>1000000</v>
      </c>
      <c r="AH200" s="5">
        <v>1000000</v>
      </c>
      <c r="AI200" s="5">
        <v>0</v>
      </c>
      <c r="AJ200" s="5">
        <v>1000000</v>
      </c>
      <c r="AK200" s="5">
        <v>0</v>
      </c>
      <c r="AL200" s="5">
        <v>1000000</v>
      </c>
      <c r="AM200" s="5"/>
    </row>
    <row r="201" spans="1:39" ht="51" x14ac:dyDescent="0.25">
      <c r="A201" s="4" t="s">
        <v>21</v>
      </c>
      <c r="B201" s="4" t="str">
        <f>VLOOKUP(A201,'Ledger &amp; Group'!A:C,2,0)</f>
        <v>Cavinkare</v>
      </c>
      <c r="C201" s="4">
        <f>VLOOKUP(A201,'Ledger &amp; Group'!A:C,3,0)</f>
        <v>60</v>
      </c>
      <c r="D201" s="45">
        <f t="shared" si="6"/>
        <v>173</v>
      </c>
      <c r="E201" s="4" t="str">
        <f ca="1">IF(D201&lt;=TODAY(),IF(ISNA(VLOOKUP(V201,'Unreconciled AR'!C:C,1,0)),"Due","Unreconciled AR"),"Outstanding")</f>
        <v>Due</v>
      </c>
      <c r="F201" s="4">
        <f t="shared" ca="1" si="7"/>
        <v>44586</v>
      </c>
      <c r="G201" s="4" t="e">
        <f ca="1">LOOKUP(F201,{-10000,-60,-30,-15,0,1,10000},{"&gt;60","31-60","16-30","01-15","Due on Today","OS"})</f>
        <v>#N/A</v>
      </c>
      <c r="H201" s="4" t="s">
        <v>103</v>
      </c>
      <c r="I201" s="4" t="s">
        <v>103</v>
      </c>
      <c r="J201" s="4" t="s">
        <v>104</v>
      </c>
      <c r="K201" s="4" t="s">
        <v>111</v>
      </c>
      <c r="L201" s="4" t="s">
        <v>112</v>
      </c>
      <c r="M201" s="4" t="s">
        <v>113</v>
      </c>
      <c r="N201" s="4" t="s">
        <v>103</v>
      </c>
      <c r="O201" s="4" t="s">
        <v>432</v>
      </c>
      <c r="P201" s="5"/>
      <c r="Q201" s="5"/>
      <c r="R201" s="4" t="s">
        <v>433</v>
      </c>
      <c r="S201" s="5"/>
      <c r="T201" s="4" t="s">
        <v>107</v>
      </c>
      <c r="U201" s="45">
        <v>113</v>
      </c>
      <c r="V201" s="4" t="s">
        <v>281</v>
      </c>
      <c r="W201" s="45">
        <v>113</v>
      </c>
      <c r="X201" s="4" t="s">
        <v>8</v>
      </c>
      <c r="Y201" s="5">
        <v>1</v>
      </c>
      <c r="Z201" s="4" t="s">
        <v>108</v>
      </c>
      <c r="AA201" s="5"/>
      <c r="AB201" s="5">
        <v>24</v>
      </c>
      <c r="AC201" s="4" t="s">
        <v>109</v>
      </c>
      <c r="AD201" s="45">
        <v>113</v>
      </c>
      <c r="AE201" s="4" t="s">
        <v>281</v>
      </c>
      <c r="AF201" s="4"/>
      <c r="AG201" s="5">
        <v>1000000</v>
      </c>
      <c r="AH201" s="5">
        <v>1000000</v>
      </c>
      <c r="AI201" s="5">
        <v>0</v>
      </c>
      <c r="AJ201" s="5">
        <v>1000000</v>
      </c>
      <c r="AK201" s="5">
        <v>0</v>
      </c>
      <c r="AL201" s="5">
        <v>1000000</v>
      </c>
      <c r="AM201" s="5"/>
    </row>
    <row r="202" spans="1:39" ht="51" x14ac:dyDescent="0.25">
      <c r="A202" s="4" t="s">
        <v>21</v>
      </c>
      <c r="B202" s="4" t="str">
        <f>VLOOKUP(A202,'Ledger &amp; Group'!A:C,2,0)</f>
        <v>Cavinkare</v>
      </c>
      <c r="C202" s="4">
        <f>VLOOKUP(A202,'Ledger &amp; Group'!A:C,3,0)</f>
        <v>60</v>
      </c>
      <c r="D202" s="45">
        <f t="shared" si="6"/>
        <v>181</v>
      </c>
      <c r="E202" s="4" t="str">
        <f ca="1">IF(D202&lt;=TODAY(),IF(ISNA(VLOOKUP(V202,'Unreconciled AR'!C:C,1,0)),"Due","Unreconciled AR"),"Outstanding")</f>
        <v>Due</v>
      </c>
      <c r="F202" s="4">
        <f t="shared" ca="1" si="7"/>
        <v>44578</v>
      </c>
      <c r="G202" s="4" t="e">
        <f ca="1">LOOKUP(F202,{-10000,-60,-30,-15,0,1,10000},{"&gt;60","31-60","16-30","01-15","Due on Today","OS"})</f>
        <v>#N/A</v>
      </c>
      <c r="H202" s="4" t="s">
        <v>103</v>
      </c>
      <c r="I202" s="4" t="s">
        <v>103</v>
      </c>
      <c r="J202" s="4" t="s">
        <v>104</v>
      </c>
      <c r="K202" s="4" t="s">
        <v>111</v>
      </c>
      <c r="L202" s="4" t="s">
        <v>112</v>
      </c>
      <c r="M202" s="4" t="s">
        <v>113</v>
      </c>
      <c r="N202" s="4" t="s">
        <v>103</v>
      </c>
      <c r="O202" s="4" t="s">
        <v>432</v>
      </c>
      <c r="P202" s="5"/>
      <c r="Q202" s="5"/>
      <c r="R202" s="4" t="s">
        <v>433</v>
      </c>
      <c r="S202" s="5"/>
      <c r="T202" s="4" t="s">
        <v>107</v>
      </c>
      <c r="U202" s="45">
        <v>121</v>
      </c>
      <c r="V202" s="4" t="s">
        <v>307</v>
      </c>
      <c r="W202" s="45">
        <v>121</v>
      </c>
      <c r="X202" s="4" t="s">
        <v>8</v>
      </c>
      <c r="Y202" s="5">
        <v>1</v>
      </c>
      <c r="Z202" s="4" t="s">
        <v>108</v>
      </c>
      <c r="AA202" s="5"/>
      <c r="AB202" s="5">
        <v>16</v>
      </c>
      <c r="AC202" s="4" t="s">
        <v>109</v>
      </c>
      <c r="AD202" s="45">
        <v>121</v>
      </c>
      <c r="AE202" s="4" t="s">
        <v>307</v>
      </c>
      <c r="AF202" s="4"/>
      <c r="AG202" s="5">
        <v>1000000</v>
      </c>
      <c r="AH202" s="5">
        <v>1000000</v>
      </c>
      <c r="AI202" s="5">
        <v>0</v>
      </c>
      <c r="AJ202" s="5">
        <v>1000000</v>
      </c>
      <c r="AK202" s="5">
        <v>0</v>
      </c>
      <c r="AL202" s="5">
        <v>1000000</v>
      </c>
      <c r="AM202" s="5"/>
    </row>
    <row r="203" spans="1:39" ht="51" x14ac:dyDescent="0.25">
      <c r="A203" s="4" t="s">
        <v>21</v>
      </c>
      <c r="B203" s="4" t="str">
        <f>VLOOKUP(A203,'Ledger &amp; Group'!A:C,2,0)</f>
        <v>Cavinkare</v>
      </c>
      <c r="C203" s="4">
        <f>VLOOKUP(A203,'Ledger &amp; Group'!A:C,3,0)</f>
        <v>60</v>
      </c>
      <c r="D203" s="45">
        <f t="shared" si="6"/>
        <v>183</v>
      </c>
      <c r="E203" s="4" t="str">
        <f ca="1">IF(D203&lt;=TODAY(),IF(ISNA(VLOOKUP(V203,'Unreconciled AR'!C:C,1,0)),"Due","Unreconciled AR"),"Outstanding")</f>
        <v>Due</v>
      </c>
      <c r="F203" s="4">
        <f t="shared" ca="1" si="7"/>
        <v>44576</v>
      </c>
      <c r="G203" s="4" t="e">
        <f ca="1">LOOKUP(F203,{-10000,-60,-30,-15,0,1,10000},{"&gt;60","31-60","16-30","01-15","Due on Today","OS"})</f>
        <v>#N/A</v>
      </c>
      <c r="H203" s="4" t="s">
        <v>103</v>
      </c>
      <c r="I203" s="4" t="s">
        <v>103</v>
      </c>
      <c r="J203" s="4" t="s">
        <v>104</v>
      </c>
      <c r="K203" s="4" t="s">
        <v>111</v>
      </c>
      <c r="L203" s="4" t="s">
        <v>112</v>
      </c>
      <c r="M203" s="4" t="s">
        <v>113</v>
      </c>
      <c r="N203" s="4" t="s">
        <v>103</v>
      </c>
      <c r="O203" s="4" t="s">
        <v>432</v>
      </c>
      <c r="P203" s="5"/>
      <c r="Q203" s="5"/>
      <c r="R203" s="4" t="s">
        <v>433</v>
      </c>
      <c r="S203" s="5"/>
      <c r="T203" s="4" t="s">
        <v>107</v>
      </c>
      <c r="U203" s="45">
        <v>123</v>
      </c>
      <c r="V203" s="4" t="s">
        <v>316</v>
      </c>
      <c r="W203" s="45">
        <v>123</v>
      </c>
      <c r="X203" s="4" t="s">
        <v>8</v>
      </c>
      <c r="Y203" s="5">
        <v>1</v>
      </c>
      <c r="Z203" s="4" t="s">
        <v>108</v>
      </c>
      <c r="AA203" s="5"/>
      <c r="AB203" s="5">
        <v>14</v>
      </c>
      <c r="AC203" s="4" t="s">
        <v>109</v>
      </c>
      <c r="AD203" s="45">
        <v>123</v>
      </c>
      <c r="AE203" s="4" t="s">
        <v>316</v>
      </c>
      <c r="AF203" s="4"/>
      <c r="AG203" s="5">
        <v>1000000</v>
      </c>
      <c r="AH203" s="5">
        <v>1000000</v>
      </c>
      <c r="AI203" s="5">
        <v>0</v>
      </c>
      <c r="AJ203" s="5">
        <v>1000000</v>
      </c>
      <c r="AK203" s="5">
        <v>0</v>
      </c>
      <c r="AL203" s="5">
        <v>1000000</v>
      </c>
      <c r="AM203" s="5"/>
    </row>
    <row r="204" spans="1:39" ht="51" x14ac:dyDescent="0.25">
      <c r="A204" s="4" t="s">
        <v>21</v>
      </c>
      <c r="B204" s="4" t="str">
        <f>VLOOKUP(A204,'Ledger &amp; Group'!A:C,2,0)</f>
        <v>Cavinkare</v>
      </c>
      <c r="C204" s="4">
        <f>VLOOKUP(A204,'Ledger &amp; Group'!A:C,3,0)</f>
        <v>60</v>
      </c>
      <c r="D204" s="45">
        <f t="shared" si="6"/>
        <v>186</v>
      </c>
      <c r="E204" s="4" t="str">
        <f ca="1">IF(D204&lt;=TODAY(),IF(ISNA(VLOOKUP(V204,'Unreconciled AR'!C:C,1,0)),"Due","Unreconciled AR"),"Outstanding")</f>
        <v>Due</v>
      </c>
      <c r="F204" s="4">
        <f t="shared" ca="1" si="7"/>
        <v>44573</v>
      </c>
      <c r="G204" s="4" t="e">
        <f ca="1">LOOKUP(F204,{-10000,-60,-30,-15,0,1,10000},{"&gt;60","31-60","16-30","01-15","Due on Today","OS"})</f>
        <v>#N/A</v>
      </c>
      <c r="H204" s="4" t="s">
        <v>103</v>
      </c>
      <c r="I204" s="4" t="s">
        <v>103</v>
      </c>
      <c r="J204" s="4" t="s">
        <v>104</v>
      </c>
      <c r="K204" s="4" t="s">
        <v>111</v>
      </c>
      <c r="L204" s="4" t="s">
        <v>112</v>
      </c>
      <c r="M204" s="4" t="s">
        <v>113</v>
      </c>
      <c r="N204" s="4" t="s">
        <v>103</v>
      </c>
      <c r="O204" s="4" t="s">
        <v>432</v>
      </c>
      <c r="P204" s="5"/>
      <c r="Q204" s="5"/>
      <c r="R204" s="4" t="s">
        <v>433</v>
      </c>
      <c r="S204" s="5"/>
      <c r="T204" s="4" t="s">
        <v>107</v>
      </c>
      <c r="U204" s="45">
        <v>126</v>
      </c>
      <c r="V204" s="4" t="s">
        <v>331</v>
      </c>
      <c r="W204" s="45">
        <v>126</v>
      </c>
      <c r="X204" s="4" t="s">
        <v>8</v>
      </c>
      <c r="Y204" s="5">
        <v>1</v>
      </c>
      <c r="Z204" s="4" t="s">
        <v>108</v>
      </c>
      <c r="AA204" s="5"/>
      <c r="AB204" s="5">
        <v>11</v>
      </c>
      <c r="AC204" s="4" t="s">
        <v>109</v>
      </c>
      <c r="AD204" s="45">
        <v>126</v>
      </c>
      <c r="AE204" s="4" t="s">
        <v>331</v>
      </c>
      <c r="AF204" s="4"/>
      <c r="AG204" s="5">
        <v>1000000</v>
      </c>
      <c r="AH204" s="5">
        <v>1000000</v>
      </c>
      <c r="AI204" s="5">
        <v>0</v>
      </c>
      <c r="AJ204" s="5">
        <v>1000000</v>
      </c>
      <c r="AK204" s="5">
        <v>0</v>
      </c>
      <c r="AL204" s="5">
        <v>1000000</v>
      </c>
      <c r="AM204" s="5"/>
    </row>
    <row r="205" spans="1:39" ht="51" x14ac:dyDescent="0.25">
      <c r="A205" s="4" t="s">
        <v>21</v>
      </c>
      <c r="B205" s="4" t="str">
        <f>VLOOKUP(A205,'Ledger &amp; Group'!A:C,2,0)</f>
        <v>Cavinkare</v>
      </c>
      <c r="C205" s="4">
        <f>VLOOKUP(A205,'Ledger &amp; Group'!A:C,3,0)</f>
        <v>60</v>
      </c>
      <c r="D205" s="45">
        <f t="shared" si="6"/>
        <v>192</v>
      </c>
      <c r="E205" s="4" t="str">
        <f ca="1">IF(D205&lt;=TODAY(),IF(ISNA(VLOOKUP(V205,'Unreconciled AR'!C:C,1,0)),"Due","Unreconciled AR"),"Outstanding")</f>
        <v>Due</v>
      </c>
      <c r="F205" s="4">
        <f t="shared" ca="1" si="7"/>
        <v>44567</v>
      </c>
      <c r="G205" s="4" t="e">
        <f ca="1">LOOKUP(F205,{-10000,-60,-30,-15,0,1,10000},{"&gt;60","31-60","16-30","01-15","Due on Today","OS"})</f>
        <v>#N/A</v>
      </c>
      <c r="H205" s="4" t="s">
        <v>103</v>
      </c>
      <c r="I205" s="4" t="s">
        <v>103</v>
      </c>
      <c r="J205" s="4" t="s">
        <v>104</v>
      </c>
      <c r="K205" s="4" t="s">
        <v>111</v>
      </c>
      <c r="L205" s="4" t="s">
        <v>112</v>
      </c>
      <c r="M205" s="4" t="s">
        <v>113</v>
      </c>
      <c r="N205" s="4" t="s">
        <v>103</v>
      </c>
      <c r="O205" s="4" t="s">
        <v>432</v>
      </c>
      <c r="P205" s="5"/>
      <c r="Q205" s="5"/>
      <c r="R205" s="4" t="s">
        <v>433</v>
      </c>
      <c r="S205" s="5"/>
      <c r="T205" s="4" t="s">
        <v>107</v>
      </c>
      <c r="U205" s="45">
        <v>132</v>
      </c>
      <c r="V205" s="4" t="s">
        <v>407</v>
      </c>
      <c r="W205" s="45">
        <v>132</v>
      </c>
      <c r="X205" s="4" t="s">
        <v>8</v>
      </c>
      <c r="Y205" s="5">
        <v>1</v>
      </c>
      <c r="Z205" s="4" t="s">
        <v>108</v>
      </c>
      <c r="AA205" s="5"/>
      <c r="AB205" s="5">
        <v>5</v>
      </c>
      <c r="AC205" s="4" t="s">
        <v>109</v>
      </c>
      <c r="AD205" s="45">
        <v>132</v>
      </c>
      <c r="AE205" s="4" t="s">
        <v>407</v>
      </c>
      <c r="AF205" s="4"/>
      <c r="AG205" s="5">
        <v>1000000</v>
      </c>
      <c r="AH205" s="5">
        <v>1000000</v>
      </c>
      <c r="AI205" s="5">
        <v>0</v>
      </c>
      <c r="AJ205" s="5">
        <v>1000000</v>
      </c>
      <c r="AK205" s="5">
        <v>0</v>
      </c>
      <c r="AL205" s="5">
        <v>1000000</v>
      </c>
      <c r="AM205" s="5"/>
    </row>
    <row r="206" spans="1:39" ht="51" x14ac:dyDescent="0.25">
      <c r="A206" s="4" t="s">
        <v>21</v>
      </c>
      <c r="B206" s="4" t="str">
        <f>VLOOKUP(A206,'Ledger &amp; Group'!A:C,2,0)</f>
        <v>Cavinkare</v>
      </c>
      <c r="C206" s="4">
        <f>VLOOKUP(A206,'Ledger &amp; Group'!A:C,3,0)</f>
        <v>60</v>
      </c>
      <c r="D206" s="45">
        <f t="shared" si="6"/>
        <v>194</v>
      </c>
      <c r="E206" s="4" t="str">
        <f ca="1">IF(D206&lt;=TODAY(),IF(ISNA(VLOOKUP(V206,'Unreconciled AR'!C:C,1,0)),"Due","Unreconciled AR"),"Outstanding")</f>
        <v>Due</v>
      </c>
      <c r="F206" s="4">
        <f t="shared" ca="1" si="7"/>
        <v>44565</v>
      </c>
      <c r="G206" s="4" t="e">
        <f ca="1">LOOKUP(F206,{-10000,-60,-30,-15,0,1,10000},{"&gt;60","31-60","16-30","01-15","Due on Today","OS"})</f>
        <v>#N/A</v>
      </c>
      <c r="H206" s="4" t="s">
        <v>103</v>
      </c>
      <c r="I206" s="4" t="s">
        <v>103</v>
      </c>
      <c r="J206" s="4" t="s">
        <v>104</v>
      </c>
      <c r="K206" s="4" t="s">
        <v>111</v>
      </c>
      <c r="L206" s="4" t="s">
        <v>112</v>
      </c>
      <c r="M206" s="4" t="s">
        <v>113</v>
      </c>
      <c r="N206" s="4" t="s">
        <v>103</v>
      </c>
      <c r="O206" s="4" t="s">
        <v>432</v>
      </c>
      <c r="P206" s="5"/>
      <c r="Q206" s="5"/>
      <c r="R206" s="4" t="s">
        <v>433</v>
      </c>
      <c r="S206" s="5"/>
      <c r="T206" s="4" t="s">
        <v>107</v>
      </c>
      <c r="U206" s="45">
        <v>134</v>
      </c>
      <c r="V206" s="4" t="s">
        <v>422</v>
      </c>
      <c r="W206" s="45">
        <v>134</v>
      </c>
      <c r="X206" s="4" t="s">
        <v>8</v>
      </c>
      <c r="Y206" s="5">
        <v>1</v>
      </c>
      <c r="Z206" s="4" t="s">
        <v>108</v>
      </c>
      <c r="AA206" s="5"/>
      <c r="AB206" s="5">
        <v>3</v>
      </c>
      <c r="AC206" s="4" t="s">
        <v>109</v>
      </c>
      <c r="AD206" s="45">
        <v>134</v>
      </c>
      <c r="AE206" s="4" t="s">
        <v>422</v>
      </c>
      <c r="AF206" s="4"/>
      <c r="AG206" s="5">
        <v>1000000</v>
      </c>
      <c r="AH206" s="5">
        <v>1000000</v>
      </c>
      <c r="AI206" s="5">
        <v>0</v>
      </c>
      <c r="AJ206" s="5">
        <v>1000000</v>
      </c>
      <c r="AK206" s="5">
        <v>0</v>
      </c>
      <c r="AL206" s="5">
        <v>1000000</v>
      </c>
      <c r="AM206" s="5"/>
    </row>
    <row r="207" spans="1:39" ht="51" x14ac:dyDescent="0.25">
      <c r="A207" s="4" t="s">
        <v>21</v>
      </c>
      <c r="B207" s="4" t="str">
        <f>VLOOKUP(A207,'Ledger &amp; Group'!A:C,2,0)</f>
        <v>Cavinkare</v>
      </c>
      <c r="C207" s="4">
        <f>VLOOKUP(A207,'Ledger &amp; Group'!A:C,3,0)</f>
        <v>60</v>
      </c>
      <c r="D207" s="45">
        <f t="shared" si="6"/>
        <v>195</v>
      </c>
      <c r="E207" s="4" t="str">
        <f ca="1">IF(D207&lt;=TODAY(),IF(ISNA(VLOOKUP(V207,'Unreconciled AR'!C:C,1,0)),"Due","Unreconciled AR"),"Outstanding")</f>
        <v>Due</v>
      </c>
      <c r="F207" s="4">
        <f t="shared" ca="1" si="7"/>
        <v>44564</v>
      </c>
      <c r="G207" s="4" t="e">
        <f ca="1">LOOKUP(F207,{-10000,-60,-30,-15,0,1,10000},{"&gt;60","31-60","16-30","01-15","Due on Today","OS"})</f>
        <v>#N/A</v>
      </c>
      <c r="H207" s="4" t="s">
        <v>103</v>
      </c>
      <c r="I207" s="4" t="s">
        <v>103</v>
      </c>
      <c r="J207" s="4" t="s">
        <v>104</v>
      </c>
      <c r="K207" s="4" t="s">
        <v>111</v>
      </c>
      <c r="L207" s="4" t="s">
        <v>112</v>
      </c>
      <c r="M207" s="4" t="s">
        <v>113</v>
      </c>
      <c r="N207" s="4" t="s">
        <v>103</v>
      </c>
      <c r="O207" s="4" t="s">
        <v>432</v>
      </c>
      <c r="P207" s="5"/>
      <c r="Q207" s="5"/>
      <c r="R207" s="4" t="s">
        <v>433</v>
      </c>
      <c r="S207" s="5"/>
      <c r="T207" s="4" t="s">
        <v>107</v>
      </c>
      <c r="U207" s="45">
        <v>135</v>
      </c>
      <c r="V207" s="4" t="s">
        <v>423</v>
      </c>
      <c r="W207" s="45">
        <v>135</v>
      </c>
      <c r="X207" s="4" t="s">
        <v>8</v>
      </c>
      <c r="Y207" s="5">
        <v>1</v>
      </c>
      <c r="Z207" s="4" t="s">
        <v>108</v>
      </c>
      <c r="AA207" s="5"/>
      <c r="AB207" s="5">
        <v>2</v>
      </c>
      <c r="AC207" s="4" t="s">
        <v>109</v>
      </c>
      <c r="AD207" s="45">
        <v>135</v>
      </c>
      <c r="AE207" s="4" t="s">
        <v>423</v>
      </c>
      <c r="AF207" s="4"/>
      <c r="AG207" s="5">
        <v>1000000</v>
      </c>
      <c r="AH207" s="5">
        <v>1000000</v>
      </c>
      <c r="AI207" s="5">
        <v>0</v>
      </c>
      <c r="AJ207" s="5">
        <v>1000000</v>
      </c>
      <c r="AK207" s="5">
        <v>0</v>
      </c>
      <c r="AL207" s="5">
        <v>1000000</v>
      </c>
      <c r="AM207" s="5"/>
    </row>
    <row r="208" spans="1:39" ht="38.25" x14ac:dyDescent="0.25">
      <c r="A208" s="4" t="s">
        <v>23</v>
      </c>
      <c r="B208" s="4" t="str">
        <f>VLOOKUP(A208,'Ledger &amp; Group'!A:C,2,0)</f>
        <v>Cavinkare</v>
      </c>
      <c r="C208" s="4">
        <f>VLOOKUP(A208,'Ledger &amp; Group'!A:C,3,0)</f>
        <v>60</v>
      </c>
      <c r="D208" s="45">
        <f t="shared" si="6"/>
        <v>180</v>
      </c>
      <c r="E208" s="4" t="str">
        <f ca="1">IF(D208&lt;=TODAY(),IF(ISNA(VLOOKUP(V208,'Unreconciled AR'!C:C,1,0)),"Due","Unreconciled AR"),"Outstanding")</f>
        <v>Due</v>
      </c>
      <c r="F208" s="4">
        <f t="shared" ca="1" si="7"/>
        <v>44579</v>
      </c>
      <c r="G208" s="4" t="e">
        <f ca="1">LOOKUP(F208,{-10000,-60,-30,-15,0,1,10000},{"&gt;60","31-60","16-30","01-15","Due on Today","OS"})</f>
        <v>#N/A</v>
      </c>
      <c r="H208" s="4" t="s">
        <v>103</v>
      </c>
      <c r="I208" s="4" t="s">
        <v>103</v>
      </c>
      <c r="J208" s="4" t="s">
        <v>104</v>
      </c>
      <c r="K208" s="4" t="s">
        <v>111</v>
      </c>
      <c r="L208" s="4" t="s">
        <v>112</v>
      </c>
      <c r="M208" s="4" t="s">
        <v>113</v>
      </c>
      <c r="N208" s="4" t="s">
        <v>103</v>
      </c>
      <c r="O208" s="4" t="s">
        <v>432</v>
      </c>
      <c r="P208" s="5"/>
      <c r="Q208" s="5"/>
      <c r="R208" s="4" t="s">
        <v>433</v>
      </c>
      <c r="S208" s="5"/>
      <c r="T208" s="4" t="s">
        <v>107</v>
      </c>
      <c r="U208" s="45">
        <v>120</v>
      </c>
      <c r="V208" s="4" t="s">
        <v>302</v>
      </c>
      <c r="W208" s="45">
        <v>120</v>
      </c>
      <c r="X208" s="4" t="s">
        <v>8</v>
      </c>
      <c r="Y208" s="5">
        <v>1</v>
      </c>
      <c r="Z208" s="4" t="s">
        <v>108</v>
      </c>
      <c r="AA208" s="5"/>
      <c r="AB208" s="5">
        <v>17</v>
      </c>
      <c r="AC208" s="4" t="s">
        <v>109</v>
      </c>
      <c r="AD208" s="45">
        <v>120</v>
      </c>
      <c r="AE208" s="4" t="s">
        <v>302</v>
      </c>
      <c r="AF208" s="4"/>
      <c r="AG208" s="5">
        <v>1000000</v>
      </c>
      <c r="AH208" s="5">
        <v>1000000</v>
      </c>
      <c r="AI208" s="5">
        <v>0</v>
      </c>
      <c r="AJ208" s="5">
        <v>1000000</v>
      </c>
      <c r="AK208" s="5">
        <v>0</v>
      </c>
      <c r="AL208" s="5">
        <v>1000000</v>
      </c>
      <c r="AM208" s="5"/>
    </row>
    <row r="209" spans="1:39" ht="38.25" x14ac:dyDescent="0.25">
      <c r="A209" s="4" t="s">
        <v>23</v>
      </c>
      <c r="B209" s="4" t="str">
        <f>VLOOKUP(A209,'Ledger &amp; Group'!A:C,2,0)</f>
        <v>Cavinkare</v>
      </c>
      <c r="C209" s="4">
        <f>VLOOKUP(A209,'Ledger &amp; Group'!A:C,3,0)</f>
        <v>60</v>
      </c>
      <c r="D209" s="45">
        <f t="shared" si="6"/>
        <v>192</v>
      </c>
      <c r="E209" s="4" t="str">
        <f ca="1">IF(D209&lt;=TODAY(),IF(ISNA(VLOOKUP(V209,'Unreconciled AR'!C:C,1,0)),"Due","Unreconciled AR"),"Outstanding")</f>
        <v>Due</v>
      </c>
      <c r="F209" s="4">
        <f t="shared" ca="1" si="7"/>
        <v>44567</v>
      </c>
      <c r="G209" s="4" t="e">
        <f ca="1">LOOKUP(F209,{-10000,-60,-30,-15,0,1,10000},{"&gt;60","31-60","16-30","01-15","Due on Today","OS"})</f>
        <v>#N/A</v>
      </c>
      <c r="H209" s="4" t="s">
        <v>103</v>
      </c>
      <c r="I209" s="4" t="s">
        <v>103</v>
      </c>
      <c r="J209" s="4" t="s">
        <v>104</v>
      </c>
      <c r="K209" s="4" t="s">
        <v>111</v>
      </c>
      <c r="L209" s="4" t="s">
        <v>112</v>
      </c>
      <c r="M209" s="4" t="s">
        <v>113</v>
      </c>
      <c r="N209" s="4" t="s">
        <v>103</v>
      </c>
      <c r="O209" s="4" t="s">
        <v>432</v>
      </c>
      <c r="P209" s="5"/>
      <c r="Q209" s="5"/>
      <c r="R209" s="4" t="s">
        <v>433</v>
      </c>
      <c r="S209" s="5"/>
      <c r="T209" s="4" t="s">
        <v>107</v>
      </c>
      <c r="U209" s="45">
        <v>132</v>
      </c>
      <c r="V209" s="4" t="s">
        <v>408</v>
      </c>
      <c r="W209" s="45">
        <v>132</v>
      </c>
      <c r="X209" s="4" t="s">
        <v>8</v>
      </c>
      <c r="Y209" s="5">
        <v>1</v>
      </c>
      <c r="Z209" s="4" t="s">
        <v>108</v>
      </c>
      <c r="AA209" s="5"/>
      <c r="AB209" s="5">
        <v>5</v>
      </c>
      <c r="AC209" s="4" t="s">
        <v>109</v>
      </c>
      <c r="AD209" s="45">
        <v>132</v>
      </c>
      <c r="AE209" s="4" t="s">
        <v>408</v>
      </c>
      <c r="AF209" s="4"/>
      <c r="AG209" s="5">
        <v>1000000</v>
      </c>
      <c r="AH209" s="5">
        <v>1000000</v>
      </c>
      <c r="AI209" s="5">
        <v>0</v>
      </c>
      <c r="AJ209" s="5">
        <v>1000000</v>
      </c>
      <c r="AK209" s="5">
        <v>0</v>
      </c>
      <c r="AL209" s="5">
        <v>1000000</v>
      </c>
      <c r="AM209" s="5"/>
    </row>
    <row r="210" spans="1:39" ht="38.25" x14ac:dyDescent="0.25">
      <c r="A210" s="4" t="s">
        <v>23</v>
      </c>
      <c r="B210" s="4" t="str">
        <f>VLOOKUP(A210,'Ledger &amp; Group'!A:C,2,0)</f>
        <v>Cavinkare</v>
      </c>
      <c r="C210" s="4">
        <f>VLOOKUP(A210,'Ledger &amp; Group'!A:C,3,0)</f>
        <v>60</v>
      </c>
      <c r="D210" s="45">
        <f t="shared" si="6"/>
        <v>151</v>
      </c>
      <c r="E210" s="4" t="str">
        <f ca="1">IF(D210&lt;=TODAY(),IF(ISNA(VLOOKUP(V210,'Unreconciled AR'!C:C,1,0)),"Due","Unreconciled AR"),"Outstanding")</f>
        <v>Due</v>
      </c>
      <c r="F210" s="4">
        <f t="shared" ca="1" si="7"/>
        <v>44608</v>
      </c>
      <c r="G210" s="4" t="e">
        <f ca="1">LOOKUP(F210,{-10000,-60,-30,-15,0,1,10000},{"&gt;60","31-60","16-30","01-15","Due on Today","OS"})</f>
        <v>#N/A</v>
      </c>
      <c r="H210" s="5"/>
      <c r="I210" s="4" t="s">
        <v>103</v>
      </c>
      <c r="J210" s="4" t="s">
        <v>104</v>
      </c>
      <c r="K210" s="4" t="s">
        <v>111</v>
      </c>
      <c r="L210" s="4" t="s">
        <v>112</v>
      </c>
      <c r="M210" s="4" t="s">
        <v>113</v>
      </c>
      <c r="N210" s="4" t="s">
        <v>103</v>
      </c>
      <c r="O210" s="4" t="s">
        <v>432</v>
      </c>
      <c r="P210" s="5"/>
      <c r="Q210" s="5"/>
      <c r="R210" s="4" t="s">
        <v>433</v>
      </c>
      <c r="S210" s="5"/>
      <c r="T210" s="4" t="s">
        <v>107</v>
      </c>
      <c r="U210" s="45">
        <v>91</v>
      </c>
      <c r="V210" s="4" t="s">
        <v>77</v>
      </c>
      <c r="W210" s="45">
        <v>91</v>
      </c>
      <c r="X210" s="4" t="s">
        <v>8</v>
      </c>
      <c r="Y210" s="5">
        <v>1</v>
      </c>
      <c r="Z210" s="4" t="s">
        <v>61</v>
      </c>
      <c r="AA210" s="5"/>
      <c r="AB210" s="5">
        <v>411</v>
      </c>
      <c r="AC210" s="4" t="s">
        <v>109</v>
      </c>
      <c r="AD210" s="45">
        <v>91</v>
      </c>
      <c r="AE210" s="4" t="s">
        <v>77</v>
      </c>
      <c r="AF210" s="5"/>
      <c r="AG210" s="5">
        <v>1000000</v>
      </c>
      <c r="AH210" s="5">
        <v>1000000</v>
      </c>
      <c r="AI210" s="5">
        <v>0</v>
      </c>
      <c r="AJ210" s="5">
        <v>1000000</v>
      </c>
      <c r="AK210" s="5">
        <v>0</v>
      </c>
      <c r="AL210" s="5">
        <v>1000000</v>
      </c>
      <c r="AM210" s="5"/>
    </row>
    <row r="211" spans="1:39" ht="38.25" x14ac:dyDescent="0.25">
      <c r="A211" s="4" t="s">
        <v>24</v>
      </c>
      <c r="B211" s="4" t="str">
        <f>VLOOKUP(A211,'Ledger &amp; Group'!A:C,2,0)</f>
        <v>Cavinkare</v>
      </c>
      <c r="C211" s="4">
        <f>VLOOKUP(A211,'Ledger &amp; Group'!A:C,3,0)</f>
        <v>60</v>
      </c>
      <c r="D211" s="45">
        <f t="shared" si="6"/>
        <v>163</v>
      </c>
      <c r="E211" s="4" t="str">
        <f ca="1">IF(D211&lt;=TODAY(),IF(ISNA(VLOOKUP(V211,'Unreconciled AR'!C:C,1,0)),"Due","Unreconciled AR"),"Outstanding")</f>
        <v>Due</v>
      </c>
      <c r="F211" s="4">
        <f t="shared" ca="1" si="7"/>
        <v>44596</v>
      </c>
      <c r="G211" s="4" t="e">
        <f ca="1">LOOKUP(F211,{-10000,-60,-30,-15,0,1,10000},{"&gt;60","31-60","16-30","01-15","Due on Today","OS"})</f>
        <v>#N/A</v>
      </c>
      <c r="H211" s="4" t="s">
        <v>103</v>
      </c>
      <c r="I211" s="4" t="s">
        <v>103</v>
      </c>
      <c r="J211" s="4" t="s">
        <v>104</v>
      </c>
      <c r="K211" s="4" t="s">
        <v>111</v>
      </c>
      <c r="L211" s="4" t="s">
        <v>112</v>
      </c>
      <c r="M211" s="4" t="s">
        <v>113</v>
      </c>
      <c r="N211" s="4" t="s">
        <v>103</v>
      </c>
      <c r="O211" s="4" t="s">
        <v>432</v>
      </c>
      <c r="P211" s="5"/>
      <c r="Q211" s="5"/>
      <c r="R211" s="4" t="s">
        <v>433</v>
      </c>
      <c r="S211" s="5"/>
      <c r="T211" s="4" t="s">
        <v>107</v>
      </c>
      <c r="U211" s="45">
        <v>103</v>
      </c>
      <c r="V211" s="4" t="s">
        <v>246</v>
      </c>
      <c r="W211" s="45">
        <v>103</v>
      </c>
      <c r="X211" s="4" t="s">
        <v>8</v>
      </c>
      <c r="Y211" s="5">
        <v>1</v>
      </c>
      <c r="Z211" s="4" t="s">
        <v>108</v>
      </c>
      <c r="AA211" s="5"/>
      <c r="AB211" s="5">
        <v>34</v>
      </c>
      <c r="AC211" s="4" t="s">
        <v>109</v>
      </c>
      <c r="AD211" s="45">
        <v>103</v>
      </c>
      <c r="AE211" s="4" t="s">
        <v>246</v>
      </c>
      <c r="AF211" s="4"/>
      <c r="AG211" s="5">
        <v>1000000</v>
      </c>
      <c r="AH211" s="5">
        <v>1000000</v>
      </c>
      <c r="AI211" s="5">
        <v>0</v>
      </c>
      <c r="AJ211" s="5">
        <v>1000000</v>
      </c>
      <c r="AK211" s="5">
        <v>0</v>
      </c>
      <c r="AL211" s="5">
        <v>1000000</v>
      </c>
      <c r="AM211" s="5"/>
    </row>
    <row r="212" spans="1:39" ht="38.25" x14ac:dyDescent="0.25">
      <c r="A212" s="4" t="s">
        <v>25</v>
      </c>
      <c r="B212" s="4" t="str">
        <f>VLOOKUP(A212,'Ledger &amp; Group'!A:C,2,0)</f>
        <v>Cavinkare</v>
      </c>
      <c r="C212" s="4">
        <f>VLOOKUP(A212,'Ledger &amp; Group'!A:C,3,0)</f>
        <v>60</v>
      </c>
      <c r="D212" s="45">
        <f t="shared" si="6"/>
        <v>137</v>
      </c>
      <c r="E212" s="4" t="str">
        <f ca="1">IF(D212&lt;=TODAY(),IF(ISNA(VLOOKUP(V212,'Unreconciled AR'!C:C,1,0)),"Due","Unreconciled AR"),"Outstanding")</f>
        <v>Due</v>
      </c>
      <c r="F212" s="4">
        <f t="shared" ca="1" si="7"/>
        <v>44622</v>
      </c>
      <c r="G212" s="4" t="e">
        <f ca="1">LOOKUP(F212,{-10000,-60,-30,-15,0,1,10000},{"&gt;60","31-60","16-30","01-15","Due on Today","OS"})</f>
        <v>#N/A</v>
      </c>
      <c r="H212" s="4" t="s">
        <v>103</v>
      </c>
      <c r="I212" s="4" t="s">
        <v>103</v>
      </c>
      <c r="J212" s="4" t="s">
        <v>104</v>
      </c>
      <c r="K212" s="4" t="s">
        <v>111</v>
      </c>
      <c r="L212" s="4" t="s">
        <v>112</v>
      </c>
      <c r="M212" s="4" t="s">
        <v>113</v>
      </c>
      <c r="N212" s="4" t="s">
        <v>103</v>
      </c>
      <c r="O212" s="4" t="s">
        <v>432</v>
      </c>
      <c r="P212" s="5"/>
      <c r="Q212" s="5"/>
      <c r="R212" s="4" t="s">
        <v>433</v>
      </c>
      <c r="S212" s="5"/>
      <c r="T212" s="4" t="s">
        <v>107</v>
      </c>
      <c r="U212" s="45">
        <v>77</v>
      </c>
      <c r="V212" s="4" t="s">
        <v>502</v>
      </c>
      <c r="W212" s="45">
        <v>77</v>
      </c>
      <c r="X212" s="4" t="s">
        <v>8</v>
      </c>
      <c r="Y212" s="5">
        <v>1</v>
      </c>
      <c r="Z212" s="4" t="s">
        <v>108</v>
      </c>
      <c r="AA212" s="5"/>
      <c r="AB212" s="5">
        <v>60</v>
      </c>
      <c r="AC212" s="4" t="s">
        <v>109</v>
      </c>
      <c r="AD212" s="45">
        <v>77</v>
      </c>
      <c r="AE212" s="4" t="s">
        <v>502</v>
      </c>
      <c r="AF212" s="4"/>
      <c r="AG212" s="5">
        <v>1000000</v>
      </c>
      <c r="AH212" s="5">
        <v>1000000</v>
      </c>
      <c r="AI212" s="5">
        <v>0</v>
      </c>
      <c r="AJ212" s="5">
        <v>1000000</v>
      </c>
      <c r="AK212" s="5">
        <v>0</v>
      </c>
      <c r="AL212" s="5">
        <v>1000000</v>
      </c>
      <c r="AM212" s="5"/>
    </row>
    <row r="213" spans="1:39" ht="38.25" x14ac:dyDescent="0.25">
      <c r="A213" s="4" t="s">
        <v>25</v>
      </c>
      <c r="B213" s="4" t="str">
        <f>VLOOKUP(A213,'Ledger &amp; Group'!A:C,2,0)</f>
        <v>Cavinkare</v>
      </c>
      <c r="C213" s="4">
        <f>VLOOKUP(A213,'Ledger &amp; Group'!A:C,3,0)</f>
        <v>60</v>
      </c>
      <c r="D213" s="45">
        <f t="shared" si="6"/>
        <v>158</v>
      </c>
      <c r="E213" s="4" t="str">
        <f ca="1">IF(D213&lt;=TODAY(),IF(ISNA(VLOOKUP(V213,'Unreconciled AR'!C:C,1,0)),"Due","Unreconciled AR"),"Outstanding")</f>
        <v>Due</v>
      </c>
      <c r="F213" s="4">
        <f t="shared" ca="1" si="7"/>
        <v>44601</v>
      </c>
      <c r="G213" s="4" t="e">
        <f ca="1">LOOKUP(F213,{-10000,-60,-30,-15,0,1,10000},{"&gt;60","31-60","16-30","01-15","Due on Today","OS"})</f>
        <v>#N/A</v>
      </c>
      <c r="H213" s="4" t="s">
        <v>103</v>
      </c>
      <c r="I213" s="4" t="s">
        <v>103</v>
      </c>
      <c r="J213" s="4" t="s">
        <v>104</v>
      </c>
      <c r="K213" s="4" t="s">
        <v>111</v>
      </c>
      <c r="L213" s="4" t="s">
        <v>112</v>
      </c>
      <c r="M213" s="4" t="s">
        <v>113</v>
      </c>
      <c r="N213" s="4" t="s">
        <v>103</v>
      </c>
      <c r="O213" s="4" t="s">
        <v>432</v>
      </c>
      <c r="P213" s="5"/>
      <c r="Q213" s="5"/>
      <c r="R213" s="4" t="s">
        <v>433</v>
      </c>
      <c r="S213" s="5"/>
      <c r="T213" s="4" t="s">
        <v>107</v>
      </c>
      <c r="U213" s="45">
        <v>98</v>
      </c>
      <c r="V213" s="4" t="s">
        <v>226</v>
      </c>
      <c r="W213" s="45">
        <v>98</v>
      </c>
      <c r="X213" s="4" t="s">
        <v>8</v>
      </c>
      <c r="Y213" s="5">
        <v>1</v>
      </c>
      <c r="Z213" s="4" t="s">
        <v>108</v>
      </c>
      <c r="AA213" s="5"/>
      <c r="AB213" s="5">
        <v>39</v>
      </c>
      <c r="AC213" s="4" t="s">
        <v>109</v>
      </c>
      <c r="AD213" s="45">
        <v>98</v>
      </c>
      <c r="AE213" s="4" t="s">
        <v>226</v>
      </c>
      <c r="AF213" s="4"/>
      <c r="AG213" s="5">
        <v>1000000</v>
      </c>
      <c r="AH213" s="5">
        <v>1000000</v>
      </c>
      <c r="AI213" s="5">
        <v>0</v>
      </c>
      <c r="AJ213" s="5">
        <v>1000000</v>
      </c>
      <c r="AK213" s="5">
        <v>0</v>
      </c>
      <c r="AL213" s="5">
        <v>1000000</v>
      </c>
      <c r="AM213" s="5"/>
    </row>
    <row r="214" spans="1:39" ht="38.25" x14ac:dyDescent="0.25">
      <c r="A214" s="4" t="s">
        <v>25</v>
      </c>
      <c r="B214" s="4" t="str">
        <f>VLOOKUP(A214,'Ledger &amp; Group'!A:C,2,0)</f>
        <v>Cavinkare</v>
      </c>
      <c r="C214" s="4">
        <f>VLOOKUP(A214,'Ledger &amp; Group'!A:C,3,0)</f>
        <v>60</v>
      </c>
      <c r="D214" s="45">
        <f t="shared" si="6"/>
        <v>170</v>
      </c>
      <c r="E214" s="4" t="str">
        <f ca="1">IF(D214&lt;=TODAY(),IF(ISNA(VLOOKUP(V214,'Unreconciled AR'!C:C,1,0)),"Due","Unreconciled AR"),"Outstanding")</f>
        <v>Due</v>
      </c>
      <c r="F214" s="4">
        <f t="shared" ca="1" si="7"/>
        <v>44589</v>
      </c>
      <c r="G214" s="4" t="e">
        <f ca="1">LOOKUP(F214,{-10000,-60,-30,-15,0,1,10000},{"&gt;60","31-60","16-30","01-15","Due on Today","OS"})</f>
        <v>#N/A</v>
      </c>
      <c r="H214" s="4" t="s">
        <v>103</v>
      </c>
      <c r="I214" s="4" t="s">
        <v>103</v>
      </c>
      <c r="J214" s="4" t="s">
        <v>104</v>
      </c>
      <c r="K214" s="4" t="s">
        <v>111</v>
      </c>
      <c r="L214" s="4" t="s">
        <v>112</v>
      </c>
      <c r="M214" s="4" t="s">
        <v>113</v>
      </c>
      <c r="N214" s="4" t="s">
        <v>103</v>
      </c>
      <c r="O214" s="4" t="s">
        <v>432</v>
      </c>
      <c r="P214" s="5"/>
      <c r="Q214" s="5"/>
      <c r="R214" s="4" t="s">
        <v>433</v>
      </c>
      <c r="S214" s="5"/>
      <c r="T214" s="4" t="s">
        <v>107</v>
      </c>
      <c r="U214" s="45">
        <v>110</v>
      </c>
      <c r="V214" s="4" t="s">
        <v>265</v>
      </c>
      <c r="W214" s="45">
        <v>110</v>
      </c>
      <c r="X214" s="4" t="s">
        <v>8</v>
      </c>
      <c r="Y214" s="5">
        <v>1</v>
      </c>
      <c r="Z214" s="4" t="s">
        <v>108</v>
      </c>
      <c r="AA214" s="5"/>
      <c r="AB214" s="5">
        <v>27</v>
      </c>
      <c r="AC214" s="4" t="s">
        <v>109</v>
      </c>
      <c r="AD214" s="45">
        <v>110</v>
      </c>
      <c r="AE214" s="4" t="s">
        <v>265</v>
      </c>
      <c r="AF214" s="4"/>
      <c r="AG214" s="5">
        <v>1000000</v>
      </c>
      <c r="AH214" s="5">
        <v>1000000</v>
      </c>
      <c r="AI214" s="5">
        <v>0</v>
      </c>
      <c r="AJ214" s="5">
        <v>1000000</v>
      </c>
      <c r="AK214" s="5">
        <v>0</v>
      </c>
      <c r="AL214" s="5">
        <v>1000000</v>
      </c>
      <c r="AM214" s="5"/>
    </row>
    <row r="215" spans="1:39" ht="38.25" x14ac:dyDescent="0.25">
      <c r="A215" s="4" t="s">
        <v>25</v>
      </c>
      <c r="B215" s="4" t="str">
        <f>VLOOKUP(A215,'Ledger &amp; Group'!A:C,2,0)</f>
        <v>Cavinkare</v>
      </c>
      <c r="C215" s="4">
        <f>VLOOKUP(A215,'Ledger &amp; Group'!A:C,3,0)</f>
        <v>60</v>
      </c>
      <c r="D215" s="45">
        <f t="shared" si="6"/>
        <v>174</v>
      </c>
      <c r="E215" s="4" t="str">
        <f ca="1">IF(D215&lt;=TODAY(),IF(ISNA(VLOOKUP(V215,'Unreconciled AR'!C:C,1,0)),"Due","Unreconciled AR"),"Outstanding")</f>
        <v>Due</v>
      </c>
      <c r="F215" s="4">
        <f t="shared" ca="1" si="7"/>
        <v>44585</v>
      </c>
      <c r="G215" s="4" t="e">
        <f ca="1">LOOKUP(F215,{-10000,-60,-30,-15,0,1,10000},{"&gt;60","31-60","16-30","01-15","Due on Today","OS"})</f>
        <v>#N/A</v>
      </c>
      <c r="H215" s="4" t="s">
        <v>103</v>
      </c>
      <c r="I215" s="4" t="s">
        <v>103</v>
      </c>
      <c r="J215" s="4" t="s">
        <v>104</v>
      </c>
      <c r="K215" s="4" t="s">
        <v>111</v>
      </c>
      <c r="L215" s="4" t="s">
        <v>112</v>
      </c>
      <c r="M215" s="4" t="s">
        <v>113</v>
      </c>
      <c r="N215" s="4" t="s">
        <v>103</v>
      </c>
      <c r="O215" s="4" t="s">
        <v>432</v>
      </c>
      <c r="P215" s="5"/>
      <c r="Q215" s="5"/>
      <c r="R215" s="4" t="s">
        <v>433</v>
      </c>
      <c r="S215" s="5"/>
      <c r="T215" s="4" t="s">
        <v>107</v>
      </c>
      <c r="U215" s="45">
        <v>114</v>
      </c>
      <c r="V215" s="4" t="s">
        <v>282</v>
      </c>
      <c r="W215" s="45">
        <v>114</v>
      </c>
      <c r="X215" s="4" t="s">
        <v>8</v>
      </c>
      <c r="Y215" s="5">
        <v>1</v>
      </c>
      <c r="Z215" s="4" t="s">
        <v>108</v>
      </c>
      <c r="AA215" s="5"/>
      <c r="AB215" s="5">
        <v>23</v>
      </c>
      <c r="AC215" s="4" t="s">
        <v>109</v>
      </c>
      <c r="AD215" s="45">
        <v>114</v>
      </c>
      <c r="AE215" s="4" t="s">
        <v>282</v>
      </c>
      <c r="AF215" s="4"/>
      <c r="AG215" s="5">
        <v>1000000</v>
      </c>
      <c r="AH215" s="5">
        <v>1000000</v>
      </c>
      <c r="AI215" s="5">
        <v>0</v>
      </c>
      <c r="AJ215" s="5">
        <v>1000000</v>
      </c>
      <c r="AK215" s="5">
        <v>0</v>
      </c>
      <c r="AL215" s="5">
        <v>1000000</v>
      </c>
      <c r="AM215" s="5"/>
    </row>
    <row r="216" spans="1:39" ht="38.25" x14ac:dyDescent="0.25">
      <c r="A216" s="4" t="s">
        <v>25</v>
      </c>
      <c r="B216" s="4" t="str">
        <f>VLOOKUP(A216,'Ledger &amp; Group'!A:C,2,0)</f>
        <v>Cavinkare</v>
      </c>
      <c r="C216" s="4">
        <f>VLOOKUP(A216,'Ledger &amp; Group'!A:C,3,0)</f>
        <v>60</v>
      </c>
      <c r="D216" s="45">
        <f t="shared" si="6"/>
        <v>186</v>
      </c>
      <c r="E216" s="4" t="str">
        <f ca="1">IF(D216&lt;=TODAY(),IF(ISNA(VLOOKUP(V216,'Unreconciled AR'!C:C,1,0)),"Due","Unreconciled AR"),"Outstanding")</f>
        <v>Due</v>
      </c>
      <c r="F216" s="4">
        <f t="shared" ca="1" si="7"/>
        <v>44573</v>
      </c>
      <c r="G216" s="4" t="e">
        <f ca="1">LOOKUP(F216,{-10000,-60,-30,-15,0,1,10000},{"&gt;60","31-60","16-30","01-15","Due on Today","OS"})</f>
        <v>#N/A</v>
      </c>
      <c r="H216" s="4" t="s">
        <v>103</v>
      </c>
      <c r="I216" s="4" t="s">
        <v>103</v>
      </c>
      <c r="J216" s="4" t="s">
        <v>104</v>
      </c>
      <c r="K216" s="4" t="s">
        <v>111</v>
      </c>
      <c r="L216" s="4" t="s">
        <v>112</v>
      </c>
      <c r="M216" s="4" t="s">
        <v>113</v>
      </c>
      <c r="N216" s="4" t="s">
        <v>103</v>
      </c>
      <c r="O216" s="4" t="s">
        <v>432</v>
      </c>
      <c r="P216" s="5"/>
      <c r="Q216" s="5"/>
      <c r="R216" s="4" t="s">
        <v>433</v>
      </c>
      <c r="S216" s="5"/>
      <c r="T216" s="4" t="s">
        <v>107</v>
      </c>
      <c r="U216" s="45">
        <v>126</v>
      </c>
      <c r="V216" s="4" t="s">
        <v>332</v>
      </c>
      <c r="W216" s="45">
        <v>126</v>
      </c>
      <c r="X216" s="4" t="s">
        <v>8</v>
      </c>
      <c r="Y216" s="5">
        <v>1</v>
      </c>
      <c r="Z216" s="4" t="s">
        <v>108</v>
      </c>
      <c r="AA216" s="5"/>
      <c r="AB216" s="5">
        <v>11</v>
      </c>
      <c r="AC216" s="4" t="s">
        <v>109</v>
      </c>
      <c r="AD216" s="45">
        <v>126</v>
      </c>
      <c r="AE216" s="4" t="s">
        <v>332</v>
      </c>
      <c r="AF216" s="4"/>
      <c r="AG216" s="5">
        <v>1000000</v>
      </c>
      <c r="AH216" s="5">
        <v>1000000</v>
      </c>
      <c r="AI216" s="5">
        <v>0</v>
      </c>
      <c r="AJ216" s="5">
        <v>1000000</v>
      </c>
      <c r="AK216" s="5">
        <v>0</v>
      </c>
      <c r="AL216" s="5">
        <v>1000000</v>
      </c>
      <c r="AM216" s="5"/>
    </row>
    <row r="217" spans="1:39" ht="204" x14ac:dyDescent="0.25">
      <c r="A217" s="4" t="s">
        <v>26</v>
      </c>
      <c r="B217" s="4" t="str">
        <f>VLOOKUP(A217,'Ledger &amp; Group'!A:C,2,0)</f>
        <v>Cavinkare</v>
      </c>
      <c r="C217" s="4">
        <f>VLOOKUP(A217,'Ledger &amp; Group'!A:C,3,0)</f>
        <v>60</v>
      </c>
      <c r="D217" s="45">
        <f t="shared" si="6"/>
        <v>278</v>
      </c>
      <c r="E217" s="4" t="str">
        <f ca="1">IF(D217&lt;=TODAY(),IF(ISNA(VLOOKUP(V217,'Unreconciled AR'!C:C,1,0)),"Due","Unreconciled AR"),"Outstanding")</f>
        <v>Due</v>
      </c>
      <c r="F217" s="4">
        <f t="shared" ca="1" si="7"/>
        <v>44481</v>
      </c>
      <c r="G217" s="4" t="e">
        <f ca="1">LOOKUP(F217,{-10000,-60,-30,-15,0,1,10000},{"&gt;60","31-60","16-30","01-15","Due on Today","OS"})</f>
        <v>#N/A</v>
      </c>
      <c r="H217" s="4" t="s">
        <v>103</v>
      </c>
      <c r="I217" s="4" t="s">
        <v>103</v>
      </c>
      <c r="J217" s="4" t="s">
        <v>104</v>
      </c>
      <c r="K217" s="4" t="s">
        <v>111</v>
      </c>
      <c r="L217" s="4" t="s">
        <v>112</v>
      </c>
      <c r="M217" s="4" t="s">
        <v>113</v>
      </c>
      <c r="N217" s="4" t="s">
        <v>103</v>
      </c>
      <c r="O217" s="4" t="s">
        <v>432</v>
      </c>
      <c r="P217" s="5"/>
      <c r="Q217" s="5"/>
      <c r="R217" s="4" t="s">
        <v>433</v>
      </c>
      <c r="S217" s="5"/>
      <c r="T217" s="4" t="s">
        <v>107</v>
      </c>
      <c r="U217" s="45">
        <v>218</v>
      </c>
      <c r="V217" s="4" t="s">
        <v>179</v>
      </c>
      <c r="W217" s="45">
        <v>218</v>
      </c>
      <c r="X217" s="4" t="s">
        <v>8</v>
      </c>
      <c r="Y217" s="5">
        <v>1</v>
      </c>
      <c r="Z217" s="4" t="s">
        <v>366</v>
      </c>
      <c r="AA217" s="5"/>
      <c r="AB217" s="5">
        <v>284</v>
      </c>
      <c r="AC217" s="4" t="s">
        <v>109</v>
      </c>
      <c r="AD217" s="45">
        <v>218</v>
      </c>
      <c r="AE217" s="4" t="s">
        <v>179</v>
      </c>
      <c r="AF217" s="5"/>
      <c r="AG217" s="5">
        <v>1000000</v>
      </c>
      <c r="AH217" s="5">
        <v>1000000</v>
      </c>
      <c r="AI217" s="5">
        <v>0</v>
      </c>
      <c r="AJ217" s="5">
        <v>1000000</v>
      </c>
      <c r="AK217" s="5">
        <v>0</v>
      </c>
      <c r="AL217" s="5">
        <v>1000000</v>
      </c>
      <c r="AM217" s="5"/>
    </row>
    <row r="218" spans="1:39" ht="38.25" x14ac:dyDescent="0.25">
      <c r="A218" s="4" t="s">
        <v>26</v>
      </c>
      <c r="B218" s="4" t="str">
        <f>VLOOKUP(A218,'Ledger &amp; Group'!A:C,2,0)</f>
        <v>Cavinkare</v>
      </c>
      <c r="C218" s="4">
        <f>VLOOKUP(A218,'Ledger &amp; Group'!A:C,3,0)</f>
        <v>60</v>
      </c>
      <c r="D218" s="45">
        <f t="shared" si="6"/>
        <v>415</v>
      </c>
      <c r="E218" s="4" t="str">
        <f ca="1">IF(D218&lt;=TODAY(),IF(ISNA(VLOOKUP(V218,'Unreconciled AR'!C:C,1,0)),"Due","Unreconciled AR"),"Outstanding")</f>
        <v>Due</v>
      </c>
      <c r="F218" s="4">
        <f t="shared" ca="1" si="7"/>
        <v>44344</v>
      </c>
      <c r="G218" s="4" t="e">
        <f ca="1">LOOKUP(F218,{-10000,-60,-30,-15,0,1,10000},{"&gt;60","31-60","16-30","01-15","Due on Today","OS"})</f>
        <v>#N/A</v>
      </c>
      <c r="H218" s="4" t="s">
        <v>103</v>
      </c>
      <c r="I218" s="4" t="s">
        <v>103</v>
      </c>
      <c r="J218" s="4" t="s">
        <v>104</v>
      </c>
      <c r="K218" s="4" t="s">
        <v>111</v>
      </c>
      <c r="L218" s="4" t="s">
        <v>112</v>
      </c>
      <c r="M218" s="4" t="s">
        <v>113</v>
      </c>
      <c r="N218" s="4" t="s">
        <v>103</v>
      </c>
      <c r="O218" s="4" t="s">
        <v>432</v>
      </c>
      <c r="P218" s="5"/>
      <c r="Q218" s="5"/>
      <c r="R218" s="4" t="s">
        <v>433</v>
      </c>
      <c r="S218" s="5"/>
      <c r="T218" s="4" t="s">
        <v>107</v>
      </c>
      <c r="U218" s="45">
        <v>355</v>
      </c>
      <c r="V218" s="4" t="s">
        <v>503</v>
      </c>
      <c r="W218" s="45">
        <v>355</v>
      </c>
      <c r="X218" s="4" t="s">
        <v>8</v>
      </c>
      <c r="Y218" s="5">
        <v>1</v>
      </c>
      <c r="Z218" s="4" t="s">
        <v>108</v>
      </c>
      <c r="AA218" s="5"/>
      <c r="AB218" s="5">
        <v>147</v>
      </c>
      <c r="AC218" s="4" t="s">
        <v>109</v>
      </c>
      <c r="AD218" s="45">
        <v>355</v>
      </c>
      <c r="AE218" s="4" t="s">
        <v>503</v>
      </c>
      <c r="AF218" s="4"/>
      <c r="AG218" s="5">
        <v>1000000</v>
      </c>
      <c r="AH218" s="5">
        <v>1000000</v>
      </c>
      <c r="AI218" s="5">
        <v>0</v>
      </c>
      <c r="AJ218" s="5">
        <v>1000000</v>
      </c>
      <c r="AK218" s="5">
        <v>0</v>
      </c>
      <c r="AL218" s="5">
        <v>1000000</v>
      </c>
      <c r="AM218" s="5"/>
    </row>
    <row r="219" spans="1:39" ht="38.25" x14ac:dyDescent="0.25">
      <c r="A219" s="4" t="s">
        <v>26</v>
      </c>
      <c r="B219" s="4" t="str">
        <f>VLOOKUP(A219,'Ledger &amp; Group'!A:C,2,0)</f>
        <v>Cavinkare</v>
      </c>
      <c r="C219" s="4">
        <f>VLOOKUP(A219,'Ledger &amp; Group'!A:C,3,0)</f>
        <v>60</v>
      </c>
      <c r="D219" s="45">
        <f t="shared" si="6"/>
        <v>143</v>
      </c>
      <c r="E219" s="4" t="str">
        <f ca="1">IF(D219&lt;=TODAY(),IF(ISNA(VLOOKUP(V219,'Unreconciled AR'!C:C,1,0)),"Due","Unreconciled AR"),"Outstanding")</f>
        <v>Due</v>
      </c>
      <c r="F219" s="4">
        <f t="shared" ca="1" si="7"/>
        <v>44616</v>
      </c>
      <c r="G219" s="4" t="e">
        <f ca="1">LOOKUP(F219,{-10000,-60,-30,-15,0,1,10000},{"&gt;60","31-60","16-30","01-15","Due on Today","OS"})</f>
        <v>#N/A</v>
      </c>
      <c r="H219" s="4" t="s">
        <v>103</v>
      </c>
      <c r="I219" s="4" t="s">
        <v>103</v>
      </c>
      <c r="J219" s="4" t="s">
        <v>104</v>
      </c>
      <c r="K219" s="4" t="s">
        <v>111</v>
      </c>
      <c r="L219" s="4" t="s">
        <v>112</v>
      </c>
      <c r="M219" s="4" t="s">
        <v>113</v>
      </c>
      <c r="N219" s="4" t="s">
        <v>103</v>
      </c>
      <c r="O219" s="4" t="s">
        <v>432</v>
      </c>
      <c r="P219" s="5"/>
      <c r="Q219" s="5"/>
      <c r="R219" s="4" t="s">
        <v>433</v>
      </c>
      <c r="S219" s="5"/>
      <c r="T219" s="4" t="s">
        <v>107</v>
      </c>
      <c r="U219" s="45">
        <v>83</v>
      </c>
      <c r="V219" s="4" t="s">
        <v>504</v>
      </c>
      <c r="W219" s="45">
        <v>83</v>
      </c>
      <c r="X219" s="4" t="s">
        <v>8</v>
      </c>
      <c r="Y219" s="5">
        <v>1</v>
      </c>
      <c r="Z219" s="4" t="s">
        <v>108</v>
      </c>
      <c r="AA219" s="5"/>
      <c r="AB219" s="5">
        <v>54</v>
      </c>
      <c r="AC219" s="4" t="s">
        <v>109</v>
      </c>
      <c r="AD219" s="45">
        <v>83</v>
      </c>
      <c r="AE219" s="4" t="s">
        <v>504</v>
      </c>
      <c r="AF219" s="4"/>
      <c r="AG219" s="5">
        <v>1000000</v>
      </c>
      <c r="AH219" s="5">
        <v>1000000</v>
      </c>
      <c r="AI219" s="5">
        <v>0</v>
      </c>
      <c r="AJ219" s="5">
        <v>1000000</v>
      </c>
      <c r="AK219" s="5">
        <v>0</v>
      </c>
      <c r="AL219" s="5">
        <v>1000000</v>
      </c>
      <c r="AM219" s="5"/>
    </row>
    <row r="220" spans="1:39" ht="38.25" x14ac:dyDescent="0.25">
      <c r="A220" s="4" t="s">
        <v>26</v>
      </c>
      <c r="B220" s="4" t="str">
        <f>VLOOKUP(A220,'Ledger &amp; Group'!A:C,2,0)</f>
        <v>Cavinkare</v>
      </c>
      <c r="C220" s="4">
        <f>VLOOKUP(A220,'Ledger &amp; Group'!A:C,3,0)</f>
        <v>60</v>
      </c>
      <c r="D220" s="45">
        <f t="shared" si="6"/>
        <v>146</v>
      </c>
      <c r="E220" s="4" t="str">
        <f ca="1">IF(D220&lt;=TODAY(),IF(ISNA(VLOOKUP(V220,'Unreconciled AR'!C:C,1,0)),"Due","Unreconciled AR"),"Outstanding")</f>
        <v>Due</v>
      </c>
      <c r="F220" s="4">
        <f t="shared" ca="1" si="7"/>
        <v>44613</v>
      </c>
      <c r="G220" s="4" t="e">
        <f ca="1">LOOKUP(F220,{-10000,-60,-30,-15,0,1,10000},{"&gt;60","31-60","16-30","01-15","Due on Today","OS"})</f>
        <v>#N/A</v>
      </c>
      <c r="H220" s="4" t="s">
        <v>103</v>
      </c>
      <c r="I220" s="4" t="s">
        <v>103</v>
      </c>
      <c r="J220" s="4" t="s">
        <v>104</v>
      </c>
      <c r="K220" s="4" t="s">
        <v>111</v>
      </c>
      <c r="L220" s="4" t="s">
        <v>112</v>
      </c>
      <c r="M220" s="4" t="s">
        <v>113</v>
      </c>
      <c r="N220" s="4" t="s">
        <v>103</v>
      </c>
      <c r="O220" s="4" t="s">
        <v>432</v>
      </c>
      <c r="P220" s="5"/>
      <c r="Q220" s="5"/>
      <c r="R220" s="4" t="s">
        <v>433</v>
      </c>
      <c r="S220" s="5"/>
      <c r="T220" s="4" t="s">
        <v>107</v>
      </c>
      <c r="U220" s="45">
        <v>86</v>
      </c>
      <c r="V220" s="4" t="s">
        <v>505</v>
      </c>
      <c r="W220" s="45">
        <v>86</v>
      </c>
      <c r="X220" s="4" t="s">
        <v>8</v>
      </c>
      <c r="Y220" s="5">
        <v>1</v>
      </c>
      <c r="Z220" s="4" t="s">
        <v>108</v>
      </c>
      <c r="AA220" s="5"/>
      <c r="AB220" s="5">
        <v>51</v>
      </c>
      <c r="AC220" s="4" t="s">
        <v>109</v>
      </c>
      <c r="AD220" s="45">
        <v>86</v>
      </c>
      <c r="AE220" s="4" t="s">
        <v>505</v>
      </c>
      <c r="AF220" s="4"/>
      <c r="AG220" s="5">
        <v>1000000</v>
      </c>
      <c r="AH220" s="5">
        <v>1000000</v>
      </c>
      <c r="AI220" s="5">
        <v>0</v>
      </c>
      <c r="AJ220" s="5">
        <v>1000000</v>
      </c>
      <c r="AK220" s="5">
        <v>0</v>
      </c>
      <c r="AL220" s="5">
        <v>1000000</v>
      </c>
      <c r="AM220" s="5"/>
    </row>
    <row r="221" spans="1:39" ht="38.25" x14ac:dyDescent="0.25">
      <c r="A221" s="4" t="s">
        <v>26</v>
      </c>
      <c r="B221" s="4" t="str">
        <f>VLOOKUP(A221,'Ledger &amp; Group'!A:C,2,0)</f>
        <v>Cavinkare</v>
      </c>
      <c r="C221" s="4">
        <f>VLOOKUP(A221,'Ledger &amp; Group'!A:C,3,0)</f>
        <v>60</v>
      </c>
      <c r="D221" s="45">
        <f t="shared" si="6"/>
        <v>148</v>
      </c>
      <c r="E221" s="4" t="str">
        <f ca="1">IF(D221&lt;=TODAY(),IF(ISNA(VLOOKUP(V221,'Unreconciled AR'!C:C,1,0)),"Due","Unreconciled AR"),"Outstanding")</f>
        <v>Due</v>
      </c>
      <c r="F221" s="4">
        <f t="shared" ca="1" si="7"/>
        <v>44611</v>
      </c>
      <c r="G221" s="4" t="e">
        <f ca="1">LOOKUP(F221,{-10000,-60,-30,-15,0,1,10000},{"&gt;60","31-60","16-30","01-15","Due on Today","OS"})</f>
        <v>#N/A</v>
      </c>
      <c r="H221" s="4" t="s">
        <v>103</v>
      </c>
      <c r="I221" s="4" t="s">
        <v>103</v>
      </c>
      <c r="J221" s="4" t="s">
        <v>104</v>
      </c>
      <c r="K221" s="4" t="s">
        <v>111</v>
      </c>
      <c r="L221" s="4" t="s">
        <v>112</v>
      </c>
      <c r="M221" s="4" t="s">
        <v>113</v>
      </c>
      <c r="N221" s="4" t="s">
        <v>103</v>
      </c>
      <c r="O221" s="4" t="s">
        <v>432</v>
      </c>
      <c r="P221" s="5"/>
      <c r="Q221" s="5"/>
      <c r="R221" s="4" t="s">
        <v>433</v>
      </c>
      <c r="S221" s="5"/>
      <c r="T221" s="4" t="s">
        <v>107</v>
      </c>
      <c r="U221" s="45">
        <v>88</v>
      </c>
      <c r="V221" s="4" t="s">
        <v>506</v>
      </c>
      <c r="W221" s="45">
        <v>88</v>
      </c>
      <c r="X221" s="4" t="s">
        <v>8</v>
      </c>
      <c r="Y221" s="5">
        <v>1</v>
      </c>
      <c r="Z221" s="4" t="s">
        <v>108</v>
      </c>
      <c r="AA221" s="5"/>
      <c r="AB221" s="5">
        <v>49</v>
      </c>
      <c r="AC221" s="4" t="s">
        <v>109</v>
      </c>
      <c r="AD221" s="45">
        <v>88</v>
      </c>
      <c r="AE221" s="4" t="s">
        <v>506</v>
      </c>
      <c r="AF221" s="4"/>
      <c r="AG221" s="5">
        <v>1000000</v>
      </c>
      <c r="AH221" s="5">
        <v>1000000</v>
      </c>
      <c r="AI221" s="5">
        <v>0</v>
      </c>
      <c r="AJ221" s="5">
        <v>1000000</v>
      </c>
      <c r="AK221" s="5">
        <v>0</v>
      </c>
      <c r="AL221" s="5">
        <v>1000000</v>
      </c>
      <c r="AM221" s="5"/>
    </row>
    <row r="222" spans="1:39" ht="38.25" x14ac:dyDescent="0.25">
      <c r="A222" s="4" t="s">
        <v>26</v>
      </c>
      <c r="B222" s="4" t="str">
        <f>VLOOKUP(A222,'Ledger &amp; Group'!A:C,2,0)</f>
        <v>Cavinkare</v>
      </c>
      <c r="C222" s="4">
        <f>VLOOKUP(A222,'Ledger &amp; Group'!A:C,3,0)</f>
        <v>60</v>
      </c>
      <c r="D222" s="45">
        <f t="shared" si="6"/>
        <v>156</v>
      </c>
      <c r="E222" s="4" t="str">
        <f ca="1">IF(D222&lt;=TODAY(),IF(ISNA(VLOOKUP(V222,'Unreconciled AR'!C:C,1,0)),"Due","Unreconciled AR"),"Outstanding")</f>
        <v>Due</v>
      </c>
      <c r="F222" s="4">
        <f t="shared" ca="1" si="7"/>
        <v>44603</v>
      </c>
      <c r="G222" s="4" t="e">
        <f ca="1">LOOKUP(F222,{-10000,-60,-30,-15,0,1,10000},{"&gt;60","31-60","16-30","01-15","Due on Today","OS"})</f>
        <v>#N/A</v>
      </c>
      <c r="H222" s="4" t="s">
        <v>103</v>
      </c>
      <c r="I222" s="4" t="s">
        <v>103</v>
      </c>
      <c r="J222" s="4" t="s">
        <v>104</v>
      </c>
      <c r="K222" s="4" t="s">
        <v>111</v>
      </c>
      <c r="L222" s="4" t="s">
        <v>112</v>
      </c>
      <c r="M222" s="4" t="s">
        <v>113</v>
      </c>
      <c r="N222" s="4" t="s">
        <v>103</v>
      </c>
      <c r="O222" s="4" t="s">
        <v>432</v>
      </c>
      <c r="P222" s="5"/>
      <c r="Q222" s="5"/>
      <c r="R222" s="4" t="s">
        <v>433</v>
      </c>
      <c r="S222" s="5"/>
      <c r="T222" s="4" t="s">
        <v>107</v>
      </c>
      <c r="U222" s="45">
        <v>96</v>
      </c>
      <c r="V222" s="4" t="s">
        <v>214</v>
      </c>
      <c r="W222" s="45">
        <v>96</v>
      </c>
      <c r="X222" s="4" t="s">
        <v>8</v>
      </c>
      <c r="Y222" s="5">
        <v>1</v>
      </c>
      <c r="Z222" s="4" t="s">
        <v>108</v>
      </c>
      <c r="AA222" s="5"/>
      <c r="AB222" s="5">
        <v>41</v>
      </c>
      <c r="AC222" s="4" t="s">
        <v>109</v>
      </c>
      <c r="AD222" s="45">
        <v>96</v>
      </c>
      <c r="AE222" s="4" t="s">
        <v>214</v>
      </c>
      <c r="AF222" s="4"/>
      <c r="AG222" s="5">
        <v>1000000</v>
      </c>
      <c r="AH222" s="5">
        <v>1000000</v>
      </c>
      <c r="AI222" s="5">
        <v>0</v>
      </c>
      <c r="AJ222" s="5">
        <v>1000000</v>
      </c>
      <c r="AK222" s="5">
        <v>0</v>
      </c>
      <c r="AL222" s="5">
        <v>1000000</v>
      </c>
      <c r="AM222" s="5"/>
    </row>
    <row r="223" spans="1:39" ht="38.25" x14ac:dyDescent="0.25">
      <c r="A223" s="4" t="s">
        <v>26</v>
      </c>
      <c r="B223" s="4" t="str">
        <f>VLOOKUP(A223,'Ledger &amp; Group'!A:C,2,0)</f>
        <v>Cavinkare</v>
      </c>
      <c r="C223" s="4">
        <f>VLOOKUP(A223,'Ledger &amp; Group'!A:C,3,0)</f>
        <v>60</v>
      </c>
      <c r="D223" s="45">
        <f t="shared" si="6"/>
        <v>164</v>
      </c>
      <c r="E223" s="4" t="str">
        <f ca="1">IF(D223&lt;=TODAY(),IF(ISNA(VLOOKUP(V223,'Unreconciled AR'!C:C,1,0)),"Due","Unreconciled AR"),"Outstanding")</f>
        <v>Due</v>
      </c>
      <c r="F223" s="4">
        <f t="shared" ca="1" si="7"/>
        <v>44595</v>
      </c>
      <c r="G223" s="4" t="e">
        <f ca="1">LOOKUP(F223,{-10000,-60,-30,-15,0,1,10000},{"&gt;60","31-60","16-30","01-15","Due on Today","OS"})</f>
        <v>#N/A</v>
      </c>
      <c r="H223" s="4" t="s">
        <v>103</v>
      </c>
      <c r="I223" s="4" t="s">
        <v>103</v>
      </c>
      <c r="J223" s="4" t="s">
        <v>104</v>
      </c>
      <c r="K223" s="4" t="s">
        <v>111</v>
      </c>
      <c r="L223" s="4" t="s">
        <v>112</v>
      </c>
      <c r="M223" s="4" t="s">
        <v>113</v>
      </c>
      <c r="N223" s="4" t="s">
        <v>103</v>
      </c>
      <c r="O223" s="4" t="s">
        <v>432</v>
      </c>
      <c r="P223" s="5"/>
      <c r="Q223" s="5"/>
      <c r="R223" s="4" t="s">
        <v>433</v>
      </c>
      <c r="S223" s="5"/>
      <c r="T223" s="4" t="s">
        <v>107</v>
      </c>
      <c r="U223" s="45">
        <v>104</v>
      </c>
      <c r="V223" s="4" t="s">
        <v>247</v>
      </c>
      <c r="W223" s="45">
        <v>104</v>
      </c>
      <c r="X223" s="4" t="s">
        <v>8</v>
      </c>
      <c r="Y223" s="5">
        <v>1</v>
      </c>
      <c r="Z223" s="4" t="s">
        <v>108</v>
      </c>
      <c r="AA223" s="5"/>
      <c r="AB223" s="5">
        <v>33</v>
      </c>
      <c r="AC223" s="4" t="s">
        <v>109</v>
      </c>
      <c r="AD223" s="45">
        <v>104</v>
      </c>
      <c r="AE223" s="4" t="s">
        <v>247</v>
      </c>
      <c r="AF223" s="4"/>
      <c r="AG223" s="5">
        <v>1000000</v>
      </c>
      <c r="AH223" s="5">
        <v>1000000</v>
      </c>
      <c r="AI223" s="5">
        <v>0</v>
      </c>
      <c r="AJ223" s="5">
        <v>1000000</v>
      </c>
      <c r="AK223" s="5">
        <v>0</v>
      </c>
      <c r="AL223" s="5">
        <v>1000000</v>
      </c>
      <c r="AM223" s="5"/>
    </row>
    <row r="224" spans="1:39" ht="38.25" x14ac:dyDescent="0.25">
      <c r="A224" s="4" t="s">
        <v>26</v>
      </c>
      <c r="B224" s="4" t="str">
        <f>VLOOKUP(A224,'Ledger &amp; Group'!A:C,2,0)</f>
        <v>Cavinkare</v>
      </c>
      <c r="C224" s="4">
        <f>VLOOKUP(A224,'Ledger &amp; Group'!A:C,3,0)</f>
        <v>60</v>
      </c>
      <c r="D224" s="45">
        <f t="shared" si="6"/>
        <v>171</v>
      </c>
      <c r="E224" s="4" t="str">
        <f ca="1">IF(D224&lt;=TODAY(),IF(ISNA(VLOOKUP(V224,'Unreconciled AR'!C:C,1,0)),"Due","Unreconciled AR"),"Outstanding")</f>
        <v>Due</v>
      </c>
      <c r="F224" s="4">
        <f t="shared" ca="1" si="7"/>
        <v>44588</v>
      </c>
      <c r="G224" s="4" t="e">
        <f ca="1">LOOKUP(F224,{-10000,-60,-30,-15,0,1,10000},{"&gt;60","31-60","16-30","01-15","Due on Today","OS"})</f>
        <v>#N/A</v>
      </c>
      <c r="H224" s="4" t="s">
        <v>103</v>
      </c>
      <c r="I224" s="4" t="s">
        <v>103</v>
      </c>
      <c r="J224" s="4" t="s">
        <v>104</v>
      </c>
      <c r="K224" s="4" t="s">
        <v>111</v>
      </c>
      <c r="L224" s="4" t="s">
        <v>112</v>
      </c>
      <c r="M224" s="4" t="s">
        <v>113</v>
      </c>
      <c r="N224" s="4" t="s">
        <v>103</v>
      </c>
      <c r="O224" s="4" t="s">
        <v>432</v>
      </c>
      <c r="P224" s="5"/>
      <c r="Q224" s="5"/>
      <c r="R224" s="4" t="s">
        <v>433</v>
      </c>
      <c r="S224" s="5"/>
      <c r="T224" s="4" t="s">
        <v>107</v>
      </c>
      <c r="U224" s="45">
        <v>111</v>
      </c>
      <c r="V224" s="4" t="s">
        <v>276</v>
      </c>
      <c r="W224" s="45">
        <v>111</v>
      </c>
      <c r="X224" s="4" t="s">
        <v>8</v>
      </c>
      <c r="Y224" s="5">
        <v>1</v>
      </c>
      <c r="Z224" s="4" t="s">
        <v>108</v>
      </c>
      <c r="AA224" s="5"/>
      <c r="AB224" s="5">
        <v>26</v>
      </c>
      <c r="AC224" s="4" t="s">
        <v>109</v>
      </c>
      <c r="AD224" s="45">
        <v>111</v>
      </c>
      <c r="AE224" s="4" t="s">
        <v>276</v>
      </c>
      <c r="AF224" s="4"/>
      <c r="AG224" s="5">
        <v>1000000</v>
      </c>
      <c r="AH224" s="5">
        <v>1000000</v>
      </c>
      <c r="AI224" s="5">
        <v>0</v>
      </c>
      <c r="AJ224" s="5">
        <v>1000000</v>
      </c>
      <c r="AK224" s="5">
        <v>0</v>
      </c>
      <c r="AL224" s="5">
        <v>1000000</v>
      </c>
      <c r="AM224" s="5"/>
    </row>
    <row r="225" spans="1:39" ht="38.25" x14ac:dyDescent="0.25">
      <c r="A225" s="4" t="s">
        <v>26</v>
      </c>
      <c r="B225" s="4" t="str">
        <f>VLOOKUP(A225,'Ledger &amp; Group'!A:C,2,0)</f>
        <v>Cavinkare</v>
      </c>
      <c r="C225" s="4">
        <f>VLOOKUP(A225,'Ledger &amp; Group'!A:C,3,0)</f>
        <v>60</v>
      </c>
      <c r="D225" s="45">
        <f t="shared" si="6"/>
        <v>181</v>
      </c>
      <c r="E225" s="4" t="str">
        <f ca="1">IF(D225&lt;=TODAY(),IF(ISNA(VLOOKUP(V225,'Unreconciled AR'!C:C,1,0)),"Due","Unreconciled AR"),"Outstanding")</f>
        <v>Due</v>
      </c>
      <c r="F225" s="4">
        <f t="shared" ca="1" si="7"/>
        <v>44578</v>
      </c>
      <c r="G225" s="4" t="e">
        <f ca="1">LOOKUP(F225,{-10000,-60,-30,-15,0,1,10000},{"&gt;60","31-60","16-30","01-15","Due on Today","OS"})</f>
        <v>#N/A</v>
      </c>
      <c r="H225" s="4" t="s">
        <v>103</v>
      </c>
      <c r="I225" s="4" t="s">
        <v>103</v>
      </c>
      <c r="J225" s="4" t="s">
        <v>104</v>
      </c>
      <c r="K225" s="4" t="s">
        <v>111</v>
      </c>
      <c r="L225" s="4" t="s">
        <v>112</v>
      </c>
      <c r="M225" s="4" t="s">
        <v>113</v>
      </c>
      <c r="N225" s="4" t="s">
        <v>103</v>
      </c>
      <c r="O225" s="4" t="s">
        <v>432</v>
      </c>
      <c r="P225" s="5"/>
      <c r="Q225" s="5"/>
      <c r="R225" s="4" t="s">
        <v>433</v>
      </c>
      <c r="S225" s="5"/>
      <c r="T225" s="4" t="s">
        <v>107</v>
      </c>
      <c r="U225" s="45">
        <v>121</v>
      </c>
      <c r="V225" s="4" t="s">
        <v>308</v>
      </c>
      <c r="W225" s="45">
        <v>121</v>
      </c>
      <c r="X225" s="4" t="s">
        <v>8</v>
      </c>
      <c r="Y225" s="5">
        <v>1</v>
      </c>
      <c r="Z225" s="4" t="s">
        <v>108</v>
      </c>
      <c r="AA225" s="5"/>
      <c r="AB225" s="5">
        <v>16</v>
      </c>
      <c r="AC225" s="4" t="s">
        <v>109</v>
      </c>
      <c r="AD225" s="45">
        <v>121</v>
      </c>
      <c r="AE225" s="4" t="s">
        <v>308</v>
      </c>
      <c r="AF225" s="4"/>
      <c r="AG225" s="5">
        <v>1000000</v>
      </c>
      <c r="AH225" s="5">
        <v>1000000</v>
      </c>
      <c r="AI225" s="5">
        <v>0</v>
      </c>
      <c r="AJ225" s="5">
        <v>1000000</v>
      </c>
      <c r="AK225" s="5">
        <v>0</v>
      </c>
      <c r="AL225" s="5">
        <v>1000000</v>
      </c>
      <c r="AM225" s="5"/>
    </row>
    <row r="226" spans="1:39" ht="38.25" x14ac:dyDescent="0.25">
      <c r="A226" s="4" t="s">
        <v>26</v>
      </c>
      <c r="B226" s="4" t="str">
        <f>VLOOKUP(A226,'Ledger &amp; Group'!A:C,2,0)</f>
        <v>Cavinkare</v>
      </c>
      <c r="C226" s="4">
        <f>VLOOKUP(A226,'Ledger &amp; Group'!A:C,3,0)</f>
        <v>60</v>
      </c>
      <c r="D226" s="45">
        <f t="shared" si="6"/>
        <v>187</v>
      </c>
      <c r="E226" s="4" t="str">
        <f ca="1">IF(D226&lt;=TODAY(),IF(ISNA(VLOOKUP(V226,'Unreconciled AR'!C:C,1,0)),"Due","Unreconciled AR"),"Outstanding")</f>
        <v>Due</v>
      </c>
      <c r="F226" s="4">
        <f t="shared" ca="1" si="7"/>
        <v>44572</v>
      </c>
      <c r="G226" s="4" t="e">
        <f ca="1">LOOKUP(F226,{-10000,-60,-30,-15,0,1,10000},{"&gt;60","31-60","16-30","01-15","Due on Today","OS"})</f>
        <v>#N/A</v>
      </c>
      <c r="H226" s="4" t="s">
        <v>103</v>
      </c>
      <c r="I226" s="4" t="s">
        <v>103</v>
      </c>
      <c r="J226" s="4" t="s">
        <v>104</v>
      </c>
      <c r="K226" s="4" t="s">
        <v>111</v>
      </c>
      <c r="L226" s="4" t="s">
        <v>112</v>
      </c>
      <c r="M226" s="4" t="s">
        <v>113</v>
      </c>
      <c r="N226" s="4" t="s">
        <v>103</v>
      </c>
      <c r="O226" s="4" t="s">
        <v>432</v>
      </c>
      <c r="P226" s="5"/>
      <c r="Q226" s="5"/>
      <c r="R226" s="4" t="s">
        <v>433</v>
      </c>
      <c r="S226" s="5"/>
      <c r="T226" s="4" t="s">
        <v>107</v>
      </c>
      <c r="U226" s="45">
        <v>127</v>
      </c>
      <c r="V226" s="4" t="s">
        <v>341</v>
      </c>
      <c r="W226" s="45">
        <v>127</v>
      </c>
      <c r="X226" s="4" t="s">
        <v>8</v>
      </c>
      <c r="Y226" s="5">
        <v>1</v>
      </c>
      <c r="Z226" s="4" t="s">
        <v>108</v>
      </c>
      <c r="AA226" s="5"/>
      <c r="AB226" s="5">
        <v>10</v>
      </c>
      <c r="AC226" s="4" t="s">
        <v>109</v>
      </c>
      <c r="AD226" s="45">
        <v>127</v>
      </c>
      <c r="AE226" s="4" t="s">
        <v>341</v>
      </c>
      <c r="AF226" s="4"/>
      <c r="AG226" s="5">
        <v>1000000</v>
      </c>
      <c r="AH226" s="5">
        <v>1000000</v>
      </c>
      <c r="AI226" s="5">
        <v>0</v>
      </c>
      <c r="AJ226" s="5">
        <v>1000000</v>
      </c>
      <c r="AK226" s="5">
        <v>0</v>
      </c>
      <c r="AL226" s="5">
        <v>1000000</v>
      </c>
      <c r="AM226" s="5"/>
    </row>
    <row r="227" spans="1:39" ht="38.25" x14ac:dyDescent="0.25">
      <c r="A227" s="4" t="s">
        <v>26</v>
      </c>
      <c r="B227" s="4" t="str">
        <f>VLOOKUP(A227,'Ledger &amp; Group'!A:C,2,0)</f>
        <v>Cavinkare</v>
      </c>
      <c r="C227" s="4">
        <f>VLOOKUP(A227,'Ledger &amp; Group'!A:C,3,0)</f>
        <v>60</v>
      </c>
      <c r="D227" s="45">
        <f t="shared" si="6"/>
        <v>188</v>
      </c>
      <c r="E227" s="4" t="str">
        <f ca="1">IF(D227&lt;=TODAY(),IF(ISNA(VLOOKUP(V227,'Unreconciled AR'!C:C,1,0)),"Due","Unreconciled AR"),"Outstanding")</f>
        <v>Due</v>
      </c>
      <c r="F227" s="4">
        <f t="shared" ca="1" si="7"/>
        <v>44571</v>
      </c>
      <c r="G227" s="4" t="e">
        <f ca="1">LOOKUP(F227,{-10000,-60,-30,-15,0,1,10000},{"&gt;60","31-60","16-30","01-15","Due on Today","OS"})</f>
        <v>#N/A</v>
      </c>
      <c r="H227" s="4" t="s">
        <v>103</v>
      </c>
      <c r="I227" s="4" t="s">
        <v>103</v>
      </c>
      <c r="J227" s="4" t="s">
        <v>104</v>
      </c>
      <c r="K227" s="4" t="s">
        <v>111</v>
      </c>
      <c r="L227" s="4" t="s">
        <v>112</v>
      </c>
      <c r="M227" s="4" t="s">
        <v>113</v>
      </c>
      <c r="N227" s="4" t="s">
        <v>103</v>
      </c>
      <c r="O227" s="4" t="s">
        <v>432</v>
      </c>
      <c r="P227" s="5"/>
      <c r="Q227" s="5"/>
      <c r="R227" s="4" t="s">
        <v>433</v>
      </c>
      <c r="S227" s="5"/>
      <c r="T227" s="4" t="s">
        <v>107</v>
      </c>
      <c r="U227" s="45">
        <v>128</v>
      </c>
      <c r="V227" s="4" t="s">
        <v>352</v>
      </c>
      <c r="W227" s="45">
        <v>128</v>
      </c>
      <c r="X227" s="4" t="s">
        <v>8</v>
      </c>
      <c r="Y227" s="5">
        <v>1</v>
      </c>
      <c r="Z227" s="4" t="s">
        <v>108</v>
      </c>
      <c r="AA227" s="5"/>
      <c r="AB227" s="5">
        <v>9</v>
      </c>
      <c r="AC227" s="4" t="s">
        <v>109</v>
      </c>
      <c r="AD227" s="45">
        <v>128</v>
      </c>
      <c r="AE227" s="4" t="s">
        <v>352</v>
      </c>
      <c r="AF227" s="4"/>
      <c r="AG227" s="5">
        <v>1000000</v>
      </c>
      <c r="AH227" s="5">
        <v>1000000</v>
      </c>
      <c r="AI227" s="5">
        <v>0</v>
      </c>
      <c r="AJ227" s="5">
        <v>1000000</v>
      </c>
      <c r="AK227" s="5">
        <v>0</v>
      </c>
      <c r="AL227" s="5">
        <v>1000000</v>
      </c>
      <c r="AM227" s="5"/>
    </row>
    <row r="228" spans="1:39" ht="38.25" x14ac:dyDescent="0.25">
      <c r="A228" s="4" t="s">
        <v>26</v>
      </c>
      <c r="B228" s="4" t="str">
        <f>VLOOKUP(A228,'Ledger &amp; Group'!A:C,2,0)</f>
        <v>Cavinkare</v>
      </c>
      <c r="C228" s="4">
        <f>VLOOKUP(A228,'Ledger &amp; Group'!A:C,3,0)</f>
        <v>60</v>
      </c>
      <c r="D228" s="45">
        <f t="shared" si="6"/>
        <v>191</v>
      </c>
      <c r="E228" s="4" t="str">
        <f ca="1">IF(D228&lt;=TODAY(),IF(ISNA(VLOOKUP(V228,'Unreconciled AR'!C:C,1,0)),"Due","Unreconciled AR"),"Outstanding")</f>
        <v>Due</v>
      </c>
      <c r="F228" s="4">
        <f t="shared" ca="1" si="7"/>
        <v>44568</v>
      </c>
      <c r="G228" s="4" t="e">
        <f ca="1">LOOKUP(F228,{-10000,-60,-30,-15,0,1,10000},{"&gt;60","31-60","16-30","01-15","Due on Today","OS"})</f>
        <v>#N/A</v>
      </c>
      <c r="H228" s="4" t="s">
        <v>103</v>
      </c>
      <c r="I228" s="4" t="s">
        <v>103</v>
      </c>
      <c r="J228" s="4" t="s">
        <v>104</v>
      </c>
      <c r="K228" s="4" t="s">
        <v>111</v>
      </c>
      <c r="L228" s="4" t="s">
        <v>112</v>
      </c>
      <c r="M228" s="4" t="s">
        <v>113</v>
      </c>
      <c r="N228" s="4" t="s">
        <v>103</v>
      </c>
      <c r="O228" s="4" t="s">
        <v>432</v>
      </c>
      <c r="P228" s="5"/>
      <c r="Q228" s="5"/>
      <c r="R228" s="4" t="s">
        <v>433</v>
      </c>
      <c r="S228" s="5"/>
      <c r="T228" s="4" t="s">
        <v>107</v>
      </c>
      <c r="U228" s="45">
        <v>131</v>
      </c>
      <c r="V228" s="4" t="s">
        <v>367</v>
      </c>
      <c r="W228" s="45">
        <v>131</v>
      </c>
      <c r="X228" s="4" t="s">
        <v>8</v>
      </c>
      <c r="Y228" s="5">
        <v>1</v>
      </c>
      <c r="Z228" s="4" t="s">
        <v>108</v>
      </c>
      <c r="AA228" s="5"/>
      <c r="AB228" s="5">
        <v>6</v>
      </c>
      <c r="AC228" s="4" t="s">
        <v>109</v>
      </c>
      <c r="AD228" s="45">
        <v>131</v>
      </c>
      <c r="AE228" s="4" t="s">
        <v>367</v>
      </c>
      <c r="AF228" s="4"/>
      <c r="AG228" s="5">
        <v>1000000</v>
      </c>
      <c r="AH228" s="5">
        <v>1000000</v>
      </c>
      <c r="AI228" s="5">
        <v>0</v>
      </c>
      <c r="AJ228" s="5">
        <v>1000000</v>
      </c>
      <c r="AK228" s="5">
        <v>0</v>
      </c>
      <c r="AL228" s="5">
        <v>1000000</v>
      </c>
      <c r="AM228" s="5"/>
    </row>
    <row r="229" spans="1:39" ht="38.25" x14ac:dyDescent="0.25">
      <c r="A229" s="4" t="s">
        <v>26</v>
      </c>
      <c r="B229" s="4" t="str">
        <f>VLOOKUP(A229,'Ledger &amp; Group'!A:C,2,0)</f>
        <v>Cavinkare</v>
      </c>
      <c r="C229" s="4">
        <f>VLOOKUP(A229,'Ledger &amp; Group'!A:C,3,0)</f>
        <v>60</v>
      </c>
      <c r="D229" s="45">
        <f t="shared" si="6"/>
        <v>195</v>
      </c>
      <c r="E229" s="4" t="str">
        <f ca="1">IF(D229&lt;=TODAY(),IF(ISNA(VLOOKUP(V229,'Unreconciled AR'!C:C,1,0)),"Due","Unreconciled AR"),"Outstanding")</f>
        <v>Due</v>
      </c>
      <c r="F229" s="4">
        <f t="shared" ca="1" si="7"/>
        <v>44564</v>
      </c>
      <c r="G229" s="4" t="e">
        <f ca="1">LOOKUP(F229,{-10000,-60,-30,-15,0,1,10000},{"&gt;60","31-60","16-30","01-15","Due on Today","OS"})</f>
        <v>#N/A</v>
      </c>
      <c r="H229" s="4" t="s">
        <v>103</v>
      </c>
      <c r="I229" s="4" t="s">
        <v>103</v>
      </c>
      <c r="J229" s="4" t="s">
        <v>104</v>
      </c>
      <c r="K229" s="4" t="s">
        <v>111</v>
      </c>
      <c r="L229" s="4" t="s">
        <v>112</v>
      </c>
      <c r="M229" s="4" t="s">
        <v>113</v>
      </c>
      <c r="N229" s="4" t="s">
        <v>103</v>
      </c>
      <c r="O229" s="4" t="s">
        <v>432</v>
      </c>
      <c r="P229" s="5"/>
      <c r="Q229" s="5"/>
      <c r="R229" s="4" t="s">
        <v>433</v>
      </c>
      <c r="S229" s="5"/>
      <c r="T229" s="4" t="s">
        <v>107</v>
      </c>
      <c r="U229" s="45">
        <v>135</v>
      </c>
      <c r="V229" s="4" t="s">
        <v>424</v>
      </c>
      <c r="W229" s="45">
        <v>135</v>
      </c>
      <c r="X229" s="4" t="s">
        <v>8</v>
      </c>
      <c r="Y229" s="5">
        <v>1</v>
      </c>
      <c r="Z229" s="4" t="s">
        <v>108</v>
      </c>
      <c r="AA229" s="5"/>
      <c r="AB229" s="5">
        <v>2</v>
      </c>
      <c r="AC229" s="4" t="s">
        <v>109</v>
      </c>
      <c r="AD229" s="45">
        <v>135</v>
      </c>
      <c r="AE229" s="4" t="s">
        <v>424</v>
      </c>
      <c r="AF229" s="4"/>
      <c r="AG229" s="5">
        <v>1000000</v>
      </c>
      <c r="AH229" s="5">
        <v>1000000</v>
      </c>
      <c r="AI229" s="5">
        <v>0</v>
      </c>
      <c r="AJ229" s="5">
        <v>1000000</v>
      </c>
      <c r="AK229" s="5">
        <v>0</v>
      </c>
      <c r="AL229" s="5">
        <v>1000000</v>
      </c>
      <c r="AM229" s="5"/>
    </row>
    <row r="230" spans="1:39" ht="38.25" x14ac:dyDescent="0.25">
      <c r="A230" s="4" t="s">
        <v>27</v>
      </c>
      <c r="B230" s="4" t="str">
        <f>VLOOKUP(A230,'Ledger &amp; Group'!A:C,2,0)</f>
        <v>Cavinkare</v>
      </c>
      <c r="C230" s="4">
        <f>VLOOKUP(A230,'Ledger &amp; Group'!A:C,3,0)</f>
        <v>60</v>
      </c>
      <c r="D230" s="45">
        <f t="shared" si="6"/>
        <v>342</v>
      </c>
      <c r="E230" s="4" t="str">
        <f ca="1">IF(D230&lt;=TODAY(),IF(ISNA(VLOOKUP(V230,'Unreconciled AR'!C:C,1,0)),"Due","Unreconciled AR"),"Outstanding")</f>
        <v>Due</v>
      </c>
      <c r="F230" s="4">
        <f t="shared" ca="1" si="7"/>
        <v>44417</v>
      </c>
      <c r="G230" s="4" t="e">
        <f ca="1">LOOKUP(F230,{-10000,-60,-30,-15,0,1,10000},{"&gt;60","31-60","16-30","01-15","Due on Today","OS"})</f>
        <v>#N/A</v>
      </c>
      <c r="H230" s="4" t="s">
        <v>103</v>
      </c>
      <c r="I230" s="4" t="s">
        <v>103</v>
      </c>
      <c r="J230" s="4" t="s">
        <v>104</v>
      </c>
      <c r="K230" s="4" t="s">
        <v>111</v>
      </c>
      <c r="L230" s="4" t="s">
        <v>112</v>
      </c>
      <c r="M230" s="4" t="s">
        <v>113</v>
      </c>
      <c r="N230" s="4" t="s">
        <v>103</v>
      </c>
      <c r="O230" s="4" t="s">
        <v>432</v>
      </c>
      <c r="P230" s="5"/>
      <c r="Q230" s="5"/>
      <c r="R230" s="4" t="s">
        <v>433</v>
      </c>
      <c r="S230" s="5"/>
      <c r="T230" s="4" t="s">
        <v>107</v>
      </c>
      <c r="U230" s="45">
        <v>282</v>
      </c>
      <c r="V230" s="4" t="s">
        <v>507</v>
      </c>
      <c r="W230" s="45">
        <v>282</v>
      </c>
      <c r="X230" s="4" t="s">
        <v>8</v>
      </c>
      <c r="Y230" s="5">
        <v>1</v>
      </c>
      <c r="Z230" s="4" t="s">
        <v>108</v>
      </c>
      <c r="AA230" s="5"/>
      <c r="AB230" s="5">
        <v>220</v>
      </c>
      <c r="AC230" s="4" t="s">
        <v>109</v>
      </c>
      <c r="AD230" s="45">
        <v>282</v>
      </c>
      <c r="AE230" s="4" t="s">
        <v>507</v>
      </c>
      <c r="AF230" s="4"/>
      <c r="AG230" s="5">
        <v>1000000</v>
      </c>
      <c r="AH230" s="5">
        <v>1000000</v>
      </c>
      <c r="AI230" s="5">
        <v>0</v>
      </c>
      <c r="AJ230" s="5">
        <v>1000000</v>
      </c>
      <c r="AK230" s="5">
        <v>0</v>
      </c>
      <c r="AL230" s="5">
        <v>1000000</v>
      </c>
      <c r="AM230" s="5"/>
    </row>
    <row r="231" spans="1:39" ht="38.25" x14ac:dyDescent="0.25">
      <c r="A231" s="4" t="s">
        <v>27</v>
      </c>
      <c r="B231" s="4" t="str">
        <f>VLOOKUP(A231,'Ledger &amp; Group'!A:C,2,0)</f>
        <v>Cavinkare</v>
      </c>
      <c r="C231" s="4">
        <f>VLOOKUP(A231,'Ledger &amp; Group'!A:C,3,0)</f>
        <v>60</v>
      </c>
      <c r="D231" s="45">
        <f t="shared" si="6"/>
        <v>343</v>
      </c>
      <c r="E231" s="4" t="str">
        <f ca="1">IF(D231&lt;=TODAY(),IF(ISNA(VLOOKUP(V231,'Unreconciled AR'!C:C,1,0)),"Due","Unreconciled AR"),"Outstanding")</f>
        <v>Due</v>
      </c>
      <c r="F231" s="4">
        <f t="shared" ca="1" si="7"/>
        <v>44416</v>
      </c>
      <c r="G231" s="4" t="e">
        <f ca="1">LOOKUP(F231,{-10000,-60,-30,-15,0,1,10000},{"&gt;60","31-60","16-30","01-15","Due on Today","OS"})</f>
        <v>#N/A</v>
      </c>
      <c r="H231" s="4" t="s">
        <v>103</v>
      </c>
      <c r="I231" s="4" t="s">
        <v>103</v>
      </c>
      <c r="J231" s="4" t="s">
        <v>104</v>
      </c>
      <c r="K231" s="4" t="s">
        <v>111</v>
      </c>
      <c r="L231" s="4" t="s">
        <v>112</v>
      </c>
      <c r="M231" s="4" t="s">
        <v>113</v>
      </c>
      <c r="N231" s="4" t="s">
        <v>103</v>
      </c>
      <c r="O231" s="4" t="s">
        <v>432</v>
      </c>
      <c r="P231" s="5"/>
      <c r="Q231" s="5"/>
      <c r="R231" s="4" t="s">
        <v>433</v>
      </c>
      <c r="S231" s="5"/>
      <c r="T231" s="4" t="s">
        <v>107</v>
      </c>
      <c r="U231" s="45">
        <v>283</v>
      </c>
      <c r="V231" s="4" t="s">
        <v>508</v>
      </c>
      <c r="W231" s="45">
        <v>283</v>
      </c>
      <c r="X231" s="4" t="s">
        <v>8</v>
      </c>
      <c r="Y231" s="5">
        <v>1</v>
      </c>
      <c r="Z231" s="4" t="s">
        <v>108</v>
      </c>
      <c r="AA231" s="5"/>
      <c r="AB231" s="5">
        <v>219</v>
      </c>
      <c r="AC231" s="4" t="s">
        <v>109</v>
      </c>
      <c r="AD231" s="45">
        <v>283</v>
      </c>
      <c r="AE231" s="4" t="s">
        <v>508</v>
      </c>
      <c r="AF231" s="4"/>
      <c r="AG231" s="5">
        <v>1000000</v>
      </c>
      <c r="AH231" s="5">
        <v>1000000</v>
      </c>
      <c r="AI231" s="5">
        <v>0</v>
      </c>
      <c r="AJ231" s="5">
        <v>1000000</v>
      </c>
      <c r="AK231" s="5">
        <v>0</v>
      </c>
      <c r="AL231" s="5">
        <v>1000000</v>
      </c>
      <c r="AM231" s="5"/>
    </row>
    <row r="232" spans="1:39" ht="38.25" x14ac:dyDescent="0.25">
      <c r="A232" s="4" t="s">
        <v>27</v>
      </c>
      <c r="B232" s="4" t="str">
        <f>VLOOKUP(A232,'Ledger &amp; Group'!A:C,2,0)</f>
        <v>Cavinkare</v>
      </c>
      <c r="C232" s="4">
        <f>VLOOKUP(A232,'Ledger &amp; Group'!A:C,3,0)</f>
        <v>60</v>
      </c>
      <c r="D232" s="45">
        <f t="shared" si="6"/>
        <v>380</v>
      </c>
      <c r="E232" s="4" t="str">
        <f ca="1">IF(D232&lt;=TODAY(),IF(ISNA(VLOOKUP(V232,'Unreconciled AR'!C:C,1,0)),"Due","Unreconciled AR"),"Outstanding")</f>
        <v>Due</v>
      </c>
      <c r="F232" s="4">
        <f t="shared" ca="1" si="7"/>
        <v>44379</v>
      </c>
      <c r="G232" s="4" t="e">
        <f ca="1">LOOKUP(F232,{-10000,-60,-30,-15,0,1,10000},{"&gt;60","31-60","16-30","01-15","Due on Today","OS"})</f>
        <v>#N/A</v>
      </c>
      <c r="H232" s="4" t="s">
        <v>103</v>
      </c>
      <c r="I232" s="4" t="s">
        <v>103</v>
      </c>
      <c r="J232" s="4" t="s">
        <v>104</v>
      </c>
      <c r="K232" s="4" t="s">
        <v>111</v>
      </c>
      <c r="L232" s="4" t="s">
        <v>112</v>
      </c>
      <c r="M232" s="4" t="s">
        <v>113</v>
      </c>
      <c r="N232" s="4" t="s">
        <v>103</v>
      </c>
      <c r="O232" s="4" t="s">
        <v>432</v>
      </c>
      <c r="P232" s="5"/>
      <c r="Q232" s="5"/>
      <c r="R232" s="4" t="s">
        <v>433</v>
      </c>
      <c r="S232" s="5"/>
      <c r="T232" s="4" t="s">
        <v>107</v>
      </c>
      <c r="U232" s="45">
        <v>320</v>
      </c>
      <c r="V232" s="4" t="s">
        <v>509</v>
      </c>
      <c r="W232" s="45">
        <v>320</v>
      </c>
      <c r="X232" s="4" t="s">
        <v>8</v>
      </c>
      <c r="Y232" s="5">
        <v>1</v>
      </c>
      <c r="Z232" s="4" t="s">
        <v>108</v>
      </c>
      <c r="AA232" s="5"/>
      <c r="AB232" s="5">
        <v>182</v>
      </c>
      <c r="AC232" s="4" t="s">
        <v>109</v>
      </c>
      <c r="AD232" s="45">
        <v>320</v>
      </c>
      <c r="AE232" s="4" t="s">
        <v>509</v>
      </c>
      <c r="AF232" s="4"/>
      <c r="AG232" s="5">
        <v>1000000</v>
      </c>
      <c r="AH232" s="5">
        <v>1000000</v>
      </c>
      <c r="AI232" s="5">
        <v>0</v>
      </c>
      <c r="AJ232" s="5">
        <v>1000000</v>
      </c>
      <c r="AK232" s="5">
        <v>0</v>
      </c>
      <c r="AL232" s="5">
        <v>1000000</v>
      </c>
      <c r="AM232" s="5"/>
    </row>
    <row r="233" spans="1:39" ht="38.25" x14ac:dyDescent="0.25">
      <c r="A233" s="4" t="s">
        <v>27</v>
      </c>
      <c r="B233" s="4" t="str">
        <f>VLOOKUP(A233,'Ledger &amp; Group'!A:C,2,0)</f>
        <v>Cavinkare</v>
      </c>
      <c r="C233" s="4">
        <f>VLOOKUP(A233,'Ledger &amp; Group'!A:C,3,0)</f>
        <v>60</v>
      </c>
      <c r="D233" s="45">
        <f t="shared" si="6"/>
        <v>383</v>
      </c>
      <c r="E233" s="4" t="str">
        <f ca="1">IF(D233&lt;=TODAY(),IF(ISNA(VLOOKUP(V233,'Unreconciled AR'!C:C,1,0)),"Due","Unreconciled AR"),"Outstanding")</f>
        <v>Due</v>
      </c>
      <c r="F233" s="4">
        <f t="shared" ca="1" si="7"/>
        <v>44376</v>
      </c>
      <c r="G233" s="4" t="e">
        <f ca="1">LOOKUP(F233,{-10000,-60,-30,-15,0,1,10000},{"&gt;60","31-60","16-30","01-15","Due on Today","OS"})</f>
        <v>#N/A</v>
      </c>
      <c r="H233" s="4" t="s">
        <v>103</v>
      </c>
      <c r="I233" s="4" t="s">
        <v>103</v>
      </c>
      <c r="J233" s="4" t="s">
        <v>104</v>
      </c>
      <c r="K233" s="4" t="s">
        <v>111</v>
      </c>
      <c r="L233" s="4" t="s">
        <v>112</v>
      </c>
      <c r="M233" s="4" t="s">
        <v>113</v>
      </c>
      <c r="N233" s="4" t="s">
        <v>103</v>
      </c>
      <c r="O233" s="4" t="s">
        <v>432</v>
      </c>
      <c r="P233" s="5"/>
      <c r="Q233" s="5"/>
      <c r="R233" s="4" t="s">
        <v>433</v>
      </c>
      <c r="S233" s="5"/>
      <c r="T233" s="4" t="s">
        <v>107</v>
      </c>
      <c r="U233" s="45">
        <v>323</v>
      </c>
      <c r="V233" s="4" t="s">
        <v>510</v>
      </c>
      <c r="W233" s="45">
        <v>323</v>
      </c>
      <c r="X233" s="4" t="s">
        <v>8</v>
      </c>
      <c r="Y233" s="5">
        <v>1</v>
      </c>
      <c r="Z233" s="4" t="s">
        <v>108</v>
      </c>
      <c r="AA233" s="5"/>
      <c r="AB233" s="5">
        <v>179</v>
      </c>
      <c r="AC233" s="4" t="s">
        <v>109</v>
      </c>
      <c r="AD233" s="45">
        <v>323</v>
      </c>
      <c r="AE233" s="4" t="s">
        <v>510</v>
      </c>
      <c r="AF233" s="4"/>
      <c r="AG233" s="5">
        <v>1000000</v>
      </c>
      <c r="AH233" s="5">
        <v>1000000</v>
      </c>
      <c r="AI233" s="5">
        <v>0</v>
      </c>
      <c r="AJ233" s="5">
        <v>1000000</v>
      </c>
      <c r="AK233" s="5">
        <v>0</v>
      </c>
      <c r="AL233" s="5">
        <v>1000000</v>
      </c>
      <c r="AM233" s="5"/>
    </row>
    <row r="234" spans="1:39" ht="38.25" x14ac:dyDescent="0.25">
      <c r="A234" s="4" t="s">
        <v>27</v>
      </c>
      <c r="B234" s="4" t="str">
        <f>VLOOKUP(A234,'Ledger &amp; Group'!A:C,2,0)</f>
        <v>Cavinkare</v>
      </c>
      <c r="C234" s="4">
        <f>VLOOKUP(A234,'Ledger &amp; Group'!A:C,3,0)</f>
        <v>60</v>
      </c>
      <c r="D234" s="45">
        <f t="shared" si="6"/>
        <v>385</v>
      </c>
      <c r="E234" s="4" t="str">
        <f ca="1">IF(D234&lt;=TODAY(),IF(ISNA(VLOOKUP(V234,'Unreconciled AR'!C:C,1,0)),"Due","Unreconciled AR"),"Outstanding")</f>
        <v>Due</v>
      </c>
      <c r="F234" s="4">
        <f t="shared" ca="1" si="7"/>
        <v>44374</v>
      </c>
      <c r="G234" s="4" t="e">
        <f ca="1">LOOKUP(F234,{-10000,-60,-30,-15,0,1,10000},{"&gt;60","31-60","16-30","01-15","Due on Today","OS"})</f>
        <v>#N/A</v>
      </c>
      <c r="H234" s="4" t="s">
        <v>103</v>
      </c>
      <c r="I234" s="4" t="s">
        <v>103</v>
      </c>
      <c r="J234" s="4" t="s">
        <v>104</v>
      </c>
      <c r="K234" s="4" t="s">
        <v>111</v>
      </c>
      <c r="L234" s="4" t="s">
        <v>112</v>
      </c>
      <c r="M234" s="4" t="s">
        <v>113</v>
      </c>
      <c r="N234" s="4" t="s">
        <v>103</v>
      </c>
      <c r="O234" s="4" t="s">
        <v>432</v>
      </c>
      <c r="P234" s="5"/>
      <c r="Q234" s="5"/>
      <c r="R234" s="4" t="s">
        <v>433</v>
      </c>
      <c r="S234" s="5"/>
      <c r="T234" s="4" t="s">
        <v>107</v>
      </c>
      <c r="U234" s="45">
        <v>325</v>
      </c>
      <c r="V234" s="4" t="s">
        <v>511</v>
      </c>
      <c r="W234" s="45">
        <v>325</v>
      </c>
      <c r="X234" s="4" t="s">
        <v>8</v>
      </c>
      <c r="Y234" s="5">
        <v>1</v>
      </c>
      <c r="Z234" s="4" t="s">
        <v>108</v>
      </c>
      <c r="AA234" s="5"/>
      <c r="AB234" s="5">
        <v>177</v>
      </c>
      <c r="AC234" s="4" t="s">
        <v>109</v>
      </c>
      <c r="AD234" s="45">
        <v>325</v>
      </c>
      <c r="AE234" s="4" t="s">
        <v>511</v>
      </c>
      <c r="AF234" s="4"/>
      <c r="AG234" s="5">
        <v>1000000</v>
      </c>
      <c r="AH234" s="5">
        <v>1000000</v>
      </c>
      <c r="AI234" s="5">
        <v>0</v>
      </c>
      <c r="AJ234" s="5">
        <v>1000000</v>
      </c>
      <c r="AK234" s="5">
        <v>0</v>
      </c>
      <c r="AL234" s="5">
        <v>1000000</v>
      </c>
      <c r="AM234" s="5"/>
    </row>
    <row r="235" spans="1:39" ht="38.25" x14ac:dyDescent="0.25">
      <c r="A235" s="4" t="s">
        <v>27</v>
      </c>
      <c r="B235" s="4" t="str">
        <f>VLOOKUP(A235,'Ledger &amp; Group'!A:C,2,0)</f>
        <v>Cavinkare</v>
      </c>
      <c r="C235" s="4">
        <f>VLOOKUP(A235,'Ledger &amp; Group'!A:C,3,0)</f>
        <v>60</v>
      </c>
      <c r="D235" s="45">
        <f t="shared" si="6"/>
        <v>392</v>
      </c>
      <c r="E235" s="4" t="str">
        <f ca="1">IF(D235&lt;=TODAY(),IF(ISNA(VLOOKUP(V235,'Unreconciled AR'!C:C,1,0)),"Due","Unreconciled AR"),"Outstanding")</f>
        <v>Due</v>
      </c>
      <c r="F235" s="4">
        <f t="shared" ca="1" si="7"/>
        <v>44367</v>
      </c>
      <c r="G235" s="4" t="e">
        <f ca="1">LOOKUP(F235,{-10000,-60,-30,-15,0,1,10000},{"&gt;60","31-60","16-30","01-15","Due on Today","OS"})</f>
        <v>#N/A</v>
      </c>
      <c r="H235" s="4" t="s">
        <v>103</v>
      </c>
      <c r="I235" s="4" t="s">
        <v>103</v>
      </c>
      <c r="J235" s="4" t="s">
        <v>104</v>
      </c>
      <c r="K235" s="4" t="s">
        <v>111</v>
      </c>
      <c r="L235" s="4" t="s">
        <v>112</v>
      </c>
      <c r="M235" s="4" t="s">
        <v>113</v>
      </c>
      <c r="N235" s="4" t="s">
        <v>103</v>
      </c>
      <c r="O235" s="4" t="s">
        <v>432</v>
      </c>
      <c r="P235" s="5"/>
      <c r="Q235" s="5"/>
      <c r="R235" s="4" t="s">
        <v>433</v>
      </c>
      <c r="S235" s="5"/>
      <c r="T235" s="4" t="s">
        <v>107</v>
      </c>
      <c r="U235" s="45">
        <v>332</v>
      </c>
      <c r="V235" s="4" t="s">
        <v>512</v>
      </c>
      <c r="W235" s="45">
        <v>332</v>
      </c>
      <c r="X235" s="4" t="s">
        <v>8</v>
      </c>
      <c r="Y235" s="5">
        <v>1</v>
      </c>
      <c r="Z235" s="4" t="s">
        <v>108</v>
      </c>
      <c r="AA235" s="5"/>
      <c r="AB235" s="5">
        <v>170</v>
      </c>
      <c r="AC235" s="4" t="s">
        <v>109</v>
      </c>
      <c r="AD235" s="45">
        <v>332</v>
      </c>
      <c r="AE235" s="4" t="s">
        <v>512</v>
      </c>
      <c r="AF235" s="4"/>
      <c r="AG235" s="5">
        <v>1000000</v>
      </c>
      <c r="AH235" s="5">
        <v>1000000</v>
      </c>
      <c r="AI235" s="5">
        <v>0</v>
      </c>
      <c r="AJ235" s="5">
        <v>1000000</v>
      </c>
      <c r="AK235" s="5">
        <v>0</v>
      </c>
      <c r="AL235" s="5">
        <v>1000000</v>
      </c>
      <c r="AM235" s="5"/>
    </row>
    <row r="236" spans="1:39" ht="38.25" x14ac:dyDescent="0.25">
      <c r="A236" s="4" t="s">
        <v>27</v>
      </c>
      <c r="B236" s="4" t="str">
        <f>VLOOKUP(A236,'Ledger &amp; Group'!A:C,2,0)</f>
        <v>Cavinkare</v>
      </c>
      <c r="C236" s="4">
        <f>VLOOKUP(A236,'Ledger &amp; Group'!A:C,3,0)</f>
        <v>60</v>
      </c>
      <c r="D236" s="45">
        <f t="shared" si="6"/>
        <v>399</v>
      </c>
      <c r="E236" s="4" t="str">
        <f ca="1">IF(D236&lt;=TODAY(),IF(ISNA(VLOOKUP(V236,'Unreconciled AR'!C:C,1,0)),"Due","Unreconciled AR"),"Outstanding")</f>
        <v>Due</v>
      </c>
      <c r="F236" s="4">
        <f t="shared" ca="1" si="7"/>
        <v>44360</v>
      </c>
      <c r="G236" s="4" t="e">
        <f ca="1">LOOKUP(F236,{-10000,-60,-30,-15,0,1,10000},{"&gt;60","31-60","16-30","01-15","Due on Today","OS"})</f>
        <v>#N/A</v>
      </c>
      <c r="H236" s="4" t="s">
        <v>103</v>
      </c>
      <c r="I236" s="4" t="s">
        <v>103</v>
      </c>
      <c r="J236" s="4" t="s">
        <v>104</v>
      </c>
      <c r="K236" s="4" t="s">
        <v>111</v>
      </c>
      <c r="L236" s="4" t="s">
        <v>112</v>
      </c>
      <c r="M236" s="4" t="s">
        <v>113</v>
      </c>
      <c r="N236" s="4" t="s">
        <v>103</v>
      </c>
      <c r="O236" s="4" t="s">
        <v>432</v>
      </c>
      <c r="P236" s="5"/>
      <c r="Q236" s="5"/>
      <c r="R236" s="4" t="s">
        <v>433</v>
      </c>
      <c r="S236" s="5"/>
      <c r="T236" s="4" t="s">
        <v>107</v>
      </c>
      <c r="U236" s="45">
        <v>339</v>
      </c>
      <c r="V236" s="4" t="s">
        <v>513</v>
      </c>
      <c r="W236" s="45">
        <v>339</v>
      </c>
      <c r="X236" s="4" t="s">
        <v>8</v>
      </c>
      <c r="Y236" s="5">
        <v>1</v>
      </c>
      <c r="Z236" s="4" t="s">
        <v>108</v>
      </c>
      <c r="AA236" s="5"/>
      <c r="AB236" s="5">
        <v>163</v>
      </c>
      <c r="AC236" s="4" t="s">
        <v>109</v>
      </c>
      <c r="AD236" s="45">
        <v>339</v>
      </c>
      <c r="AE236" s="4" t="s">
        <v>513</v>
      </c>
      <c r="AF236" s="4"/>
      <c r="AG236" s="5">
        <v>1000000</v>
      </c>
      <c r="AH236" s="5">
        <v>1000000</v>
      </c>
      <c r="AI236" s="5">
        <v>0</v>
      </c>
      <c r="AJ236" s="5">
        <v>1000000</v>
      </c>
      <c r="AK236" s="5">
        <v>0</v>
      </c>
      <c r="AL236" s="5">
        <v>1000000</v>
      </c>
      <c r="AM236" s="5"/>
    </row>
    <row r="237" spans="1:39" ht="38.25" x14ac:dyDescent="0.25">
      <c r="A237" s="4" t="s">
        <v>27</v>
      </c>
      <c r="B237" s="4" t="str">
        <f>VLOOKUP(A237,'Ledger &amp; Group'!A:C,2,0)</f>
        <v>Cavinkare</v>
      </c>
      <c r="C237" s="4">
        <f>VLOOKUP(A237,'Ledger &amp; Group'!A:C,3,0)</f>
        <v>60</v>
      </c>
      <c r="D237" s="45">
        <f t="shared" si="6"/>
        <v>423</v>
      </c>
      <c r="E237" s="4" t="str">
        <f ca="1">IF(D237&lt;=TODAY(),IF(ISNA(VLOOKUP(V237,'Unreconciled AR'!C:C,1,0)),"Due","Unreconciled AR"),"Outstanding")</f>
        <v>Due</v>
      </c>
      <c r="F237" s="4">
        <f t="shared" ca="1" si="7"/>
        <v>44336</v>
      </c>
      <c r="G237" s="4" t="e">
        <f ca="1">LOOKUP(F237,{-10000,-60,-30,-15,0,1,10000},{"&gt;60","31-60","16-30","01-15","Due on Today","OS"})</f>
        <v>#N/A</v>
      </c>
      <c r="H237" s="4" t="s">
        <v>103</v>
      </c>
      <c r="I237" s="4" t="s">
        <v>103</v>
      </c>
      <c r="J237" s="4" t="s">
        <v>104</v>
      </c>
      <c r="K237" s="4" t="s">
        <v>111</v>
      </c>
      <c r="L237" s="4" t="s">
        <v>112</v>
      </c>
      <c r="M237" s="4" t="s">
        <v>113</v>
      </c>
      <c r="N237" s="4" t="s">
        <v>103</v>
      </c>
      <c r="O237" s="4" t="s">
        <v>432</v>
      </c>
      <c r="P237" s="5"/>
      <c r="Q237" s="5"/>
      <c r="R237" s="4" t="s">
        <v>433</v>
      </c>
      <c r="S237" s="5"/>
      <c r="T237" s="4" t="s">
        <v>107</v>
      </c>
      <c r="U237" s="45">
        <v>363</v>
      </c>
      <c r="V237" s="4" t="s">
        <v>514</v>
      </c>
      <c r="W237" s="45">
        <v>363</v>
      </c>
      <c r="X237" s="4" t="s">
        <v>8</v>
      </c>
      <c r="Y237" s="5">
        <v>1</v>
      </c>
      <c r="Z237" s="4" t="s">
        <v>108</v>
      </c>
      <c r="AA237" s="5"/>
      <c r="AB237" s="5">
        <v>139</v>
      </c>
      <c r="AC237" s="4" t="s">
        <v>109</v>
      </c>
      <c r="AD237" s="45">
        <v>363</v>
      </c>
      <c r="AE237" s="4" t="s">
        <v>514</v>
      </c>
      <c r="AF237" s="4"/>
      <c r="AG237" s="5">
        <v>1000000</v>
      </c>
      <c r="AH237" s="5">
        <v>1000000</v>
      </c>
      <c r="AI237" s="5">
        <v>0</v>
      </c>
      <c r="AJ237" s="5">
        <v>1000000</v>
      </c>
      <c r="AK237" s="5">
        <v>0</v>
      </c>
      <c r="AL237" s="5">
        <v>1000000</v>
      </c>
      <c r="AM237" s="5"/>
    </row>
    <row r="238" spans="1:39" ht="38.25" x14ac:dyDescent="0.25">
      <c r="A238" s="4" t="s">
        <v>27</v>
      </c>
      <c r="B238" s="4" t="str">
        <f>VLOOKUP(A238,'Ledger &amp; Group'!A:C,2,0)</f>
        <v>Cavinkare</v>
      </c>
      <c r="C238" s="4">
        <f>VLOOKUP(A238,'Ledger &amp; Group'!A:C,3,0)</f>
        <v>60</v>
      </c>
      <c r="D238" s="45">
        <f t="shared" si="6"/>
        <v>63</v>
      </c>
      <c r="E238" s="4" t="str">
        <f ca="1">IF(D238&lt;=TODAY(),IF(ISNA(VLOOKUP(V238,'Unreconciled AR'!C:C,1,0)),"Due","Unreconciled AR"),"Outstanding")</f>
        <v>Due</v>
      </c>
      <c r="F238" s="4">
        <f t="shared" ca="1" si="7"/>
        <v>44696</v>
      </c>
      <c r="G238" s="4" t="e">
        <f ca="1">LOOKUP(F238,{-10000,-60,-30,-15,0,1,10000},{"&gt;60","31-60","16-30","01-15","Due on Today","OS"})</f>
        <v>#N/A</v>
      </c>
      <c r="H238" s="4" t="s">
        <v>103</v>
      </c>
      <c r="I238" s="4" t="s">
        <v>103</v>
      </c>
      <c r="J238" s="4" t="s">
        <v>104</v>
      </c>
      <c r="K238" s="4" t="s">
        <v>111</v>
      </c>
      <c r="L238" s="4" t="s">
        <v>112</v>
      </c>
      <c r="M238" s="4" t="s">
        <v>113</v>
      </c>
      <c r="N238" s="4" t="s">
        <v>103</v>
      </c>
      <c r="O238" s="4" t="s">
        <v>432</v>
      </c>
      <c r="P238" s="5"/>
      <c r="Q238" s="5"/>
      <c r="R238" s="4" t="s">
        <v>433</v>
      </c>
      <c r="S238" s="5"/>
      <c r="T238" s="4" t="s">
        <v>107</v>
      </c>
      <c r="U238" s="45">
        <v>3</v>
      </c>
      <c r="V238" s="4" t="s">
        <v>515</v>
      </c>
      <c r="W238" s="45">
        <v>3</v>
      </c>
      <c r="X238" s="4" t="s">
        <v>8</v>
      </c>
      <c r="Y238" s="5">
        <v>1</v>
      </c>
      <c r="Z238" s="4" t="s">
        <v>108</v>
      </c>
      <c r="AA238" s="5"/>
      <c r="AB238" s="5">
        <v>133</v>
      </c>
      <c r="AC238" s="4" t="s">
        <v>109</v>
      </c>
      <c r="AD238" s="45">
        <v>3</v>
      </c>
      <c r="AE238" s="4" t="s">
        <v>515</v>
      </c>
      <c r="AF238" s="4"/>
      <c r="AG238" s="5">
        <v>1000000</v>
      </c>
      <c r="AH238" s="5">
        <v>1000000</v>
      </c>
      <c r="AI238" s="5">
        <v>0</v>
      </c>
      <c r="AJ238" s="5">
        <v>1000000</v>
      </c>
      <c r="AK238" s="5">
        <v>0</v>
      </c>
      <c r="AL238" s="5">
        <v>1000000</v>
      </c>
      <c r="AM238" s="5"/>
    </row>
    <row r="239" spans="1:39" ht="38.25" x14ac:dyDescent="0.25">
      <c r="A239" s="4" t="s">
        <v>27</v>
      </c>
      <c r="B239" s="4" t="str">
        <f>VLOOKUP(A239,'Ledger &amp; Group'!A:C,2,0)</f>
        <v>Cavinkare</v>
      </c>
      <c r="C239" s="4">
        <f>VLOOKUP(A239,'Ledger &amp; Group'!A:C,3,0)</f>
        <v>60</v>
      </c>
      <c r="D239" s="45">
        <f t="shared" si="6"/>
        <v>71</v>
      </c>
      <c r="E239" s="4" t="str">
        <f ca="1">IF(D239&lt;=TODAY(),IF(ISNA(VLOOKUP(V239,'Unreconciled AR'!C:C,1,0)),"Due","Unreconciled AR"),"Outstanding")</f>
        <v>Due</v>
      </c>
      <c r="F239" s="4">
        <f t="shared" ca="1" si="7"/>
        <v>44688</v>
      </c>
      <c r="G239" s="4" t="e">
        <f ca="1">LOOKUP(F239,{-10000,-60,-30,-15,0,1,10000},{"&gt;60","31-60","16-30","01-15","Due on Today","OS"})</f>
        <v>#N/A</v>
      </c>
      <c r="H239" s="4" t="s">
        <v>103</v>
      </c>
      <c r="I239" s="4" t="s">
        <v>103</v>
      </c>
      <c r="J239" s="4" t="s">
        <v>104</v>
      </c>
      <c r="K239" s="4" t="s">
        <v>111</v>
      </c>
      <c r="L239" s="4" t="s">
        <v>112</v>
      </c>
      <c r="M239" s="4" t="s">
        <v>113</v>
      </c>
      <c r="N239" s="4" t="s">
        <v>103</v>
      </c>
      <c r="O239" s="4" t="s">
        <v>432</v>
      </c>
      <c r="P239" s="5"/>
      <c r="Q239" s="5"/>
      <c r="R239" s="4" t="s">
        <v>433</v>
      </c>
      <c r="S239" s="5"/>
      <c r="T239" s="4" t="s">
        <v>107</v>
      </c>
      <c r="U239" s="45">
        <v>11</v>
      </c>
      <c r="V239" s="4" t="s">
        <v>516</v>
      </c>
      <c r="W239" s="45">
        <v>11</v>
      </c>
      <c r="X239" s="4" t="s">
        <v>8</v>
      </c>
      <c r="Y239" s="5">
        <v>1</v>
      </c>
      <c r="Z239" s="4" t="s">
        <v>108</v>
      </c>
      <c r="AA239" s="5"/>
      <c r="AB239" s="5">
        <v>125</v>
      </c>
      <c r="AC239" s="4" t="s">
        <v>109</v>
      </c>
      <c r="AD239" s="45">
        <v>11</v>
      </c>
      <c r="AE239" s="4" t="s">
        <v>516</v>
      </c>
      <c r="AF239" s="4"/>
      <c r="AG239" s="5">
        <v>1000000</v>
      </c>
      <c r="AH239" s="5">
        <v>1000000</v>
      </c>
      <c r="AI239" s="5">
        <v>0</v>
      </c>
      <c r="AJ239" s="5">
        <v>1000000</v>
      </c>
      <c r="AK239" s="5">
        <v>0</v>
      </c>
      <c r="AL239" s="5">
        <v>1000000</v>
      </c>
      <c r="AM239" s="5"/>
    </row>
    <row r="240" spans="1:39" ht="38.25" x14ac:dyDescent="0.25">
      <c r="A240" s="4" t="s">
        <v>27</v>
      </c>
      <c r="B240" s="4" t="str">
        <f>VLOOKUP(A240,'Ledger &amp; Group'!A:C,2,0)</f>
        <v>Cavinkare</v>
      </c>
      <c r="C240" s="4">
        <f>VLOOKUP(A240,'Ledger &amp; Group'!A:C,3,0)</f>
        <v>60</v>
      </c>
      <c r="D240" s="45">
        <f t="shared" si="6"/>
        <v>78</v>
      </c>
      <c r="E240" s="4" t="str">
        <f ca="1">IF(D240&lt;=TODAY(),IF(ISNA(VLOOKUP(V240,'Unreconciled AR'!C:C,1,0)),"Due","Unreconciled AR"),"Outstanding")</f>
        <v>Due</v>
      </c>
      <c r="F240" s="4">
        <f t="shared" ca="1" si="7"/>
        <v>44681</v>
      </c>
      <c r="G240" s="4" t="e">
        <f ca="1">LOOKUP(F240,{-10000,-60,-30,-15,0,1,10000},{"&gt;60","31-60","16-30","01-15","Due on Today","OS"})</f>
        <v>#N/A</v>
      </c>
      <c r="H240" s="4" t="s">
        <v>103</v>
      </c>
      <c r="I240" s="4" t="s">
        <v>103</v>
      </c>
      <c r="J240" s="4" t="s">
        <v>104</v>
      </c>
      <c r="K240" s="4" t="s">
        <v>111</v>
      </c>
      <c r="L240" s="4" t="s">
        <v>112</v>
      </c>
      <c r="M240" s="4" t="s">
        <v>113</v>
      </c>
      <c r="N240" s="4" t="s">
        <v>103</v>
      </c>
      <c r="O240" s="4" t="s">
        <v>432</v>
      </c>
      <c r="P240" s="5"/>
      <c r="Q240" s="5"/>
      <c r="R240" s="4" t="s">
        <v>433</v>
      </c>
      <c r="S240" s="5"/>
      <c r="T240" s="4" t="s">
        <v>107</v>
      </c>
      <c r="U240" s="45">
        <v>18</v>
      </c>
      <c r="V240" s="4" t="s">
        <v>517</v>
      </c>
      <c r="W240" s="45">
        <v>18</v>
      </c>
      <c r="X240" s="4" t="s">
        <v>8</v>
      </c>
      <c r="Y240" s="5">
        <v>1</v>
      </c>
      <c r="Z240" s="4" t="s">
        <v>108</v>
      </c>
      <c r="AA240" s="5"/>
      <c r="AB240" s="5">
        <v>118</v>
      </c>
      <c r="AC240" s="4" t="s">
        <v>109</v>
      </c>
      <c r="AD240" s="45">
        <v>18</v>
      </c>
      <c r="AE240" s="4" t="s">
        <v>517</v>
      </c>
      <c r="AF240" s="4"/>
      <c r="AG240" s="5">
        <v>1000000</v>
      </c>
      <c r="AH240" s="5">
        <v>1000000</v>
      </c>
      <c r="AI240" s="5">
        <v>0</v>
      </c>
      <c r="AJ240" s="5">
        <v>1000000</v>
      </c>
      <c r="AK240" s="5">
        <v>0</v>
      </c>
      <c r="AL240" s="5">
        <v>1000000</v>
      </c>
      <c r="AM240" s="5"/>
    </row>
    <row r="241" spans="1:39" ht="38.25" x14ac:dyDescent="0.25">
      <c r="A241" s="4" t="s">
        <v>27</v>
      </c>
      <c r="B241" s="4" t="str">
        <f>VLOOKUP(A241,'Ledger &amp; Group'!A:C,2,0)</f>
        <v>Cavinkare</v>
      </c>
      <c r="C241" s="4">
        <f>VLOOKUP(A241,'Ledger &amp; Group'!A:C,3,0)</f>
        <v>60</v>
      </c>
      <c r="D241" s="45">
        <f t="shared" si="6"/>
        <v>137</v>
      </c>
      <c r="E241" s="4" t="str">
        <f ca="1">IF(D241&lt;=TODAY(),IF(ISNA(VLOOKUP(V241,'Unreconciled AR'!C:C,1,0)),"Due","Unreconciled AR"),"Outstanding")</f>
        <v>Due</v>
      </c>
      <c r="F241" s="4">
        <f t="shared" ca="1" si="7"/>
        <v>44622</v>
      </c>
      <c r="G241" s="4" t="e">
        <f ca="1">LOOKUP(F241,{-10000,-60,-30,-15,0,1,10000},{"&gt;60","31-60","16-30","01-15","Due on Today","OS"})</f>
        <v>#N/A</v>
      </c>
      <c r="H241" s="4" t="s">
        <v>103</v>
      </c>
      <c r="I241" s="4" t="s">
        <v>103</v>
      </c>
      <c r="J241" s="4" t="s">
        <v>104</v>
      </c>
      <c r="K241" s="4" t="s">
        <v>111</v>
      </c>
      <c r="L241" s="4" t="s">
        <v>112</v>
      </c>
      <c r="M241" s="4" t="s">
        <v>113</v>
      </c>
      <c r="N241" s="4" t="s">
        <v>103</v>
      </c>
      <c r="O241" s="4" t="s">
        <v>432</v>
      </c>
      <c r="P241" s="5"/>
      <c r="Q241" s="5"/>
      <c r="R241" s="4" t="s">
        <v>433</v>
      </c>
      <c r="S241" s="5"/>
      <c r="T241" s="4" t="s">
        <v>107</v>
      </c>
      <c r="U241" s="45">
        <v>77</v>
      </c>
      <c r="V241" s="4" t="s">
        <v>518</v>
      </c>
      <c r="W241" s="45">
        <v>77</v>
      </c>
      <c r="X241" s="4" t="s">
        <v>8</v>
      </c>
      <c r="Y241" s="5">
        <v>1</v>
      </c>
      <c r="Z241" s="4" t="s">
        <v>108</v>
      </c>
      <c r="AA241" s="5"/>
      <c r="AB241" s="5">
        <v>60</v>
      </c>
      <c r="AC241" s="4" t="s">
        <v>109</v>
      </c>
      <c r="AD241" s="45">
        <v>77</v>
      </c>
      <c r="AE241" s="4" t="s">
        <v>518</v>
      </c>
      <c r="AF241" s="4"/>
      <c r="AG241" s="5">
        <v>1000000</v>
      </c>
      <c r="AH241" s="5">
        <v>1000000</v>
      </c>
      <c r="AI241" s="5">
        <v>0</v>
      </c>
      <c r="AJ241" s="5">
        <v>1000000</v>
      </c>
      <c r="AK241" s="5">
        <v>0</v>
      </c>
      <c r="AL241" s="5">
        <v>1000000</v>
      </c>
      <c r="AM241" s="5"/>
    </row>
    <row r="242" spans="1:39" ht="38.25" x14ac:dyDescent="0.25">
      <c r="A242" s="4" t="s">
        <v>27</v>
      </c>
      <c r="B242" s="4" t="str">
        <f>VLOOKUP(A242,'Ledger &amp; Group'!A:C,2,0)</f>
        <v>Cavinkare</v>
      </c>
      <c r="C242" s="4">
        <f>VLOOKUP(A242,'Ledger &amp; Group'!A:C,3,0)</f>
        <v>60</v>
      </c>
      <c r="D242" s="45">
        <f t="shared" si="6"/>
        <v>143</v>
      </c>
      <c r="E242" s="4" t="str">
        <f ca="1">IF(D242&lt;=TODAY(),IF(ISNA(VLOOKUP(V242,'Unreconciled AR'!C:C,1,0)),"Due","Unreconciled AR"),"Outstanding")</f>
        <v>Due</v>
      </c>
      <c r="F242" s="4">
        <f t="shared" ca="1" si="7"/>
        <v>44616</v>
      </c>
      <c r="G242" s="4" t="e">
        <f ca="1">LOOKUP(F242,{-10000,-60,-30,-15,0,1,10000},{"&gt;60","31-60","16-30","01-15","Due on Today","OS"})</f>
        <v>#N/A</v>
      </c>
      <c r="H242" s="4" t="s">
        <v>103</v>
      </c>
      <c r="I242" s="4" t="s">
        <v>103</v>
      </c>
      <c r="J242" s="4" t="s">
        <v>104</v>
      </c>
      <c r="K242" s="4" t="s">
        <v>111</v>
      </c>
      <c r="L242" s="4" t="s">
        <v>112</v>
      </c>
      <c r="M242" s="4" t="s">
        <v>113</v>
      </c>
      <c r="N242" s="4" t="s">
        <v>103</v>
      </c>
      <c r="O242" s="4" t="s">
        <v>432</v>
      </c>
      <c r="P242" s="5"/>
      <c r="Q242" s="5"/>
      <c r="R242" s="4" t="s">
        <v>433</v>
      </c>
      <c r="S242" s="5"/>
      <c r="T242" s="4" t="s">
        <v>107</v>
      </c>
      <c r="U242" s="45">
        <v>83</v>
      </c>
      <c r="V242" s="4" t="s">
        <v>519</v>
      </c>
      <c r="W242" s="45">
        <v>83</v>
      </c>
      <c r="X242" s="4" t="s">
        <v>8</v>
      </c>
      <c r="Y242" s="5">
        <v>1</v>
      </c>
      <c r="Z242" s="4" t="s">
        <v>108</v>
      </c>
      <c r="AA242" s="5"/>
      <c r="AB242" s="5">
        <v>54</v>
      </c>
      <c r="AC242" s="4" t="s">
        <v>109</v>
      </c>
      <c r="AD242" s="45">
        <v>83</v>
      </c>
      <c r="AE242" s="4" t="s">
        <v>519</v>
      </c>
      <c r="AF242" s="4"/>
      <c r="AG242" s="5">
        <v>1000000</v>
      </c>
      <c r="AH242" s="5">
        <v>1000000</v>
      </c>
      <c r="AI242" s="5">
        <v>0</v>
      </c>
      <c r="AJ242" s="5">
        <v>1000000</v>
      </c>
      <c r="AK242" s="5">
        <v>0</v>
      </c>
      <c r="AL242" s="5">
        <v>1000000</v>
      </c>
      <c r="AM242" s="5"/>
    </row>
    <row r="243" spans="1:39" ht="38.25" x14ac:dyDescent="0.25">
      <c r="A243" s="4" t="s">
        <v>27</v>
      </c>
      <c r="B243" s="4" t="str">
        <f>VLOOKUP(A243,'Ledger &amp; Group'!A:C,2,0)</f>
        <v>Cavinkare</v>
      </c>
      <c r="C243" s="4">
        <f>VLOOKUP(A243,'Ledger &amp; Group'!A:C,3,0)</f>
        <v>60</v>
      </c>
      <c r="D243" s="45">
        <f t="shared" si="6"/>
        <v>153</v>
      </c>
      <c r="E243" s="4" t="str">
        <f ca="1">IF(D243&lt;=TODAY(),IF(ISNA(VLOOKUP(V243,'Unreconciled AR'!C:C,1,0)),"Due","Unreconciled AR"),"Outstanding")</f>
        <v>Due</v>
      </c>
      <c r="F243" s="4">
        <f t="shared" ca="1" si="7"/>
        <v>44606</v>
      </c>
      <c r="G243" s="4" t="e">
        <f ca="1">LOOKUP(F243,{-10000,-60,-30,-15,0,1,10000},{"&gt;60","31-60","16-30","01-15","Due on Today","OS"})</f>
        <v>#N/A</v>
      </c>
      <c r="H243" s="4" t="s">
        <v>103</v>
      </c>
      <c r="I243" s="4" t="s">
        <v>103</v>
      </c>
      <c r="J243" s="4" t="s">
        <v>104</v>
      </c>
      <c r="K243" s="4" t="s">
        <v>111</v>
      </c>
      <c r="L243" s="4" t="s">
        <v>112</v>
      </c>
      <c r="M243" s="4" t="s">
        <v>113</v>
      </c>
      <c r="N243" s="4" t="s">
        <v>103</v>
      </c>
      <c r="O243" s="4" t="s">
        <v>432</v>
      </c>
      <c r="P243" s="5"/>
      <c r="Q243" s="5"/>
      <c r="R243" s="4" t="s">
        <v>433</v>
      </c>
      <c r="S243" s="5"/>
      <c r="T243" s="4" t="s">
        <v>107</v>
      </c>
      <c r="U243" s="45">
        <v>93</v>
      </c>
      <c r="V243" s="4" t="s">
        <v>206</v>
      </c>
      <c r="W243" s="45">
        <v>93</v>
      </c>
      <c r="X243" s="4" t="s">
        <v>8</v>
      </c>
      <c r="Y243" s="5">
        <v>1</v>
      </c>
      <c r="Z243" s="4" t="s">
        <v>108</v>
      </c>
      <c r="AA243" s="5"/>
      <c r="AB243" s="5">
        <v>44</v>
      </c>
      <c r="AC243" s="4" t="s">
        <v>109</v>
      </c>
      <c r="AD243" s="45">
        <v>93</v>
      </c>
      <c r="AE243" s="4" t="s">
        <v>206</v>
      </c>
      <c r="AF243" s="4"/>
      <c r="AG243" s="5">
        <v>1000000</v>
      </c>
      <c r="AH243" s="5">
        <v>1000000</v>
      </c>
      <c r="AI243" s="5">
        <v>0</v>
      </c>
      <c r="AJ243" s="5">
        <v>1000000</v>
      </c>
      <c r="AK243" s="5">
        <v>0</v>
      </c>
      <c r="AL243" s="5">
        <v>1000000</v>
      </c>
      <c r="AM243" s="5"/>
    </row>
    <row r="244" spans="1:39" ht="38.25" x14ac:dyDescent="0.25">
      <c r="A244" s="4" t="s">
        <v>27</v>
      </c>
      <c r="B244" s="4" t="str">
        <f>VLOOKUP(A244,'Ledger &amp; Group'!A:C,2,0)</f>
        <v>Cavinkare</v>
      </c>
      <c r="C244" s="4">
        <f>VLOOKUP(A244,'Ledger &amp; Group'!A:C,3,0)</f>
        <v>60</v>
      </c>
      <c r="D244" s="45">
        <f t="shared" si="6"/>
        <v>158</v>
      </c>
      <c r="E244" s="4" t="str">
        <f ca="1">IF(D244&lt;=TODAY(),IF(ISNA(VLOOKUP(V244,'Unreconciled AR'!C:C,1,0)),"Due","Unreconciled AR"),"Outstanding")</f>
        <v>Due</v>
      </c>
      <c r="F244" s="4">
        <f t="shared" ca="1" si="7"/>
        <v>44601</v>
      </c>
      <c r="G244" s="4" t="e">
        <f ca="1">LOOKUP(F244,{-10000,-60,-30,-15,0,1,10000},{"&gt;60","31-60","16-30","01-15","Due on Today","OS"})</f>
        <v>#N/A</v>
      </c>
      <c r="H244" s="4" t="s">
        <v>103</v>
      </c>
      <c r="I244" s="4" t="s">
        <v>103</v>
      </c>
      <c r="J244" s="4" t="s">
        <v>104</v>
      </c>
      <c r="K244" s="4" t="s">
        <v>111</v>
      </c>
      <c r="L244" s="4" t="s">
        <v>112</v>
      </c>
      <c r="M244" s="4" t="s">
        <v>113</v>
      </c>
      <c r="N244" s="4" t="s">
        <v>103</v>
      </c>
      <c r="O244" s="4" t="s">
        <v>432</v>
      </c>
      <c r="P244" s="5"/>
      <c r="Q244" s="5"/>
      <c r="R244" s="4" t="s">
        <v>433</v>
      </c>
      <c r="S244" s="5"/>
      <c r="T244" s="4" t="s">
        <v>107</v>
      </c>
      <c r="U244" s="45">
        <v>98</v>
      </c>
      <c r="V244" s="4" t="s">
        <v>227</v>
      </c>
      <c r="W244" s="45">
        <v>98</v>
      </c>
      <c r="X244" s="4" t="s">
        <v>8</v>
      </c>
      <c r="Y244" s="5">
        <v>1</v>
      </c>
      <c r="Z244" s="4" t="s">
        <v>108</v>
      </c>
      <c r="AA244" s="5"/>
      <c r="AB244" s="5">
        <v>39</v>
      </c>
      <c r="AC244" s="4" t="s">
        <v>109</v>
      </c>
      <c r="AD244" s="45">
        <v>98</v>
      </c>
      <c r="AE244" s="4" t="s">
        <v>227</v>
      </c>
      <c r="AF244" s="4"/>
      <c r="AG244" s="5">
        <v>1000000</v>
      </c>
      <c r="AH244" s="5">
        <v>1000000</v>
      </c>
      <c r="AI244" s="5">
        <v>0</v>
      </c>
      <c r="AJ244" s="5">
        <v>1000000</v>
      </c>
      <c r="AK244" s="5">
        <v>0</v>
      </c>
      <c r="AL244" s="5">
        <v>1000000</v>
      </c>
      <c r="AM244" s="5"/>
    </row>
    <row r="245" spans="1:39" ht="38.25" x14ac:dyDescent="0.25">
      <c r="A245" s="4" t="s">
        <v>27</v>
      </c>
      <c r="B245" s="4" t="str">
        <f>VLOOKUP(A245,'Ledger &amp; Group'!A:C,2,0)</f>
        <v>Cavinkare</v>
      </c>
      <c r="C245" s="4">
        <f>VLOOKUP(A245,'Ledger &amp; Group'!A:C,3,0)</f>
        <v>60</v>
      </c>
      <c r="D245" s="45">
        <f t="shared" si="6"/>
        <v>164</v>
      </c>
      <c r="E245" s="4" t="str">
        <f ca="1">IF(D245&lt;=TODAY(),IF(ISNA(VLOOKUP(V245,'Unreconciled AR'!C:C,1,0)),"Due","Unreconciled AR"),"Outstanding")</f>
        <v>Due</v>
      </c>
      <c r="F245" s="4">
        <f t="shared" ca="1" si="7"/>
        <v>44595</v>
      </c>
      <c r="G245" s="4" t="e">
        <f ca="1">LOOKUP(F245,{-10000,-60,-30,-15,0,1,10000},{"&gt;60","31-60","16-30","01-15","Due on Today","OS"})</f>
        <v>#N/A</v>
      </c>
      <c r="H245" s="4" t="s">
        <v>103</v>
      </c>
      <c r="I245" s="4" t="s">
        <v>103</v>
      </c>
      <c r="J245" s="4" t="s">
        <v>104</v>
      </c>
      <c r="K245" s="4" t="s">
        <v>111</v>
      </c>
      <c r="L245" s="4" t="s">
        <v>112</v>
      </c>
      <c r="M245" s="4" t="s">
        <v>113</v>
      </c>
      <c r="N245" s="4" t="s">
        <v>103</v>
      </c>
      <c r="O245" s="4" t="s">
        <v>432</v>
      </c>
      <c r="P245" s="5"/>
      <c r="Q245" s="5"/>
      <c r="R245" s="4" t="s">
        <v>433</v>
      </c>
      <c r="S245" s="5"/>
      <c r="T245" s="4" t="s">
        <v>107</v>
      </c>
      <c r="U245" s="45">
        <v>104</v>
      </c>
      <c r="V245" s="4" t="s">
        <v>248</v>
      </c>
      <c r="W245" s="45">
        <v>104</v>
      </c>
      <c r="X245" s="4" t="s">
        <v>8</v>
      </c>
      <c r="Y245" s="5">
        <v>1</v>
      </c>
      <c r="Z245" s="4" t="s">
        <v>108</v>
      </c>
      <c r="AA245" s="5"/>
      <c r="AB245" s="5">
        <v>33</v>
      </c>
      <c r="AC245" s="4" t="s">
        <v>109</v>
      </c>
      <c r="AD245" s="45">
        <v>104</v>
      </c>
      <c r="AE245" s="4" t="s">
        <v>248</v>
      </c>
      <c r="AF245" s="4"/>
      <c r="AG245" s="5">
        <v>1000000</v>
      </c>
      <c r="AH245" s="5">
        <v>1000000</v>
      </c>
      <c r="AI245" s="5">
        <v>0</v>
      </c>
      <c r="AJ245" s="5">
        <v>1000000</v>
      </c>
      <c r="AK245" s="5">
        <v>0</v>
      </c>
      <c r="AL245" s="5">
        <v>1000000</v>
      </c>
      <c r="AM245" s="5"/>
    </row>
    <row r="246" spans="1:39" ht="38.25" x14ac:dyDescent="0.25">
      <c r="A246" s="4" t="s">
        <v>27</v>
      </c>
      <c r="B246" s="4" t="str">
        <f>VLOOKUP(A246,'Ledger &amp; Group'!A:C,2,0)</f>
        <v>Cavinkare</v>
      </c>
      <c r="C246" s="4">
        <f>VLOOKUP(A246,'Ledger &amp; Group'!A:C,3,0)</f>
        <v>60</v>
      </c>
      <c r="D246" s="45">
        <f t="shared" si="6"/>
        <v>169</v>
      </c>
      <c r="E246" s="4" t="str">
        <f ca="1">IF(D246&lt;=TODAY(),IF(ISNA(VLOOKUP(V246,'Unreconciled AR'!C:C,1,0)),"Due","Unreconciled AR"),"Outstanding")</f>
        <v>Due</v>
      </c>
      <c r="F246" s="4">
        <f t="shared" ca="1" si="7"/>
        <v>44590</v>
      </c>
      <c r="G246" s="4" t="e">
        <f ca="1">LOOKUP(F246,{-10000,-60,-30,-15,0,1,10000},{"&gt;60","31-60","16-30","01-15","Due on Today","OS"})</f>
        <v>#N/A</v>
      </c>
      <c r="H246" s="4" t="s">
        <v>103</v>
      </c>
      <c r="I246" s="4" t="s">
        <v>103</v>
      </c>
      <c r="J246" s="4" t="s">
        <v>104</v>
      </c>
      <c r="K246" s="4" t="s">
        <v>111</v>
      </c>
      <c r="L246" s="4" t="s">
        <v>112</v>
      </c>
      <c r="M246" s="4" t="s">
        <v>113</v>
      </c>
      <c r="N246" s="4" t="s">
        <v>103</v>
      </c>
      <c r="O246" s="4" t="s">
        <v>432</v>
      </c>
      <c r="P246" s="5"/>
      <c r="Q246" s="5"/>
      <c r="R246" s="4" t="s">
        <v>433</v>
      </c>
      <c r="S246" s="5"/>
      <c r="T246" s="4" t="s">
        <v>107</v>
      </c>
      <c r="U246" s="45">
        <v>109</v>
      </c>
      <c r="V246" s="4" t="s">
        <v>259</v>
      </c>
      <c r="W246" s="45">
        <v>109</v>
      </c>
      <c r="X246" s="4" t="s">
        <v>8</v>
      </c>
      <c r="Y246" s="5">
        <v>1</v>
      </c>
      <c r="Z246" s="4" t="s">
        <v>108</v>
      </c>
      <c r="AA246" s="5"/>
      <c r="AB246" s="5">
        <v>28</v>
      </c>
      <c r="AC246" s="4" t="s">
        <v>109</v>
      </c>
      <c r="AD246" s="45">
        <v>109</v>
      </c>
      <c r="AE246" s="4" t="s">
        <v>259</v>
      </c>
      <c r="AF246" s="4"/>
      <c r="AG246" s="5">
        <v>1000000</v>
      </c>
      <c r="AH246" s="5">
        <v>1000000</v>
      </c>
      <c r="AI246" s="5">
        <v>0</v>
      </c>
      <c r="AJ246" s="5">
        <v>1000000</v>
      </c>
      <c r="AK246" s="5">
        <v>0</v>
      </c>
      <c r="AL246" s="5">
        <v>1000000</v>
      </c>
      <c r="AM246" s="5"/>
    </row>
    <row r="247" spans="1:39" ht="38.25" x14ac:dyDescent="0.25">
      <c r="A247" s="4" t="s">
        <v>27</v>
      </c>
      <c r="B247" s="4" t="str">
        <f>VLOOKUP(A247,'Ledger &amp; Group'!A:C,2,0)</f>
        <v>Cavinkare</v>
      </c>
      <c r="C247" s="4">
        <f>VLOOKUP(A247,'Ledger &amp; Group'!A:C,3,0)</f>
        <v>60</v>
      </c>
      <c r="D247" s="45">
        <f t="shared" si="6"/>
        <v>172</v>
      </c>
      <c r="E247" s="4" t="str">
        <f ca="1">IF(D247&lt;=TODAY(),IF(ISNA(VLOOKUP(V247,'Unreconciled AR'!C:C,1,0)),"Due","Unreconciled AR"),"Outstanding")</f>
        <v>Due</v>
      </c>
      <c r="F247" s="4">
        <f t="shared" ca="1" si="7"/>
        <v>44587</v>
      </c>
      <c r="G247" s="4" t="e">
        <f ca="1">LOOKUP(F247,{-10000,-60,-30,-15,0,1,10000},{"&gt;60","31-60","16-30","01-15","Due on Today","OS"})</f>
        <v>#N/A</v>
      </c>
      <c r="H247" s="4" t="s">
        <v>103</v>
      </c>
      <c r="I247" s="4" t="s">
        <v>103</v>
      </c>
      <c r="J247" s="4" t="s">
        <v>104</v>
      </c>
      <c r="K247" s="4" t="s">
        <v>111</v>
      </c>
      <c r="L247" s="4" t="s">
        <v>112</v>
      </c>
      <c r="M247" s="4" t="s">
        <v>113</v>
      </c>
      <c r="N247" s="4" t="s">
        <v>103</v>
      </c>
      <c r="O247" s="4" t="s">
        <v>432</v>
      </c>
      <c r="P247" s="5"/>
      <c r="Q247" s="5"/>
      <c r="R247" s="4" t="s">
        <v>433</v>
      </c>
      <c r="S247" s="5"/>
      <c r="T247" s="4" t="s">
        <v>107</v>
      </c>
      <c r="U247" s="45">
        <v>112</v>
      </c>
      <c r="V247" s="4" t="s">
        <v>277</v>
      </c>
      <c r="W247" s="45">
        <v>112</v>
      </c>
      <c r="X247" s="4" t="s">
        <v>8</v>
      </c>
      <c r="Y247" s="5">
        <v>1</v>
      </c>
      <c r="Z247" s="4" t="s">
        <v>108</v>
      </c>
      <c r="AA247" s="5"/>
      <c r="AB247" s="5">
        <v>25</v>
      </c>
      <c r="AC247" s="4" t="s">
        <v>109</v>
      </c>
      <c r="AD247" s="45">
        <v>112</v>
      </c>
      <c r="AE247" s="4" t="s">
        <v>277</v>
      </c>
      <c r="AF247" s="4"/>
      <c r="AG247" s="5">
        <v>1000000</v>
      </c>
      <c r="AH247" s="5">
        <v>1000000</v>
      </c>
      <c r="AI247" s="5">
        <v>0</v>
      </c>
      <c r="AJ247" s="5">
        <v>1000000</v>
      </c>
      <c r="AK247" s="5">
        <v>0</v>
      </c>
      <c r="AL247" s="5">
        <v>1000000</v>
      </c>
      <c r="AM247" s="5"/>
    </row>
    <row r="248" spans="1:39" ht="38.25" x14ac:dyDescent="0.25">
      <c r="A248" s="4" t="s">
        <v>27</v>
      </c>
      <c r="B248" s="4" t="str">
        <f>VLOOKUP(A248,'Ledger &amp; Group'!A:C,2,0)</f>
        <v>Cavinkare</v>
      </c>
      <c r="C248" s="4">
        <f>VLOOKUP(A248,'Ledger &amp; Group'!A:C,3,0)</f>
        <v>60</v>
      </c>
      <c r="D248" s="45">
        <f t="shared" si="6"/>
        <v>180</v>
      </c>
      <c r="E248" s="4" t="str">
        <f ca="1">IF(D248&lt;=TODAY(),IF(ISNA(VLOOKUP(V248,'Unreconciled AR'!C:C,1,0)),"Due","Unreconciled AR"),"Outstanding")</f>
        <v>Due</v>
      </c>
      <c r="F248" s="4">
        <f t="shared" ca="1" si="7"/>
        <v>44579</v>
      </c>
      <c r="G248" s="4" t="e">
        <f ca="1">LOOKUP(F248,{-10000,-60,-30,-15,0,1,10000},{"&gt;60","31-60","16-30","01-15","Due on Today","OS"})</f>
        <v>#N/A</v>
      </c>
      <c r="H248" s="4" t="s">
        <v>103</v>
      </c>
      <c r="I248" s="4" t="s">
        <v>103</v>
      </c>
      <c r="J248" s="4" t="s">
        <v>104</v>
      </c>
      <c r="K248" s="4" t="s">
        <v>111</v>
      </c>
      <c r="L248" s="4" t="s">
        <v>112</v>
      </c>
      <c r="M248" s="4" t="s">
        <v>113</v>
      </c>
      <c r="N248" s="4" t="s">
        <v>103</v>
      </c>
      <c r="O248" s="4" t="s">
        <v>432</v>
      </c>
      <c r="P248" s="5"/>
      <c r="Q248" s="5"/>
      <c r="R248" s="4" t="s">
        <v>433</v>
      </c>
      <c r="S248" s="5"/>
      <c r="T248" s="4" t="s">
        <v>107</v>
      </c>
      <c r="U248" s="45">
        <v>120</v>
      </c>
      <c r="V248" s="4" t="s">
        <v>303</v>
      </c>
      <c r="W248" s="45">
        <v>120</v>
      </c>
      <c r="X248" s="4" t="s">
        <v>8</v>
      </c>
      <c r="Y248" s="5">
        <v>1</v>
      </c>
      <c r="Z248" s="4" t="s">
        <v>108</v>
      </c>
      <c r="AA248" s="5"/>
      <c r="AB248" s="5">
        <v>17</v>
      </c>
      <c r="AC248" s="4" t="s">
        <v>109</v>
      </c>
      <c r="AD248" s="45">
        <v>120</v>
      </c>
      <c r="AE248" s="4" t="s">
        <v>303</v>
      </c>
      <c r="AF248" s="4"/>
      <c r="AG248" s="5">
        <v>1000000</v>
      </c>
      <c r="AH248" s="5">
        <v>1000000</v>
      </c>
      <c r="AI248" s="5">
        <v>0</v>
      </c>
      <c r="AJ248" s="5">
        <v>1000000</v>
      </c>
      <c r="AK248" s="5">
        <v>0</v>
      </c>
      <c r="AL248" s="5">
        <v>1000000</v>
      </c>
      <c r="AM248" s="5"/>
    </row>
    <row r="249" spans="1:39" ht="38.25" x14ac:dyDescent="0.25">
      <c r="A249" s="4" t="s">
        <v>27</v>
      </c>
      <c r="B249" s="4" t="str">
        <f>VLOOKUP(A249,'Ledger &amp; Group'!A:C,2,0)</f>
        <v>Cavinkare</v>
      </c>
      <c r="C249" s="4">
        <f>VLOOKUP(A249,'Ledger &amp; Group'!A:C,3,0)</f>
        <v>60</v>
      </c>
      <c r="D249" s="45">
        <f t="shared" si="6"/>
        <v>184</v>
      </c>
      <c r="E249" s="4" t="str">
        <f ca="1">IF(D249&lt;=TODAY(),IF(ISNA(VLOOKUP(V249,'Unreconciled AR'!C:C,1,0)),"Due","Unreconciled AR"),"Outstanding")</f>
        <v>Due</v>
      </c>
      <c r="F249" s="4">
        <f t="shared" ca="1" si="7"/>
        <v>44575</v>
      </c>
      <c r="G249" s="4" t="e">
        <f ca="1">LOOKUP(F249,{-10000,-60,-30,-15,0,1,10000},{"&gt;60","31-60","16-30","01-15","Due on Today","OS"})</f>
        <v>#N/A</v>
      </c>
      <c r="H249" s="4" t="s">
        <v>103</v>
      </c>
      <c r="I249" s="4" t="s">
        <v>103</v>
      </c>
      <c r="J249" s="4" t="s">
        <v>104</v>
      </c>
      <c r="K249" s="4" t="s">
        <v>111</v>
      </c>
      <c r="L249" s="4" t="s">
        <v>112</v>
      </c>
      <c r="M249" s="4" t="s">
        <v>113</v>
      </c>
      <c r="N249" s="4" t="s">
        <v>103</v>
      </c>
      <c r="O249" s="4" t="s">
        <v>432</v>
      </c>
      <c r="P249" s="5"/>
      <c r="Q249" s="5"/>
      <c r="R249" s="4" t="s">
        <v>433</v>
      </c>
      <c r="S249" s="5"/>
      <c r="T249" s="4" t="s">
        <v>107</v>
      </c>
      <c r="U249" s="45">
        <v>124</v>
      </c>
      <c r="V249" s="4" t="s">
        <v>327</v>
      </c>
      <c r="W249" s="45">
        <v>124</v>
      </c>
      <c r="X249" s="4" t="s">
        <v>8</v>
      </c>
      <c r="Y249" s="5">
        <v>1</v>
      </c>
      <c r="Z249" s="4" t="s">
        <v>108</v>
      </c>
      <c r="AA249" s="5"/>
      <c r="AB249" s="5">
        <v>13</v>
      </c>
      <c r="AC249" s="4" t="s">
        <v>109</v>
      </c>
      <c r="AD249" s="45">
        <v>124</v>
      </c>
      <c r="AE249" s="4" t="s">
        <v>327</v>
      </c>
      <c r="AF249" s="4"/>
      <c r="AG249" s="5">
        <v>1000000</v>
      </c>
      <c r="AH249" s="5">
        <v>1000000</v>
      </c>
      <c r="AI249" s="5">
        <v>0</v>
      </c>
      <c r="AJ249" s="5">
        <v>1000000</v>
      </c>
      <c r="AK249" s="5">
        <v>0</v>
      </c>
      <c r="AL249" s="5">
        <v>1000000</v>
      </c>
      <c r="AM249" s="5"/>
    </row>
    <row r="250" spans="1:39" ht="38.25" x14ac:dyDescent="0.25">
      <c r="A250" s="4" t="s">
        <v>27</v>
      </c>
      <c r="B250" s="4" t="str">
        <f>VLOOKUP(A250,'Ledger &amp; Group'!A:C,2,0)</f>
        <v>Cavinkare</v>
      </c>
      <c r="C250" s="4">
        <f>VLOOKUP(A250,'Ledger &amp; Group'!A:C,3,0)</f>
        <v>60</v>
      </c>
      <c r="D250" s="45">
        <f t="shared" si="6"/>
        <v>191</v>
      </c>
      <c r="E250" s="4" t="str">
        <f ca="1">IF(D250&lt;=TODAY(),IF(ISNA(VLOOKUP(V250,'Unreconciled AR'!C:C,1,0)),"Due","Unreconciled AR"),"Outstanding")</f>
        <v>Due</v>
      </c>
      <c r="F250" s="4">
        <f t="shared" ca="1" si="7"/>
        <v>44568</v>
      </c>
      <c r="G250" s="4" t="e">
        <f ca="1">LOOKUP(F250,{-10000,-60,-30,-15,0,1,10000},{"&gt;60","31-60","16-30","01-15","Due on Today","OS"})</f>
        <v>#N/A</v>
      </c>
      <c r="H250" s="4" t="s">
        <v>103</v>
      </c>
      <c r="I250" s="4" t="s">
        <v>103</v>
      </c>
      <c r="J250" s="4" t="s">
        <v>104</v>
      </c>
      <c r="K250" s="4" t="s">
        <v>111</v>
      </c>
      <c r="L250" s="4" t="s">
        <v>112</v>
      </c>
      <c r="M250" s="4" t="s">
        <v>113</v>
      </c>
      <c r="N250" s="4" t="s">
        <v>103</v>
      </c>
      <c r="O250" s="4" t="s">
        <v>432</v>
      </c>
      <c r="P250" s="5"/>
      <c r="Q250" s="5"/>
      <c r="R250" s="4" t="s">
        <v>433</v>
      </c>
      <c r="S250" s="5"/>
      <c r="T250" s="4" t="s">
        <v>107</v>
      </c>
      <c r="U250" s="45">
        <v>131</v>
      </c>
      <c r="V250" s="4" t="s">
        <v>368</v>
      </c>
      <c r="W250" s="45">
        <v>131</v>
      </c>
      <c r="X250" s="4" t="s">
        <v>8</v>
      </c>
      <c r="Y250" s="5">
        <v>1</v>
      </c>
      <c r="Z250" s="4" t="s">
        <v>108</v>
      </c>
      <c r="AA250" s="5"/>
      <c r="AB250" s="5">
        <v>6</v>
      </c>
      <c r="AC250" s="4" t="s">
        <v>109</v>
      </c>
      <c r="AD250" s="45">
        <v>131</v>
      </c>
      <c r="AE250" s="4" t="s">
        <v>368</v>
      </c>
      <c r="AF250" s="4"/>
      <c r="AG250" s="5">
        <v>1000000</v>
      </c>
      <c r="AH250" s="5">
        <v>1000000</v>
      </c>
      <c r="AI250" s="5">
        <v>0</v>
      </c>
      <c r="AJ250" s="5">
        <v>1000000</v>
      </c>
      <c r="AK250" s="5">
        <v>0</v>
      </c>
      <c r="AL250" s="5">
        <v>1000000</v>
      </c>
      <c r="AM250" s="5"/>
    </row>
    <row r="251" spans="1:39" ht="38.25" x14ac:dyDescent="0.25">
      <c r="A251" s="4" t="s">
        <v>27</v>
      </c>
      <c r="B251" s="4" t="str">
        <f>VLOOKUP(A251,'Ledger &amp; Group'!A:C,2,0)</f>
        <v>Cavinkare</v>
      </c>
      <c r="C251" s="4">
        <f>VLOOKUP(A251,'Ledger &amp; Group'!A:C,3,0)</f>
        <v>60</v>
      </c>
      <c r="D251" s="45">
        <f t="shared" si="6"/>
        <v>194</v>
      </c>
      <c r="E251" s="4" t="str">
        <f ca="1">IF(D251&lt;=TODAY(),IF(ISNA(VLOOKUP(V251,'Unreconciled AR'!C:C,1,0)),"Due","Unreconciled AR"),"Outstanding")</f>
        <v>Due</v>
      </c>
      <c r="F251" s="4">
        <f t="shared" ca="1" si="7"/>
        <v>44565</v>
      </c>
      <c r="G251" s="4" t="e">
        <f ca="1">LOOKUP(F251,{-10000,-60,-30,-15,0,1,10000},{"&gt;60","31-60","16-30","01-15","Due on Today","OS"})</f>
        <v>#N/A</v>
      </c>
      <c r="H251" s="4" t="s">
        <v>103</v>
      </c>
      <c r="I251" s="4" t="s">
        <v>103</v>
      </c>
      <c r="J251" s="4" t="s">
        <v>104</v>
      </c>
      <c r="K251" s="4" t="s">
        <v>111</v>
      </c>
      <c r="L251" s="4" t="s">
        <v>112</v>
      </c>
      <c r="M251" s="4" t="s">
        <v>113</v>
      </c>
      <c r="N251" s="4" t="s">
        <v>103</v>
      </c>
      <c r="O251" s="4" t="s">
        <v>432</v>
      </c>
      <c r="P251" s="5"/>
      <c r="Q251" s="5"/>
      <c r="R251" s="4" t="s">
        <v>433</v>
      </c>
      <c r="S251" s="5"/>
      <c r="T251" s="4" t="s">
        <v>107</v>
      </c>
      <c r="U251" s="45">
        <v>134</v>
      </c>
      <c r="V251" s="4" t="s">
        <v>425</v>
      </c>
      <c r="W251" s="45">
        <v>134</v>
      </c>
      <c r="X251" s="4" t="s">
        <v>8</v>
      </c>
      <c r="Y251" s="5">
        <v>1</v>
      </c>
      <c r="Z251" s="4" t="s">
        <v>108</v>
      </c>
      <c r="AA251" s="5"/>
      <c r="AB251" s="5">
        <v>3</v>
      </c>
      <c r="AC251" s="4" t="s">
        <v>109</v>
      </c>
      <c r="AD251" s="45">
        <v>134</v>
      </c>
      <c r="AE251" s="4" t="s">
        <v>425</v>
      </c>
      <c r="AF251" s="4"/>
      <c r="AG251" s="5">
        <v>1000000</v>
      </c>
      <c r="AH251" s="5">
        <v>1000000</v>
      </c>
      <c r="AI251" s="5">
        <v>0</v>
      </c>
      <c r="AJ251" s="5">
        <v>1000000</v>
      </c>
      <c r="AK251" s="5">
        <v>0</v>
      </c>
      <c r="AL251" s="5">
        <v>1000000</v>
      </c>
      <c r="AM251" s="5"/>
    </row>
    <row r="252" spans="1:39" ht="409.5" x14ac:dyDescent="0.25">
      <c r="A252" s="4" t="s">
        <v>27</v>
      </c>
      <c r="B252" s="4" t="str">
        <f>VLOOKUP(A252,'Ledger &amp; Group'!A:C,2,0)</f>
        <v>Cavinkare</v>
      </c>
      <c r="C252" s="4">
        <f>VLOOKUP(A252,'Ledger &amp; Group'!A:C,3,0)</f>
        <v>60</v>
      </c>
      <c r="D252" s="45">
        <f t="shared" si="6"/>
        <v>374</v>
      </c>
      <c r="E252" s="4" t="str">
        <f ca="1">IF(D252&lt;=TODAY(),IF(ISNA(VLOOKUP(V252,'Unreconciled AR'!C:C,1,0)),"Due","Unreconciled AR"),"Outstanding")</f>
        <v>Due</v>
      </c>
      <c r="F252" s="4">
        <f t="shared" ca="1" si="7"/>
        <v>44385</v>
      </c>
      <c r="G252" s="4" t="e">
        <f ca="1">LOOKUP(F252,{-10000,-60,-30,-15,0,1,10000},{"&gt;60","31-60","16-30","01-15","Due on Today","OS"})</f>
        <v>#N/A</v>
      </c>
      <c r="H252" s="5"/>
      <c r="I252" s="4" t="s">
        <v>103</v>
      </c>
      <c r="J252" s="4" t="s">
        <v>104</v>
      </c>
      <c r="K252" s="4" t="s">
        <v>111</v>
      </c>
      <c r="L252" s="4" t="s">
        <v>112</v>
      </c>
      <c r="M252" s="4" t="s">
        <v>113</v>
      </c>
      <c r="N252" s="4" t="s">
        <v>103</v>
      </c>
      <c r="O252" s="4" t="s">
        <v>432</v>
      </c>
      <c r="P252" s="5"/>
      <c r="Q252" s="5"/>
      <c r="R252" s="4" t="s">
        <v>433</v>
      </c>
      <c r="S252" s="5"/>
      <c r="T252" s="4" t="s">
        <v>107</v>
      </c>
      <c r="U252" s="45">
        <v>314</v>
      </c>
      <c r="V252" s="4" t="s">
        <v>56</v>
      </c>
      <c r="W252" s="45">
        <v>314</v>
      </c>
      <c r="X252" s="4" t="s">
        <v>8</v>
      </c>
      <c r="Y252" s="5">
        <v>1</v>
      </c>
      <c r="Z252" s="4" t="s">
        <v>117</v>
      </c>
      <c r="AA252" s="5"/>
      <c r="AB252" s="5">
        <v>553</v>
      </c>
      <c r="AC252" s="4" t="s">
        <v>109</v>
      </c>
      <c r="AD252" s="45">
        <v>314</v>
      </c>
      <c r="AE252" s="4" t="s">
        <v>56</v>
      </c>
      <c r="AF252" s="5"/>
      <c r="AG252" s="5">
        <v>1000000</v>
      </c>
      <c r="AH252" s="5">
        <v>1000000</v>
      </c>
      <c r="AI252" s="5">
        <v>0</v>
      </c>
      <c r="AJ252" s="5">
        <v>1000000</v>
      </c>
      <c r="AK252" s="5">
        <v>-24647</v>
      </c>
      <c r="AL252" s="5">
        <v>1000000</v>
      </c>
      <c r="AM252" s="5"/>
    </row>
    <row r="253" spans="1:39" ht="318.75" x14ac:dyDescent="0.25">
      <c r="A253" s="4" t="s">
        <v>27</v>
      </c>
      <c r="B253" s="4" t="str">
        <f>VLOOKUP(A253,'Ledger &amp; Group'!A:C,2,0)</f>
        <v>Cavinkare</v>
      </c>
      <c r="C253" s="4">
        <f>VLOOKUP(A253,'Ledger &amp; Group'!A:C,3,0)</f>
        <v>60</v>
      </c>
      <c r="D253" s="45">
        <f t="shared" si="6"/>
        <v>93</v>
      </c>
      <c r="E253" s="4" t="str">
        <f ca="1">IF(D253&lt;=TODAY(),IF(ISNA(VLOOKUP(V253,'Unreconciled AR'!C:C,1,0)),"Due","Unreconciled AR"),"Outstanding")</f>
        <v>Due</v>
      </c>
      <c r="F253" s="4">
        <f t="shared" ca="1" si="7"/>
        <v>44666</v>
      </c>
      <c r="G253" s="4" t="e">
        <f ca="1">LOOKUP(F253,{-10000,-60,-30,-15,0,1,10000},{"&gt;60","31-60","16-30","01-15","Due on Today","OS"})</f>
        <v>#N/A</v>
      </c>
      <c r="H253" s="5"/>
      <c r="I253" s="4" t="s">
        <v>103</v>
      </c>
      <c r="J253" s="4" t="s">
        <v>104</v>
      </c>
      <c r="K253" s="4" t="s">
        <v>111</v>
      </c>
      <c r="L253" s="4" t="s">
        <v>112</v>
      </c>
      <c r="M253" s="4" t="s">
        <v>113</v>
      </c>
      <c r="N253" s="4" t="s">
        <v>103</v>
      </c>
      <c r="O253" s="4" t="s">
        <v>432</v>
      </c>
      <c r="P253" s="5"/>
      <c r="Q253" s="5"/>
      <c r="R253" s="4" t="s">
        <v>433</v>
      </c>
      <c r="S253" s="5"/>
      <c r="T253" s="4" t="s">
        <v>107</v>
      </c>
      <c r="U253" s="45">
        <v>33</v>
      </c>
      <c r="V253" s="4" t="s">
        <v>68</v>
      </c>
      <c r="W253" s="45">
        <v>33</v>
      </c>
      <c r="X253" s="4" t="s">
        <v>8</v>
      </c>
      <c r="Y253" s="5">
        <v>1</v>
      </c>
      <c r="Z253" s="4" t="s">
        <v>118</v>
      </c>
      <c r="AA253" s="5"/>
      <c r="AB253" s="5">
        <v>468</v>
      </c>
      <c r="AC253" s="4" t="s">
        <v>109</v>
      </c>
      <c r="AD253" s="45">
        <v>33</v>
      </c>
      <c r="AE253" s="4" t="s">
        <v>68</v>
      </c>
      <c r="AF253" s="5"/>
      <c r="AG253" s="5">
        <v>1000000</v>
      </c>
      <c r="AH253" s="5">
        <v>1000000</v>
      </c>
      <c r="AI253" s="5">
        <v>0</v>
      </c>
      <c r="AJ253" s="5">
        <v>1000000</v>
      </c>
      <c r="AK253" s="5">
        <v>-700</v>
      </c>
      <c r="AL253" s="5">
        <v>1000000</v>
      </c>
      <c r="AM253" s="5"/>
    </row>
    <row r="254" spans="1:39" ht="38.25" x14ac:dyDescent="0.25">
      <c r="A254" s="4" t="s">
        <v>27</v>
      </c>
      <c r="B254" s="4" t="str">
        <f>VLOOKUP(A254,'Ledger &amp; Group'!A:C,2,0)</f>
        <v>Cavinkare</v>
      </c>
      <c r="C254" s="4">
        <f>VLOOKUP(A254,'Ledger &amp; Group'!A:C,3,0)</f>
        <v>60</v>
      </c>
      <c r="D254" s="45">
        <f t="shared" si="6"/>
        <v>101</v>
      </c>
      <c r="E254" s="4" t="str">
        <f ca="1">IF(D254&lt;=TODAY(),IF(ISNA(VLOOKUP(V254,'Unreconciled AR'!C:C,1,0)),"Due","Unreconciled AR"),"Outstanding")</f>
        <v>Due</v>
      </c>
      <c r="F254" s="4">
        <f t="shared" ca="1" si="7"/>
        <v>44658</v>
      </c>
      <c r="G254" s="4" t="e">
        <f ca="1">LOOKUP(F254,{-10000,-60,-30,-15,0,1,10000},{"&gt;60","31-60","16-30","01-15","Due on Today","OS"})</f>
        <v>#N/A</v>
      </c>
      <c r="H254" s="5"/>
      <c r="I254" s="4" t="s">
        <v>103</v>
      </c>
      <c r="J254" s="4" t="s">
        <v>104</v>
      </c>
      <c r="K254" s="4" t="s">
        <v>111</v>
      </c>
      <c r="L254" s="4" t="s">
        <v>112</v>
      </c>
      <c r="M254" s="4" t="s">
        <v>113</v>
      </c>
      <c r="N254" s="4" t="s">
        <v>103</v>
      </c>
      <c r="O254" s="4" t="s">
        <v>432</v>
      </c>
      <c r="P254" s="5"/>
      <c r="Q254" s="5"/>
      <c r="R254" s="4" t="s">
        <v>433</v>
      </c>
      <c r="S254" s="5"/>
      <c r="T254" s="4" t="s">
        <v>107</v>
      </c>
      <c r="U254" s="45">
        <v>41</v>
      </c>
      <c r="V254" s="4" t="s">
        <v>69</v>
      </c>
      <c r="W254" s="45">
        <v>41</v>
      </c>
      <c r="X254" s="4" t="s">
        <v>8</v>
      </c>
      <c r="Y254" s="5">
        <v>1</v>
      </c>
      <c r="Z254" s="4" t="s">
        <v>119</v>
      </c>
      <c r="AA254" s="5"/>
      <c r="AB254" s="5">
        <v>460</v>
      </c>
      <c r="AC254" s="4" t="s">
        <v>109</v>
      </c>
      <c r="AD254" s="45">
        <v>41</v>
      </c>
      <c r="AE254" s="4" t="s">
        <v>69</v>
      </c>
      <c r="AF254" s="5"/>
      <c r="AG254" s="5">
        <v>1000000</v>
      </c>
      <c r="AH254" s="5">
        <v>1000000</v>
      </c>
      <c r="AI254" s="5">
        <v>0</v>
      </c>
      <c r="AJ254" s="5">
        <v>1000000</v>
      </c>
      <c r="AK254" s="5">
        <v>-807</v>
      </c>
      <c r="AL254" s="5">
        <v>1000000</v>
      </c>
      <c r="AM254" s="5"/>
    </row>
    <row r="255" spans="1:39" ht="38.25" x14ac:dyDescent="0.25">
      <c r="A255" s="4" t="s">
        <v>27</v>
      </c>
      <c r="B255" s="4" t="str">
        <f>VLOOKUP(A255,'Ledger &amp; Group'!A:C,2,0)</f>
        <v>Cavinkare</v>
      </c>
      <c r="C255" s="4">
        <f>VLOOKUP(A255,'Ledger &amp; Group'!A:C,3,0)</f>
        <v>60</v>
      </c>
      <c r="D255" s="45">
        <f t="shared" si="6"/>
        <v>107</v>
      </c>
      <c r="E255" s="4" t="str">
        <f ca="1">IF(D255&lt;=TODAY(),IF(ISNA(VLOOKUP(V255,'Unreconciled AR'!C:C,1,0)),"Due","Unreconciled AR"),"Outstanding")</f>
        <v>Due</v>
      </c>
      <c r="F255" s="4">
        <f t="shared" ca="1" si="7"/>
        <v>44652</v>
      </c>
      <c r="G255" s="4" t="e">
        <f ca="1">LOOKUP(F255,{-10000,-60,-30,-15,0,1,10000},{"&gt;60","31-60","16-30","01-15","Due on Today","OS"})</f>
        <v>#N/A</v>
      </c>
      <c r="H255" s="5"/>
      <c r="I255" s="4" t="s">
        <v>103</v>
      </c>
      <c r="J255" s="4" t="s">
        <v>104</v>
      </c>
      <c r="K255" s="4" t="s">
        <v>111</v>
      </c>
      <c r="L255" s="4" t="s">
        <v>112</v>
      </c>
      <c r="M255" s="4" t="s">
        <v>113</v>
      </c>
      <c r="N255" s="4" t="s">
        <v>103</v>
      </c>
      <c r="O255" s="4" t="s">
        <v>432</v>
      </c>
      <c r="P255" s="5"/>
      <c r="Q255" s="5"/>
      <c r="R255" s="4" t="s">
        <v>433</v>
      </c>
      <c r="S255" s="5"/>
      <c r="T255" s="4" t="s">
        <v>107</v>
      </c>
      <c r="U255" s="45">
        <v>47</v>
      </c>
      <c r="V255" s="4" t="s">
        <v>70</v>
      </c>
      <c r="W255" s="45">
        <v>47</v>
      </c>
      <c r="X255" s="4" t="s">
        <v>8</v>
      </c>
      <c r="Y255" s="5">
        <v>1</v>
      </c>
      <c r="Z255" s="4" t="s">
        <v>119</v>
      </c>
      <c r="AA255" s="5"/>
      <c r="AB255" s="5">
        <v>454</v>
      </c>
      <c r="AC255" s="4" t="s">
        <v>109</v>
      </c>
      <c r="AD255" s="45">
        <v>47</v>
      </c>
      <c r="AE255" s="4" t="s">
        <v>70</v>
      </c>
      <c r="AF255" s="5"/>
      <c r="AG255" s="5">
        <v>1000000</v>
      </c>
      <c r="AH255" s="5">
        <v>1000000</v>
      </c>
      <c r="AI255" s="5">
        <v>0</v>
      </c>
      <c r="AJ255" s="5">
        <v>1000000</v>
      </c>
      <c r="AK255" s="5">
        <v>-10</v>
      </c>
      <c r="AL255" s="5">
        <v>1000000</v>
      </c>
      <c r="AM255" s="5"/>
    </row>
    <row r="256" spans="1:39" ht="38.25" x14ac:dyDescent="0.25">
      <c r="A256" s="4" t="s">
        <v>28</v>
      </c>
      <c r="B256" s="4" t="str">
        <f>VLOOKUP(A256,'Ledger &amp; Group'!A:C,2,0)</f>
        <v>Cavinkare</v>
      </c>
      <c r="C256" s="4">
        <f>VLOOKUP(A256,'Ledger &amp; Group'!A:C,3,0)</f>
        <v>60</v>
      </c>
      <c r="D256" s="45">
        <f t="shared" si="6"/>
        <v>137</v>
      </c>
      <c r="E256" s="4" t="str">
        <f ca="1">IF(D256&lt;=TODAY(),IF(ISNA(VLOOKUP(V256,'Unreconciled AR'!C:C,1,0)),"Due","Unreconciled AR"),"Outstanding")</f>
        <v>Due</v>
      </c>
      <c r="F256" s="4">
        <f t="shared" ca="1" si="7"/>
        <v>44622</v>
      </c>
      <c r="G256" s="4" t="e">
        <f ca="1">LOOKUP(F256,{-10000,-60,-30,-15,0,1,10000},{"&gt;60","31-60","16-30","01-15","Due on Today","OS"})</f>
        <v>#N/A</v>
      </c>
      <c r="H256" s="4" t="s">
        <v>103</v>
      </c>
      <c r="I256" s="4" t="s">
        <v>103</v>
      </c>
      <c r="J256" s="4" t="s">
        <v>104</v>
      </c>
      <c r="K256" s="4" t="s">
        <v>111</v>
      </c>
      <c r="L256" s="4" t="s">
        <v>112</v>
      </c>
      <c r="M256" s="4" t="s">
        <v>113</v>
      </c>
      <c r="N256" s="4" t="s">
        <v>103</v>
      </c>
      <c r="O256" s="4" t="s">
        <v>432</v>
      </c>
      <c r="P256" s="5"/>
      <c r="Q256" s="5"/>
      <c r="R256" s="4" t="s">
        <v>433</v>
      </c>
      <c r="S256" s="5"/>
      <c r="T256" s="4" t="s">
        <v>107</v>
      </c>
      <c r="U256" s="45">
        <v>77</v>
      </c>
      <c r="V256" s="4" t="s">
        <v>520</v>
      </c>
      <c r="W256" s="45">
        <v>77</v>
      </c>
      <c r="X256" s="4" t="s">
        <v>8</v>
      </c>
      <c r="Y256" s="5">
        <v>1</v>
      </c>
      <c r="Z256" s="4" t="s">
        <v>108</v>
      </c>
      <c r="AA256" s="5"/>
      <c r="AB256" s="5">
        <v>60</v>
      </c>
      <c r="AC256" s="4" t="s">
        <v>109</v>
      </c>
      <c r="AD256" s="45">
        <v>77</v>
      </c>
      <c r="AE256" s="4" t="s">
        <v>520</v>
      </c>
      <c r="AF256" s="4"/>
      <c r="AG256" s="5">
        <v>1000000</v>
      </c>
      <c r="AH256" s="5">
        <v>1000000</v>
      </c>
      <c r="AI256" s="5">
        <v>0</v>
      </c>
      <c r="AJ256" s="5">
        <v>1000000</v>
      </c>
      <c r="AK256" s="5">
        <v>0</v>
      </c>
      <c r="AL256" s="5">
        <v>1000000</v>
      </c>
      <c r="AM256" s="5"/>
    </row>
    <row r="257" spans="1:39" ht="38.25" x14ac:dyDescent="0.25">
      <c r="A257" s="4" t="s">
        <v>28</v>
      </c>
      <c r="B257" s="4" t="str">
        <f>VLOOKUP(A257,'Ledger &amp; Group'!A:C,2,0)</f>
        <v>Cavinkare</v>
      </c>
      <c r="C257" s="4">
        <f>VLOOKUP(A257,'Ledger &amp; Group'!A:C,3,0)</f>
        <v>60</v>
      </c>
      <c r="D257" s="45">
        <f t="shared" si="6"/>
        <v>144</v>
      </c>
      <c r="E257" s="4" t="str">
        <f ca="1">IF(D257&lt;=TODAY(),IF(ISNA(VLOOKUP(V257,'Unreconciled AR'!C:C,1,0)),"Due","Unreconciled AR"),"Outstanding")</f>
        <v>Due</v>
      </c>
      <c r="F257" s="4">
        <f t="shared" ca="1" si="7"/>
        <v>44615</v>
      </c>
      <c r="G257" s="4" t="e">
        <f ca="1">LOOKUP(F257,{-10000,-60,-30,-15,0,1,10000},{"&gt;60","31-60","16-30","01-15","Due on Today","OS"})</f>
        <v>#N/A</v>
      </c>
      <c r="H257" s="4" t="s">
        <v>103</v>
      </c>
      <c r="I257" s="4" t="s">
        <v>103</v>
      </c>
      <c r="J257" s="4" t="s">
        <v>104</v>
      </c>
      <c r="K257" s="4" t="s">
        <v>111</v>
      </c>
      <c r="L257" s="4" t="s">
        <v>112</v>
      </c>
      <c r="M257" s="4" t="s">
        <v>113</v>
      </c>
      <c r="N257" s="4" t="s">
        <v>103</v>
      </c>
      <c r="O257" s="4" t="s">
        <v>432</v>
      </c>
      <c r="P257" s="5"/>
      <c r="Q257" s="5"/>
      <c r="R257" s="4" t="s">
        <v>433</v>
      </c>
      <c r="S257" s="5"/>
      <c r="T257" s="4" t="s">
        <v>107</v>
      </c>
      <c r="U257" s="45">
        <v>84</v>
      </c>
      <c r="V257" s="4" t="s">
        <v>521</v>
      </c>
      <c r="W257" s="45">
        <v>84</v>
      </c>
      <c r="X257" s="4" t="s">
        <v>8</v>
      </c>
      <c r="Y257" s="5">
        <v>1</v>
      </c>
      <c r="Z257" s="4" t="s">
        <v>108</v>
      </c>
      <c r="AA257" s="5"/>
      <c r="AB257" s="5">
        <v>53</v>
      </c>
      <c r="AC257" s="4" t="s">
        <v>109</v>
      </c>
      <c r="AD257" s="45">
        <v>84</v>
      </c>
      <c r="AE257" s="4" t="s">
        <v>521</v>
      </c>
      <c r="AF257" s="4"/>
      <c r="AG257" s="5">
        <v>1000000</v>
      </c>
      <c r="AH257" s="5">
        <v>1000000</v>
      </c>
      <c r="AI257" s="5">
        <v>0</v>
      </c>
      <c r="AJ257" s="5">
        <v>1000000</v>
      </c>
      <c r="AK257" s="5">
        <v>0</v>
      </c>
      <c r="AL257" s="5">
        <v>1000000</v>
      </c>
      <c r="AM257" s="5"/>
    </row>
    <row r="258" spans="1:39" ht="38.25" x14ac:dyDescent="0.25">
      <c r="A258" s="4" t="s">
        <v>28</v>
      </c>
      <c r="B258" s="4" t="str">
        <f>VLOOKUP(A258,'Ledger &amp; Group'!A:C,2,0)</f>
        <v>Cavinkare</v>
      </c>
      <c r="C258" s="4">
        <f>VLOOKUP(A258,'Ledger &amp; Group'!A:C,3,0)</f>
        <v>60</v>
      </c>
      <c r="D258" s="45">
        <f t="shared" ref="D258:D321" si="8">+W258+C258</f>
        <v>146</v>
      </c>
      <c r="E258" s="4" t="str">
        <f ca="1">IF(D258&lt;=TODAY(),IF(ISNA(VLOOKUP(V258,'Unreconciled AR'!C:C,1,0)),"Due","Unreconciled AR"),"Outstanding")</f>
        <v>Due</v>
      </c>
      <c r="F258" s="4">
        <f t="shared" ref="F258:F321" ca="1" si="9">TODAY()-W258</f>
        <v>44613</v>
      </c>
      <c r="G258" s="4" t="e">
        <f ca="1">LOOKUP(F258,{-10000,-60,-30,-15,0,1,10000},{"&gt;60","31-60","16-30","01-15","Due on Today","OS"})</f>
        <v>#N/A</v>
      </c>
      <c r="H258" s="4" t="s">
        <v>103</v>
      </c>
      <c r="I258" s="4" t="s">
        <v>103</v>
      </c>
      <c r="J258" s="4" t="s">
        <v>104</v>
      </c>
      <c r="K258" s="4" t="s">
        <v>111</v>
      </c>
      <c r="L258" s="4" t="s">
        <v>112</v>
      </c>
      <c r="M258" s="4" t="s">
        <v>113</v>
      </c>
      <c r="N258" s="4" t="s">
        <v>103</v>
      </c>
      <c r="O258" s="4" t="s">
        <v>432</v>
      </c>
      <c r="P258" s="5"/>
      <c r="Q258" s="5"/>
      <c r="R258" s="4" t="s">
        <v>433</v>
      </c>
      <c r="S258" s="5"/>
      <c r="T258" s="4" t="s">
        <v>107</v>
      </c>
      <c r="U258" s="45">
        <v>86</v>
      </c>
      <c r="V258" s="4" t="s">
        <v>522</v>
      </c>
      <c r="W258" s="45">
        <v>86</v>
      </c>
      <c r="X258" s="4" t="s">
        <v>8</v>
      </c>
      <c r="Y258" s="5">
        <v>1</v>
      </c>
      <c r="Z258" s="4" t="s">
        <v>108</v>
      </c>
      <c r="AA258" s="5"/>
      <c r="AB258" s="5">
        <v>51</v>
      </c>
      <c r="AC258" s="4" t="s">
        <v>109</v>
      </c>
      <c r="AD258" s="45">
        <v>86</v>
      </c>
      <c r="AE258" s="4" t="s">
        <v>522</v>
      </c>
      <c r="AF258" s="4"/>
      <c r="AG258" s="5">
        <v>1000000</v>
      </c>
      <c r="AH258" s="5">
        <v>1000000</v>
      </c>
      <c r="AI258" s="5">
        <v>0</v>
      </c>
      <c r="AJ258" s="5">
        <v>1000000</v>
      </c>
      <c r="AK258" s="5">
        <v>0</v>
      </c>
      <c r="AL258" s="5">
        <v>1000000</v>
      </c>
      <c r="AM258" s="5"/>
    </row>
    <row r="259" spans="1:39" ht="38.25" x14ac:dyDescent="0.25">
      <c r="A259" s="4" t="s">
        <v>28</v>
      </c>
      <c r="B259" s="4" t="str">
        <f>VLOOKUP(A259,'Ledger &amp; Group'!A:C,2,0)</f>
        <v>Cavinkare</v>
      </c>
      <c r="C259" s="4">
        <f>VLOOKUP(A259,'Ledger &amp; Group'!A:C,3,0)</f>
        <v>60</v>
      </c>
      <c r="D259" s="45">
        <f t="shared" si="8"/>
        <v>146</v>
      </c>
      <c r="E259" s="4" t="str">
        <f ca="1">IF(D259&lt;=TODAY(),IF(ISNA(VLOOKUP(V259,'Unreconciled AR'!C:C,1,0)),"Due","Unreconciled AR"),"Outstanding")</f>
        <v>Due</v>
      </c>
      <c r="F259" s="4">
        <f t="shared" ca="1" si="9"/>
        <v>44613</v>
      </c>
      <c r="G259" s="4" t="e">
        <f ca="1">LOOKUP(F259,{-10000,-60,-30,-15,0,1,10000},{"&gt;60","31-60","16-30","01-15","Due on Today","OS"})</f>
        <v>#N/A</v>
      </c>
      <c r="H259" s="4" t="s">
        <v>103</v>
      </c>
      <c r="I259" s="4" t="s">
        <v>103</v>
      </c>
      <c r="J259" s="4" t="s">
        <v>104</v>
      </c>
      <c r="K259" s="4" t="s">
        <v>111</v>
      </c>
      <c r="L259" s="4" t="s">
        <v>112</v>
      </c>
      <c r="M259" s="4" t="s">
        <v>113</v>
      </c>
      <c r="N259" s="4" t="s">
        <v>103</v>
      </c>
      <c r="O259" s="4" t="s">
        <v>432</v>
      </c>
      <c r="P259" s="5"/>
      <c r="Q259" s="5"/>
      <c r="R259" s="4" t="s">
        <v>433</v>
      </c>
      <c r="S259" s="5"/>
      <c r="T259" s="4" t="s">
        <v>107</v>
      </c>
      <c r="U259" s="45">
        <v>86</v>
      </c>
      <c r="V259" s="4" t="s">
        <v>523</v>
      </c>
      <c r="W259" s="45">
        <v>86</v>
      </c>
      <c r="X259" s="4" t="s">
        <v>8</v>
      </c>
      <c r="Y259" s="5">
        <v>1</v>
      </c>
      <c r="Z259" s="4" t="s">
        <v>108</v>
      </c>
      <c r="AA259" s="5"/>
      <c r="AB259" s="5">
        <v>51</v>
      </c>
      <c r="AC259" s="4" t="s">
        <v>109</v>
      </c>
      <c r="AD259" s="45">
        <v>86</v>
      </c>
      <c r="AE259" s="4" t="s">
        <v>523</v>
      </c>
      <c r="AF259" s="4"/>
      <c r="AG259" s="5">
        <v>1000000</v>
      </c>
      <c r="AH259" s="5">
        <v>1000000</v>
      </c>
      <c r="AI259" s="5">
        <v>0</v>
      </c>
      <c r="AJ259" s="5">
        <v>1000000</v>
      </c>
      <c r="AK259" s="5">
        <v>0</v>
      </c>
      <c r="AL259" s="5">
        <v>1000000</v>
      </c>
      <c r="AM259" s="5"/>
    </row>
    <row r="260" spans="1:39" ht="38.25" x14ac:dyDescent="0.25">
      <c r="A260" s="4" t="s">
        <v>28</v>
      </c>
      <c r="B260" s="4" t="str">
        <f>VLOOKUP(A260,'Ledger &amp; Group'!A:C,2,0)</f>
        <v>Cavinkare</v>
      </c>
      <c r="C260" s="4">
        <f>VLOOKUP(A260,'Ledger &amp; Group'!A:C,3,0)</f>
        <v>60</v>
      </c>
      <c r="D260" s="45">
        <f t="shared" si="8"/>
        <v>147</v>
      </c>
      <c r="E260" s="4" t="str">
        <f ca="1">IF(D260&lt;=TODAY(),IF(ISNA(VLOOKUP(V260,'Unreconciled AR'!C:C,1,0)),"Due","Unreconciled AR"),"Outstanding")</f>
        <v>Due</v>
      </c>
      <c r="F260" s="4">
        <f t="shared" ca="1" si="9"/>
        <v>44612</v>
      </c>
      <c r="G260" s="4" t="e">
        <f ca="1">LOOKUP(F260,{-10000,-60,-30,-15,0,1,10000},{"&gt;60","31-60","16-30","01-15","Due on Today","OS"})</f>
        <v>#N/A</v>
      </c>
      <c r="H260" s="4" t="s">
        <v>103</v>
      </c>
      <c r="I260" s="4" t="s">
        <v>103</v>
      </c>
      <c r="J260" s="4" t="s">
        <v>104</v>
      </c>
      <c r="K260" s="4" t="s">
        <v>111</v>
      </c>
      <c r="L260" s="4" t="s">
        <v>112</v>
      </c>
      <c r="M260" s="4" t="s">
        <v>113</v>
      </c>
      <c r="N260" s="4" t="s">
        <v>103</v>
      </c>
      <c r="O260" s="4" t="s">
        <v>432</v>
      </c>
      <c r="P260" s="5"/>
      <c r="Q260" s="5"/>
      <c r="R260" s="4" t="s">
        <v>433</v>
      </c>
      <c r="S260" s="5"/>
      <c r="T260" s="4" t="s">
        <v>107</v>
      </c>
      <c r="U260" s="45">
        <v>87</v>
      </c>
      <c r="V260" s="4" t="s">
        <v>524</v>
      </c>
      <c r="W260" s="45">
        <v>87</v>
      </c>
      <c r="X260" s="4" t="s">
        <v>8</v>
      </c>
      <c r="Y260" s="5">
        <v>1</v>
      </c>
      <c r="Z260" s="4" t="s">
        <v>108</v>
      </c>
      <c r="AA260" s="5"/>
      <c r="AB260" s="5">
        <v>50</v>
      </c>
      <c r="AC260" s="4" t="s">
        <v>109</v>
      </c>
      <c r="AD260" s="45">
        <v>87</v>
      </c>
      <c r="AE260" s="4" t="s">
        <v>524</v>
      </c>
      <c r="AF260" s="4"/>
      <c r="AG260" s="5">
        <v>1000000</v>
      </c>
      <c r="AH260" s="5">
        <v>1000000</v>
      </c>
      <c r="AI260" s="5">
        <v>0</v>
      </c>
      <c r="AJ260" s="5">
        <v>1000000</v>
      </c>
      <c r="AK260" s="5">
        <v>0</v>
      </c>
      <c r="AL260" s="5">
        <v>1000000</v>
      </c>
      <c r="AM260" s="5"/>
    </row>
    <row r="261" spans="1:39" ht="38.25" x14ac:dyDescent="0.25">
      <c r="A261" s="4" t="s">
        <v>28</v>
      </c>
      <c r="B261" s="4" t="str">
        <f>VLOOKUP(A261,'Ledger &amp; Group'!A:C,2,0)</f>
        <v>Cavinkare</v>
      </c>
      <c r="C261" s="4">
        <f>VLOOKUP(A261,'Ledger &amp; Group'!A:C,3,0)</f>
        <v>60</v>
      </c>
      <c r="D261" s="45">
        <f t="shared" si="8"/>
        <v>153</v>
      </c>
      <c r="E261" s="4" t="str">
        <f ca="1">IF(D261&lt;=TODAY(),IF(ISNA(VLOOKUP(V261,'Unreconciled AR'!C:C,1,0)),"Due","Unreconciled AR"),"Outstanding")</f>
        <v>Due</v>
      </c>
      <c r="F261" s="4">
        <f t="shared" ca="1" si="9"/>
        <v>44606</v>
      </c>
      <c r="G261" s="4" t="e">
        <f ca="1">LOOKUP(F261,{-10000,-60,-30,-15,0,1,10000},{"&gt;60","31-60","16-30","01-15","Due on Today","OS"})</f>
        <v>#N/A</v>
      </c>
      <c r="H261" s="4" t="s">
        <v>103</v>
      </c>
      <c r="I261" s="4" t="s">
        <v>103</v>
      </c>
      <c r="J261" s="4" t="s">
        <v>104</v>
      </c>
      <c r="K261" s="4" t="s">
        <v>111</v>
      </c>
      <c r="L261" s="4" t="s">
        <v>112</v>
      </c>
      <c r="M261" s="4" t="s">
        <v>113</v>
      </c>
      <c r="N261" s="4" t="s">
        <v>103</v>
      </c>
      <c r="O261" s="4" t="s">
        <v>432</v>
      </c>
      <c r="P261" s="5"/>
      <c r="Q261" s="5"/>
      <c r="R261" s="4" t="s">
        <v>433</v>
      </c>
      <c r="S261" s="5"/>
      <c r="T261" s="4" t="s">
        <v>107</v>
      </c>
      <c r="U261" s="45">
        <v>93</v>
      </c>
      <c r="V261" s="4" t="s">
        <v>207</v>
      </c>
      <c r="W261" s="45">
        <v>93</v>
      </c>
      <c r="X261" s="4" t="s">
        <v>8</v>
      </c>
      <c r="Y261" s="5">
        <v>1</v>
      </c>
      <c r="Z261" s="4" t="s">
        <v>108</v>
      </c>
      <c r="AA261" s="5"/>
      <c r="AB261" s="5">
        <v>44</v>
      </c>
      <c r="AC261" s="4" t="s">
        <v>109</v>
      </c>
      <c r="AD261" s="45">
        <v>93</v>
      </c>
      <c r="AE261" s="4" t="s">
        <v>207</v>
      </c>
      <c r="AF261" s="4"/>
      <c r="AG261" s="5">
        <v>1000000</v>
      </c>
      <c r="AH261" s="5">
        <v>1000000</v>
      </c>
      <c r="AI261" s="5">
        <v>0</v>
      </c>
      <c r="AJ261" s="5">
        <v>1000000</v>
      </c>
      <c r="AK261" s="5">
        <v>0</v>
      </c>
      <c r="AL261" s="5">
        <v>1000000</v>
      </c>
      <c r="AM261" s="5"/>
    </row>
    <row r="262" spans="1:39" ht="38.25" x14ac:dyDescent="0.25">
      <c r="A262" s="4" t="s">
        <v>28</v>
      </c>
      <c r="B262" s="4" t="str">
        <f>VLOOKUP(A262,'Ledger &amp; Group'!A:C,2,0)</f>
        <v>Cavinkare</v>
      </c>
      <c r="C262" s="4">
        <f>VLOOKUP(A262,'Ledger &amp; Group'!A:C,3,0)</f>
        <v>60</v>
      </c>
      <c r="D262" s="45">
        <f t="shared" si="8"/>
        <v>154</v>
      </c>
      <c r="E262" s="4" t="str">
        <f ca="1">IF(D262&lt;=TODAY(),IF(ISNA(VLOOKUP(V262,'Unreconciled AR'!C:C,1,0)),"Due","Unreconciled AR"),"Outstanding")</f>
        <v>Due</v>
      </c>
      <c r="F262" s="4">
        <f t="shared" ca="1" si="9"/>
        <v>44605</v>
      </c>
      <c r="G262" s="4" t="e">
        <f ca="1">LOOKUP(F262,{-10000,-60,-30,-15,0,1,10000},{"&gt;60","31-60","16-30","01-15","Due on Today","OS"})</f>
        <v>#N/A</v>
      </c>
      <c r="H262" s="4" t="s">
        <v>103</v>
      </c>
      <c r="I262" s="4" t="s">
        <v>103</v>
      </c>
      <c r="J262" s="4" t="s">
        <v>104</v>
      </c>
      <c r="K262" s="4" t="s">
        <v>111</v>
      </c>
      <c r="L262" s="4" t="s">
        <v>112</v>
      </c>
      <c r="M262" s="4" t="s">
        <v>113</v>
      </c>
      <c r="N262" s="4" t="s">
        <v>103</v>
      </c>
      <c r="O262" s="4" t="s">
        <v>432</v>
      </c>
      <c r="P262" s="5"/>
      <c r="Q262" s="5"/>
      <c r="R262" s="4" t="s">
        <v>433</v>
      </c>
      <c r="S262" s="5"/>
      <c r="T262" s="4" t="s">
        <v>107</v>
      </c>
      <c r="U262" s="45">
        <v>94</v>
      </c>
      <c r="V262" s="4" t="s">
        <v>208</v>
      </c>
      <c r="W262" s="45">
        <v>94</v>
      </c>
      <c r="X262" s="4" t="s">
        <v>8</v>
      </c>
      <c r="Y262" s="5">
        <v>1</v>
      </c>
      <c r="Z262" s="4" t="s">
        <v>108</v>
      </c>
      <c r="AA262" s="5"/>
      <c r="AB262" s="5">
        <v>43</v>
      </c>
      <c r="AC262" s="4" t="s">
        <v>109</v>
      </c>
      <c r="AD262" s="45">
        <v>94</v>
      </c>
      <c r="AE262" s="4" t="s">
        <v>208</v>
      </c>
      <c r="AF262" s="4"/>
      <c r="AG262" s="5">
        <v>1000000</v>
      </c>
      <c r="AH262" s="5">
        <v>1000000</v>
      </c>
      <c r="AI262" s="5">
        <v>0</v>
      </c>
      <c r="AJ262" s="5">
        <v>1000000</v>
      </c>
      <c r="AK262" s="5">
        <v>0</v>
      </c>
      <c r="AL262" s="5">
        <v>1000000</v>
      </c>
      <c r="AM262" s="5"/>
    </row>
    <row r="263" spans="1:39" ht="38.25" x14ac:dyDescent="0.25">
      <c r="A263" s="4" t="s">
        <v>28</v>
      </c>
      <c r="B263" s="4" t="str">
        <f>VLOOKUP(A263,'Ledger &amp; Group'!A:C,2,0)</f>
        <v>Cavinkare</v>
      </c>
      <c r="C263" s="4">
        <f>VLOOKUP(A263,'Ledger &amp; Group'!A:C,3,0)</f>
        <v>60</v>
      </c>
      <c r="D263" s="45">
        <f t="shared" si="8"/>
        <v>164</v>
      </c>
      <c r="E263" s="4" t="str">
        <f ca="1">IF(D263&lt;=TODAY(),IF(ISNA(VLOOKUP(V263,'Unreconciled AR'!C:C,1,0)),"Due","Unreconciled AR"),"Outstanding")</f>
        <v>Due</v>
      </c>
      <c r="F263" s="4">
        <f t="shared" ca="1" si="9"/>
        <v>44595</v>
      </c>
      <c r="G263" s="4" t="e">
        <f ca="1">LOOKUP(F263,{-10000,-60,-30,-15,0,1,10000},{"&gt;60","31-60","16-30","01-15","Due on Today","OS"})</f>
        <v>#N/A</v>
      </c>
      <c r="H263" s="4" t="s">
        <v>103</v>
      </c>
      <c r="I263" s="4" t="s">
        <v>103</v>
      </c>
      <c r="J263" s="4" t="s">
        <v>104</v>
      </c>
      <c r="K263" s="4" t="s">
        <v>111</v>
      </c>
      <c r="L263" s="4" t="s">
        <v>112</v>
      </c>
      <c r="M263" s="4" t="s">
        <v>113</v>
      </c>
      <c r="N263" s="4" t="s">
        <v>103</v>
      </c>
      <c r="O263" s="4" t="s">
        <v>432</v>
      </c>
      <c r="P263" s="5"/>
      <c r="Q263" s="5"/>
      <c r="R263" s="4" t="s">
        <v>433</v>
      </c>
      <c r="S263" s="5"/>
      <c r="T263" s="4" t="s">
        <v>107</v>
      </c>
      <c r="U263" s="45">
        <v>104</v>
      </c>
      <c r="V263" s="4" t="s">
        <v>249</v>
      </c>
      <c r="W263" s="45">
        <v>104</v>
      </c>
      <c r="X263" s="4" t="s">
        <v>8</v>
      </c>
      <c r="Y263" s="5">
        <v>1</v>
      </c>
      <c r="Z263" s="4" t="s">
        <v>108</v>
      </c>
      <c r="AA263" s="5"/>
      <c r="AB263" s="5">
        <v>33</v>
      </c>
      <c r="AC263" s="4" t="s">
        <v>109</v>
      </c>
      <c r="AD263" s="45">
        <v>104</v>
      </c>
      <c r="AE263" s="4" t="s">
        <v>249</v>
      </c>
      <c r="AF263" s="4"/>
      <c r="AG263" s="5">
        <v>1000000</v>
      </c>
      <c r="AH263" s="5">
        <v>1000000</v>
      </c>
      <c r="AI263" s="5">
        <v>0</v>
      </c>
      <c r="AJ263" s="5">
        <v>1000000</v>
      </c>
      <c r="AK263" s="5">
        <v>0</v>
      </c>
      <c r="AL263" s="5">
        <v>1000000</v>
      </c>
      <c r="AM263" s="5"/>
    </row>
    <row r="264" spans="1:39" ht="38.25" x14ac:dyDescent="0.25">
      <c r="A264" s="4" t="s">
        <v>28</v>
      </c>
      <c r="B264" s="4" t="str">
        <f>VLOOKUP(A264,'Ledger &amp; Group'!A:C,2,0)</f>
        <v>Cavinkare</v>
      </c>
      <c r="C264" s="4">
        <f>VLOOKUP(A264,'Ledger &amp; Group'!A:C,3,0)</f>
        <v>60</v>
      </c>
      <c r="D264" s="45">
        <f t="shared" si="8"/>
        <v>168</v>
      </c>
      <c r="E264" s="4" t="str">
        <f ca="1">IF(D264&lt;=TODAY(),IF(ISNA(VLOOKUP(V264,'Unreconciled AR'!C:C,1,0)),"Due","Unreconciled AR"),"Outstanding")</f>
        <v>Due</v>
      </c>
      <c r="F264" s="4">
        <f t="shared" ca="1" si="9"/>
        <v>44591</v>
      </c>
      <c r="G264" s="4" t="e">
        <f ca="1">LOOKUP(F264,{-10000,-60,-30,-15,0,1,10000},{"&gt;60","31-60","16-30","01-15","Due on Today","OS"})</f>
        <v>#N/A</v>
      </c>
      <c r="H264" s="4" t="s">
        <v>103</v>
      </c>
      <c r="I264" s="4" t="s">
        <v>103</v>
      </c>
      <c r="J264" s="4" t="s">
        <v>104</v>
      </c>
      <c r="K264" s="4" t="s">
        <v>111</v>
      </c>
      <c r="L264" s="4" t="s">
        <v>112</v>
      </c>
      <c r="M264" s="4" t="s">
        <v>113</v>
      </c>
      <c r="N264" s="4" t="s">
        <v>103</v>
      </c>
      <c r="O264" s="4" t="s">
        <v>432</v>
      </c>
      <c r="P264" s="5"/>
      <c r="Q264" s="5"/>
      <c r="R264" s="4" t="s">
        <v>433</v>
      </c>
      <c r="S264" s="5"/>
      <c r="T264" s="4" t="s">
        <v>107</v>
      </c>
      <c r="U264" s="45">
        <v>108</v>
      </c>
      <c r="V264" s="4" t="s">
        <v>260</v>
      </c>
      <c r="W264" s="45">
        <v>108</v>
      </c>
      <c r="X264" s="4" t="s">
        <v>8</v>
      </c>
      <c r="Y264" s="5">
        <v>1</v>
      </c>
      <c r="Z264" s="4" t="s">
        <v>108</v>
      </c>
      <c r="AA264" s="5"/>
      <c r="AB264" s="5">
        <v>29</v>
      </c>
      <c r="AC264" s="4" t="s">
        <v>109</v>
      </c>
      <c r="AD264" s="45">
        <v>108</v>
      </c>
      <c r="AE264" s="4" t="s">
        <v>260</v>
      </c>
      <c r="AF264" s="4"/>
      <c r="AG264" s="5">
        <v>1000000</v>
      </c>
      <c r="AH264" s="5">
        <v>1000000</v>
      </c>
      <c r="AI264" s="5">
        <v>0</v>
      </c>
      <c r="AJ264" s="5">
        <v>1000000</v>
      </c>
      <c r="AK264" s="5">
        <v>0</v>
      </c>
      <c r="AL264" s="5">
        <v>1000000</v>
      </c>
      <c r="AM264" s="5"/>
    </row>
    <row r="265" spans="1:39" ht="38.25" x14ac:dyDescent="0.25">
      <c r="A265" s="4" t="s">
        <v>28</v>
      </c>
      <c r="B265" s="4" t="str">
        <f>VLOOKUP(A265,'Ledger &amp; Group'!A:C,2,0)</f>
        <v>Cavinkare</v>
      </c>
      <c r="C265" s="4">
        <f>VLOOKUP(A265,'Ledger &amp; Group'!A:C,3,0)</f>
        <v>60</v>
      </c>
      <c r="D265" s="45">
        <f t="shared" si="8"/>
        <v>173</v>
      </c>
      <c r="E265" s="4" t="str">
        <f ca="1">IF(D265&lt;=TODAY(),IF(ISNA(VLOOKUP(V265,'Unreconciled AR'!C:C,1,0)),"Due","Unreconciled AR"),"Outstanding")</f>
        <v>Due</v>
      </c>
      <c r="F265" s="4">
        <f t="shared" ca="1" si="9"/>
        <v>44586</v>
      </c>
      <c r="G265" s="4" t="e">
        <f ca="1">LOOKUP(F265,{-10000,-60,-30,-15,0,1,10000},{"&gt;60","31-60","16-30","01-15","Due on Today","OS"})</f>
        <v>#N/A</v>
      </c>
      <c r="H265" s="4" t="s">
        <v>103</v>
      </c>
      <c r="I265" s="4" t="s">
        <v>103</v>
      </c>
      <c r="J265" s="4" t="s">
        <v>104</v>
      </c>
      <c r="K265" s="4" t="s">
        <v>111</v>
      </c>
      <c r="L265" s="4" t="s">
        <v>112</v>
      </c>
      <c r="M265" s="4" t="s">
        <v>113</v>
      </c>
      <c r="N265" s="4" t="s">
        <v>103</v>
      </c>
      <c r="O265" s="4" t="s">
        <v>432</v>
      </c>
      <c r="P265" s="5"/>
      <c r="Q265" s="5"/>
      <c r="R265" s="4" t="s">
        <v>433</v>
      </c>
      <c r="S265" s="5"/>
      <c r="T265" s="4" t="s">
        <v>107</v>
      </c>
      <c r="U265" s="45">
        <v>113</v>
      </c>
      <c r="V265" s="4" t="s">
        <v>283</v>
      </c>
      <c r="W265" s="45">
        <v>113</v>
      </c>
      <c r="X265" s="4" t="s">
        <v>8</v>
      </c>
      <c r="Y265" s="5">
        <v>1</v>
      </c>
      <c r="Z265" s="4" t="s">
        <v>108</v>
      </c>
      <c r="AA265" s="5"/>
      <c r="AB265" s="5">
        <v>24</v>
      </c>
      <c r="AC265" s="4" t="s">
        <v>109</v>
      </c>
      <c r="AD265" s="45">
        <v>113</v>
      </c>
      <c r="AE265" s="4" t="s">
        <v>283</v>
      </c>
      <c r="AF265" s="4"/>
      <c r="AG265" s="5">
        <v>1000000</v>
      </c>
      <c r="AH265" s="5">
        <v>1000000</v>
      </c>
      <c r="AI265" s="5">
        <v>0</v>
      </c>
      <c r="AJ265" s="5">
        <v>1000000</v>
      </c>
      <c r="AK265" s="5">
        <v>0</v>
      </c>
      <c r="AL265" s="5">
        <v>1000000</v>
      </c>
      <c r="AM265" s="5"/>
    </row>
    <row r="266" spans="1:39" ht="38.25" x14ac:dyDescent="0.25">
      <c r="A266" s="4" t="s">
        <v>28</v>
      </c>
      <c r="B266" s="4" t="str">
        <f>VLOOKUP(A266,'Ledger &amp; Group'!A:C,2,0)</f>
        <v>Cavinkare</v>
      </c>
      <c r="C266" s="4">
        <f>VLOOKUP(A266,'Ledger &amp; Group'!A:C,3,0)</f>
        <v>60</v>
      </c>
      <c r="D266" s="45">
        <f t="shared" si="8"/>
        <v>174</v>
      </c>
      <c r="E266" s="4" t="str">
        <f ca="1">IF(D266&lt;=TODAY(),IF(ISNA(VLOOKUP(V266,'Unreconciled AR'!C:C,1,0)),"Due","Unreconciled AR"),"Outstanding")</f>
        <v>Due</v>
      </c>
      <c r="F266" s="4">
        <f t="shared" ca="1" si="9"/>
        <v>44585</v>
      </c>
      <c r="G266" s="4" t="e">
        <f ca="1">LOOKUP(F266,{-10000,-60,-30,-15,0,1,10000},{"&gt;60","31-60","16-30","01-15","Due on Today","OS"})</f>
        <v>#N/A</v>
      </c>
      <c r="H266" s="4" t="s">
        <v>103</v>
      </c>
      <c r="I266" s="4" t="s">
        <v>103</v>
      </c>
      <c r="J266" s="4" t="s">
        <v>104</v>
      </c>
      <c r="K266" s="4" t="s">
        <v>111</v>
      </c>
      <c r="L266" s="4" t="s">
        <v>112</v>
      </c>
      <c r="M266" s="4" t="s">
        <v>113</v>
      </c>
      <c r="N266" s="4" t="s">
        <v>103</v>
      </c>
      <c r="O266" s="4" t="s">
        <v>432</v>
      </c>
      <c r="P266" s="5"/>
      <c r="Q266" s="5"/>
      <c r="R266" s="4" t="s">
        <v>433</v>
      </c>
      <c r="S266" s="5"/>
      <c r="T266" s="4" t="s">
        <v>107</v>
      </c>
      <c r="U266" s="45">
        <v>114</v>
      </c>
      <c r="V266" s="4" t="s">
        <v>284</v>
      </c>
      <c r="W266" s="45">
        <v>114</v>
      </c>
      <c r="X266" s="4" t="s">
        <v>8</v>
      </c>
      <c r="Y266" s="5">
        <v>1</v>
      </c>
      <c r="Z266" s="4" t="s">
        <v>108</v>
      </c>
      <c r="AA266" s="5"/>
      <c r="AB266" s="5">
        <v>23</v>
      </c>
      <c r="AC266" s="4" t="s">
        <v>109</v>
      </c>
      <c r="AD266" s="45">
        <v>114</v>
      </c>
      <c r="AE266" s="4" t="s">
        <v>284</v>
      </c>
      <c r="AF266" s="4"/>
      <c r="AG266" s="5">
        <v>1000000</v>
      </c>
      <c r="AH266" s="5">
        <v>1000000</v>
      </c>
      <c r="AI266" s="5">
        <v>0</v>
      </c>
      <c r="AJ266" s="5">
        <v>1000000</v>
      </c>
      <c r="AK266" s="5">
        <v>0</v>
      </c>
      <c r="AL266" s="5">
        <v>1000000</v>
      </c>
      <c r="AM266" s="5"/>
    </row>
    <row r="267" spans="1:39" ht="38.25" x14ac:dyDescent="0.25">
      <c r="A267" s="4" t="s">
        <v>28</v>
      </c>
      <c r="B267" s="4" t="str">
        <f>VLOOKUP(A267,'Ledger &amp; Group'!A:C,2,0)</f>
        <v>Cavinkare</v>
      </c>
      <c r="C267" s="4">
        <f>VLOOKUP(A267,'Ledger &amp; Group'!A:C,3,0)</f>
        <v>60</v>
      </c>
      <c r="D267" s="45">
        <f t="shared" si="8"/>
        <v>177</v>
      </c>
      <c r="E267" s="4" t="str">
        <f ca="1">IF(D267&lt;=TODAY(),IF(ISNA(VLOOKUP(V267,'Unreconciled AR'!C:C,1,0)),"Due","Unreconciled AR"),"Outstanding")</f>
        <v>Due</v>
      </c>
      <c r="F267" s="4">
        <f t="shared" ca="1" si="9"/>
        <v>44582</v>
      </c>
      <c r="G267" s="4" t="e">
        <f ca="1">LOOKUP(F267,{-10000,-60,-30,-15,0,1,10000},{"&gt;60","31-60","16-30","01-15","Due on Today","OS"})</f>
        <v>#N/A</v>
      </c>
      <c r="H267" s="4" t="s">
        <v>103</v>
      </c>
      <c r="I267" s="4" t="s">
        <v>103</v>
      </c>
      <c r="J267" s="4" t="s">
        <v>104</v>
      </c>
      <c r="K267" s="4" t="s">
        <v>111</v>
      </c>
      <c r="L267" s="4" t="s">
        <v>112</v>
      </c>
      <c r="M267" s="4" t="s">
        <v>113</v>
      </c>
      <c r="N267" s="4" t="s">
        <v>103</v>
      </c>
      <c r="O267" s="4" t="s">
        <v>432</v>
      </c>
      <c r="P267" s="5"/>
      <c r="Q267" s="5"/>
      <c r="R267" s="4" t="s">
        <v>433</v>
      </c>
      <c r="S267" s="5"/>
      <c r="T267" s="4" t="s">
        <v>107</v>
      </c>
      <c r="U267" s="45">
        <v>117</v>
      </c>
      <c r="V267" s="4" t="s">
        <v>290</v>
      </c>
      <c r="W267" s="45">
        <v>117</v>
      </c>
      <c r="X267" s="4" t="s">
        <v>8</v>
      </c>
      <c r="Y267" s="5">
        <v>1</v>
      </c>
      <c r="Z267" s="4" t="s">
        <v>108</v>
      </c>
      <c r="AA267" s="5"/>
      <c r="AB267" s="5">
        <v>20</v>
      </c>
      <c r="AC267" s="4" t="s">
        <v>109</v>
      </c>
      <c r="AD267" s="45">
        <v>117</v>
      </c>
      <c r="AE267" s="4" t="s">
        <v>290</v>
      </c>
      <c r="AF267" s="4"/>
      <c r="AG267" s="5">
        <v>1000000</v>
      </c>
      <c r="AH267" s="5">
        <v>1000000</v>
      </c>
      <c r="AI267" s="5">
        <v>0</v>
      </c>
      <c r="AJ267" s="5">
        <v>1000000</v>
      </c>
      <c r="AK267" s="5">
        <v>0</v>
      </c>
      <c r="AL267" s="5">
        <v>1000000</v>
      </c>
      <c r="AM267" s="5"/>
    </row>
    <row r="268" spans="1:39" ht="38.25" x14ac:dyDescent="0.25">
      <c r="A268" s="4" t="s">
        <v>28</v>
      </c>
      <c r="B268" s="4" t="str">
        <f>VLOOKUP(A268,'Ledger &amp; Group'!A:C,2,0)</f>
        <v>Cavinkare</v>
      </c>
      <c r="C268" s="4">
        <f>VLOOKUP(A268,'Ledger &amp; Group'!A:C,3,0)</f>
        <v>60</v>
      </c>
      <c r="D268" s="45">
        <f t="shared" si="8"/>
        <v>183</v>
      </c>
      <c r="E268" s="4" t="str">
        <f ca="1">IF(D268&lt;=TODAY(),IF(ISNA(VLOOKUP(V268,'Unreconciled AR'!C:C,1,0)),"Due","Unreconciled AR"),"Outstanding")</f>
        <v>Due</v>
      </c>
      <c r="F268" s="4">
        <f t="shared" ca="1" si="9"/>
        <v>44576</v>
      </c>
      <c r="G268" s="4" t="e">
        <f ca="1">LOOKUP(F268,{-10000,-60,-30,-15,0,1,10000},{"&gt;60","31-60","16-30","01-15","Due on Today","OS"})</f>
        <v>#N/A</v>
      </c>
      <c r="H268" s="4" t="s">
        <v>103</v>
      </c>
      <c r="I268" s="4" t="s">
        <v>103</v>
      </c>
      <c r="J268" s="4" t="s">
        <v>104</v>
      </c>
      <c r="K268" s="4" t="s">
        <v>111</v>
      </c>
      <c r="L268" s="4" t="s">
        <v>112</v>
      </c>
      <c r="M268" s="4" t="s">
        <v>113</v>
      </c>
      <c r="N268" s="4" t="s">
        <v>103</v>
      </c>
      <c r="O268" s="4" t="s">
        <v>432</v>
      </c>
      <c r="P268" s="5"/>
      <c r="Q268" s="5"/>
      <c r="R268" s="4" t="s">
        <v>433</v>
      </c>
      <c r="S268" s="5"/>
      <c r="T268" s="4" t="s">
        <v>107</v>
      </c>
      <c r="U268" s="45">
        <v>123</v>
      </c>
      <c r="V268" s="4" t="s">
        <v>310</v>
      </c>
      <c r="W268" s="45">
        <v>123</v>
      </c>
      <c r="X268" s="4" t="s">
        <v>8</v>
      </c>
      <c r="Y268" s="5">
        <v>1</v>
      </c>
      <c r="Z268" s="4" t="s">
        <v>108</v>
      </c>
      <c r="AA268" s="5"/>
      <c r="AB268" s="5">
        <v>14</v>
      </c>
      <c r="AC268" s="4" t="s">
        <v>109</v>
      </c>
      <c r="AD268" s="45">
        <v>123</v>
      </c>
      <c r="AE268" s="4" t="s">
        <v>310</v>
      </c>
      <c r="AF268" s="4"/>
      <c r="AG268" s="5">
        <v>1000000</v>
      </c>
      <c r="AH268" s="5">
        <v>1000000</v>
      </c>
      <c r="AI268" s="5">
        <v>0</v>
      </c>
      <c r="AJ268" s="5">
        <v>1000000</v>
      </c>
      <c r="AK268" s="5">
        <v>0</v>
      </c>
      <c r="AL268" s="5">
        <v>1000000</v>
      </c>
      <c r="AM268" s="5"/>
    </row>
    <row r="269" spans="1:39" ht="38.25" x14ac:dyDescent="0.25">
      <c r="A269" s="4" t="s">
        <v>28</v>
      </c>
      <c r="B269" s="4" t="str">
        <f>VLOOKUP(A269,'Ledger &amp; Group'!A:C,2,0)</f>
        <v>Cavinkare</v>
      </c>
      <c r="C269" s="4">
        <f>VLOOKUP(A269,'Ledger &amp; Group'!A:C,3,0)</f>
        <v>60</v>
      </c>
      <c r="D269" s="45">
        <f t="shared" si="8"/>
        <v>193</v>
      </c>
      <c r="E269" s="4" t="str">
        <f ca="1">IF(D269&lt;=TODAY(),IF(ISNA(VLOOKUP(V269,'Unreconciled AR'!C:C,1,0)),"Due","Unreconciled AR"),"Outstanding")</f>
        <v>Due</v>
      </c>
      <c r="F269" s="4">
        <f t="shared" ca="1" si="9"/>
        <v>44566</v>
      </c>
      <c r="G269" s="4" t="e">
        <f ca="1">LOOKUP(F269,{-10000,-60,-30,-15,0,1,10000},{"&gt;60","31-60","16-30","01-15","Due on Today","OS"})</f>
        <v>#N/A</v>
      </c>
      <c r="H269" s="4" t="s">
        <v>103</v>
      </c>
      <c r="I269" s="4" t="s">
        <v>103</v>
      </c>
      <c r="J269" s="4" t="s">
        <v>104</v>
      </c>
      <c r="K269" s="4" t="s">
        <v>111</v>
      </c>
      <c r="L269" s="4" t="s">
        <v>112</v>
      </c>
      <c r="M269" s="4" t="s">
        <v>113</v>
      </c>
      <c r="N269" s="4" t="s">
        <v>103</v>
      </c>
      <c r="O269" s="4" t="s">
        <v>432</v>
      </c>
      <c r="P269" s="5"/>
      <c r="Q269" s="5"/>
      <c r="R269" s="4" t="s">
        <v>433</v>
      </c>
      <c r="S269" s="5"/>
      <c r="T269" s="4" t="s">
        <v>107</v>
      </c>
      <c r="U269" s="45">
        <v>133</v>
      </c>
      <c r="V269" s="4" t="s">
        <v>409</v>
      </c>
      <c r="W269" s="45">
        <v>133</v>
      </c>
      <c r="X269" s="4" t="s">
        <v>8</v>
      </c>
      <c r="Y269" s="5">
        <v>1</v>
      </c>
      <c r="Z269" s="4" t="s">
        <v>108</v>
      </c>
      <c r="AA269" s="5"/>
      <c r="AB269" s="5">
        <v>4</v>
      </c>
      <c r="AC269" s="4" t="s">
        <v>109</v>
      </c>
      <c r="AD269" s="45">
        <v>133</v>
      </c>
      <c r="AE269" s="4" t="s">
        <v>409</v>
      </c>
      <c r="AF269" s="4"/>
      <c r="AG269" s="5">
        <v>1000000</v>
      </c>
      <c r="AH269" s="5">
        <v>1000000</v>
      </c>
      <c r="AI269" s="5">
        <v>0</v>
      </c>
      <c r="AJ269" s="5">
        <v>1000000</v>
      </c>
      <c r="AK269" s="5">
        <v>0</v>
      </c>
      <c r="AL269" s="5">
        <v>1000000</v>
      </c>
      <c r="AM269" s="5"/>
    </row>
    <row r="270" spans="1:39" ht="38.25" x14ac:dyDescent="0.25">
      <c r="A270" s="4" t="s">
        <v>29</v>
      </c>
      <c r="B270" s="4" t="str">
        <f>VLOOKUP(A270,'Ledger &amp; Group'!A:C,2,0)</f>
        <v>Cavinkare</v>
      </c>
      <c r="C270" s="4">
        <f>VLOOKUP(A270,'Ledger &amp; Group'!A:C,3,0)</f>
        <v>60</v>
      </c>
      <c r="D270" s="45">
        <f t="shared" si="8"/>
        <v>137</v>
      </c>
      <c r="E270" s="4" t="str">
        <f ca="1">IF(D270&lt;=TODAY(),IF(ISNA(VLOOKUP(V270,'Unreconciled AR'!C:C,1,0)),"Due","Unreconciled AR"),"Outstanding")</f>
        <v>Due</v>
      </c>
      <c r="F270" s="4">
        <f t="shared" ca="1" si="9"/>
        <v>44622</v>
      </c>
      <c r="G270" s="4" t="e">
        <f ca="1">LOOKUP(F270,{-10000,-60,-30,-15,0,1,10000},{"&gt;60","31-60","16-30","01-15","Due on Today","OS"})</f>
        <v>#N/A</v>
      </c>
      <c r="H270" s="4" t="s">
        <v>103</v>
      </c>
      <c r="I270" s="4" t="s">
        <v>103</v>
      </c>
      <c r="J270" s="4" t="s">
        <v>104</v>
      </c>
      <c r="K270" s="4" t="s">
        <v>111</v>
      </c>
      <c r="L270" s="4" t="s">
        <v>112</v>
      </c>
      <c r="M270" s="4" t="s">
        <v>113</v>
      </c>
      <c r="N270" s="4" t="s">
        <v>103</v>
      </c>
      <c r="O270" s="4" t="s">
        <v>432</v>
      </c>
      <c r="P270" s="5"/>
      <c r="Q270" s="5"/>
      <c r="R270" s="4" t="s">
        <v>433</v>
      </c>
      <c r="S270" s="5"/>
      <c r="T270" s="4" t="s">
        <v>107</v>
      </c>
      <c r="U270" s="45">
        <v>77</v>
      </c>
      <c r="V270" s="4" t="s">
        <v>525</v>
      </c>
      <c r="W270" s="45">
        <v>77</v>
      </c>
      <c r="X270" s="4" t="s">
        <v>8</v>
      </c>
      <c r="Y270" s="5">
        <v>1</v>
      </c>
      <c r="Z270" s="4" t="s">
        <v>108</v>
      </c>
      <c r="AA270" s="5"/>
      <c r="AB270" s="5">
        <v>60</v>
      </c>
      <c r="AC270" s="4" t="s">
        <v>109</v>
      </c>
      <c r="AD270" s="45">
        <v>77</v>
      </c>
      <c r="AE270" s="4" t="s">
        <v>525</v>
      </c>
      <c r="AF270" s="4"/>
      <c r="AG270" s="5">
        <v>1000000</v>
      </c>
      <c r="AH270" s="5">
        <v>1000000</v>
      </c>
      <c r="AI270" s="5">
        <v>0</v>
      </c>
      <c r="AJ270" s="5">
        <v>1000000</v>
      </c>
      <c r="AK270" s="5">
        <v>0</v>
      </c>
      <c r="AL270" s="5">
        <v>1000000</v>
      </c>
      <c r="AM270" s="5"/>
    </row>
    <row r="271" spans="1:39" ht="38.25" x14ac:dyDescent="0.25">
      <c r="A271" s="4" t="s">
        <v>29</v>
      </c>
      <c r="B271" s="4" t="str">
        <f>VLOOKUP(A271,'Ledger &amp; Group'!A:C,2,0)</f>
        <v>Cavinkare</v>
      </c>
      <c r="C271" s="4">
        <f>VLOOKUP(A271,'Ledger &amp; Group'!A:C,3,0)</f>
        <v>60</v>
      </c>
      <c r="D271" s="45">
        <f t="shared" si="8"/>
        <v>145</v>
      </c>
      <c r="E271" s="4" t="str">
        <f ca="1">IF(D271&lt;=TODAY(),IF(ISNA(VLOOKUP(V271,'Unreconciled AR'!C:C,1,0)),"Due","Unreconciled AR"),"Outstanding")</f>
        <v>Due</v>
      </c>
      <c r="F271" s="4">
        <f t="shared" ca="1" si="9"/>
        <v>44614</v>
      </c>
      <c r="G271" s="4" t="e">
        <f ca="1">LOOKUP(F271,{-10000,-60,-30,-15,0,1,10000},{"&gt;60","31-60","16-30","01-15","Due on Today","OS"})</f>
        <v>#N/A</v>
      </c>
      <c r="H271" s="4" t="s">
        <v>103</v>
      </c>
      <c r="I271" s="4" t="s">
        <v>103</v>
      </c>
      <c r="J271" s="4" t="s">
        <v>104</v>
      </c>
      <c r="K271" s="4" t="s">
        <v>111</v>
      </c>
      <c r="L271" s="4" t="s">
        <v>112</v>
      </c>
      <c r="M271" s="4" t="s">
        <v>113</v>
      </c>
      <c r="N271" s="4" t="s">
        <v>103</v>
      </c>
      <c r="O271" s="4" t="s">
        <v>432</v>
      </c>
      <c r="P271" s="5"/>
      <c r="Q271" s="5"/>
      <c r="R271" s="4" t="s">
        <v>433</v>
      </c>
      <c r="S271" s="5"/>
      <c r="T271" s="4" t="s">
        <v>107</v>
      </c>
      <c r="U271" s="45">
        <v>85</v>
      </c>
      <c r="V271" s="4" t="s">
        <v>526</v>
      </c>
      <c r="W271" s="45">
        <v>85</v>
      </c>
      <c r="X271" s="4" t="s">
        <v>8</v>
      </c>
      <c r="Y271" s="5">
        <v>1</v>
      </c>
      <c r="Z271" s="4" t="s">
        <v>108</v>
      </c>
      <c r="AA271" s="5"/>
      <c r="AB271" s="5">
        <v>52</v>
      </c>
      <c r="AC271" s="4" t="s">
        <v>109</v>
      </c>
      <c r="AD271" s="45">
        <v>85</v>
      </c>
      <c r="AE271" s="4" t="s">
        <v>526</v>
      </c>
      <c r="AF271" s="4"/>
      <c r="AG271" s="5">
        <v>1000000</v>
      </c>
      <c r="AH271" s="5">
        <v>1000000</v>
      </c>
      <c r="AI271" s="5">
        <v>0</v>
      </c>
      <c r="AJ271" s="5">
        <v>1000000</v>
      </c>
      <c r="AK271" s="5">
        <v>0</v>
      </c>
      <c r="AL271" s="5">
        <v>1000000</v>
      </c>
      <c r="AM271" s="5"/>
    </row>
    <row r="272" spans="1:39" ht="38.25" x14ac:dyDescent="0.25">
      <c r="A272" s="4" t="s">
        <v>29</v>
      </c>
      <c r="B272" s="4" t="str">
        <f>VLOOKUP(A272,'Ledger &amp; Group'!A:C,2,0)</f>
        <v>Cavinkare</v>
      </c>
      <c r="C272" s="4">
        <f>VLOOKUP(A272,'Ledger &amp; Group'!A:C,3,0)</f>
        <v>60</v>
      </c>
      <c r="D272" s="45">
        <f t="shared" si="8"/>
        <v>157</v>
      </c>
      <c r="E272" s="4" t="str">
        <f ca="1">IF(D272&lt;=TODAY(),IF(ISNA(VLOOKUP(V272,'Unreconciled AR'!C:C,1,0)),"Due","Unreconciled AR"),"Outstanding")</f>
        <v>Due</v>
      </c>
      <c r="F272" s="4">
        <f t="shared" ca="1" si="9"/>
        <v>44602</v>
      </c>
      <c r="G272" s="4" t="e">
        <f ca="1">LOOKUP(F272,{-10000,-60,-30,-15,0,1,10000},{"&gt;60","31-60","16-30","01-15","Due on Today","OS"})</f>
        <v>#N/A</v>
      </c>
      <c r="H272" s="4" t="s">
        <v>103</v>
      </c>
      <c r="I272" s="4" t="s">
        <v>103</v>
      </c>
      <c r="J272" s="4" t="s">
        <v>104</v>
      </c>
      <c r="K272" s="4" t="s">
        <v>111</v>
      </c>
      <c r="L272" s="4" t="s">
        <v>112</v>
      </c>
      <c r="M272" s="4" t="s">
        <v>113</v>
      </c>
      <c r="N272" s="4" t="s">
        <v>103</v>
      </c>
      <c r="O272" s="4" t="s">
        <v>432</v>
      </c>
      <c r="P272" s="5"/>
      <c r="Q272" s="5"/>
      <c r="R272" s="4" t="s">
        <v>433</v>
      </c>
      <c r="S272" s="5"/>
      <c r="T272" s="4" t="s">
        <v>107</v>
      </c>
      <c r="U272" s="45">
        <v>97</v>
      </c>
      <c r="V272" s="4" t="s">
        <v>218</v>
      </c>
      <c r="W272" s="45">
        <v>97</v>
      </c>
      <c r="X272" s="4" t="s">
        <v>8</v>
      </c>
      <c r="Y272" s="5">
        <v>1</v>
      </c>
      <c r="Z272" s="4" t="s">
        <v>108</v>
      </c>
      <c r="AA272" s="5"/>
      <c r="AB272" s="5">
        <v>40</v>
      </c>
      <c r="AC272" s="4" t="s">
        <v>109</v>
      </c>
      <c r="AD272" s="45">
        <v>97</v>
      </c>
      <c r="AE272" s="4" t="s">
        <v>218</v>
      </c>
      <c r="AF272" s="4"/>
      <c r="AG272" s="5">
        <v>1000000</v>
      </c>
      <c r="AH272" s="5">
        <v>1000000</v>
      </c>
      <c r="AI272" s="5">
        <v>0</v>
      </c>
      <c r="AJ272" s="5">
        <v>1000000</v>
      </c>
      <c r="AK272" s="5">
        <v>0</v>
      </c>
      <c r="AL272" s="5">
        <v>1000000</v>
      </c>
      <c r="AM272" s="5"/>
    </row>
    <row r="273" spans="1:39" ht="38.25" x14ac:dyDescent="0.25">
      <c r="A273" s="4" t="s">
        <v>29</v>
      </c>
      <c r="B273" s="4" t="str">
        <f>VLOOKUP(A273,'Ledger &amp; Group'!A:C,2,0)</f>
        <v>Cavinkare</v>
      </c>
      <c r="C273" s="4">
        <f>VLOOKUP(A273,'Ledger &amp; Group'!A:C,3,0)</f>
        <v>60</v>
      </c>
      <c r="D273" s="45">
        <f t="shared" si="8"/>
        <v>164</v>
      </c>
      <c r="E273" s="4" t="str">
        <f ca="1">IF(D273&lt;=TODAY(),IF(ISNA(VLOOKUP(V273,'Unreconciled AR'!C:C,1,0)),"Due","Unreconciled AR"),"Outstanding")</f>
        <v>Due</v>
      </c>
      <c r="F273" s="4">
        <f t="shared" ca="1" si="9"/>
        <v>44595</v>
      </c>
      <c r="G273" s="4" t="e">
        <f ca="1">LOOKUP(F273,{-10000,-60,-30,-15,0,1,10000},{"&gt;60","31-60","16-30","01-15","Due on Today","OS"})</f>
        <v>#N/A</v>
      </c>
      <c r="H273" s="4" t="s">
        <v>103</v>
      </c>
      <c r="I273" s="4" t="s">
        <v>103</v>
      </c>
      <c r="J273" s="4" t="s">
        <v>104</v>
      </c>
      <c r="K273" s="4" t="s">
        <v>111</v>
      </c>
      <c r="L273" s="4" t="s">
        <v>112</v>
      </c>
      <c r="M273" s="4" t="s">
        <v>113</v>
      </c>
      <c r="N273" s="4" t="s">
        <v>103</v>
      </c>
      <c r="O273" s="4" t="s">
        <v>432</v>
      </c>
      <c r="P273" s="5"/>
      <c r="Q273" s="5"/>
      <c r="R273" s="4" t="s">
        <v>433</v>
      </c>
      <c r="S273" s="5"/>
      <c r="T273" s="4" t="s">
        <v>107</v>
      </c>
      <c r="U273" s="45">
        <v>104</v>
      </c>
      <c r="V273" s="4" t="s">
        <v>250</v>
      </c>
      <c r="W273" s="45">
        <v>104</v>
      </c>
      <c r="X273" s="4" t="s">
        <v>8</v>
      </c>
      <c r="Y273" s="5">
        <v>1</v>
      </c>
      <c r="Z273" s="4" t="s">
        <v>108</v>
      </c>
      <c r="AA273" s="5"/>
      <c r="AB273" s="5">
        <v>33</v>
      </c>
      <c r="AC273" s="4" t="s">
        <v>109</v>
      </c>
      <c r="AD273" s="45">
        <v>104</v>
      </c>
      <c r="AE273" s="4" t="s">
        <v>250</v>
      </c>
      <c r="AF273" s="4"/>
      <c r="AG273" s="5">
        <v>1000000</v>
      </c>
      <c r="AH273" s="5">
        <v>1000000</v>
      </c>
      <c r="AI273" s="5">
        <v>0</v>
      </c>
      <c r="AJ273" s="5">
        <v>1000000</v>
      </c>
      <c r="AK273" s="5">
        <v>0</v>
      </c>
      <c r="AL273" s="5">
        <v>1000000</v>
      </c>
      <c r="AM273" s="5"/>
    </row>
    <row r="274" spans="1:39" ht="38.25" x14ac:dyDescent="0.25">
      <c r="A274" s="4" t="s">
        <v>29</v>
      </c>
      <c r="B274" s="4" t="str">
        <f>VLOOKUP(A274,'Ledger &amp; Group'!A:C,2,0)</f>
        <v>Cavinkare</v>
      </c>
      <c r="C274" s="4">
        <f>VLOOKUP(A274,'Ledger &amp; Group'!A:C,3,0)</f>
        <v>60</v>
      </c>
      <c r="D274" s="45">
        <f t="shared" si="8"/>
        <v>174</v>
      </c>
      <c r="E274" s="4" t="str">
        <f ca="1">IF(D274&lt;=TODAY(),IF(ISNA(VLOOKUP(V274,'Unreconciled AR'!C:C,1,0)),"Due","Unreconciled AR"),"Outstanding")</f>
        <v>Due</v>
      </c>
      <c r="F274" s="4">
        <f t="shared" ca="1" si="9"/>
        <v>44585</v>
      </c>
      <c r="G274" s="4" t="e">
        <f ca="1">LOOKUP(F274,{-10000,-60,-30,-15,0,1,10000},{"&gt;60","31-60","16-30","01-15","Due on Today","OS"})</f>
        <v>#N/A</v>
      </c>
      <c r="H274" s="4" t="s">
        <v>103</v>
      </c>
      <c r="I274" s="4" t="s">
        <v>103</v>
      </c>
      <c r="J274" s="4" t="s">
        <v>104</v>
      </c>
      <c r="K274" s="4" t="s">
        <v>111</v>
      </c>
      <c r="L274" s="4" t="s">
        <v>112</v>
      </c>
      <c r="M274" s="4" t="s">
        <v>113</v>
      </c>
      <c r="N274" s="4" t="s">
        <v>103</v>
      </c>
      <c r="O274" s="4" t="s">
        <v>432</v>
      </c>
      <c r="P274" s="5"/>
      <c r="Q274" s="5"/>
      <c r="R274" s="4" t="s">
        <v>433</v>
      </c>
      <c r="S274" s="5"/>
      <c r="T274" s="4" t="s">
        <v>107</v>
      </c>
      <c r="U274" s="45">
        <v>114</v>
      </c>
      <c r="V274" s="4" t="s">
        <v>285</v>
      </c>
      <c r="W274" s="45">
        <v>114</v>
      </c>
      <c r="X274" s="4" t="s">
        <v>8</v>
      </c>
      <c r="Y274" s="5">
        <v>1</v>
      </c>
      <c r="Z274" s="4" t="s">
        <v>108</v>
      </c>
      <c r="AA274" s="5"/>
      <c r="AB274" s="5">
        <v>23</v>
      </c>
      <c r="AC274" s="4" t="s">
        <v>109</v>
      </c>
      <c r="AD274" s="45">
        <v>114</v>
      </c>
      <c r="AE274" s="4" t="s">
        <v>285</v>
      </c>
      <c r="AF274" s="4"/>
      <c r="AG274" s="5">
        <v>1000000</v>
      </c>
      <c r="AH274" s="5">
        <v>1000000</v>
      </c>
      <c r="AI274" s="5">
        <v>0</v>
      </c>
      <c r="AJ274" s="5">
        <v>1000000</v>
      </c>
      <c r="AK274" s="5">
        <v>0</v>
      </c>
      <c r="AL274" s="5">
        <v>1000000</v>
      </c>
      <c r="AM274" s="5"/>
    </row>
    <row r="275" spans="1:39" ht="38.25" x14ac:dyDescent="0.25">
      <c r="A275" s="4" t="s">
        <v>29</v>
      </c>
      <c r="B275" s="4" t="str">
        <f>VLOOKUP(A275,'Ledger &amp; Group'!A:C,2,0)</f>
        <v>Cavinkare</v>
      </c>
      <c r="C275" s="4">
        <f>VLOOKUP(A275,'Ledger &amp; Group'!A:C,3,0)</f>
        <v>60</v>
      </c>
      <c r="D275" s="45">
        <f t="shared" si="8"/>
        <v>193</v>
      </c>
      <c r="E275" s="4" t="str">
        <f ca="1">IF(D275&lt;=TODAY(),IF(ISNA(VLOOKUP(V275,'Unreconciled AR'!C:C,1,0)),"Due","Unreconciled AR"),"Outstanding")</f>
        <v>Due</v>
      </c>
      <c r="F275" s="4">
        <f t="shared" ca="1" si="9"/>
        <v>44566</v>
      </c>
      <c r="G275" s="4" t="e">
        <f ca="1">LOOKUP(F275,{-10000,-60,-30,-15,0,1,10000},{"&gt;60","31-60","16-30","01-15","Due on Today","OS"})</f>
        <v>#N/A</v>
      </c>
      <c r="H275" s="4" t="s">
        <v>103</v>
      </c>
      <c r="I275" s="4" t="s">
        <v>103</v>
      </c>
      <c r="J275" s="4" t="s">
        <v>104</v>
      </c>
      <c r="K275" s="4" t="s">
        <v>111</v>
      </c>
      <c r="L275" s="4" t="s">
        <v>112</v>
      </c>
      <c r="M275" s="4" t="s">
        <v>113</v>
      </c>
      <c r="N275" s="4" t="s">
        <v>103</v>
      </c>
      <c r="O275" s="4" t="s">
        <v>432</v>
      </c>
      <c r="P275" s="5"/>
      <c r="Q275" s="5"/>
      <c r="R275" s="4" t="s">
        <v>433</v>
      </c>
      <c r="S275" s="5"/>
      <c r="T275" s="4" t="s">
        <v>107</v>
      </c>
      <c r="U275" s="45">
        <v>133</v>
      </c>
      <c r="V275" s="4" t="s">
        <v>410</v>
      </c>
      <c r="W275" s="45">
        <v>133</v>
      </c>
      <c r="X275" s="4" t="s">
        <v>8</v>
      </c>
      <c r="Y275" s="5">
        <v>1</v>
      </c>
      <c r="Z275" s="4" t="s">
        <v>108</v>
      </c>
      <c r="AA275" s="5"/>
      <c r="AB275" s="5">
        <v>4</v>
      </c>
      <c r="AC275" s="4" t="s">
        <v>109</v>
      </c>
      <c r="AD275" s="45">
        <v>133</v>
      </c>
      <c r="AE275" s="4" t="s">
        <v>410</v>
      </c>
      <c r="AF275" s="4"/>
      <c r="AG275" s="5">
        <v>1000000</v>
      </c>
      <c r="AH275" s="5">
        <v>1000000</v>
      </c>
      <c r="AI275" s="5">
        <v>0</v>
      </c>
      <c r="AJ275" s="5">
        <v>1000000</v>
      </c>
      <c r="AK275" s="5">
        <v>0</v>
      </c>
      <c r="AL275" s="5">
        <v>1000000</v>
      </c>
      <c r="AM275" s="5"/>
    </row>
    <row r="276" spans="1:39" ht="38.25" x14ac:dyDescent="0.25">
      <c r="A276" s="4" t="s">
        <v>29</v>
      </c>
      <c r="B276" s="4" t="str">
        <f>VLOOKUP(A276,'Ledger &amp; Group'!A:C,2,0)</f>
        <v>Cavinkare</v>
      </c>
      <c r="C276" s="4">
        <f>VLOOKUP(A276,'Ledger &amp; Group'!A:C,3,0)</f>
        <v>60</v>
      </c>
      <c r="D276" s="45">
        <f t="shared" si="8"/>
        <v>195</v>
      </c>
      <c r="E276" s="4" t="str">
        <f ca="1">IF(D276&lt;=TODAY(),IF(ISNA(VLOOKUP(V276,'Unreconciled AR'!C:C,1,0)),"Due","Unreconciled AR"),"Outstanding")</f>
        <v>Due</v>
      </c>
      <c r="F276" s="4">
        <f t="shared" ca="1" si="9"/>
        <v>44564</v>
      </c>
      <c r="G276" s="4" t="e">
        <f ca="1">LOOKUP(F276,{-10000,-60,-30,-15,0,1,10000},{"&gt;60","31-60","16-30","01-15","Due on Today","OS"})</f>
        <v>#N/A</v>
      </c>
      <c r="H276" s="4" t="s">
        <v>103</v>
      </c>
      <c r="I276" s="4" t="s">
        <v>103</v>
      </c>
      <c r="J276" s="4" t="s">
        <v>104</v>
      </c>
      <c r="K276" s="4" t="s">
        <v>111</v>
      </c>
      <c r="L276" s="4" t="s">
        <v>112</v>
      </c>
      <c r="M276" s="4" t="s">
        <v>113</v>
      </c>
      <c r="N276" s="4" t="s">
        <v>103</v>
      </c>
      <c r="O276" s="4" t="s">
        <v>432</v>
      </c>
      <c r="P276" s="5"/>
      <c r="Q276" s="5"/>
      <c r="R276" s="4" t="s">
        <v>433</v>
      </c>
      <c r="S276" s="5"/>
      <c r="T276" s="4" t="s">
        <v>107</v>
      </c>
      <c r="U276" s="45">
        <v>135</v>
      </c>
      <c r="V276" s="4" t="s">
        <v>426</v>
      </c>
      <c r="W276" s="45">
        <v>135</v>
      </c>
      <c r="X276" s="4" t="s">
        <v>8</v>
      </c>
      <c r="Y276" s="5">
        <v>1</v>
      </c>
      <c r="Z276" s="4" t="s">
        <v>108</v>
      </c>
      <c r="AA276" s="5"/>
      <c r="AB276" s="5">
        <v>2</v>
      </c>
      <c r="AC276" s="4" t="s">
        <v>109</v>
      </c>
      <c r="AD276" s="45">
        <v>135</v>
      </c>
      <c r="AE276" s="4" t="s">
        <v>426</v>
      </c>
      <c r="AF276" s="4"/>
      <c r="AG276" s="5">
        <v>1000000</v>
      </c>
      <c r="AH276" s="5">
        <v>1000000</v>
      </c>
      <c r="AI276" s="5">
        <v>0</v>
      </c>
      <c r="AJ276" s="5">
        <v>1000000</v>
      </c>
      <c r="AK276" s="5">
        <v>0</v>
      </c>
      <c r="AL276" s="5">
        <v>1000000</v>
      </c>
      <c r="AM276" s="5"/>
    </row>
    <row r="277" spans="1:39" ht="409.5" x14ac:dyDescent="0.25">
      <c r="A277" s="4" t="s">
        <v>29</v>
      </c>
      <c r="B277" s="4" t="str">
        <f>VLOOKUP(A277,'Ledger &amp; Group'!A:C,2,0)</f>
        <v>Cavinkare</v>
      </c>
      <c r="C277" s="4">
        <f>VLOOKUP(A277,'Ledger &amp; Group'!A:C,3,0)</f>
        <v>60</v>
      </c>
      <c r="D277" s="45">
        <f t="shared" si="8"/>
        <v>319</v>
      </c>
      <c r="E277" s="4" t="str">
        <f ca="1">IF(D277&lt;=TODAY(),IF(ISNA(VLOOKUP(V277,'Unreconciled AR'!C:C,1,0)),"Due","Unreconciled AR"),"Outstanding")</f>
        <v>Due</v>
      </c>
      <c r="F277" s="4">
        <f t="shared" ca="1" si="9"/>
        <v>44440</v>
      </c>
      <c r="G277" s="4" t="e">
        <f ca="1">LOOKUP(F277,{-10000,-60,-30,-15,0,1,10000},{"&gt;60","31-60","16-30","01-15","Due on Today","OS"})</f>
        <v>#N/A</v>
      </c>
      <c r="H277" s="5"/>
      <c r="I277" s="4" t="s">
        <v>103</v>
      </c>
      <c r="J277" s="4" t="s">
        <v>104</v>
      </c>
      <c r="K277" s="4" t="s">
        <v>111</v>
      </c>
      <c r="L277" s="4" t="s">
        <v>112</v>
      </c>
      <c r="M277" s="4" t="s">
        <v>113</v>
      </c>
      <c r="N277" s="4" t="s">
        <v>103</v>
      </c>
      <c r="O277" s="4" t="s">
        <v>432</v>
      </c>
      <c r="P277" s="5"/>
      <c r="Q277" s="5"/>
      <c r="R277" s="4" t="s">
        <v>433</v>
      </c>
      <c r="S277" s="5"/>
      <c r="T277" s="4" t="s">
        <v>107</v>
      </c>
      <c r="U277" s="45">
        <v>259</v>
      </c>
      <c r="V277" s="4" t="s">
        <v>180</v>
      </c>
      <c r="W277" s="45">
        <v>259</v>
      </c>
      <c r="X277" s="4" t="s">
        <v>8</v>
      </c>
      <c r="Y277" s="5">
        <v>1</v>
      </c>
      <c r="Z277" s="4" t="s">
        <v>369</v>
      </c>
      <c r="AA277" s="5"/>
      <c r="AB277" s="5">
        <v>243</v>
      </c>
      <c r="AC277" s="4" t="s">
        <v>109</v>
      </c>
      <c r="AD277" s="45">
        <v>259</v>
      </c>
      <c r="AE277" s="4" t="s">
        <v>180</v>
      </c>
      <c r="AF277" s="5"/>
      <c r="AG277" s="5">
        <v>1000000</v>
      </c>
      <c r="AH277" s="5">
        <v>1000000</v>
      </c>
      <c r="AI277" s="5">
        <v>0</v>
      </c>
      <c r="AJ277" s="5">
        <v>1000000</v>
      </c>
      <c r="AK277" s="5">
        <v>0</v>
      </c>
      <c r="AL277" s="5">
        <v>1000000</v>
      </c>
      <c r="AM277" s="5"/>
    </row>
    <row r="278" spans="1:39" ht="38.25" x14ac:dyDescent="0.25">
      <c r="A278" s="4" t="s">
        <v>30</v>
      </c>
      <c r="B278" s="4" t="str">
        <f>VLOOKUP(A278,'Ledger &amp; Group'!A:C,2,0)</f>
        <v>Cavinkare</v>
      </c>
      <c r="C278" s="4">
        <f>VLOOKUP(A278,'Ledger &amp; Group'!A:C,3,0)</f>
        <v>60</v>
      </c>
      <c r="D278" s="45">
        <f t="shared" si="8"/>
        <v>142</v>
      </c>
      <c r="E278" s="4" t="str">
        <f ca="1">IF(D278&lt;=TODAY(),IF(ISNA(VLOOKUP(V278,'Unreconciled AR'!C:C,1,0)),"Due","Unreconciled AR"),"Outstanding")</f>
        <v>Due</v>
      </c>
      <c r="F278" s="4">
        <f t="shared" ca="1" si="9"/>
        <v>44617</v>
      </c>
      <c r="G278" s="4" t="e">
        <f ca="1">LOOKUP(F278,{-10000,-60,-30,-15,0,1,10000},{"&gt;60","31-60","16-30","01-15","Due on Today","OS"})</f>
        <v>#N/A</v>
      </c>
      <c r="H278" s="4" t="s">
        <v>103</v>
      </c>
      <c r="I278" s="4" t="s">
        <v>103</v>
      </c>
      <c r="J278" s="4" t="s">
        <v>104</v>
      </c>
      <c r="K278" s="4" t="s">
        <v>111</v>
      </c>
      <c r="L278" s="4" t="s">
        <v>112</v>
      </c>
      <c r="M278" s="4" t="s">
        <v>113</v>
      </c>
      <c r="N278" s="4" t="s">
        <v>103</v>
      </c>
      <c r="O278" s="4" t="s">
        <v>432</v>
      </c>
      <c r="P278" s="5"/>
      <c r="Q278" s="5"/>
      <c r="R278" s="4" t="s">
        <v>433</v>
      </c>
      <c r="S278" s="5"/>
      <c r="T278" s="4" t="s">
        <v>107</v>
      </c>
      <c r="U278" s="45">
        <v>82</v>
      </c>
      <c r="V278" s="4" t="s">
        <v>527</v>
      </c>
      <c r="W278" s="45">
        <v>82</v>
      </c>
      <c r="X278" s="4" t="s">
        <v>8</v>
      </c>
      <c r="Y278" s="5">
        <v>1</v>
      </c>
      <c r="Z278" s="4" t="s">
        <v>108</v>
      </c>
      <c r="AA278" s="5"/>
      <c r="AB278" s="5">
        <v>55</v>
      </c>
      <c r="AC278" s="4" t="s">
        <v>109</v>
      </c>
      <c r="AD278" s="45">
        <v>82</v>
      </c>
      <c r="AE278" s="4" t="s">
        <v>527</v>
      </c>
      <c r="AF278" s="4"/>
      <c r="AG278" s="5">
        <v>1000000</v>
      </c>
      <c r="AH278" s="5">
        <v>1000000</v>
      </c>
      <c r="AI278" s="5">
        <v>0</v>
      </c>
      <c r="AJ278" s="5">
        <v>1000000</v>
      </c>
      <c r="AK278" s="5">
        <v>0</v>
      </c>
      <c r="AL278" s="5">
        <v>1000000</v>
      </c>
      <c r="AM278" s="5"/>
    </row>
    <row r="279" spans="1:39" ht="38.25" x14ac:dyDescent="0.25">
      <c r="A279" s="4" t="s">
        <v>30</v>
      </c>
      <c r="B279" s="4" t="str">
        <f>VLOOKUP(A279,'Ledger &amp; Group'!A:C,2,0)</f>
        <v>Cavinkare</v>
      </c>
      <c r="C279" s="4">
        <f>VLOOKUP(A279,'Ledger &amp; Group'!A:C,3,0)</f>
        <v>60</v>
      </c>
      <c r="D279" s="45">
        <f t="shared" si="8"/>
        <v>146</v>
      </c>
      <c r="E279" s="4" t="str">
        <f ca="1">IF(D279&lt;=TODAY(),IF(ISNA(VLOOKUP(V279,'Unreconciled AR'!C:C,1,0)),"Due","Unreconciled AR"),"Outstanding")</f>
        <v>Due</v>
      </c>
      <c r="F279" s="4">
        <f t="shared" ca="1" si="9"/>
        <v>44613</v>
      </c>
      <c r="G279" s="4" t="e">
        <f ca="1">LOOKUP(F279,{-10000,-60,-30,-15,0,1,10000},{"&gt;60","31-60","16-30","01-15","Due on Today","OS"})</f>
        <v>#N/A</v>
      </c>
      <c r="H279" s="4" t="s">
        <v>103</v>
      </c>
      <c r="I279" s="4" t="s">
        <v>103</v>
      </c>
      <c r="J279" s="4" t="s">
        <v>104</v>
      </c>
      <c r="K279" s="4" t="s">
        <v>111</v>
      </c>
      <c r="L279" s="4" t="s">
        <v>112</v>
      </c>
      <c r="M279" s="4" t="s">
        <v>113</v>
      </c>
      <c r="N279" s="4" t="s">
        <v>103</v>
      </c>
      <c r="O279" s="4" t="s">
        <v>432</v>
      </c>
      <c r="P279" s="5"/>
      <c r="Q279" s="5"/>
      <c r="R279" s="4" t="s">
        <v>433</v>
      </c>
      <c r="S279" s="5"/>
      <c r="T279" s="4" t="s">
        <v>107</v>
      </c>
      <c r="U279" s="45">
        <v>86</v>
      </c>
      <c r="V279" s="4" t="s">
        <v>528</v>
      </c>
      <c r="W279" s="45">
        <v>86</v>
      </c>
      <c r="X279" s="4" t="s">
        <v>8</v>
      </c>
      <c r="Y279" s="5">
        <v>1</v>
      </c>
      <c r="Z279" s="4" t="s">
        <v>108</v>
      </c>
      <c r="AA279" s="5"/>
      <c r="AB279" s="5">
        <v>51</v>
      </c>
      <c r="AC279" s="4" t="s">
        <v>109</v>
      </c>
      <c r="AD279" s="45">
        <v>86</v>
      </c>
      <c r="AE279" s="4" t="s">
        <v>528</v>
      </c>
      <c r="AF279" s="4"/>
      <c r="AG279" s="5">
        <v>1000000</v>
      </c>
      <c r="AH279" s="5">
        <v>1000000</v>
      </c>
      <c r="AI279" s="5">
        <v>0</v>
      </c>
      <c r="AJ279" s="5">
        <v>1000000</v>
      </c>
      <c r="AK279" s="5">
        <v>0</v>
      </c>
      <c r="AL279" s="5">
        <v>1000000</v>
      </c>
      <c r="AM279" s="5"/>
    </row>
    <row r="280" spans="1:39" ht="38.25" x14ac:dyDescent="0.25">
      <c r="A280" s="4" t="s">
        <v>30</v>
      </c>
      <c r="B280" s="4" t="str">
        <f>VLOOKUP(A280,'Ledger &amp; Group'!A:C,2,0)</f>
        <v>Cavinkare</v>
      </c>
      <c r="C280" s="4">
        <f>VLOOKUP(A280,'Ledger &amp; Group'!A:C,3,0)</f>
        <v>60</v>
      </c>
      <c r="D280" s="45">
        <f t="shared" si="8"/>
        <v>163</v>
      </c>
      <c r="E280" s="4" t="str">
        <f ca="1">IF(D280&lt;=TODAY(),IF(ISNA(VLOOKUP(V280,'Unreconciled AR'!C:C,1,0)),"Due","Unreconciled AR"),"Outstanding")</f>
        <v>Due</v>
      </c>
      <c r="F280" s="4">
        <f t="shared" ca="1" si="9"/>
        <v>44596</v>
      </c>
      <c r="G280" s="4" t="e">
        <f ca="1">LOOKUP(F280,{-10000,-60,-30,-15,0,1,10000},{"&gt;60","31-60","16-30","01-15","Due on Today","OS"})</f>
        <v>#N/A</v>
      </c>
      <c r="H280" s="4" t="s">
        <v>103</v>
      </c>
      <c r="I280" s="4" t="s">
        <v>103</v>
      </c>
      <c r="J280" s="4" t="s">
        <v>104</v>
      </c>
      <c r="K280" s="4" t="s">
        <v>111</v>
      </c>
      <c r="L280" s="4" t="s">
        <v>112</v>
      </c>
      <c r="M280" s="4" t="s">
        <v>113</v>
      </c>
      <c r="N280" s="4" t="s">
        <v>103</v>
      </c>
      <c r="O280" s="4" t="s">
        <v>432</v>
      </c>
      <c r="P280" s="5"/>
      <c r="Q280" s="5"/>
      <c r="R280" s="4" t="s">
        <v>433</v>
      </c>
      <c r="S280" s="5"/>
      <c r="T280" s="4" t="s">
        <v>107</v>
      </c>
      <c r="U280" s="45">
        <v>103</v>
      </c>
      <c r="V280" s="4" t="s">
        <v>251</v>
      </c>
      <c r="W280" s="45">
        <v>103</v>
      </c>
      <c r="X280" s="4" t="s">
        <v>8</v>
      </c>
      <c r="Y280" s="5">
        <v>1</v>
      </c>
      <c r="Z280" s="4" t="s">
        <v>108</v>
      </c>
      <c r="AA280" s="5"/>
      <c r="AB280" s="5">
        <v>34</v>
      </c>
      <c r="AC280" s="4" t="s">
        <v>109</v>
      </c>
      <c r="AD280" s="45">
        <v>103</v>
      </c>
      <c r="AE280" s="4" t="s">
        <v>251</v>
      </c>
      <c r="AF280" s="4"/>
      <c r="AG280" s="5">
        <v>1000000</v>
      </c>
      <c r="AH280" s="5">
        <v>1000000</v>
      </c>
      <c r="AI280" s="5">
        <v>0</v>
      </c>
      <c r="AJ280" s="5">
        <v>1000000</v>
      </c>
      <c r="AK280" s="5">
        <v>0</v>
      </c>
      <c r="AL280" s="5">
        <v>1000000</v>
      </c>
      <c r="AM280" s="5"/>
    </row>
    <row r="281" spans="1:39" ht="38.25" x14ac:dyDescent="0.25">
      <c r="A281" s="4" t="s">
        <v>30</v>
      </c>
      <c r="B281" s="4" t="str">
        <f>VLOOKUP(A281,'Ledger &amp; Group'!A:C,2,0)</f>
        <v>Cavinkare</v>
      </c>
      <c r="C281" s="4">
        <f>VLOOKUP(A281,'Ledger &amp; Group'!A:C,3,0)</f>
        <v>60</v>
      </c>
      <c r="D281" s="45">
        <f t="shared" si="8"/>
        <v>170</v>
      </c>
      <c r="E281" s="4" t="str">
        <f ca="1">IF(D281&lt;=TODAY(),IF(ISNA(VLOOKUP(V281,'Unreconciled AR'!C:C,1,0)),"Due","Unreconciled AR"),"Outstanding")</f>
        <v>Due</v>
      </c>
      <c r="F281" s="4">
        <f t="shared" ca="1" si="9"/>
        <v>44589</v>
      </c>
      <c r="G281" s="4" t="e">
        <f ca="1">LOOKUP(F281,{-10000,-60,-30,-15,0,1,10000},{"&gt;60","31-60","16-30","01-15","Due on Today","OS"})</f>
        <v>#N/A</v>
      </c>
      <c r="H281" s="4" t="s">
        <v>103</v>
      </c>
      <c r="I281" s="4" t="s">
        <v>103</v>
      </c>
      <c r="J281" s="4" t="s">
        <v>104</v>
      </c>
      <c r="K281" s="4" t="s">
        <v>111</v>
      </c>
      <c r="L281" s="4" t="s">
        <v>112</v>
      </c>
      <c r="M281" s="4" t="s">
        <v>113</v>
      </c>
      <c r="N281" s="4" t="s">
        <v>103</v>
      </c>
      <c r="O281" s="4" t="s">
        <v>432</v>
      </c>
      <c r="P281" s="5"/>
      <c r="Q281" s="5"/>
      <c r="R281" s="4" t="s">
        <v>433</v>
      </c>
      <c r="S281" s="5"/>
      <c r="T281" s="4" t="s">
        <v>107</v>
      </c>
      <c r="U281" s="45">
        <v>110</v>
      </c>
      <c r="V281" s="4" t="s">
        <v>266</v>
      </c>
      <c r="W281" s="45">
        <v>110</v>
      </c>
      <c r="X281" s="4" t="s">
        <v>8</v>
      </c>
      <c r="Y281" s="5">
        <v>1</v>
      </c>
      <c r="Z281" s="4" t="s">
        <v>108</v>
      </c>
      <c r="AA281" s="5"/>
      <c r="AB281" s="5">
        <v>27</v>
      </c>
      <c r="AC281" s="4" t="s">
        <v>109</v>
      </c>
      <c r="AD281" s="45">
        <v>110</v>
      </c>
      <c r="AE281" s="4" t="s">
        <v>266</v>
      </c>
      <c r="AF281" s="4"/>
      <c r="AG281" s="5">
        <v>1000000</v>
      </c>
      <c r="AH281" s="5">
        <v>1000000</v>
      </c>
      <c r="AI281" s="5">
        <v>0</v>
      </c>
      <c r="AJ281" s="5">
        <v>1000000</v>
      </c>
      <c r="AK281" s="5">
        <v>0</v>
      </c>
      <c r="AL281" s="5">
        <v>1000000</v>
      </c>
      <c r="AM281" s="5"/>
    </row>
    <row r="282" spans="1:39" ht="38.25" x14ac:dyDescent="0.25">
      <c r="A282" s="4" t="s">
        <v>30</v>
      </c>
      <c r="B282" s="4" t="str">
        <f>VLOOKUP(A282,'Ledger &amp; Group'!A:C,2,0)</f>
        <v>Cavinkare</v>
      </c>
      <c r="C282" s="4">
        <f>VLOOKUP(A282,'Ledger &amp; Group'!A:C,3,0)</f>
        <v>60</v>
      </c>
      <c r="D282" s="45">
        <f t="shared" si="8"/>
        <v>176</v>
      </c>
      <c r="E282" s="4" t="str">
        <f ca="1">IF(D282&lt;=TODAY(),IF(ISNA(VLOOKUP(V282,'Unreconciled AR'!C:C,1,0)),"Due","Unreconciled AR"),"Outstanding")</f>
        <v>Due</v>
      </c>
      <c r="F282" s="4">
        <f t="shared" ca="1" si="9"/>
        <v>44583</v>
      </c>
      <c r="G282" s="4" t="e">
        <f ca="1">LOOKUP(F282,{-10000,-60,-30,-15,0,1,10000},{"&gt;60","31-60","16-30","01-15","Due on Today","OS"})</f>
        <v>#N/A</v>
      </c>
      <c r="H282" s="4" t="s">
        <v>103</v>
      </c>
      <c r="I282" s="4" t="s">
        <v>103</v>
      </c>
      <c r="J282" s="4" t="s">
        <v>104</v>
      </c>
      <c r="K282" s="4" t="s">
        <v>111</v>
      </c>
      <c r="L282" s="4" t="s">
        <v>112</v>
      </c>
      <c r="M282" s="4" t="s">
        <v>113</v>
      </c>
      <c r="N282" s="4" t="s">
        <v>103</v>
      </c>
      <c r="O282" s="4" t="s">
        <v>432</v>
      </c>
      <c r="P282" s="5"/>
      <c r="Q282" s="5"/>
      <c r="R282" s="4" t="s">
        <v>433</v>
      </c>
      <c r="S282" s="5"/>
      <c r="T282" s="4" t="s">
        <v>107</v>
      </c>
      <c r="U282" s="45">
        <v>116</v>
      </c>
      <c r="V282" s="4" t="s">
        <v>288</v>
      </c>
      <c r="W282" s="45">
        <v>116</v>
      </c>
      <c r="X282" s="4" t="s">
        <v>8</v>
      </c>
      <c r="Y282" s="5">
        <v>1</v>
      </c>
      <c r="Z282" s="4" t="s">
        <v>108</v>
      </c>
      <c r="AA282" s="5"/>
      <c r="AB282" s="5">
        <v>21</v>
      </c>
      <c r="AC282" s="4" t="s">
        <v>109</v>
      </c>
      <c r="AD282" s="45">
        <v>116</v>
      </c>
      <c r="AE282" s="4" t="s">
        <v>288</v>
      </c>
      <c r="AF282" s="4"/>
      <c r="AG282" s="5">
        <v>1000000</v>
      </c>
      <c r="AH282" s="5">
        <v>1000000</v>
      </c>
      <c r="AI282" s="5">
        <v>0</v>
      </c>
      <c r="AJ282" s="5">
        <v>1000000</v>
      </c>
      <c r="AK282" s="5">
        <v>0</v>
      </c>
      <c r="AL282" s="5">
        <v>1000000</v>
      </c>
      <c r="AM282" s="5"/>
    </row>
    <row r="283" spans="1:39" ht="38.25" x14ac:dyDescent="0.25">
      <c r="A283" s="4" t="s">
        <v>30</v>
      </c>
      <c r="B283" s="4" t="str">
        <f>VLOOKUP(A283,'Ledger &amp; Group'!A:C,2,0)</f>
        <v>Cavinkare</v>
      </c>
      <c r="C283" s="4">
        <f>VLOOKUP(A283,'Ledger &amp; Group'!A:C,3,0)</f>
        <v>60</v>
      </c>
      <c r="D283" s="45">
        <f t="shared" si="8"/>
        <v>187</v>
      </c>
      <c r="E283" s="4" t="str">
        <f ca="1">IF(D283&lt;=TODAY(),IF(ISNA(VLOOKUP(V283,'Unreconciled AR'!C:C,1,0)),"Due","Unreconciled AR"),"Outstanding")</f>
        <v>Due</v>
      </c>
      <c r="F283" s="4">
        <f t="shared" ca="1" si="9"/>
        <v>44572</v>
      </c>
      <c r="G283" s="4" t="e">
        <f ca="1">LOOKUP(F283,{-10000,-60,-30,-15,0,1,10000},{"&gt;60","31-60","16-30","01-15","Due on Today","OS"})</f>
        <v>#N/A</v>
      </c>
      <c r="H283" s="4" t="s">
        <v>103</v>
      </c>
      <c r="I283" s="4" t="s">
        <v>103</v>
      </c>
      <c r="J283" s="4" t="s">
        <v>104</v>
      </c>
      <c r="K283" s="4" t="s">
        <v>111</v>
      </c>
      <c r="L283" s="4" t="s">
        <v>112</v>
      </c>
      <c r="M283" s="4" t="s">
        <v>113</v>
      </c>
      <c r="N283" s="4" t="s">
        <v>103</v>
      </c>
      <c r="O283" s="4" t="s">
        <v>432</v>
      </c>
      <c r="P283" s="5"/>
      <c r="Q283" s="5"/>
      <c r="R283" s="4" t="s">
        <v>433</v>
      </c>
      <c r="S283" s="5"/>
      <c r="T283" s="4" t="s">
        <v>107</v>
      </c>
      <c r="U283" s="45">
        <v>127</v>
      </c>
      <c r="V283" s="4" t="s">
        <v>342</v>
      </c>
      <c r="W283" s="45">
        <v>127</v>
      </c>
      <c r="X283" s="4" t="s">
        <v>8</v>
      </c>
      <c r="Y283" s="5">
        <v>1</v>
      </c>
      <c r="Z283" s="4" t="s">
        <v>108</v>
      </c>
      <c r="AA283" s="5"/>
      <c r="AB283" s="5">
        <v>10</v>
      </c>
      <c r="AC283" s="4" t="s">
        <v>109</v>
      </c>
      <c r="AD283" s="45">
        <v>127</v>
      </c>
      <c r="AE283" s="4" t="s">
        <v>342</v>
      </c>
      <c r="AF283" s="4"/>
      <c r="AG283" s="5">
        <v>1000000</v>
      </c>
      <c r="AH283" s="5">
        <v>1000000</v>
      </c>
      <c r="AI283" s="5">
        <v>0</v>
      </c>
      <c r="AJ283" s="5">
        <v>1000000</v>
      </c>
      <c r="AK283" s="5">
        <v>0</v>
      </c>
      <c r="AL283" s="5">
        <v>1000000</v>
      </c>
      <c r="AM283" s="5"/>
    </row>
    <row r="284" spans="1:39" ht="51" x14ac:dyDescent="0.25">
      <c r="A284" s="4" t="s">
        <v>31</v>
      </c>
      <c r="B284" s="4" t="str">
        <f>VLOOKUP(A284,'Ledger &amp; Group'!A:C,2,0)</f>
        <v>Cavinkare</v>
      </c>
      <c r="C284" s="4">
        <f>VLOOKUP(A284,'Ledger &amp; Group'!A:C,3,0)</f>
        <v>60</v>
      </c>
      <c r="D284" s="45">
        <f t="shared" si="8"/>
        <v>413</v>
      </c>
      <c r="E284" s="4" t="str">
        <f ca="1">IF(D284&lt;=TODAY(),IF(ISNA(VLOOKUP(V284,'Unreconciled AR'!C:C,1,0)),"Due","Unreconciled AR"),"Outstanding")</f>
        <v>Due</v>
      </c>
      <c r="F284" s="4">
        <f t="shared" ca="1" si="9"/>
        <v>44346</v>
      </c>
      <c r="G284" s="4" t="e">
        <f ca="1">LOOKUP(F284,{-10000,-60,-30,-15,0,1,10000},{"&gt;60","31-60","16-30","01-15","Due on Today","OS"})</f>
        <v>#N/A</v>
      </c>
      <c r="H284" s="4" t="s">
        <v>103</v>
      </c>
      <c r="I284" s="4" t="s">
        <v>103</v>
      </c>
      <c r="J284" s="4" t="s">
        <v>104</v>
      </c>
      <c r="K284" s="4" t="s">
        <v>111</v>
      </c>
      <c r="L284" s="4" t="s">
        <v>112</v>
      </c>
      <c r="M284" s="4" t="s">
        <v>113</v>
      </c>
      <c r="N284" s="4" t="s">
        <v>103</v>
      </c>
      <c r="O284" s="4" t="s">
        <v>432</v>
      </c>
      <c r="P284" s="5"/>
      <c r="Q284" s="5"/>
      <c r="R284" s="4" t="s">
        <v>433</v>
      </c>
      <c r="S284" s="5"/>
      <c r="T284" s="4" t="s">
        <v>107</v>
      </c>
      <c r="U284" s="45">
        <v>353</v>
      </c>
      <c r="V284" s="4" t="s">
        <v>529</v>
      </c>
      <c r="W284" s="45">
        <v>353</v>
      </c>
      <c r="X284" s="4" t="s">
        <v>8</v>
      </c>
      <c r="Y284" s="5">
        <v>1</v>
      </c>
      <c r="Z284" s="4" t="s">
        <v>108</v>
      </c>
      <c r="AA284" s="5"/>
      <c r="AB284" s="5">
        <v>149</v>
      </c>
      <c r="AC284" s="4" t="s">
        <v>109</v>
      </c>
      <c r="AD284" s="45">
        <v>353</v>
      </c>
      <c r="AE284" s="4" t="s">
        <v>529</v>
      </c>
      <c r="AF284" s="4"/>
      <c r="AG284" s="5">
        <v>1000000</v>
      </c>
      <c r="AH284" s="5">
        <v>1000000</v>
      </c>
      <c r="AI284" s="5">
        <v>0</v>
      </c>
      <c r="AJ284" s="5">
        <v>1000000</v>
      </c>
      <c r="AK284" s="5">
        <v>0</v>
      </c>
      <c r="AL284" s="5">
        <v>1000000</v>
      </c>
      <c r="AM284" s="5"/>
    </row>
    <row r="285" spans="1:39" ht="409.5" x14ac:dyDescent="0.25">
      <c r="A285" s="4" t="s">
        <v>31</v>
      </c>
      <c r="B285" s="4" t="str">
        <f>VLOOKUP(A285,'Ledger &amp; Group'!A:C,2,0)</f>
        <v>Cavinkare</v>
      </c>
      <c r="C285" s="4">
        <f>VLOOKUP(A285,'Ledger &amp; Group'!A:C,3,0)</f>
        <v>60</v>
      </c>
      <c r="D285" s="45">
        <f t="shared" si="8"/>
        <v>163</v>
      </c>
      <c r="E285" s="4" t="str">
        <f ca="1">IF(D285&lt;=TODAY(),IF(ISNA(VLOOKUP(V285,'Unreconciled AR'!C:C,1,0)),"Due","Unreconciled AR"),"Outstanding")</f>
        <v>Due</v>
      </c>
      <c r="F285" s="4">
        <f t="shared" ca="1" si="9"/>
        <v>44596</v>
      </c>
      <c r="G285" s="4" t="e">
        <f ca="1">LOOKUP(F285,{-10000,-60,-30,-15,0,1,10000},{"&gt;60","31-60","16-30","01-15","Due on Today","OS"})</f>
        <v>#N/A</v>
      </c>
      <c r="H285" s="5"/>
      <c r="I285" s="4" t="s">
        <v>103</v>
      </c>
      <c r="J285" s="4" t="s">
        <v>104</v>
      </c>
      <c r="K285" s="4" t="s">
        <v>111</v>
      </c>
      <c r="L285" s="4" t="s">
        <v>112</v>
      </c>
      <c r="M285" s="4" t="s">
        <v>113</v>
      </c>
      <c r="N285" s="4" t="s">
        <v>103</v>
      </c>
      <c r="O285" s="4" t="s">
        <v>432</v>
      </c>
      <c r="P285" s="5"/>
      <c r="Q285" s="5"/>
      <c r="R285" s="4" t="s">
        <v>433</v>
      </c>
      <c r="S285" s="5"/>
      <c r="T285" s="4" t="s">
        <v>107</v>
      </c>
      <c r="U285" s="45">
        <v>103</v>
      </c>
      <c r="V285" s="4" t="s">
        <v>75</v>
      </c>
      <c r="W285" s="45">
        <v>103</v>
      </c>
      <c r="X285" s="4" t="s">
        <v>8</v>
      </c>
      <c r="Y285" s="5">
        <v>1</v>
      </c>
      <c r="Z285" s="4" t="s">
        <v>120</v>
      </c>
      <c r="AA285" s="5"/>
      <c r="AB285" s="5">
        <v>399</v>
      </c>
      <c r="AC285" s="4" t="s">
        <v>109</v>
      </c>
      <c r="AD285" s="45">
        <v>103</v>
      </c>
      <c r="AE285" s="4" t="s">
        <v>75</v>
      </c>
      <c r="AF285" s="5"/>
      <c r="AG285" s="5">
        <v>1000000</v>
      </c>
      <c r="AH285" s="5">
        <v>1000000</v>
      </c>
      <c r="AI285" s="5">
        <v>0</v>
      </c>
      <c r="AJ285" s="5">
        <v>1000000</v>
      </c>
      <c r="AK285" s="5">
        <v>-44604</v>
      </c>
      <c r="AL285" s="5">
        <v>1000000</v>
      </c>
      <c r="AM285" s="5"/>
    </row>
    <row r="286" spans="1:39" ht="127.5" x14ac:dyDescent="0.25">
      <c r="A286" s="4" t="s">
        <v>71</v>
      </c>
      <c r="B286" s="4" t="str">
        <f>VLOOKUP(A286,'Ledger &amp; Group'!A:C,2,0)</f>
        <v>Cavinkare</v>
      </c>
      <c r="C286" s="4">
        <f>VLOOKUP(A286,'Ledger &amp; Group'!A:C,3,0)</f>
        <v>60</v>
      </c>
      <c r="D286" s="45">
        <f t="shared" si="8"/>
        <v>192</v>
      </c>
      <c r="E286" s="4" t="str">
        <f ca="1">IF(D286&lt;=TODAY(),IF(ISNA(VLOOKUP(V286,'Unreconciled AR'!C:C,1,0)),"Due","Unreconciled AR"),"Outstanding")</f>
        <v>Due</v>
      </c>
      <c r="F286" s="4">
        <f t="shared" ca="1" si="9"/>
        <v>44567</v>
      </c>
      <c r="G286" s="4" t="e">
        <f ca="1">LOOKUP(F286,{-10000,-60,-30,-15,0,1,10000},{"&gt;60","31-60","16-30","01-15","Due on Today","OS"})</f>
        <v>#N/A</v>
      </c>
      <c r="H286" s="4" t="s">
        <v>103</v>
      </c>
      <c r="I286" s="4" t="s">
        <v>103</v>
      </c>
      <c r="J286" s="4" t="s">
        <v>104</v>
      </c>
      <c r="K286" s="4" t="s">
        <v>111</v>
      </c>
      <c r="L286" s="4" t="s">
        <v>112</v>
      </c>
      <c r="M286" s="4" t="s">
        <v>113</v>
      </c>
      <c r="N286" s="4" t="s">
        <v>121</v>
      </c>
      <c r="O286" s="4" t="s">
        <v>432</v>
      </c>
      <c r="P286" s="5"/>
      <c r="Q286" s="5"/>
      <c r="R286" s="4" t="s">
        <v>433</v>
      </c>
      <c r="S286" s="5"/>
      <c r="T286" s="4" t="s">
        <v>107</v>
      </c>
      <c r="U286" s="45">
        <v>132</v>
      </c>
      <c r="V286" s="4" t="s">
        <v>76</v>
      </c>
      <c r="W286" s="45">
        <v>132</v>
      </c>
      <c r="X286" s="4" t="s">
        <v>8</v>
      </c>
      <c r="Y286" s="5">
        <v>1</v>
      </c>
      <c r="Z286" s="4" t="s">
        <v>122</v>
      </c>
      <c r="AA286" s="5"/>
      <c r="AB286" s="5">
        <v>370</v>
      </c>
      <c r="AC286" s="4" t="s">
        <v>109</v>
      </c>
      <c r="AD286" s="45">
        <v>132</v>
      </c>
      <c r="AE286" s="4" t="s">
        <v>76</v>
      </c>
      <c r="AF286" s="5"/>
      <c r="AG286" s="5">
        <v>1000000</v>
      </c>
      <c r="AH286" s="5">
        <v>1000000</v>
      </c>
      <c r="AI286" s="5">
        <v>0</v>
      </c>
      <c r="AJ286" s="5">
        <v>1000000</v>
      </c>
      <c r="AK286" s="5">
        <v>0</v>
      </c>
      <c r="AL286" s="5">
        <v>1000000</v>
      </c>
      <c r="AM286" s="5"/>
    </row>
    <row r="287" spans="1:39" ht="127.5" x14ac:dyDescent="0.25">
      <c r="A287" s="4" t="s">
        <v>71</v>
      </c>
      <c r="B287" s="4" t="str">
        <f>VLOOKUP(A287,'Ledger &amp; Group'!A:C,2,0)</f>
        <v>Cavinkare</v>
      </c>
      <c r="C287" s="4">
        <f>VLOOKUP(A287,'Ledger &amp; Group'!A:C,3,0)</f>
        <v>60</v>
      </c>
      <c r="D287" s="45">
        <f t="shared" si="8"/>
        <v>65</v>
      </c>
      <c r="E287" s="4" t="str">
        <f ca="1">IF(D287&lt;=TODAY(),IF(ISNA(VLOOKUP(V287,'Unreconciled AR'!C:C,1,0)),"Due","Unreconciled AR"),"Outstanding")</f>
        <v>Due</v>
      </c>
      <c r="F287" s="4">
        <f t="shared" ca="1" si="9"/>
        <v>44694</v>
      </c>
      <c r="G287" s="4" t="e">
        <f ca="1">LOOKUP(F287,{-10000,-60,-30,-15,0,1,10000},{"&gt;60","31-60","16-30","01-15","Due on Today","OS"})</f>
        <v>#N/A</v>
      </c>
      <c r="H287" s="4" t="s">
        <v>103</v>
      </c>
      <c r="I287" s="4" t="s">
        <v>103</v>
      </c>
      <c r="J287" s="4" t="s">
        <v>104</v>
      </c>
      <c r="K287" s="4" t="s">
        <v>111</v>
      </c>
      <c r="L287" s="4" t="s">
        <v>112</v>
      </c>
      <c r="M287" s="4" t="s">
        <v>113</v>
      </c>
      <c r="N287" s="4" t="s">
        <v>121</v>
      </c>
      <c r="O287" s="4" t="s">
        <v>432</v>
      </c>
      <c r="P287" s="5"/>
      <c r="Q287" s="5"/>
      <c r="R287" s="4" t="s">
        <v>433</v>
      </c>
      <c r="S287" s="5"/>
      <c r="T287" s="4" t="s">
        <v>107</v>
      </c>
      <c r="U287" s="45">
        <v>5</v>
      </c>
      <c r="V287" s="4" t="s">
        <v>187</v>
      </c>
      <c r="W287" s="45">
        <v>5</v>
      </c>
      <c r="X287" s="4" t="s">
        <v>8</v>
      </c>
      <c r="Y287" s="5">
        <v>1</v>
      </c>
      <c r="Z287" s="4" t="s">
        <v>370</v>
      </c>
      <c r="AA287" s="5"/>
      <c r="AB287" s="5">
        <v>131</v>
      </c>
      <c r="AC287" s="4" t="s">
        <v>109</v>
      </c>
      <c r="AD287" s="45">
        <v>5</v>
      </c>
      <c r="AE287" s="4" t="s">
        <v>187</v>
      </c>
      <c r="AF287" s="5"/>
      <c r="AG287" s="5">
        <v>1000000</v>
      </c>
      <c r="AH287" s="5">
        <v>1000000</v>
      </c>
      <c r="AI287" s="5">
        <v>0</v>
      </c>
      <c r="AJ287" s="5">
        <v>1000000</v>
      </c>
      <c r="AK287" s="5">
        <v>0</v>
      </c>
      <c r="AL287" s="5">
        <v>1000000</v>
      </c>
      <c r="AM287" s="5"/>
    </row>
    <row r="288" spans="1:39" ht="127.5" x14ac:dyDescent="0.25">
      <c r="A288" s="4" t="s">
        <v>71</v>
      </c>
      <c r="B288" s="4" t="str">
        <f>VLOOKUP(A288,'Ledger &amp; Group'!A:C,2,0)</f>
        <v>Cavinkare</v>
      </c>
      <c r="C288" s="4">
        <f>VLOOKUP(A288,'Ledger &amp; Group'!A:C,3,0)</f>
        <v>60</v>
      </c>
      <c r="D288" s="45">
        <f t="shared" si="8"/>
        <v>80</v>
      </c>
      <c r="E288" s="4" t="str">
        <f ca="1">IF(D288&lt;=TODAY(),IF(ISNA(VLOOKUP(V288,'Unreconciled AR'!C:C,1,0)),"Due","Unreconciled AR"),"Outstanding")</f>
        <v>Due</v>
      </c>
      <c r="F288" s="4">
        <f t="shared" ca="1" si="9"/>
        <v>44679</v>
      </c>
      <c r="G288" s="4" t="e">
        <f ca="1">LOOKUP(F288,{-10000,-60,-30,-15,0,1,10000},{"&gt;60","31-60","16-30","01-15","Due on Today","OS"})</f>
        <v>#N/A</v>
      </c>
      <c r="H288" s="4" t="s">
        <v>103</v>
      </c>
      <c r="I288" s="4" t="s">
        <v>103</v>
      </c>
      <c r="J288" s="4" t="s">
        <v>104</v>
      </c>
      <c r="K288" s="4" t="s">
        <v>111</v>
      </c>
      <c r="L288" s="4" t="s">
        <v>112</v>
      </c>
      <c r="M288" s="4" t="s">
        <v>113</v>
      </c>
      <c r="N288" s="4" t="s">
        <v>121</v>
      </c>
      <c r="O288" s="4" t="s">
        <v>432</v>
      </c>
      <c r="P288" s="5"/>
      <c r="Q288" s="5"/>
      <c r="R288" s="4" t="s">
        <v>433</v>
      </c>
      <c r="S288" s="5"/>
      <c r="T288" s="4" t="s">
        <v>107</v>
      </c>
      <c r="U288" s="45">
        <v>20</v>
      </c>
      <c r="V288" s="4" t="s">
        <v>189</v>
      </c>
      <c r="W288" s="45">
        <v>20</v>
      </c>
      <c r="X288" s="4" t="s">
        <v>8</v>
      </c>
      <c r="Y288" s="5">
        <v>1</v>
      </c>
      <c r="Z288" s="4" t="s">
        <v>370</v>
      </c>
      <c r="AA288" s="5"/>
      <c r="AB288" s="5">
        <v>116</v>
      </c>
      <c r="AC288" s="4" t="s">
        <v>109</v>
      </c>
      <c r="AD288" s="45">
        <v>20</v>
      </c>
      <c r="AE288" s="4" t="s">
        <v>189</v>
      </c>
      <c r="AF288" s="5"/>
      <c r="AG288" s="5">
        <v>1000000</v>
      </c>
      <c r="AH288" s="5">
        <v>1000000</v>
      </c>
      <c r="AI288" s="5">
        <v>0</v>
      </c>
      <c r="AJ288" s="5">
        <v>1000000</v>
      </c>
      <c r="AK288" s="5">
        <v>0</v>
      </c>
      <c r="AL288" s="5">
        <v>1000000</v>
      </c>
      <c r="AM288" s="5"/>
    </row>
    <row r="289" spans="1:39" ht="140.25" x14ac:dyDescent="0.25">
      <c r="A289" s="4" t="s">
        <v>71</v>
      </c>
      <c r="B289" s="4" t="str">
        <f>VLOOKUP(A289,'Ledger &amp; Group'!A:C,2,0)</f>
        <v>Cavinkare</v>
      </c>
      <c r="C289" s="4">
        <f>VLOOKUP(A289,'Ledger &amp; Group'!A:C,3,0)</f>
        <v>60</v>
      </c>
      <c r="D289" s="45">
        <f t="shared" si="8"/>
        <v>81</v>
      </c>
      <c r="E289" s="4" t="str">
        <f ca="1">IF(D289&lt;=TODAY(),IF(ISNA(VLOOKUP(V289,'Unreconciled AR'!C:C,1,0)),"Due","Unreconciled AR"),"Outstanding")</f>
        <v>Due</v>
      </c>
      <c r="F289" s="4">
        <f t="shared" ca="1" si="9"/>
        <v>44678</v>
      </c>
      <c r="G289" s="4" t="e">
        <f ca="1">LOOKUP(F289,{-10000,-60,-30,-15,0,1,10000},{"&gt;60","31-60","16-30","01-15","Due on Today","OS"})</f>
        <v>#N/A</v>
      </c>
      <c r="H289" s="4" t="s">
        <v>103</v>
      </c>
      <c r="I289" s="4" t="s">
        <v>103</v>
      </c>
      <c r="J289" s="4" t="s">
        <v>104</v>
      </c>
      <c r="K289" s="4" t="s">
        <v>111</v>
      </c>
      <c r="L289" s="4" t="s">
        <v>112</v>
      </c>
      <c r="M289" s="4" t="s">
        <v>113</v>
      </c>
      <c r="N289" s="4" t="s">
        <v>121</v>
      </c>
      <c r="O289" s="4" t="s">
        <v>432</v>
      </c>
      <c r="P289" s="5"/>
      <c r="Q289" s="5"/>
      <c r="R289" s="4" t="s">
        <v>433</v>
      </c>
      <c r="S289" s="5"/>
      <c r="T289" s="4" t="s">
        <v>107</v>
      </c>
      <c r="U289" s="45">
        <v>21</v>
      </c>
      <c r="V289" s="4" t="s">
        <v>190</v>
      </c>
      <c r="W289" s="45">
        <v>21</v>
      </c>
      <c r="X289" s="4" t="s">
        <v>8</v>
      </c>
      <c r="Y289" s="5">
        <v>1</v>
      </c>
      <c r="Z289" s="4" t="s">
        <v>371</v>
      </c>
      <c r="AA289" s="5"/>
      <c r="AB289" s="5">
        <v>115</v>
      </c>
      <c r="AC289" s="4" t="s">
        <v>109</v>
      </c>
      <c r="AD289" s="45">
        <v>21</v>
      </c>
      <c r="AE289" s="4" t="s">
        <v>190</v>
      </c>
      <c r="AF289" s="5"/>
      <c r="AG289" s="5">
        <v>1000000</v>
      </c>
      <c r="AH289" s="5">
        <v>1000000</v>
      </c>
      <c r="AI289" s="5">
        <v>0</v>
      </c>
      <c r="AJ289" s="5">
        <v>1000000</v>
      </c>
      <c r="AK289" s="5">
        <v>0</v>
      </c>
      <c r="AL289" s="5">
        <v>1000000</v>
      </c>
      <c r="AM289" s="5"/>
    </row>
    <row r="290" spans="1:39" ht="140.25" x14ac:dyDescent="0.25">
      <c r="A290" s="4" t="s">
        <v>71</v>
      </c>
      <c r="B290" s="4" t="str">
        <f>VLOOKUP(A290,'Ledger &amp; Group'!A:C,2,0)</f>
        <v>Cavinkare</v>
      </c>
      <c r="C290" s="4">
        <f>VLOOKUP(A290,'Ledger &amp; Group'!A:C,3,0)</f>
        <v>60</v>
      </c>
      <c r="D290" s="45">
        <f t="shared" si="8"/>
        <v>145</v>
      </c>
      <c r="E290" s="4" t="str">
        <f ca="1">IF(D290&lt;=TODAY(),IF(ISNA(VLOOKUP(V290,'Unreconciled AR'!C:C,1,0)),"Due","Unreconciled AR"),"Outstanding")</f>
        <v>Due</v>
      </c>
      <c r="F290" s="4">
        <f t="shared" ca="1" si="9"/>
        <v>44614</v>
      </c>
      <c r="G290" s="4" t="e">
        <f ca="1">LOOKUP(F290,{-10000,-60,-30,-15,0,1,10000},{"&gt;60","31-60","16-30","01-15","Due on Today","OS"})</f>
        <v>#N/A</v>
      </c>
      <c r="H290" s="4" t="s">
        <v>103</v>
      </c>
      <c r="I290" s="4" t="s">
        <v>103</v>
      </c>
      <c r="J290" s="4" t="s">
        <v>104</v>
      </c>
      <c r="K290" s="4" t="s">
        <v>111</v>
      </c>
      <c r="L290" s="4" t="s">
        <v>112</v>
      </c>
      <c r="M290" s="4" t="s">
        <v>113</v>
      </c>
      <c r="N290" s="4" t="s">
        <v>121</v>
      </c>
      <c r="O290" s="4" t="s">
        <v>432</v>
      </c>
      <c r="P290" s="5"/>
      <c r="Q290" s="5"/>
      <c r="R290" s="4" t="s">
        <v>433</v>
      </c>
      <c r="S290" s="5"/>
      <c r="T290" s="4" t="s">
        <v>107</v>
      </c>
      <c r="U290" s="45">
        <v>85</v>
      </c>
      <c r="V290" s="4" t="s">
        <v>199</v>
      </c>
      <c r="W290" s="45">
        <v>85</v>
      </c>
      <c r="X290" s="4" t="s">
        <v>8</v>
      </c>
      <c r="Y290" s="5">
        <v>1</v>
      </c>
      <c r="Z290" s="4" t="s">
        <v>372</v>
      </c>
      <c r="AA290" s="5"/>
      <c r="AB290" s="5">
        <v>52</v>
      </c>
      <c r="AC290" s="4" t="s">
        <v>109</v>
      </c>
      <c r="AD290" s="45">
        <v>85</v>
      </c>
      <c r="AE290" s="4" t="s">
        <v>199</v>
      </c>
      <c r="AF290" s="5"/>
      <c r="AG290" s="5">
        <v>1000000</v>
      </c>
      <c r="AH290" s="5">
        <v>1000000</v>
      </c>
      <c r="AI290" s="5">
        <v>0</v>
      </c>
      <c r="AJ290" s="5">
        <v>1000000</v>
      </c>
      <c r="AK290" s="5">
        <v>0</v>
      </c>
      <c r="AL290" s="5">
        <v>1000000</v>
      </c>
      <c r="AM290" s="5"/>
    </row>
    <row r="291" spans="1:39" ht="102" x14ac:dyDescent="0.25">
      <c r="A291" s="4" t="s">
        <v>71</v>
      </c>
      <c r="B291" s="4" t="str">
        <f>VLOOKUP(A291,'Ledger &amp; Group'!A:C,2,0)</f>
        <v>Cavinkare</v>
      </c>
      <c r="C291" s="4">
        <f>VLOOKUP(A291,'Ledger &amp; Group'!A:C,3,0)</f>
        <v>60</v>
      </c>
      <c r="D291" s="45">
        <f t="shared" si="8"/>
        <v>178</v>
      </c>
      <c r="E291" s="4" t="str">
        <f ca="1">IF(D291&lt;=TODAY(),IF(ISNA(VLOOKUP(V291,'Unreconciled AR'!C:C,1,0)),"Due","Unreconciled AR"),"Outstanding")</f>
        <v>Due</v>
      </c>
      <c r="F291" s="4">
        <f t="shared" ca="1" si="9"/>
        <v>44581</v>
      </c>
      <c r="G291" s="4" t="e">
        <f ca="1">LOOKUP(F291,{-10000,-60,-30,-15,0,1,10000},{"&gt;60","31-60","16-30","01-15","Due on Today","OS"})</f>
        <v>#N/A</v>
      </c>
      <c r="H291" s="4" t="s">
        <v>103</v>
      </c>
      <c r="I291" s="4" t="s">
        <v>103</v>
      </c>
      <c r="J291" s="4" t="s">
        <v>104</v>
      </c>
      <c r="K291" s="4" t="s">
        <v>111</v>
      </c>
      <c r="L291" s="4" t="s">
        <v>112</v>
      </c>
      <c r="M291" s="4" t="s">
        <v>113</v>
      </c>
      <c r="N291" s="4" t="s">
        <v>121</v>
      </c>
      <c r="O291" s="4" t="s">
        <v>432</v>
      </c>
      <c r="P291" s="5"/>
      <c r="Q291" s="5"/>
      <c r="R291" s="4" t="s">
        <v>433</v>
      </c>
      <c r="S291" s="5"/>
      <c r="T291" s="4" t="s">
        <v>107</v>
      </c>
      <c r="U291" s="45">
        <v>118</v>
      </c>
      <c r="V291" s="4" t="s">
        <v>299</v>
      </c>
      <c r="W291" s="45">
        <v>118</v>
      </c>
      <c r="X291" s="4" t="s">
        <v>8</v>
      </c>
      <c r="Y291" s="5">
        <v>1</v>
      </c>
      <c r="Z291" s="4" t="s">
        <v>373</v>
      </c>
      <c r="AA291" s="5"/>
      <c r="AB291" s="5">
        <v>19</v>
      </c>
      <c r="AC291" s="4" t="s">
        <v>109</v>
      </c>
      <c r="AD291" s="45">
        <v>118</v>
      </c>
      <c r="AE291" s="4" t="s">
        <v>299</v>
      </c>
      <c r="AF291" s="5"/>
      <c r="AG291" s="5">
        <v>1000000</v>
      </c>
      <c r="AH291" s="5">
        <v>1000000</v>
      </c>
      <c r="AI291" s="5">
        <v>0</v>
      </c>
      <c r="AJ291" s="5">
        <v>1000000</v>
      </c>
      <c r="AK291" s="5">
        <v>0</v>
      </c>
      <c r="AL291" s="5">
        <v>1000000</v>
      </c>
      <c r="AM291" s="5"/>
    </row>
    <row r="292" spans="1:39" ht="38.25" x14ac:dyDescent="0.25">
      <c r="A292" s="4" t="s">
        <v>32</v>
      </c>
      <c r="B292" s="4" t="str">
        <f>VLOOKUP(A292,'Ledger &amp; Group'!A:C,2,0)</f>
        <v>Cavinkare</v>
      </c>
      <c r="C292" s="4">
        <f>VLOOKUP(A292,'Ledger &amp; Group'!A:C,3,0)</f>
        <v>60</v>
      </c>
      <c r="D292" s="45">
        <f t="shared" si="8"/>
        <v>143</v>
      </c>
      <c r="E292" s="4" t="str">
        <f ca="1">IF(D292&lt;=TODAY(),IF(ISNA(VLOOKUP(V292,'Unreconciled AR'!C:C,1,0)),"Due","Unreconciled AR"),"Outstanding")</f>
        <v>Due</v>
      </c>
      <c r="F292" s="4">
        <f t="shared" ca="1" si="9"/>
        <v>44616</v>
      </c>
      <c r="G292" s="4" t="e">
        <f ca="1">LOOKUP(F292,{-10000,-60,-30,-15,0,1,10000},{"&gt;60","31-60","16-30","01-15","Due on Today","OS"})</f>
        <v>#N/A</v>
      </c>
      <c r="H292" s="4" t="s">
        <v>103</v>
      </c>
      <c r="I292" s="4" t="s">
        <v>103</v>
      </c>
      <c r="J292" s="4" t="s">
        <v>104</v>
      </c>
      <c r="K292" s="4" t="s">
        <v>111</v>
      </c>
      <c r="L292" s="4" t="s">
        <v>112</v>
      </c>
      <c r="M292" s="4" t="s">
        <v>113</v>
      </c>
      <c r="N292" s="4" t="s">
        <v>103</v>
      </c>
      <c r="O292" s="4" t="s">
        <v>432</v>
      </c>
      <c r="P292" s="5"/>
      <c r="Q292" s="5"/>
      <c r="R292" s="4" t="s">
        <v>433</v>
      </c>
      <c r="S292" s="5"/>
      <c r="T292" s="4" t="s">
        <v>107</v>
      </c>
      <c r="U292" s="45">
        <v>83</v>
      </c>
      <c r="V292" s="4" t="s">
        <v>530</v>
      </c>
      <c r="W292" s="45">
        <v>83</v>
      </c>
      <c r="X292" s="4" t="s">
        <v>8</v>
      </c>
      <c r="Y292" s="5">
        <v>1</v>
      </c>
      <c r="Z292" s="4" t="s">
        <v>108</v>
      </c>
      <c r="AA292" s="5"/>
      <c r="AB292" s="5">
        <v>54</v>
      </c>
      <c r="AC292" s="4" t="s">
        <v>109</v>
      </c>
      <c r="AD292" s="45">
        <v>83</v>
      </c>
      <c r="AE292" s="4" t="s">
        <v>530</v>
      </c>
      <c r="AF292" s="4"/>
      <c r="AG292" s="5">
        <v>1000000</v>
      </c>
      <c r="AH292" s="5">
        <v>1000000</v>
      </c>
      <c r="AI292" s="5">
        <v>0</v>
      </c>
      <c r="AJ292" s="5">
        <v>1000000</v>
      </c>
      <c r="AK292" s="5">
        <v>0</v>
      </c>
      <c r="AL292" s="5">
        <v>1000000</v>
      </c>
      <c r="AM292" s="5"/>
    </row>
    <row r="293" spans="1:39" ht="38.25" x14ac:dyDescent="0.25">
      <c r="A293" s="4" t="s">
        <v>32</v>
      </c>
      <c r="B293" s="4" t="str">
        <f>VLOOKUP(A293,'Ledger &amp; Group'!A:C,2,0)</f>
        <v>Cavinkare</v>
      </c>
      <c r="C293" s="4">
        <f>VLOOKUP(A293,'Ledger &amp; Group'!A:C,3,0)</f>
        <v>60</v>
      </c>
      <c r="D293" s="45">
        <f t="shared" si="8"/>
        <v>143</v>
      </c>
      <c r="E293" s="4" t="str">
        <f ca="1">IF(D293&lt;=TODAY(),IF(ISNA(VLOOKUP(V293,'Unreconciled AR'!C:C,1,0)),"Due","Unreconciled AR"),"Outstanding")</f>
        <v>Due</v>
      </c>
      <c r="F293" s="4">
        <f t="shared" ca="1" si="9"/>
        <v>44616</v>
      </c>
      <c r="G293" s="4" t="e">
        <f ca="1">LOOKUP(F293,{-10000,-60,-30,-15,0,1,10000},{"&gt;60","31-60","16-30","01-15","Due on Today","OS"})</f>
        <v>#N/A</v>
      </c>
      <c r="H293" s="4" t="s">
        <v>103</v>
      </c>
      <c r="I293" s="4" t="s">
        <v>103</v>
      </c>
      <c r="J293" s="4" t="s">
        <v>104</v>
      </c>
      <c r="K293" s="4" t="s">
        <v>111</v>
      </c>
      <c r="L293" s="4" t="s">
        <v>112</v>
      </c>
      <c r="M293" s="4" t="s">
        <v>113</v>
      </c>
      <c r="N293" s="4" t="s">
        <v>103</v>
      </c>
      <c r="O293" s="4" t="s">
        <v>432</v>
      </c>
      <c r="P293" s="5"/>
      <c r="Q293" s="5"/>
      <c r="R293" s="4" t="s">
        <v>433</v>
      </c>
      <c r="S293" s="5"/>
      <c r="T293" s="4" t="s">
        <v>107</v>
      </c>
      <c r="U293" s="45">
        <v>83</v>
      </c>
      <c r="V293" s="4" t="s">
        <v>531</v>
      </c>
      <c r="W293" s="45">
        <v>83</v>
      </c>
      <c r="X293" s="4" t="s">
        <v>8</v>
      </c>
      <c r="Y293" s="5">
        <v>1</v>
      </c>
      <c r="Z293" s="4" t="s">
        <v>108</v>
      </c>
      <c r="AA293" s="5"/>
      <c r="AB293" s="5">
        <v>54</v>
      </c>
      <c r="AC293" s="4" t="s">
        <v>109</v>
      </c>
      <c r="AD293" s="45">
        <v>83</v>
      </c>
      <c r="AE293" s="4" t="s">
        <v>531</v>
      </c>
      <c r="AF293" s="4"/>
      <c r="AG293" s="5">
        <v>1000000</v>
      </c>
      <c r="AH293" s="5">
        <v>1000000</v>
      </c>
      <c r="AI293" s="5">
        <v>0</v>
      </c>
      <c r="AJ293" s="5">
        <v>1000000</v>
      </c>
      <c r="AK293" s="5">
        <v>0</v>
      </c>
      <c r="AL293" s="5">
        <v>1000000</v>
      </c>
      <c r="AM293" s="5"/>
    </row>
    <row r="294" spans="1:39" ht="38.25" x14ac:dyDescent="0.25">
      <c r="A294" s="4" t="s">
        <v>32</v>
      </c>
      <c r="B294" s="4" t="str">
        <f>VLOOKUP(A294,'Ledger &amp; Group'!A:C,2,0)</f>
        <v>Cavinkare</v>
      </c>
      <c r="C294" s="4">
        <f>VLOOKUP(A294,'Ledger &amp; Group'!A:C,3,0)</f>
        <v>60</v>
      </c>
      <c r="D294" s="45">
        <f t="shared" si="8"/>
        <v>181</v>
      </c>
      <c r="E294" s="4" t="str">
        <f ca="1">IF(D294&lt;=TODAY(),IF(ISNA(VLOOKUP(V294,'Unreconciled AR'!C:C,1,0)),"Due","Unreconciled AR"),"Outstanding")</f>
        <v>Due</v>
      </c>
      <c r="F294" s="4">
        <f t="shared" ca="1" si="9"/>
        <v>44578</v>
      </c>
      <c r="G294" s="4" t="e">
        <f ca="1">LOOKUP(F294,{-10000,-60,-30,-15,0,1,10000},{"&gt;60","31-60","16-30","01-15","Due on Today","OS"})</f>
        <v>#N/A</v>
      </c>
      <c r="H294" s="4" t="s">
        <v>103</v>
      </c>
      <c r="I294" s="4" t="s">
        <v>103</v>
      </c>
      <c r="J294" s="4" t="s">
        <v>104</v>
      </c>
      <c r="K294" s="4" t="s">
        <v>111</v>
      </c>
      <c r="L294" s="4" t="s">
        <v>112</v>
      </c>
      <c r="M294" s="4" t="s">
        <v>113</v>
      </c>
      <c r="N294" s="4" t="s">
        <v>103</v>
      </c>
      <c r="O294" s="4" t="s">
        <v>432</v>
      </c>
      <c r="P294" s="5"/>
      <c r="Q294" s="5"/>
      <c r="R294" s="4" t="s">
        <v>433</v>
      </c>
      <c r="S294" s="5"/>
      <c r="T294" s="4" t="s">
        <v>107</v>
      </c>
      <c r="U294" s="45">
        <v>121</v>
      </c>
      <c r="V294" s="4" t="s">
        <v>311</v>
      </c>
      <c r="W294" s="45">
        <v>121</v>
      </c>
      <c r="X294" s="4" t="s">
        <v>8</v>
      </c>
      <c r="Y294" s="5">
        <v>1</v>
      </c>
      <c r="Z294" s="4" t="s">
        <v>108</v>
      </c>
      <c r="AA294" s="5"/>
      <c r="AB294" s="5">
        <v>16</v>
      </c>
      <c r="AC294" s="4" t="s">
        <v>109</v>
      </c>
      <c r="AD294" s="45">
        <v>121</v>
      </c>
      <c r="AE294" s="4" t="s">
        <v>311</v>
      </c>
      <c r="AF294" s="4"/>
      <c r="AG294" s="5">
        <v>1000000</v>
      </c>
      <c r="AH294" s="5">
        <v>1000000</v>
      </c>
      <c r="AI294" s="5">
        <v>0</v>
      </c>
      <c r="AJ294" s="5">
        <v>1000000</v>
      </c>
      <c r="AK294" s="5">
        <v>0</v>
      </c>
      <c r="AL294" s="5">
        <v>1000000</v>
      </c>
      <c r="AM294" s="5"/>
    </row>
    <row r="295" spans="1:39" ht="25.5" x14ac:dyDescent="0.25">
      <c r="A295" s="4" t="s">
        <v>65</v>
      </c>
      <c r="B295" s="4" t="str">
        <f>VLOOKUP(A295,'Ledger &amp; Group'!A:C,2,0)</f>
        <v>Own Brand</v>
      </c>
      <c r="C295" s="4">
        <f>VLOOKUP(A295,'Ledger &amp; Group'!A:C,3,0)</f>
        <v>30</v>
      </c>
      <c r="D295" s="45">
        <f t="shared" si="8"/>
        <v>389</v>
      </c>
      <c r="E295" s="4" t="str">
        <f ca="1">IF(D295&lt;=TODAY(),IF(ISNA(VLOOKUP(V295,'Unreconciled AR'!C:C,1,0)),"Due","Unreconciled AR"),"Outstanding")</f>
        <v>Due</v>
      </c>
      <c r="F295" s="4">
        <f t="shared" ca="1" si="9"/>
        <v>44340</v>
      </c>
      <c r="G295" s="4" t="e">
        <f ca="1">LOOKUP(F295,{-10000,-60,-30,-15,0,1,10000},{"&gt;60","31-60","16-30","01-15","Due on Today","OS"})</f>
        <v>#N/A</v>
      </c>
      <c r="H295" s="4" t="s">
        <v>103</v>
      </c>
      <c r="I295" s="4" t="s">
        <v>103</v>
      </c>
      <c r="J295" s="4" t="s">
        <v>104</v>
      </c>
      <c r="K295" s="4" t="s">
        <v>111</v>
      </c>
      <c r="L295" s="4" t="s">
        <v>112</v>
      </c>
      <c r="M295" s="4" t="s">
        <v>113</v>
      </c>
      <c r="N295" s="4" t="s">
        <v>103</v>
      </c>
      <c r="O295" s="4" t="s">
        <v>432</v>
      </c>
      <c r="P295" s="5"/>
      <c r="Q295" s="5"/>
      <c r="R295" s="4" t="s">
        <v>433</v>
      </c>
      <c r="S295" s="5"/>
      <c r="T295" s="4" t="s">
        <v>107</v>
      </c>
      <c r="U295" s="45">
        <v>359</v>
      </c>
      <c r="V295" s="4" t="s">
        <v>123</v>
      </c>
      <c r="W295" s="45">
        <v>359</v>
      </c>
      <c r="X295" s="4" t="s">
        <v>8</v>
      </c>
      <c r="Y295" s="5">
        <v>1</v>
      </c>
      <c r="Z295" s="4" t="s">
        <v>108</v>
      </c>
      <c r="AA295" s="5"/>
      <c r="AB295" s="5">
        <v>508</v>
      </c>
      <c r="AC295" s="4" t="s">
        <v>109</v>
      </c>
      <c r="AD295" s="45">
        <v>359</v>
      </c>
      <c r="AE295" s="4" t="s">
        <v>123</v>
      </c>
      <c r="AF295" s="5"/>
      <c r="AG295" s="5">
        <v>1000000</v>
      </c>
      <c r="AH295" s="5">
        <v>1000000</v>
      </c>
      <c r="AI295" s="5">
        <v>0</v>
      </c>
      <c r="AJ295" s="5">
        <v>1000000</v>
      </c>
      <c r="AK295" s="5">
        <v>0</v>
      </c>
      <c r="AL295" s="5">
        <v>1000000</v>
      </c>
      <c r="AM295" s="5"/>
    </row>
    <row r="296" spans="1:39" ht="165.75" x14ac:dyDescent="0.25">
      <c r="A296" s="4" t="s">
        <v>33</v>
      </c>
      <c r="B296" s="4" t="str">
        <f>VLOOKUP(A296,'Ledger &amp; Group'!A:C,2,0)</f>
        <v>Dabur</v>
      </c>
      <c r="C296" s="4">
        <f>VLOOKUP(A296,'Ledger &amp; Group'!A:C,3,0)</f>
        <v>30</v>
      </c>
      <c r="D296" s="45">
        <f t="shared" si="8"/>
        <v>299</v>
      </c>
      <c r="E296" s="4" t="str">
        <f ca="1">IF(D296&lt;=TODAY(),IF(ISNA(VLOOKUP(V296,'Unreconciled AR'!C:C,1,0)),"Due","Unreconciled AR"),"Outstanding")</f>
        <v>Due</v>
      </c>
      <c r="F296" s="4">
        <f t="shared" ca="1" si="9"/>
        <v>44430</v>
      </c>
      <c r="G296" s="4" t="e">
        <f ca="1">LOOKUP(F296,{-10000,-60,-30,-15,0,1,10000},{"&gt;60","31-60","16-30","01-15","Due on Today","OS"})</f>
        <v>#N/A</v>
      </c>
      <c r="H296" s="4" t="s">
        <v>103</v>
      </c>
      <c r="I296" s="4" t="s">
        <v>103</v>
      </c>
      <c r="J296" s="4" t="s">
        <v>104</v>
      </c>
      <c r="K296" s="4" t="s">
        <v>111</v>
      </c>
      <c r="L296" s="4" t="s">
        <v>112</v>
      </c>
      <c r="M296" s="4" t="s">
        <v>113</v>
      </c>
      <c r="N296" s="4" t="s">
        <v>110</v>
      </c>
      <c r="O296" s="4" t="s">
        <v>432</v>
      </c>
      <c r="P296" s="5"/>
      <c r="Q296" s="5"/>
      <c r="R296" s="4" t="s">
        <v>433</v>
      </c>
      <c r="S296" s="5"/>
      <c r="T296" s="4" t="s">
        <v>107</v>
      </c>
      <c r="U296" s="45">
        <v>269</v>
      </c>
      <c r="V296" s="4" t="s">
        <v>125</v>
      </c>
      <c r="W296" s="45">
        <v>269</v>
      </c>
      <c r="X296" s="4" t="s">
        <v>8</v>
      </c>
      <c r="Y296" s="5">
        <v>1</v>
      </c>
      <c r="Z296" s="4" t="s">
        <v>126</v>
      </c>
      <c r="AA296" s="5"/>
      <c r="AB296" s="5">
        <v>598</v>
      </c>
      <c r="AC296" s="4" t="s">
        <v>109</v>
      </c>
      <c r="AD296" s="45">
        <v>269</v>
      </c>
      <c r="AE296" s="4" t="s">
        <v>125</v>
      </c>
      <c r="AF296" s="5"/>
      <c r="AG296" s="5">
        <v>1000000</v>
      </c>
      <c r="AH296" s="5">
        <v>1000000</v>
      </c>
      <c r="AI296" s="5">
        <v>0</v>
      </c>
      <c r="AJ296" s="5">
        <v>1000000</v>
      </c>
      <c r="AK296" s="5">
        <v>0</v>
      </c>
      <c r="AL296" s="5">
        <v>1000000</v>
      </c>
      <c r="AM296" s="5"/>
    </row>
    <row r="297" spans="1:39" ht="165.75" x14ac:dyDescent="0.25">
      <c r="A297" s="4" t="s">
        <v>33</v>
      </c>
      <c r="B297" s="4" t="str">
        <f>VLOOKUP(A297,'Ledger &amp; Group'!A:C,2,0)</f>
        <v>Dabur</v>
      </c>
      <c r="C297" s="4">
        <f>VLOOKUP(A297,'Ledger &amp; Group'!A:C,3,0)</f>
        <v>30</v>
      </c>
      <c r="D297" s="45">
        <f t="shared" si="8"/>
        <v>299</v>
      </c>
      <c r="E297" s="4" t="str">
        <f ca="1">IF(D297&lt;=TODAY(),IF(ISNA(VLOOKUP(V297,'Unreconciled AR'!C:C,1,0)),"Due","Unreconciled AR"),"Outstanding")</f>
        <v>Due</v>
      </c>
      <c r="F297" s="4">
        <f t="shared" ca="1" si="9"/>
        <v>44430</v>
      </c>
      <c r="G297" s="4" t="e">
        <f ca="1">LOOKUP(F297,{-10000,-60,-30,-15,0,1,10000},{"&gt;60","31-60","16-30","01-15","Due on Today","OS"})</f>
        <v>#N/A</v>
      </c>
      <c r="H297" s="4" t="s">
        <v>103</v>
      </c>
      <c r="I297" s="4" t="s">
        <v>103</v>
      </c>
      <c r="J297" s="4" t="s">
        <v>104</v>
      </c>
      <c r="K297" s="4" t="s">
        <v>111</v>
      </c>
      <c r="L297" s="4" t="s">
        <v>112</v>
      </c>
      <c r="M297" s="4" t="s">
        <v>113</v>
      </c>
      <c r="N297" s="4" t="s">
        <v>110</v>
      </c>
      <c r="O297" s="4" t="s">
        <v>432</v>
      </c>
      <c r="P297" s="5"/>
      <c r="Q297" s="5"/>
      <c r="R297" s="4" t="s">
        <v>433</v>
      </c>
      <c r="S297" s="5"/>
      <c r="T297" s="4" t="s">
        <v>107</v>
      </c>
      <c r="U297" s="45">
        <v>269</v>
      </c>
      <c r="V297" s="4" t="s">
        <v>127</v>
      </c>
      <c r="W297" s="45">
        <v>269</v>
      </c>
      <c r="X297" s="4" t="s">
        <v>8</v>
      </c>
      <c r="Y297" s="5">
        <v>1</v>
      </c>
      <c r="Z297" s="4" t="s">
        <v>126</v>
      </c>
      <c r="AA297" s="5"/>
      <c r="AB297" s="5">
        <v>598</v>
      </c>
      <c r="AC297" s="4" t="s">
        <v>109</v>
      </c>
      <c r="AD297" s="45">
        <v>269</v>
      </c>
      <c r="AE297" s="4" t="s">
        <v>127</v>
      </c>
      <c r="AF297" s="5"/>
      <c r="AG297" s="5">
        <v>1000000</v>
      </c>
      <c r="AH297" s="5">
        <v>1000000</v>
      </c>
      <c r="AI297" s="5">
        <v>0</v>
      </c>
      <c r="AJ297" s="5">
        <v>1000000</v>
      </c>
      <c r="AK297" s="5">
        <v>0</v>
      </c>
      <c r="AL297" s="5">
        <v>1000000</v>
      </c>
      <c r="AM297" s="5"/>
    </row>
    <row r="298" spans="1:39" ht="165.75" x14ac:dyDescent="0.25">
      <c r="A298" s="4" t="s">
        <v>33</v>
      </c>
      <c r="B298" s="4" t="str">
        <f>VLOOKUP(A298,'Ledger &amp; Group'!A:C,2,0)</f>
        <v>Dabur</v>
      </c>
      <c r="C298" s="4">
        <f>VLOOKUP(A298,'Ledger &amp; Group'!A:C,3,0)</f>
        <v>30</v>
      </c>
      <c r="D298" s="45">
        <f t="shared" si="8"/>
        <v>304</v>
      </c>
      <c r="E298" s="4" t="str">
        <f ca="1">IF(D298&lt;=TODAY(),IF(ISNA(VLOOKUP(V298,'Unreconciled AR'!C:C,1,0)),"Due","Unreconciled AR"),"Outstanding")</f>
        <v>Due</v>
      </c>
      <c r="F298" s="4">
        <f t="shared" ca="1" si="9"/>
        <v>44425</v>
      </c>
      <c r="G298" s="4" t="e">
        <f ca="1">LOOKUP(F298,{-10000,-60,-30,-15,0,1,10000},{"&gt;60","31-60","16-30","01-15","Due on Today","OS"})</f>
        <v>#N/A</v>
      </c>
      <c r="H298" s="4" t="s">
        <v>103</v>
      </c>
      <c r="I298" s="4" t="s">
        <v>103</v>
      </c>
      <c r="J298" s="4" t="s">
        <v>104</v>
      </c>
      <c r="K298" s="4" t="s">
        <v>111</v>
      </c>
      <c r="L298" s="4" t="s">
        <v>112</v>
      </c>
      <c r="M298" s="4" t="s">
        <v>113</v>
      </c>
      <c r="N298" s="4" t="s">
        <v>110</v>
      </c>
      <c r="O298" s="4" t="s">
        <v>432</v>
      </c>
      <c r="P298" s="5"/>
      <c r="Q298" s="5"/>
      <c r="R298" s="4" t="s">
        <v>433</v>
      </c>
      <c r="S298" s="5"/>
      <c r="T298" s="4" t="s">
        <v>107</v>
      </c>
      <c r="U298" s="45">
        <v>274</v>
      </c>
      <c r="V298" s="4" t="s">
        <v>128</v>
      </c>
      <c r="W298" s="45">
        <v>274</v>
      </c>
      <c r="X298" s="4" t="s">
        <v>8</v>
      </c>
      <c r="Y298" s="5">
        <v>1</v>
      </c>
      <c r="Z298" s="4" t="s">
        <v>126</v>
      </c>
      <c r="AA298" s="5"/>
      <c r="AB298" s="5">
        <v>593</v>
      </c>
      <c r="AC298" s="4" t="s">
        <v>109</v>
      </c>
      <c r="AD298" s="45">
        <v>274</v>
      </c>
      <c r="AE298" s="4" t="s">
        <v>128</v>
      </c>
      <c r="AF298" s="5"/>
      <c r="AG298" s="5">
        <v>1000000</v>
      </c>
      <c r="AH298" s="5">
        <v>1000000</v>
      </c>
      <c r="AI298" s="5">
        <v>0</v>
      </c>
      <c r="AJ298" s="5">
        <v>1000000</v>
      </c>
      <c r="AK298" s="5">
        <v>0</v>
      </c>
      <c r="AL298" s="5">
        <v>1000000</v>
      </c>
      <c r="AM298" s="5"/>
    </row>
    <row r="299" spans="1:39" ht="153" x14ac:dyDescent="0.25">
      <c r="A299" s="4" t="s">
        <v>33</v>
      </c>
      <c r="B299" s="4" t="str">
        <f>VLOOKUP(A299,'Ledger &amp; Group'!A:C,2,0)</f>
        <v>Dabur</v>
      </c>
      <c r="C299" s="4">
        <f>VLOOKUP(A299,'Ledger &amp; Group'!A:C,3,0)</f>
        <v>30</v>
      </c>
      <c r="D299" s="45">
        <f t="shared" si="8"/>
        <v>112</v>
      </c>
      <c r="E299" s="4" t="str">
        <f ca="1">IF(D299&lt;=TODAY(),IF(ISNA(VLOOKUP(V299,'Unreconciled AR'!C:C,1,0)),"Due","Unreconciled AR"),"Outstanding")</f>
        <v>Due</v>
      </c>
      <c r="F299" s="4">
        <f t="shared" ca="1" si="9"/>
        <v>44617</v>
      </c>
      <c r="G299" s="4" t="e">
        <f ca="1">LOOKUP(F299,{-10000,-60,-30,-15,0,1,10000},{"&gt;60","31-60","16-30","01-15","Due on Today","OS"})</f>
        <v>#N/A</v>
      </c>
      <c r="H299" s="4" t="s">
        <v>103</v>
      </c>
      <c r="I299" s="4" t="s">
        <v>103</v>
      </c>
      <c r="J299" s="4" t="s">
        <v>104</v>
      </c>
      <c r="K299" s="4" t="s">
        <v>111</v>
      </c>
      <c r="L299" s="4" t="s">
        <v>112</v>
      </c>
      <c r="M299" s="4" t="s">
        <v>113</v>
      </c>
      <c r="N299" s="4" t="s">
        <v>110</v>
      </c>
      <c r="O299" s="4" t="s">
        <v>432</v>
      </c>
      <c r="P299" s="5"/>
      <c r="Q299" s="5"/>
      <c r="R299" s="4" t="s">
        <v>433</v>
      </c>
      <c r="S299" s="5"/>
      <c r="T299" s="4" t="s">
        <v>107</v>
      </c>
      <c r="U299" s="45">
        <v>82</v>
      </c>
      <c r="V299" s="4" t="s">
        <v>193</v>
      </c>
      <c r="W299" s="45">
        <v>82</v>
      </c>
      <c r="X299" s="4" t="s">
        <v>8</v>
      </c>
      <c r="Y299" s="5">
        <v>1</v>
      </c>
      <c r="Z299" s="4" t="s">
        <v>374</v>
      </c>
      <c r="AA299" s="5"/>
      <c r="AB299" s="5">
        <v>55</v>
      </c>
      <c r="AC299" s="4" t="s">
        <v>109</v>
      </c>
      <c r="AD299" s="45">
        <v>82</v>
      </c>
      <c r="AE299" s="4" t="s">
        <v>193</v>
      </c>
      <c r="AF299" s="5"/>
      <c r="AG299" s="5">
        <v>1000000</v>
      </c>
      <c r="AH299" s="5">
        <v>1000000</v>
      </c>
      <c r="AI299" s="5">
        <v>0</v>
      </c>
      <c r="AJ299" s="5">
        <v>1000000</v>
      </c>
      <c r="AK299" s="5">
        <v>0</v>
      </c>
      <c r="AL299" s="5">
        <v>1000000</v>
      </c>
      <c r="AM299" s="5"/>
    </row>
    <row r="300" spans="1:39" ht="165.75" x14ac:dyDescent="0.25">
      <c r="A300" s="4" t="s">
        <v>33</v>
      </c>
      <c r="B300" s="4" t="str">
        <f>VLOOKUP(A300,'Ledger &amp; Group'!A:C,2,0)</f>
        <v>Dabur</v>
      </c>
      <c r="C300" s="4">
        <f>VLOOKUP(A300,'Ledger &amp; Group'!A:C,3,0)</f>
        <v>30</v>
      </c>
      <c r="D300" s="45">
        <f t="shared" si="8"/>
        <v>112</v>
      </c>
      <c r="E300" s="4" t="str">
        <f ca="1">IF(D300&lt;=TODAY(),IF(ISNA(VLOOKUP(V300,'Unreconciled AR'!C:C,1,0)),"Due","Unreconciled AR"),"Outstanding")</f>
        <v>Due</v>
      </c>
      <c r="F300" s="4">
        <f t="shared" ca="1" si="9"/>
        <v>44617</v>
      </c>
      <c r="G300" s="4" t="e">
        <f ca="1">LOOKUP(F300,{-10000,-60,-30,-15,0,1,10000},{"&gt;60","31-60","16-30","01-15","Due on Today","OS"})</f>
        <v>#N/A</v>
      </c>
      <c r="H300" s="4" t="s">
        <v>103</v>
      </c>
      <c r="I300" s="4" t="s">
        <v>103</v>
      </c>
      <c r="J300" s="4" t="s">
        <v>104</v>
      </c>
      <c r="K300" s="4" t="s">
        <v>111</v>
      </c>
      <c r="L300" s="4" t="s">
        <v>112</v>
      </c>
      <c r="M300" s="4" t="s">
        <v>113</v>
      </c>
      <c r="N300" s="4" t="s">
        <v>110</v>
      </c>
      <c r="O300" s="4" t="s">
        <v>432</v>
      </c>
      <c r="P300" s="5"/>
      <c r="Q300" s="5"/>
      <c r="R300" s="4" t="s">
        <v>433</v>
      </c>
      <c r="S300" s="5"/>
      <c r="T300" s="4" t="s">
        <v>107</v>
      </c>
      <c r="U300" s="45">
        <v>82</v>
      </c>
      <c r="V300" s="4" t="s">
        <v>194</v>
      </c>
      <c r="W300" s="45">
        <v>82</v>
      </c>
      <c r="X300" s="4" t="s">
        <v>8</v>
      </c>
      <c r="Y300" s="5">
        <v>1</v>
      </c>
      <c r="Z300" s="4" t="s">
        <v>375</v>
      </c>
      <c r="AA300" s="5"/>
      <c r="AB300" s="5">
        <v>55</v>
      </c>
      <c r="AC300" s="4" t="s">
        <v>109</v>
      </c>
      <c r="AD300" s="45">
        <v>82</v>
      </c>
      <c r="AE300" s="4" t="s">
        <v>194</v>
      </c>
      <c r="AF300" s="5"/>
      <c r="AG300" s="5">
        <v>1000000</v>
      </c>
      <c r="AH300" s="5">
        <v>1000000</v>
      </c>
      <c r="AI300" s="5">
        <v>0</v>
      </c>
      <c r="AJ300" s="5">
        <v>1000000</v>
      </c>
      <c r="AK300" s="5">
        <v>0</v>
      </c>
      <c r="AL300" s="5">
        <v>1000000</v>
      </c>
      <c r="AM300" s="5"/>
    </row>
    <row r="301" spans="1:39" ht="165.75" x14ac:dyDescent="0.25">
      <c r="A301" s="4" t="s">
        <v>33</v>
      </c>
      <c r="B301" s="4" t="str">
        <f>VLOOKUP(A301,'Ledger &amp; Group'!A:C,2,0)</f>
        <v>Dabur</v>
      </c>
      <c r="C301" s="4">
        <f>VLOOKUP(A301,'Ledger &amp; Group'!A:C,3,0)</f>
        <v>30</v>
      </c>
      <c r="D301" s="45">
        <f t="shared" si="8"/>
        <v>112</v>
      </c>
      <c r="E301" s="4" t="str">
        <f ca="1">IF(D301&lt;=TODAY(),IF(ISNA(VLOOKUP(V301,'Unreconciled AR'!C:C,1,0)),"Due","Unreconciled AR"),"Outstanding")</f>
        <v>Due</v>
      </c>
      <c r="F301" s="4">
        <f t="shared" ca="1" si="9"/>
        <v>44617</v>
      </c>
      <c r="G301" s="4" t="e">
        <f ca="1">LOOKUP(F301,{-10000,-60,-30,-15,0,1,10000},{"&gt;60","31-60","16-30","01-15","Due on Today","OS"})</f>
        <v>#N/A</v>
      </c>
      <c r="H301" s="4" t="s">
        <v>103</v>
      </c>
      <c r="I301" s="4" t="s">
        <v>103</v>
      </c>
      <c r="J301" s="4" t="s">
        <v>104</v>
      </c>
      <c r="K301" s="4" t="s">
        <v>111</v>
      </c>
      <c r="L301" s="4" t="s">
        <v>112</v>
      </c>
      <c r="M301" s="4" t="s">
        <v>113</v>
      </c>
      <c r="N301" s="4" t="s">
        <v>110</v>
      </c>
      <c r="O301" s="4" t="s">
        <v>432</v>
      </c>
      <c r="P301" s="5"/>
      <c r="Q301" s="5"/>
      <c r="R301" s="4" t="s">
        <v>433</v>
      </c>
      <c r="S301" s="5"/>
      <c r="T301" s="4" t="s">
        <v>107</v>
      </c>
      <c r="U301" s="45">
        <v>82</v>
      </c>
      <c r="V301" s="4" t="s">
        <v>195</v>
      </c>
      <c r="W301" s="45">
        <v>82</v>
      </c>
      <c r="X301" s="4" t="s">
        <v>8</v>
      </c>
      <c r="Y301" s="5">
        <v>1</v>
      </c>
      <c r="Z301" s="4" t="s">
        <v>376</v>
      </c>
      <c r="AA301" s="5"/>
      <c r="AB301" s="5">
        <v>55</v>
      </c>
      <c r="AC301" s="4" t="s">
        <v>109</v>
      </c>
      <c r="AD301" s="45">
        <v>82</v>
      </c>
      <c r="AE301" s="4" t="s">
        <v>195</v>
      </c>
      <c r="AF301" s="5"/>
      <c r="AG301" s="5">
        <v>1000000</v>
      </c>
      <c r="AH301" s="5">
        <v>1000000</v>
      </c>
      <c r="AI301" s="5">
        <v>0</v>
      </c>
      <c r="AJ301" s="5">
        <v>1000000</v>
      </c>
      <c r="AK301" s="5">
        <v>0</v>
      </c>
      <c r="AL301" s="5">
        <v>1000000</v>
      </c>
      <c r="AM301" s="5"/>
    </row>
    <row r="302" spans="1:39" ht="153" x14ac:dyDescent="0.25">
      <c r="A302" s="4" t="s">
        <v>33</v>
      </c>
      <c r="B302" s="4" t="str">
        <f>VLOOKUP(A302,'Ledger &amp; Group'!A:C,2,0)</f>
        <v>Dabur</v>
      </c>
      <c r="C302" s="4">
        <f>VLOOKUP(A302,'Ledger &amp; Group'!A:C,3,0)</f>
        <v>30</v>
      </c>
      <c r="D302" s="45">
        <f t="shared" si="8"/>
        <v>112</v>
      </c>
      <c r="E302" s="4" t="str">
        <f ca="1">IF(D302&lt;=TODAY(),IF(ISNA(VLOOKUP(V302,'Unreconciled AR'!C:C,1,0)),"Due","Unreconciled AR"),"Outstanding")</f>
        <v>Due</v>
      </c>
      <c r="F302" s="4">
        <f t="shared" ca="1" si="9"/>
        <v>44617</v>
      </c>
      <c r="G302" s="4" t="e">
        <f ca="1">LOOKUP(F302,{-10000,-60,-30,-15,0,1,10000},{"&gt;60","31-60","16-30","01-15","Due on Today","OS"})</f>
        <v>#N/A</v>
      </c>
      <c r="H302" s="4" t="s">
        <v>103</v>
      </c>
      <c r="I302" s="4" t="s">
        <v>103</v>
      </c>
      <c r="J302" s="4" t="s">
        <v>104</v>
      </c>
      <c r="K302" s="4" t="s">
        <v>111</v>
      </c>
      <c r="L302" s="4" t="s">
        <v>112</v>
      </c>
      <c r="M302" s="4" t="s">
        <v>113</v>
      </c>
      <c r="N302" s="4" t="s">
        <v>110</v>
      </c>
      <c r="O302" s="4" t="s">
        <v>432</v>
      </c>
      <c r="P302" s="5"/>
      <c r="Q302" s="5"/>
      <c r="R302" s="4" t="s">
        <v>433</v>
      </c>
      <c r="S302" s="5"/>
      <c r="T302" s="4" t="s">
        <v>107</v>
      </c>
      <c r="U302" s="45">
        <v>82</v>
      </c>
      <c r="V302" s="4" t="s">
        <v>196</v>
      </c>
      <c r="W302" s="45">
        <v>82</v>
      </c>
      <c r="X302" s="4" t="s">
        <v>8</v>
      </c>
      <c r="Y302" s="5">
        <v>1</v>
      </c>
      <c r="Z302" s="4" t="s">
        <v>377</v>
      </c>
      <c r="AA302" s="5"/>
      <c r="AB302" s="5">
        <v>55</v>
      </c>
      <c r="AC302" s="4" t="s">
        <v>109</v>
      </c>
      <c r="AD302" s="45">
        <v>82</v>
      </c>
      <c r="AE302" s="4" t="s">
        <v>196</v>
      </c>
      <c r="AF302" s="5"/>
      <c r="AG302" s="5">
        <v>1000000</v>
      </c>
      <c r="AH302" s="5">
        <v>1000000</v>
      </c>
      <c r="AI302" s="5">
        <v>0</v>
      </c>
      <c r="AJ302" s="5">
        <v>1000000</v>
      </c>
      <c r="AK302" s="5">
        <v>0</v>
      </c>
      <c r="AL302" s="5">
        <v>1000000</v>
      </c>
      <c r="AM302" s="5"/>
    </row>
    <row r="303" spans="1:39" ht="102" x14ac:dyDescent="0.25">
      <c r="A303" s="4" t="s">
        <v>33</v>
      </c>
      <c r="B303" s="4" t="str">
        <f>VLOOKUP(A303,'Ledger &amp; Group'!A:C,2,0)</f>
        <v>Dabur</v>
      </c>
      <c r="C303" s="4">
        <f>VLOOKUP(A303,'Ledger &amp; Group'!A:C,3,0)</f>
        <v>30</v>
      </c>
      <c r="D303" s="45">
        <f t="shared" si="8"/>
        <v>148</v>
      </c>
      <c r="E303" s="4" t="str">
        <f ca="1">IF(D303&lt;=TODAY(),IF(ISNA(VLOOKUP(V303,'Unreconciled AR'!C:C,1,0)),"Due","Unreconciled AR"),"Outstanding")</f>
        <v>Due</v>
      </c>
      <c r="F303" s="4">
        <f t="shared" ca="1" si="9"/>
        <v>44581</v>
      </c>
      <c r="G303" s="4" t="e">
        <f ca="1">LOOKUP(F303,{-10000,-60,-30,-15,0,1,10000},{"&gt;60","31-60","16-30","01-15","Due on Today","OS"})</f>
        <v>#N/A</v>
      </c>
      <c r="H303" s="4" t="s">
        <v>103</v>
      </c>
      <c r="I303" s="4" t="s">
        <v>103</v>
      </c>
      <c r="J303" s="4" t="s">
        <v>104</v>
      </c>
      <c r="K303" s="4" t="s">
        <v>111</v>
      </c>
      <c r="L303" s="4" t="s">
        <v>112</v>
      </c>
      <c r="M303" s="4" t="s">
        <v>113</v>
      </c>
      <c r="N303" s="4" t="s">
        <v>110</v>
      </c>
      <c r="O303" s="4" t="s">
        <v>432</v>
      </c>
      <c r="P303" s="5"/>
      <c r="Q303" s="5"/>
      <c r="R303" s="4" t="s">
        <v>433</v>
      </c>
      <c r="S303" s="5"/>
      <c r="T303" s="4" t="s">
        <v>107</v>
      </c>
      <c r="U303" s="45">
        <v>118</v>
      </c>
      <c r="V303" s="4" t="s">
        <v>300</v>
      </c>
      <c r="W303" s="45">
        <v>118</v>
      </c>
      <c r="X303" s="4" t="s">
        <v>8</v>
      </c>
      <c r="Y303" s="5">
        <v>1</v>
      </c>
      <c r="Z303" s="4" t="s">
        <v>378</v>
      </c>
      <c r="AA303" s="5"/>
      <c r="AB303" s="5">
        <v>19</v>
      </c>
      <c r="AC303" s="4" t="s">
        <v>109</v>
      </c>
      <c r="AD303" s="45">
        <v>118</v>
      </c>
      <c r="AE303" s="4" t="s">
        <v>300</v>
      </c>
      <c r="AF303" s="5"/>
      <c r="AG303" s="5">
        <v>1000000</v>
      </c>
      <c r="AH303" s="5">
        <v>1000000</v>
      </c>
      <c r="AI303" s="5">
        <v>0</v>
      </c>
      <c r="AJ303" s="5">
        <v>1000000</v>
      </c>
      <c r="AK303" s="5">
        <v>0</v>
      </c>
      <c r="AL303" s="5">
        <v>1000000</v>
      </c>
      <c r="AM303" s="5"/>
    </row>
    <row r="304" spans="1:39" ht="51" x14ac:dyDescent="0.25">
      <c r="A304" s="4" t="s">
        <v>33</v>
      </c>
      <c r="B304" s="4" t="str">
        <f>VLOOKUP(A304,'Ledger &amp; Group'!A:C,2,0)</f>
        <v>Dabur</v>
      </c>
      <c r="C304" s="4">
        <f>VLOOKUP(A304,'Ledger &amp; Group'!A:C,3,0)</f>
        <v>30</v>
      </c>
      <c r="D304" s="45">
        <f t="shared" si="8"/>
        <v>335</v>
      </c>
      <c r="E304" s="4" t="str">
        <f ca="1">IF(D304&lt;=TODAY(),IF(ISNA(VLOOKUP(V304,'Unreconciled AR'!C:C,1,0)),"Due","Unreconciled AR"),"Outstanding")</f>
        <v>Due</v>
      </c>
      <c r="F304" s="4">
        <f t="shared" ca="1" si="9"/>
        <v>44394</v>
      </c>
      <c r="G304" s="4" t="e">
        <f ca="1">LOOKUP(F304,{-10000,-60,-30,-15,0,1,10000},{"&gt;60","31-60","16-30","01-15","Due on Today","OS"})</f>
        <v>#N/A</v>
      </c>
      <c r="H304" s="4" t="s">
        <v>103</v>
      </c>
      <c r="I304" s="4" t="s">
        <v>103</v>
      </c>
      <c r="J304" s="4" t="s">
        <v>104</v>
      </c>
      <c r="K304" s="4" t="s">
        <v>111</v>
      </c>
      <c r="L304" s="4" t="s">
        <v>112</v>
      </c>
      <c r="M304" s="4" t="s">
        <v>113</v>
      </c>
      <c r="N304" s="4" t="s">
        <v>110</v>
      </c>
      <c r="O304" s="4" t="s">
        <v>432</v>
      </c>
      <c r="P304" s="5"/>
      <c r="Q304" s="5"/>
      <c r="R304" s="4" t="s">
        <v>433</v>
      </c>
      <c r="S304" s="5"/>
      <c r="T304" s="4" t="s">
        <v>107</v>
      </c>
      <c r="U304" s="45">
        <v>305</v>
      </c>
      <c r="V304" s="4" t="s">
        <v>129</v>
      </c>
      <c r="W304" s="45">
        <v>305</v>
      </c>
      <c r="X304" s="4" t="s">
        <v>8</v>
      </c>
      <c r="Y304" s="5">
        <v>1</v>
      </c>
      <c r="Z304" s="4" t="s">
        <v>108</v>
      </c>
      <c r="AA304" s="5"/>
      <c r="AB304" s="5">
        <v>562</v>
      </c>
      <c r="AC304" s="4" t="s">
        <v>109</v>
      </c>
      <c r="AD304" s="45">
        <v>305</v>
      </c>
      <c r="AE304" s="4" t="s">
        <v>129</v>
      </c>
      <c r="AF304" s="5"/>
      <c r="AG304" s="5">
        <v>1000000</v>
      </c>
      <c r="AH304" s="5">
        <v>1000000</v>
      </c>
      <c r="AI304" s="5">
        <v>0</v>
      </c>
      <c r="AJ304" s="5">
        <v>1000000</v>
      </c>
      <c r="AK304" s="5">
        <v>0</v>
      </c>
      <c r="AL304" s="5">
        <v>1000000</v>
      </c>
      <c r="AM304" s="5"/>
    </row>
    <row r="305" spans="1:39" ht="51" x14ac:dyDescent="0.25">
      <c r="A305" s="4" t="s">
        <v>33</v>
      </c>
      <c r="B305" s="4" t="str">
        <f>VLOOKUP(A305,'Ledger &amp; Group'!A:C,2,0)</f>
        <v>Dabur</v>
      </c>
      <c r="C305" s="4">
        <f>VLOOKUP(A305,'Ledger &amp; Group'!A:C,3,0)</f>
        <v>30</v>
      </c>
      <c r="D305" s="45">
        <f t="shared" si="8"/>
        <v>103</v>
      </c>
      <c r="E305" s="4" t="str">
        <f ca="1">IF(D305&lt;=TODAY(),IF(ISNA(VLOOKUP(V305,'Unreconciled AR'!C:C,1,0)),"Due","Unreconciled AR"),"Outstanding")</f>
        <v>Due</v>
      </c>
      <c r="F305" s="4">
        <f t="shared" ca="1" si="9"/>
        <v>44626</v>
      </c>
      <c r="G305" s="4" t="e">
        <f ca="1">LOOKUP(F305,{-10000,-60,-30,-15,0,1,10000},{"&gt;60","31-60","16-30","01-15","Due on Today","OS"})</f>
        <v>#N/A</v>
      </c>
      <c r="H305" s="4" t="s">
        <v>103</v>
      </c>
      <c r="I305" s="4" t="s">
        <v>103</v>
      </c>
      <c r="J305" s="4" t="s">
        <v>104</v>
      </c>
      <c r="K305" s="4" t="s">
        <v>111</v>
      </c>
      <c r="L305" s="4" t="s">
        <v>112</v>
      </c>
      <c r="M305" s="4" t="s">
        <v>113</v>
      </c>
      <c r="N305" s="4" t="s">
        <v>110</v>
      </c>
      <c r="O305" s="4" t="s">
        <v>432</v>
      </c>
      <c r="P305" s="5"/>
      <c r="Q305" s="5"/>
      <c r="R305" s="4" t="s">
        <v>433</v>
      </c>
      <c r="S305" s="5"/>
      <c r="T305" s="4" t="s">
        <v>107</v>
      </c>
      <c r="U305" s="45">
        <v>73</v>
      </c>
      <c r="V305" s="4" t="s">
        <v>130</v>
      </c>
      <c r="W305" s="45">
        <v>73</v>
      </c>
      <c r="X305" s="4" t="s">
        <v>8</v>
      </c>
      <c r="Y305" s="5">
        <v>1</v>
      </c>
      <c r="Z305" s="4" t="s">
        <v>108</v>
      </c>
      <c r="AA305" s="5"/>
      <c r="AB305" s="5">
        <v>429</v>
      </c>
      <c r="AC305" s="4" t="s">
        <v>109</v>
      </c>
      <c r="AD305" s="45">
        <v>73</v>
      </c>
      <c r="AE305" s="4" t="s">
        <v>130</v>
      </c>
      <c r="AF305" s="5"/>
      <c r="AG305" s="5">
        <v>1000000</v>
      </c>
      <c r="AH305" s="5">
        <v>1000000</v>
      </c>
      <c r="AI305" s="5">
        <v>0</v>
      </c>
      <c r="AJ305" s="5">
        <v>1000000</v>
      </c>
      <c r="AK305" s="5">
        <v>0</v>
      </c>
      <c r="AL305" s="5">
        <v>1000000</v>
      </c>
      <c r="AM305" s="5"/>
    </row>
    <row r="306" spans="1:39" ht="51" x14ac:dyDescent="0.25">
      <c r="A306" s="4" t="s">
        <v>33</v>
      </c>
      <c r="B306" s="4" t="str">
        <f>VLOOKUP(A306,'Ledger &amp; Group'!A:C,2,0)</f>
        <v>Dabur</v>
      </c>
      <c r="C306" s="4">
        <f>VLOOKUP(A306,'Ledger &amp; Group'!A:C,3,0)</f>
        <v>30</v>
      </c>
      <c r="D306" s="45">
        <f t="shared" si="8"/>
        <v>84</v>
      </c>
      <c r="E306" s="4" t="str">
        <f ca="1">IF(D306&lt;=TODAY(),IF(ISNA(VLOOKUP(V306,'Unreconciled AR'!C:C,1,0)),"Due","Unreconciled AR"),"Outstanding")</f>
        <v>Due</v>
      </c>
      <c r="F306" s="4">
        <f t="shared" ca="1" si="9"/>
        <v>44645</v>
      </c>
      <c r="G306" s="4" t="e">
        <f ca="1">LOOKUP(F306,{-10000,-60,-30,-15,0,1,10000},{"&gt;60","31-60","16-30","01-15","Due on Today","OS"})</f>
        <v>#N/A</v>
      </c>
      <c r="H306" s="4" t="s">
        <v>103</v>
      </c>
      <c r="I306" s="4" t="s">
        <v>103</v>
      </c>
      <c r="J306" s="4" t="s">
        <v>104</v>
      </c>
      <c r="K306" s="4" t="s">
        <v>111</v>
      </c>
      <c r="L306" s="4" t="s">
        <v>112</v>
      </c>
      <c r="M306" s="4" t="s">
        <v>113</v>
      </c>
      <c r="N306" s="4" t="s">
        <v>110</v>
      </c>
      <c r="O306" s="4" t="s">
        <v>432</v>
      </c>
      <c r="P306" s="5"/>
      <c r="Q306" s="5"/>
      <c r="R306" s="4" t="s">
        <v>433</v>
      </c>
      <c r="S306" s="5"/>
      <c r="T306" s="4" t="s">
        <v>107</v>
      </c>
      <c r="U306" s="45">
        <v>54</v>
      </c>
      <c r="V306" s="4" t="s">
        <v>532</v>
      </c>
      <c r="W306" s="45">
        <v>54</v>
      </c>
      <c r="X306" s="4" t="s">
        <v>8</v>
      </c>
      <c r="Y306" s="5">
        <v>1</v>
      </c>
      <c r="Z306" s="4" t="s">
        <v>108</v>
      </c>
      <c r="AA306" s="5"/>
      <c r="AB306" s="5">
        <v>82</v>
      </c>
      <c r="AC306" s="4" t="s">
        <v>109</v>
      </c>
      <c r="AD306" s="45">
        <v>54</v>
      </c>
      <c r="AE306" s="4" t="s">
        <v>532</v>
      </c>
      <c r="AF306" s="4"/>
      <c r="AG306" s="5">
        <v>1000000</v>
      </c>
      <c r="AH306" s="5">
        <v>1000000</v>
      </c>
      <c r="AI306" s="5">
        <v>0</v>
      </c>
      <c r="AJ306" s="5">
        <v>1000000</v>
      </c>
      <c r="AK306" s="5">
        <v>0</v>
      </c>
      <c r="AL306" s="5">
        <v>1000000</v>
      </c>
      <c r="AM306" s="5"/>
    </row>
    <row r="307" spans="1:39" ht="51" x14ac:dyDescent="0.25">
      <c r="A307" s="4" t="s">
        <v>33</v>
      </c>
      <c r="B307" s="4" t="str">
        <f>VLOOKUP(A307,'Ledger &amp; Group'!A:C,2,0)</f>
        <v>Dabur</v>
      </c>
      <c r="C307" s="4">
        <f>VLOOKUP(A307,'Ledger &amp; Group'!A:C,3,0)</f>
        <v>30</v>
      </c>
      <c r="D307" s="45">
        <f t="shared" si="8"/>
        <v>141</v>
      </c>
      <c r="E307" s="4" t="str">
        <f ca="1">IF(D307&lt;=TODAY(),IF(ISNA(VLOOKUP(V307,'Unreconciled AR'!C:C,1,0)),"Due","Unreconciled AR"),"Outstanding")</f>
        <v>Due</v>
      </c>
      <c r="F307" s="4">
        <f t="shared" ca="1" si="9"/>
        <v>44588</v>
      </c>
      <c r="G307" s="4" t="e">
        <f ca="1">LOOKUP(F307,{-10000,-60,-30,-15,0,1,10000},{"&gt;60","31-60","16-30","01-15","Due on Today","OS"})</f>
        <v>#N/A</v>
      </c>
      <c r="H307" s="4" t="s">
        <v>103</v>
      </c>
      <c r="I307" s="4" t="s">
        <v>103</v>
      </c>
      <c r="J307" s="4" t="s">
        <v>104</v>
      </c>
      <c r="K307" s="4" t="s">
        <v>111</v>
      </c>
      <c r="L307" s="4" t="s">
        <v>112</v>
      </c>
      <c r="M307" s="4" t="s">
        <v>113</v>
      </c>
      <c r="N307" s="4" t="s">
        <v>110</v>
      </c>
      <c r="O307" s="4" t="s">
        <v>432</v>
      </c>
      <c r="P307" s="5"/>
      <c r="Q307" s="5"/>
      <c r="R307" s="4" t="s">
        <v>433</v>
      </c>
      <c r="S307" s="5"/>
      <c r="T307" s="4" t="s">
        <v>107</v>
      </c>
      <c r="U307" s="45">
        <v>111</v>
      </c>
      <c r="V307" s="4" t="s">
        <v>267</v>
      </c>
      <c r="W307" s="45">
        <v>111</v>
      </c>
      <c r="X307" s="4" t="s">
        <v>8</v>
      </c>
      <c r="Y307" s="5">
        <v>1</v>
      </c>
      <c r="Z307" s="4" t="s">
        <v>108</v>
      </c>
      <c r="AA307" s="5"/>
      <c r="AB307" s="5">
        <v>26</v>
      </c>
      <c r="AC307" s="4" t="s">
        <v>109</v>
      </c>
      <c r="AD307" s="45">
        <v>111</v>
      </c>
      <c r="AE307" s="4" t="s">
        <v>267</v>
      </c>
      <c r="AF307" s="4"/>
      <c r="AG307" s="5">
        <v>1000000</v>
      </c>
      <c r="AH307" s="5">
        <v>1000000</v>
      </c>
      <c r="AI307" s="5">
        <v>0</v>
      </c>
      <c r="AJ307" s="5">
        <v>1000000</v>
      </c>
      <c r="AK307" s="5">
        <v>0</v>
      </c>
      <c r="AL307" s="5">
        <v>1000000</v>
      </c>
      <c r="AM307" s="5"/>
    </row>
    <row r="308" spans="1:39" ht="51" x14ac:dyDescent="0.25">
      <c r="A308" s="4" t="s">
        <v>33</v>
      </c>
      <c r="B308" s="4" t="str">
        <f>VLOOKUP(A308,'Ledger &amp; Group'!A:C,2,0)</f>
        <v>Dabur</v>
      </c>
      <c r="C308" s="4">
        <f>VLOOKUP(A308,'Ledger &amp; Group'!A:C,3,0)</f>
        <v>30</v>
      </c>
      <c r="D308" s="45">
        <f t="shared" si="8"/>
        <v>158</v>
      </c>
      <c r="E308" s="4" t="str">
        <f ca="1">IF(D308&lt;=TODAY(),IF(ISNA(VLOOKUP(V308,'Unreconciled AR'!C:C,1,0)),"Due","Unreconciled AR"),"Outstanding")</f>
        <v>Due</v>
      </c>
      <c r="F308" s="4">
        <f t="shared" ca="1" si="9"/>
        <v>44571</v>
      </c>
      <c r="G308" s="4" t="e">
        <f ca="1">LOOKUP(F308,{-10000,-60,-30,-15,0,1,10000},{"&gt;60","31-60","16-30","01-15","Due on Today","OS"})</f>
        <v>#N/A</v>
      </c>
      <c r="H308" s="4" t="s">
        <v>103</v>
      </c>
      <c r="I308" s="4" t="s">
        <v>103</v>
      </c>
      <c r="J308" s="4" t="s">
        <v>104</v>
      </c>
      <c r="K308" s="4" t="s">
        <v>111</v>
      </c>
      <c r="L308" s="4" t="s">
        <v>112</v>
      </c>
      <c r="M308" s="4" t="s">
        <v>113</v>
      </c>
      <c r="N308" s="4" t="s">
        <v>110</v>
      </c>
      <c r="O308" s="4" t="s">
        <v>432</v>
      </c>
      <c r="P308" s="5"/>
      <c r="Q308" s="5"/>
      <c r="R308" s="4" t="s">
        <v>433</v>
      </c>
      <c r="S308" s="5"/>
      <c r="T308" s="4" t="s">
        <v>107</v>
      </c>
      <c r="U308" s="45">
        <v>128</v>
      </c>
      <c r="V308" s="4" t="s">
        <v>353</v>
      </c>
      <c r="W308" s="45">
        <v>128</v>
      </c>
      <c r="X308" s="4" t="s">
        <v>8</v>
      </c>
      <c r="Y308" s="5">
        <v>1</v>
      </c>
      <c r="Z308" s="4" t="s">
        <v>108</v>
      </c>
      <c r="AA308" s="5"/>
      <c r="AB308" s="5">
        <v>9</v>
      </c>
      <c r="AC308" s="4" t="s">
        <v>109</v>
      </c>
      <c r="AD308" s="45">
        <v>128</v>
      </c>
      <c r="AE308" s="4" t="s">
        <v>353</v>
      </c>
      <c r="AF308" s="4"/>
      <c r="AG308" s="5">
        <v>1000000</v>
      </c>
      <c r="AH308" s="5">
        <v>1000000</v>
      </c>
      <c r="AI308" s="5">
        <v>0</v>
      </c>
      <c r="AJ308" s="5">
        <v>1000000</v>
      </c>
      <c r="AK308" s="5">
        <v>0</v>
      </c>
      <c r="AL308" s="5">
        <v>1000000</v>
      </c>
      <c r="AM308" s="5"/>
    </row>
    <row r="309" spans="1:39" ht="140.25" x14ac:dyDescent="0.25">
      <c r="A309" s="4" t="s">
        <v>33</v>
      </c>
      <c r="B309" s="4" t="str">
        <f>VLOOKUP(A309,'Ledger &amp; Group'!A:C,2,0)</f>
        <v>Dabur</v>
      </c>
      <c r="C309" s="4">
        <f>VLOOKUP(A309,'Ledger &amp; Group'!A:C,3,0)</f>
        <v>30</v>
      </c>
      <c r="D309" s="45">
        <f t="shared" si="8"/>
        <v>182</v>
      </c>
      <c r="E309" s="4" t="str">
        <f ca="1">IF(D309&lt;=TODAY(),IF(ISNA(VLOOKUP(V309,'Unreconciled AR'!C:C,1,0)),"Due","Unreconciled AR"),"Outstanding")</f>
        <v>Due</v>
      </c>
      <c r="F309" s="4">
        <f t="shared" ca="1" si="9"/>
        <v>44547</v>
      </c>
      <c r="G309" s="4" t="e">
        <f ca="1">LOOKUP(F309,{-10000,-60,-30,-15,0,1,10000},{"&gt;60","31-60","16-30","01-15","Due on Today","OS"})</f>
        <v>#N/A</v>
      </c>
      <c r="H309" s="5"/>
      <c r="I309" s="4" t="s">
        <v>103</v>
      </c>
      <c r="J309" s="4" t="s">
        <v>104</v>
      </c>
      <c r="K309" s="5"/>
      <c r="L309" s="4" t="s">
        <v>112</v>
      </c>
      <c r="M309" s="4" t="s">
        <v>113</v>
      </c>
      <c r="N309" s="4" t="s">
        <v>110</v>
      </c>
      <c r="O309" s="4" t="s">
        <v>432</v>
      </c>
      <c r="P309" s="5"/>
      <c r="Q309" s="5"/>
      <c r="R309" s="4" t="s">
        <v>433</v>
      </c>
      <c r="S309" s="5"/>
      <c r="T309" s="4" t="s">
        <v>107</v>
      </c>
      <c r="U309" s="45">
        <v>152</v>
      </c>
      <c r="V309" s="4" t="s">
        <v>131</v>
      </c>
      <c r="W309" s="45">
        <v>152</v>
      </c>
      <c r="X309" s="4" t="s">
        <v>8</v>
      </c>
      <c r="Y309" s="5">
        <v>1</v>
      </c>
      <c r="Z309" s="4" t="s">
        <v>132</v>
      </c>
      <c r="AA309" s="5"/>
      <c r="AB309" s="5">
        <v>350</v>
      </c>
      <c r="AC309" s="4" t="s">
        <v>109</v>
      </c>
      <c r="AD309" s="5"/>
      <c r="AE309" s="5"/>
      <c r="AF309" s="5"/>
      <c r="AG309" s="5">
        <v>1000000</v>
      </c>
      <c r="AH309" s="5">
        <v>1000000</v>
      </c>
      <c r="AI309" s="5">
        <v>0</v>
      </c>
      <c r="AJ309" s="5">
        <v>1000000</v>
      </c>
      <c r="AK309" s="5">
        <v>0</v>
      </c>
      <c r="AL309" s="5">
        <v>1000000</v>
      </c>
      <c r="AM309" s="5"/>
    </row>
    <row r="310" spans="1:39" ht="140.25" x14ac:dyDescent="0.25">
      <c r="A310" s="4" t="s">
        <v>33</v>
      </c>
      <c r="B310" s="4" t="str">
        <f>VLOOKUP(A310,'Ledger &amp; Group'!A:C,2,0)</f>
        <v>Dabur</v>
      </c>
      <c r="C310" s="4">
        <f>VLOOKUP(A310,'Ledger &amp; Group'!A:C,3,0)</f>
        <v>30</v>
      </c>
      <c r="D310" s="45">
        <f t="shared" si="8"/>
        <v>212</v>
      </c>
      <c r="E310" s="4" t="str">
        <f ca="1">IF(D310&lt;=TODAY(),IF(ISNA(VLOOKUP(V310,'Unreconciled AR'!C:C,1,0)),"Due","Unreconciled AR"),"Outstanding")</f>
        <v>Due</v>
      </c>
      <c r="F310" s="4">
        <f t="shared" ca="1" si="9"/>
        <v>44517</v>
      </c>
      <c r="G310" s="4" t="e">
        <f ca="1">LOOKUP(F310,{-10000,-60,-30,-15,0,1,10000},{"&gt;60","31-60","16-30","01-15","Due on Today","OS"})</f>
        <v>#N/A</v>
      </c>
      <c r="H310" s="5"/>
      <c r="I310" s="4" t="s">
        <v>103</v>
      </c>
      <c r="J310" s="4" t="s">
        <v>104</v>
      </c>
      <c r="K310" s="4" t="s">
        <v>105</v>
      </c>
      <c r="L310" s="4" t="s">
        <v>112</v>
      </c>
      <c r="M310" s="4" t="s">
        <v>113</v>
      </c>
      <c r="N310" s="4" t="s">
        <v>110</v>
      </c>
      <c r="O310" s="4" t="s">
        <v>432</v>
      </c>
      <c r="P310" s="5"/>
      <c r="Q310" s="5"/>
      <c r="R310" s="4" t="s">
        <v>433</v>
      </c>
      <c r="S310" s="5"/>
      <c r="T310" s="4" t="s">
        <v>107</v>
      </c>
      <c r="U310" s="45">
        <v>182</v>
      </c>
      <c r="V310" s="4" t="s">
        <v>174</v>
      </c>
      <c r="W310" s="45">
        <v>182</v>
      </c>
      <c r="X310" s="4" t="s">
        <v>8</v>
      </c>
      <c r="Y310" s="5">
        <v>1</v>
      </c>
      <c r="Z310" s="4" t="s">
        <v>173</v>
      </c>
      <c r="AA310" s="5"/>
      <c r="AB310" s="5">
        <v>320</v>
      </c>
      <c r="AC310" s="4" t="s">
        <v>109</v>
      </c>
      <c r="AD310" s="5"/>
      <c r="AE310" s="5"/>
      <c r="AF310" s="5"/>
      <c r="AG310" s="5">
        <v>1000000</v>
      </c>
      <c r="AH310" s="5">
        <v>1000000</v>
      </c>
      <c r="AI310" s="5">
        <v>0</v>
      </c>
      <c r="AJ310" s="5">
        <v>1000000</v>
      </c>
      <c r="AK310" s="5">
        <v>0</v>
      </c>
      <c r="AL310" s="5">
        <v>1000000</v>
      </c>
      <c r="AM310" s="5"/>
    </row>
    <row r="311" spans="1:39" ht="140.25" x14ac:dyDescent="0.25">
      <c r="A311" s="4" t="s">
        <v>33</v>
      </c>
      <c r="B311" s="4" t="str">
        <f>VLOOKUP(A311,'Ledger &amp; Group'!A:C,2,0)</f>
        <v>Dabur</v>
      </c>
      <c r="C311" s="4">
        <f>VLOOKUP(A311,'Ledger &amp; Group'!A:C,3,0)</f>
        <v>30</v>
      </c>
      <c r="D311" s="45">
        <f t="shared" si="8"/>
        <v>243</v>
      </c>
      <c r="E311" s="4" t="str">
        <f ca="1">IF(D311&lt;=TODAY(),IF(ISNA(VLOOKUP(V311,'Unreconciled AR'!C:C,1,0)),"Due","Unreconciled AR"),"Outstanding")</f>
        <v>Due</v>
      </c>
      <c r="F311" s="4">
        <f t="shared" ca="1" si="9"/>
        <v>44486</v>
      </c>
      <c r="G311" s="4" t="e">
        <f ca="1">LOOKUP(F311,{-10000,-60,-30,-15,0,1,10000},{"&gt;60","31-60","16-30","01-15","Due on Today","OS"})</f>
        <v>#N/A</v>
      </c>
      <c r="H311" s="5"/>
      <c r="I311" s="4" t="s">
        <v>103</v>
      </c>
      <c r="J311" s="4" t="s">
        <v>104</v>
      </c>
      <c r="K311" s="4" t="s">
        <v>105</v>
      </c>
      <c r="L311" s="4" t="s">
        <v>112</v>
      </c>
      <c r="M311" s="4" t="s">
        <v>113</v>
      </c>
      <c r="N311" s="4" t="s">
        <v>110</v>
      </c>
      <c r="O311" s="4" t="s">
        <v>432</v>
      </c>
      <c r="P311" s="5"/>
      <c r="Q311" s="5"/>
      <c r="R311" s="4" t="s">
        <v>433</v>
      </c>
      <c r="S311" s="5"/>
      <c r="T311" s="4" t="s">
        <v>107</v>
      </c>
      <c r="U311" s="45">
        <v>213</v>
      </c>
      <c r="V311" s="4" t="s">
        <v>181</v>
      </c>
      <c r="W311" s="45">
        <v>213</v>
      </c>
      <c r="X311" s="4" t="s">
        <v>8</v>
      </c>
      <c r="Y311" s="5">
        <v>1</v>
      </c>
      <c r="Z311" s="4" t="s">
        <v>379</v>
      </c>
      <c r="AA311" s="5"/>
      <c r="AB311" s="5">
        <v>289</v>
      </c>
      <c r="AC311" s="4" t="s">
        <v>109</v>
      </c>
      <c r="AD311" s="5"/>
      <c r="AE311" s="5"/>
      <c r="AF311" s="5"/>
      <c r="AG311" s="5">
        <v>1000000</v>
      </c>
      <c r="AH311" s="5">
        <v>1000000</v>
      </c>
      <c r="AI311" s="5">
        <v>0</v>
      </c>
      <c r="AJ311" s="5">
        <v>1000000</v>
      </c>
      <c r="AK311" s="5">
        <v>0</v>
      </c>
      <c r="AL311" s="5">
        <v>1000000</v>
      </c>
      <c r="AM311" s="5"/>
    </row>
    <row r="312" spans="1:39" ht="165.75" x14ac:dyDescent="0.25">
      <c r="A312" s="4" t="s">
        <v>34</v>
      </c>
      <c r="B312" s="4" t="str">
        <f>VLOOKUP(A312,'Ledger &amp; Group'!A:C,2,0)</f>
        <v>Dabur</v>
      </c>
      <c r="C312" s="4">
        <f>VLOOKUP(A312,'Ledger &amp; Group'!A:C,3,0)</f>
        <v>30</v>
      </c>
      <c r="D312" s="45">
        <f t="shared" si="8"/>
        <v>299</v>
      </c>
      <c r="E312" s="4" t="str">
        <f ca="1">IF(D312&lt;=TODAY(),IF(ISNA(VLOOKUP(V312,'Unreconciled AR'!C:C,1,0)),"Due","Unreconciled AR"),"Outstanding")</f>
        <v>Due</v>
      </c>
      <c r="F312" s="4">
        <f t="shared" ca="1" si="9"/>
        <v>44430</v>
      </c>
      <c r="G312" s="4" t="e">
        <f ca="1">LOOKUP(F312,{-10000,-60,-30,-15,0,1,10000},{"&gt;60","31-60","16-30","01-15","Due on Today","OS"})</f>
        <v>#N/A</v>
      </c>
      <c r="H312" s="4" t="s">
        <v>103</v>
      </c>
      <c r="I312" s="4" t="s">
        <v>103</v>
      </c>
      <c r="J312" s="4" t="s">
        <v>104</v>
      </c>
      <c r="K312" s="4" t="s">
        <v>105</v>
      </c>
      <c r="L312" s="4" t="s">
        <v>112</v>
      </c>
      <c r="M312" s="4" t="s">
        <v>113</v>
      </c>
      <c r="N312" s="4" t="s">
        <v>110</v>
      </c>
      <c r="O312" s="4" t="s">
        <v>432</v>
      </c>
      <c r="P312" s="5"/>
      <c r="Q312" s="5"/>
      <c r="R312" s="4" t="s">
        <v>433</v>
      </c>
      <c r="S312" s="5"/>
      <c r="T312" s="4" t="s">
        <v>107</v>
      </c>
      <c r="U312" s="45">
        <v>269</v>
      </c>
      <c r="V312" s="4" t="s">
        <v>133</v>
      </c>
      <c r="W312" s="45">
        <v>269</v>
      </c>
      <c r="X312" s="4" t="s">
        <v>8</v>
      </c>
      <c r="Y312" s="5">
        <v>1</v>
      </c>
      <c r="Z312" s="4" t="s">
        <v>126</v>
      </c>
      <c r="AA312" s="5"/>
      <c r="AB312" s="5">
        <v>598</v>
      </c>
      <c r="AC312" s="4" t="s">
        <v>109</v>
      </c>
      <c r="AD312" s="4" t="s">
        <v>134</v>
      </c>
      <c r="AE312" s="4" t="s">
        <v>135</v>
      </c>
      <c r="AF312" s="5"/>
      <c r="AG312" s="5">
        <v>1000000</v>
      </c>
      <c r="AH312" s="5">
        <v>1000000</v>
      </c>
      <c r="AI312" s="5">
        <v>0</v>
      </c>
      <c r="AJ312" s="5">
        <v>1000000</v>
      </c>
      <c r="AK312" s="5">
        <v>0</v>
      </c>
      <c r="AL312" s="5">
        <v>1000000</v>
      </c>
      <c r="AM312" s="5"/>
    </row>
    <row r="313" spans="1:39" ht="63.75" x14ac:dyDescent="0.25">
      <c r="A313" s="4" t="s">
        <v>34</v>
      </c>
      <c r="B313" s="4" t="str">
        <f>VLOOKUP(A313,'Ledger &amp; Group'!A:C,2,0)</f>
        <v>Dabur</v>
      </c>
      <c r="C313" s="4">
        <f>VLOOKUP(A313,'Ledger &amp; Group'!A:C,3,0)</f>
        <v>30</v>
      </c>
      <c r="D313" s="45">
        <f t="shared" si="8"/>
        <v>158</v>
      </c>
      <c r="E313" s="4" t="str">
        <f ca="1">IF(D313&lt;=TODAY(),IF(ISNA(VLOOKUP(V313,'Unreconciled AR'!C:C,1,0)),"Due","Unreconciled AR"),"Outstanding")</f>
        <v>Due</v>
      </c>
      <c r="F313" s="4">
        <f t="shared" ca="1" si="9"/>
        <v>44571</v>
      </c>
      <c r="G313" s="4" t="e">
        <f ca="1">LOOKUP(F313,{-10000,-60,-30,-15,0,1,10000},{"&gt;60","31-60","16-30","01-15","Due on Today","OS"})</f>
        <v>#N/A</v>
      </c>
      <c r="H313" s="4" t="s">
        <v>103</v>
      </c>
      <c r="I313" s="4" t="s">
        <v>103</v>
      </c>
      <c r="J313" s="4" t="s">
        <v>104</v>
      </c>
      <c r="K313" s="4" t="s">
        <v>105</v>
      </c>
      <c r="L313" s="4" t="s">
        <v>112</v>
      </c>
      <c r="M313" s="4" t="s">
        <v>113</v>
      </c>
      <c r="N313" s="4" t="s">
        <v>110</v>
      </c>
      <c r="O313" s="4" t="s">
        <v>432</v>
      </c>
      <c r="P313" s="5"/>
      <c r="Q313" s="5"/>
      <c r="R313" s="4" t="s">
        <v>433</v>
      </c>
      <c r="S313" s="5"/>
      <c r="T313" s="4" t="s">
        <v>107</v>
      </c>
      <c r="U313" s="45">
        <v>128</v>
      </c>
      <c r="V313" s="4" t="s">
        <v>354</v>
      </c>
      <c r="W313" s="45">
        <v>128</v>
      </c>
      <c r="X313" s="4" t="s">
        <v>8</v>
      </c>
      <c r="Y313" s="5">
        <v>1</v>
      </c>
      <c r="Z313" s="4" t="s">
        <v>108</v>
      </c>
      <c r="AA313" s="5"/>
      <c r="AB313" s="5">
        <v>9</v>
      </c>
      <c r="AC313" s="4" t="s">
        <v>109</v>
      </c>
      <c r="AD313" s="4" t="s">
        <v>338</v>
      </c>
      <c r="AE313" s="4" t="s">
        <v>354</v>
      </c>
      <c r="AF313" s="4"/>
      <c r="AG313" s="5">
        <v>1000000</v>
      </c>
      <c r="AH313" s="5">
        <v>1000000</v>
      </c>
      <c r="AI313" s="5">
        <v>0</v>
      </c>
      <c r="AJ313" s="5">
        <v>1000000</v>
      </c>
      <c r="AK313" s="5">
        <v>0</v>
      </c>
      <c r="AL313" s="5">
        <v>1000000</v>
      </c>
      <c r="AM313" s="5"/>
    </row>
    <row r="314" spans="1:39" ht="165.75" x14ac:dyDescent="0.25">
      <c r="A314" s="4" t="s">
        <v>44</v>
      </c>
      <c r="B314" s="4" t="str">
        <f>VLOOKUP(A314,'Ledger &amp; Group'!A:C,2,0)</f>
        <v>Dabur</v>
      </c>
      <c r="C314" s="4">
        <f>VLOOKUP(A314,'Ledger &amp; Group'!A:C,3,0)</f>
        <v>30</v>
      </c>
      <c r="D314" s="45">
        <f t="shared" si="8"/>
        <v>299</v>
      </c>
      <c r="E314" s="4" t="str">
        <f ca="1">IF(D314&lt;=TODAY(),IF(ISNA(VLOOKUP(V314,'Unreconciled AR'!C:C,1,0)),"Due","Unreconciled AR"),"Outstanding")</f>
        <v>Due</v>
      </c>
      <c r="F314" s="4">
        <f t="shared" ca="1" si="9"/>
        <v>44430</v>
      </c>
      <c r="G314" s="4" t="e">
        <f ca="1">LOOKUP(F314,{-10000,-60,-30,-15,0,1,10000},{"&gt;60","31-60","16-30","01-15","Due on Today","OS"})</f>
        <v>#N/A</v>
      </c>
      <c r="H314" s="4" t="s">
        <v>103</v>
      </c>
      <c r="I314" s="4" t="s">
        <v>103</v>
      </c>
      <c r="J314" s="4" t="s">
        <v>104</v>
      </c>
      <c r="K314" s="4" t="s">
        <v>105</v>
      </c>
      <c r="L314" s="4" t="s">
        <v>112</v>
      </c>
      <c r="M314" s="4" t="s">
        <v>113</v>
      </c>
      <c r="N314" s="4" t="s">
        <v>103</v>
      </c>
      <c r="O314" s="4" t="s">
        <v>432</v>
      </c>
      <c r="P314" s="5"/>
      <c r="Q314" s="5"/>
      <c r="R314" s="4" t="s">
        <v>433</v>
      </c>
      <c r="S314" s="5"/>
      <c r="T314" s="4" t="s">
        <v>107</v>
      </c>
      <c r="U314" s="45">
        <v>269</v>
      </c>
      <c r="V314" s="4" t="s">
        <v>136</v>
      </c>
      <c r="W314" s="45">
        <v>269</v>
      </c>
      <c r="X314" s="4" t="s">
        <v>8</v>
      </c>
      <c r="Y314" s="5">
        <v>1</v>
      </c>
      <c r="Z314" s="4" t="s">
        <v>126</v>
      </c>
      <c r="AA314" s="5"/>
      <c r="AB314" s="5">
        <v>598</v>
      </c>
      <c r="AC314" s="4" t="s">
        <v>109</v>
      </c>
      <c r="AD314" s="4" t="s">
        <v>137</v>
      </c>
      <c r="AE314" s="4" t="s">
        <v>138</v>
      </c>
      <c r="AF314" s="5"/>
      <c r="AG314" s="5">
        <v>1000000</v>
      </c>
      <c r="AH314" s="5">
        <v>1000000</v>
      </c>
      <c r="AI314" s="5">
        <v>0</v>
      </c>
      <c r="AJ314" s="5">
        <v>1000000</v>
      </c>
      <c r="AK314" s="5">
        <v>0</v>
      </c>
      <c r="AL314" s="5">
        <v>1000000</v>
      </c>
      <c r="AM314" s="5"/>
    </row>
    <row r="315" spans="1:39" ht="165.75" x14ac:dyDescent="0.25">
      <c r="A315" s="4" t="s">
        <v>44</v>
      </c>
      <c r="B315" s="4" t="str">
        <f>VLOOKUP(A315,'Ledger &amp; Group'!A:C,2,0)</f>
        <v>Dabur</v>
      </c>
      <c r="C315" s="4">
        <f>VLOOKUP(A315,'Ledger &amp; Group'!A:C,3,0)</f>
        <v>30</v>
      </c>
      <c r="D315" s="45">
        <f t="shared" si="8"/>
        <v>299</v>
      </c>
      <c r="E315" s="4" t="str">
        <f ca="1">IF(D315&lt;=TODAY(),IF(ISNA(VLOOKUP(V315,'Unreconciled AR'!C:C,1,0)),"Due","Unreconciled AR"),"Outstanding")</f>
        <v>Due</v>
      </c>
      <c r="F315" s="4">
        <f t="shared" ca="1" si="9"/>
        <v>44430</v>
      </c>
      <c r="G315" s="4" t="e">
        <f ca="1">LOOKUP(F315,{-10000,-60,-30,-15,0,1,10000},{"&gt;60","31-60","16-30","01-15","Due on Today","OS"})</f>
        <v>#N/A</v>
      </c>
      <c r="H315" s="4" t="s">
        <v>103</v>
      </c>
      <c r="I315" s="4" t="s">
        <v>103</v>
      </c>
      <c r="J315" s="4" t="s">
        <v>104</v>
      </c>
      <c r="K315" s="4" t="s">
        <v>105</v>
      </c>
      <c r="L315" s="4" t="s">
        <v>112</v>
      </c>
      <c r="M315" s="4" t="s">
        <v>113</v>
      </c>
      <c r="N315" s="4" t="s">
        <v>103</v>
      </c>
      <c r="O315" s="4" t="s">
        <v>432</v>
      </c>
      <c r="P315" s="5"/>
      <c r="Q315" s="5"/>
      <c r="R315" s="4" t="s">
        <v>433</v>
      </c>
      <c r="S315" s="5"/>
      <c r="T315" s="4" t="s">
        <v>107</v>
      </c>
      <c r="U315" s="45">
        <v>269</v>
      </c>
      <c r="V315" s="4" t="s">
        <v>139</v>
      </c>
      <c r="W315" s="45">
        <v>269</v>
      </c>
      <c r="X315" s="4" t="s">
        <v>8</v>
      </c>
      <c r="Y315" s="5">
        <v>1</v>
      </c>
      <c r="Z315" s="4" t="s">
        <v>126</v>
      </c>
      <c r="AA315" s="5"/>
      <c r="AB315" s="5">
        <v>598</v>
      </c>
      <c r="AC315" s="4" t="s">
        <v>109</v>
      </c>
      <c r="AD315" s="4" t="s">
        <v>140</v>
      </c>
      <c r="AE315" s="4" t="s">
        <v>141</v>
      </c>
      <c r="AF315" s="5"/>
      <c r="AG315" s="5">
        <v>1000000</v>
      </c>
      <c r="AH315" s="5">
        <v>1000000</v>
      </c>
      <c r="AI315" s="5">
        <v>0</v>
      </c>
      <c r="AJ315" s="5">
        <v>1000000</v>
      </c>
      <c r="AK315" s="5">
        <v>0</v>
      </c>
      <c r="AL315" s="5">
        <v>1000000</v>
      </c>
      <c r="AM315" s="5"/>
    </row>
    <row r="316" spans="1:39" ht="51" x14ac:dyDescent="0.25">
      <c r="A316" s="4" t="s">
        <v>44</v>
      </c>
      <c r="B316" s="4" t="str">
        <f>VLOOKUP(A316,'Ledger &amp; Group'!A:C,2,0)</f>
        <v>Dabur</v>
      </c>
      <c r="C316" s="4">
        <f>VLOOKUP(A316,'Ledger &amp; Group'!A:C,3,0)</f>
        <v>30</v>
      </c>
      <c r="D316" s="45">
        <f t="shared" si="8"/>
        <v>164</v>
      </c>
      <c r="E316" s="4" t="str">
        <f ca="1">IF(D316&lt;=TODAY(),IF(ISNA(VLOOKUP(V316,'Unreconciled AR'!C:C,1,0)),"Due","Unreconciled AR"),"Outstanding")</f>
        <v>Due</v>
      </c>
      <c r="F316" s="4">
        <f t="shared" ca="1" si="9"/>
        <v>44565</v>
      </c>
      <c r="G316" s="4" t="e">
        <f ca="1">LOOKUP(F316,{-10000,-60,-30,-15,0,1,10000},{"&gt;60","31-60","16-30","01-15","Due on Today","OS"})</f>
        <v>#N/A</v>
      </c>
      <c r="H316" s="4" t="s">
        <v>103</v>
      </c>
      <c r="I316" s="4" t="s">
        <v>103</v>
      </c>
      <c r="J316" s="4" t="s">
        <v>104</v>
      </c>
      <c r="K316" s="4" t="s">
        <v>105</v>
      </c>
      <c r="L316" s="4" t="s">
        <v>112</v>
      </c>
      <c r="M316" s="4" t="s">
        <v>113</v>
      </c>
      <c r="N316" s="4" t="s">
        <v>103</v>
      </c>
      <c r="O316" s="4" t="s">
        <v>432</v>
      </c>
      <c r="P316" s="5"/>
      <c r="Q316" s="5"/>
      <c r="R316" s="4" t="s">
        <v>433</v>
      </c>
      <c r="S316" s="5"/>
      <c r="T316" s="4" t="s">
        <v>107</v>
      </c>
      <c r="U316" s="45">
        <v>134</v>
      </c>
      <c r="V316" s="4" t="s">
        <v>427</v>
      </c>
      <c r="W316" s="45">
        <v>134</v>
      </c>
      <c r="X316" s="4" t="s">
        <v>8</v>
      </c>
      <c r="Y316" s="5">
        <v>1</v>
      </c>
      <c r="Z316" s="4" t="s">
        <v>108</v>
      </c>
      <c r="AA316" s="5"/>
      <c r="AB316" s="5">
        <v>3</v>
      </c>
      <c r="AC316" s="4" t="s">
        <v>109</v>
      </c>
      <c r="AD316" s="4" t="s">
        <v>412</v>
      </c>
      <c r="AE316" s="4" t="s">
        <v>427</v>
      </c>
      <c r="AF316" s="5"/>
      <c r="AG316" s="5">
        <v>1000000</v>
      </c>
      <c r="AH316" s="5">
        <v>1000000</v>
      </c>
      <c r="AI316" s="5">
        <v>0</v>
      </c>
      <c r="AJ316" s="5">
        <v>1000000</v>
      </c>
      <c r="AK316" s="5">
        <v>0</v>
      </c>
      <c r="AL316" s="5">
        <v>1000000</v>
      </c>
      <c r="AM316" s="5"/>
    </row>
    <row r="317" spans="1:39" ht="51" x14ac:dyDescent="0.25">
      <c r="A317" s="4" t="s">
        <v>44</v>
      </c>
      <c r="B317" s="4" t="str">
        <f>VLOOKUP(A317,'Ledger &amp; Group'!A:C,2,0)</f>
        <v>Dabur</v>
      </c>
      <c r="C317" s="4">
        <f>VLOOKUP(A317,'Ledger &amp; Group'!A:C,3,0)</f>
        <v>30</v>
      </c>
      <c r="D317" s="45">
        <f t="shared" si="8"/>
        <v>164</v>
      </c>
      <c r="E317" s="4" t="str">
        <f ca="1">IF(D317&lt;=TODAY(),IF(ISNA(VLOOKUP(V317,'Unreconciled AR'!C:C,1,0)),"Due","Unreconciled AR"),"Outstanding")</f>
        <v>Due</v>
      </c>
      <c r="F317" s="4">
        <f t="shared" ca="1" si="9"/>
        <v>44565</v>
      </c>
      <c r="G317" s="4" t="e">
        <f ca="1">LOOKUP(F317,{-10000,-60,-30,-15,0,1,10000},{"&gt;60","31-60","16-30","01-15","Due on Today","OS"})</f>
        <v>#N/A</v>
      </c>
      <c r="H317" s="4" t="s">
        <v>103</v>
      </c>
      <c r="I317" s="4" t="s">
        <v>103</v>
      </c>
      <c r="J317" s="4" t="s">
        <v>104</v>
      </c>
      <c r="K317" s="4" t="s">
        <v>105</v>
      </c>
      <c r="L317" s="4" t="s">
        <v>112</v>
      </c>
      <c r="M317" s="4" t="s">
        <v>113</v>
      </c>
      <c r="N317" s="4" t="s">
        <v>103</v>
      </c>
      <c r="O317" s="4" t="s">
        <v>432</v>
      </c>
      <c r="P317" s="5"/>
      <c r="Q317" s="5"/>
      <c r="R317" s="4" t="s">
        <v>433</v>
      </c>
      <c r="S317" s="5"/>
      <c r="T317" s="4" t="s">
        <v>107</v>
      </c>
      <c r="U317" s="45">
        <v>134</v>
      </c>
      <c r="V317" s="4" t="s">
        <v>428</v>
      </c>
      <c r="W317" s="45">
        <v>134</v>
      </c>
      <c r="X317" s="4" t="s">
        <v>8</v>
      </c>
      <c r="Y317" s="5">
        <v>1</v>
      </c>
      <c r="Z317" s="4" t="s">
        <v>108</v>
      </c>
      <c r="AA317" s="5"/>
      <c r="AB317" s="5">
        <v>3</v>
      </c>
      <c r="AC317" s="4" t="s">
        <v>109</v>
      </c>
      <c r="AD317" s="4" t="s">
        <v>412</v>
      </c>
      <c r="AE317" s="4" t="s">
        <v>428</v>
      </c>
      <c r="AF317" s="5"/>
      <c r="AG317" s="5">
        <v>1000000</v>
      </c>
      <c r="AH317" s="5">
        <v>1000000</v>
      </c>
      <c r="AI317" s="5">
        <v>0</v>
      </c>
      <c r="AJ317" s="5">
        <v>1000000</v>
      </c>
      <c r="AK317" s="5">
        <v>0</v>
      </c>
      <c r="AL317" s="5">
        <v>1000000</v>
      </c>
      <c r="AM317" s="5"/>
    </row>
    <row r="318" spans="1:39" ht="51" x14ac:dyDescent="0.25">
      <c r="A318" s="4" t="s">
        <v>44</v>
      </c>
      <c r="B318" s="4" t="str">
        <f>VLOOKUP(A318,'Ledger &amp; Group'!A:C,2,0)</f>
        <v>Dabur</v>
      </c>
      <c r="C318" s="4">
        <f>VLOOKUP(A318,'Ledger &amp; Group'!A:C,3,0)</f>
        <v>30</v>
      </c>
      <c r="D318" s="45">
        <f t="shared" si="8"/>
        <v>165</v>
      </c>
      <c r="E318" s="4" t="str">
        <f ca="1">IF(D318&lt;=TODAY(),IF(ISNA(VLOOKUP(V318,'Unreconciled AR'!C:C,1,0)),"Due","Unreconciled AR"),"Outstanding")</f>
        <v>Due</v>
      </c>
      <c r="F318" s="4">
        <f t="shared" ca="1" si="9"/>
        <v>44564</v>
      </c>
      <c r="G318" s="4" t="e">
        <f ca="1">LOOKUP(F318,{-10000,-60,-30,-15,0,1,10000},{"&gt;60","31-60","16-30","01-15","Due on Today","OS"})</f>
        <v>#N/A</v>
      </c>
      <c r="H318" s="4" t="s">
        <v>103</v>
      </c>
      <c r="I318" s="4" t="s">
        <v>103</v>
      </c>
      <c r="J318" s="4" t="s">
        <v>104</v>
      </c>
      <c r="K318" s="4" t="s">
        <v>105</v>
      </c>
      <c r="L318" s="4" t="s">
        <v>112</v>
      </c>
      <c r="M318" s="4" t="s">
        <v>113</v>
      </c>
      <c r="N318" s="4" t="s">
        <v>103</v>
      </c>
      <c r="O318" s="4" t="s">
        <v>432</v>
      </c>
      <c r="P318" s="5"/>
      <c r="Q318" s="5"/>
      <c r="R318" s="4" t="s">
        <v>433</v>
      </c>
      <c r="S318" s="5"/>
      <c r="T318" s="4" t="s">
        <v>107</v>
      </c>
      <c r="U318" s="45">
        <v>135</v>
      </c>
      <c r="V318" s="4" t="s">
        <v>429</v>
      </c>
      <c r="W318" s="45">
        <v>135</v>
      </c>
      <c r="X318" s="4" t="s">
        <v>8</v>
      </c>
      <c r="Y318" s="5">
        <v>1</v>
      </c>
      <c r="Z318" s="4" t="s">
        <v>108</v>
      </c>
      <c r="AA318" s="5"/>
      <c r="AB318" s="5">
        <v>2</v>
      </c>
      <c r="AC318" s="4" t="s">
        <v>109</v>
      </c>
      <c r="AD318" s="4" t="s">
        <v>415</v>
      </c>
      <c r="AE318" s="4" t="s">
        <v>429</v>
      </c>
      <c r="AF318" s="5"/>
      <c r="AG318" s="5">
        <v>1000000</v>
      </c>
      <c r="AH318" s="5">
        <v>1000000</v>
      </c>
      <c r="AI318" s="5">
        <v>0</v>
      </c>
      <c r="AJ318" s="5">
        <v>1000000</v>
      </c>
      <c r="AK318" s="5">
        <v>0</v>
      </c>
      <c r="AL318" s="5">
        <v>1000000</v>
      </c>
      <c r="AM318" s="5"/>
    </row>
    <row r="319" spans="1:39" ht="25.5" x14ac:dyDescent="0.25">
      <c r="A319" s="4" t="s">
        <v>66</v>
      </c>
      <c r="B319" s="4" t="str">
        <f>VLOOKUP(A319,'Ledger &amp; Group'!A:C,2,0)</f>
        <v>Dabur</v>
      </c>
      <c r="C319" s="4">
        <f>VLOOKUP(A319,'Ledger &amp; Group'!A:C,3,0)</f>
        <v>30</v>
      </c>
      <c r="D319" s="45">
        <f t="shared" si="8"/>
        <v>57</v>
      </c>
      <c r="E319" s="4" t="str">
        <f ca="1">IF(D319&lt;=TODAY(),IF(ISNA(VLOOKUP(V319,'Unreconciled AR'!C:C,1,0)),"Due","Unreconciled AR"),"Outstanding")</f>
        <v>Due</v>
      </c>
      <c r="F319" s="4">
        <f t="shared" ca="1" si="9"/>
        <v>44672</v>
      </c>
      <c r="G319" s="4" t="e">
        <f ca="1">LOOKUP(F319,{-10000,-60,-30,-15,0,1,10000},{"&gt;60","31-60","16-30","01-15","Due on Today","OS"})</f>
        <v>#N/A</v>
      </c>
      <c r="H319" s="4" t="s">
        <v>103</v>
      </c>
      <c r="I319" s="4" t="s">
        <v>103</v>
      </c>
      <c r="J319" s="4" t="s">
        <v>104</v>
      </c>
      <c r="K319" s="4" t="s">
        <v>105</v>
      </c>
      <c r="L319" s="4" t="s">
        <v>112</v>
      </c>
      <c r="M319" s="4" t="s">
        <v>113</v>
      </c>
      <c r="N319" s="4" t="s">
        <v>103</v>
      </c>
      <c r="O319" s="4" t="s">
        <v>432</v>
      </c>
      <c r="P319" s="5"/>
      <c r="Q319" s="5"/>
      <c r="R319" s="4" t="s">
        <v>433</v>
      </c>
      <c r="S319" s="5"/>
      <c r="T319" s="4" t="s">
        <v>107</v>
      </c>
      <c r="U319" s="45">
        <v>27</v>
      </c>
      <c r="V319" s="4" t="s">
        <v>142</v>
      </c>
      <c r="W319" s="45">
        <v>27</v>
      </c>
      <c r="X319" s="4" t="s">
        <v>8</v>
      </c>
      <c r="Y319" s="5">
        <v>1</v>
      </c>
      <c r="Z319" s="4" t="s">
        <v>108</v>
      </c>
      <c r="AA319" s="5"/>
      <c r="AB319" s="5">
        <v>474</v>
      </c>
      <c r="AC319" s="4" t="s">
        <v>109</v>
      </c>
      <c r="AD319" s="4" t="s">
        <v>143</v>
      </c>
      <c r="AE319" s="4" t="s">
        <v>142</v>
      </c>
      <c r="AF319" s="5"/>
      <c r="AG319" s="5">
        <v>1000000</v>
      </c>
      <c r="AH319" s="5">
        <v>1000000</v>
      </c>
      <c r="AI319" s="5">
        <v>0</v>
      </c>
      <c r="AJ319" s="5">
        <v>1000000</v>
      </c>
      <c r="AK319" s="5">
        <v>0</v>
      </c>
      <c r="AL319" s="5">
        <v>1000000</v>
      </c>
      <c r="AM319" s="5"/>
    </row>
    <row r="320" spans="1:39" ht="25.5" x14ac:dyDescent="0.25">
      <c r="A320" s="4" t="s">
        <v>66</v>
      </c>
      <c r="B320" s="4" t="str">
        <f>VLOOKUP(A320,'Ledger &amp; Group'!A:C,2,0)</f>
        <v>Dabur</v>
      </c>
      <c r="C320" s="4">
        <f>VLOOKUP(A320,'Ledger &amp; Group'!A:C,3,0)</f>
        <v>30</v>
      </c>
      <c r="D320" s="45">
        <f t="shared" si="8"/>
        <v>231</v>
      </c>
      <c r="E320" s="4" t="str">
        <f ca="1">IF(D320&lt;=TODAY(),IF(ISNA(VLOOKUP(V320,'Unreconciled AR'!C:C,1,0)),"Due","Unreconciled AR"),"Outstanding")</f>
        <v>Due</v>
      </c>
      <c r="F320" s="4">
        <f t="shared" ca="1" si="9"/>
        <v>44498</v>
      </c>
      <c r="G320" s="4" t="e">
        <f ca="1">LOOKUP(F320,{-10000,-60,-30,-15,0,1,10000},{"&gt;60","31-60","16-30","01-15","Due on Today","OS"})</f>
        <v>#N/A</v>
      </c>
      <c r="H320" s="4" t="s">
        <v>103</v>
      </c>
      <c r="I320" s="4" t="s">
        <v>103</v>
      </c>
      <c r="J320" s="4" t="s">
        <v>104</v>
      </c>
      <c r="K320" s="4" t="s">
        <v>105</v>
      </c>
      <c r="L320" s="4" t="s">
        <v>112</v>
      </c>
      <c r="M320" s="4" t="s">
        <v>113</v>
      </c>
      <c r="N320" s="4" t="s">
        <v>103</v>
      </c>
      <c r="O320" s="4" t="s">
        <v>432</v>
      </c>
      <c r="P320" s="5"/>
      <c r="Q320" s="5"/>
      <c r="R320" s="4" t="s">
        <v>433</v>
      </c>
      <c r="S320" s="5"/>
      <c r="T320" s="4" t="s">
        <v>107</v>
      </c>
      <c r="U320" s="45">
        <v>201</v>
      </c>
      <c r="V320" s="4" t="s">
        <v>533</v>
      </c>
      <c r="W320" s="45">
        <v>201</v>
      </c>
      <c r="X320" s="4" t="s">
        <v>8</v>
      </c>
      <c r="Y320" s="5">
        <v>1</v>
      </c>
      <c r="Z320" s="4" t="s">
        <v>108</v>
      </c>
      <c r="AA320" s="5"/>
      <c r="AB320" s="5">
        <v>301</v>
      </c>
      <c r="AC320" s="4" t="s">
        <v>109</v>
      </c>
      <c r="AD320" s="4" t="s">
        <v>115</v>
      </c>
      <c r="AE320" s="4" t="s">
        <v>182</v>
      </c>
      <c r="AF320" s="5"/>
      <c r="AG320" s="5">
        <v>1000000</v>
      </c>
      <c r="AH320" s="5">
        <v>1000000</v>
      </c>
      <c r="AI320" s="5">
        <v>0</v>
      </c>
      <c r="AJ320" s="5">
        <v>1000000</v>
      </c>
      <c r="AK320" s="5">
        <v>0</v>
      </c>
      <c r="AL320" s="5">
        <v>1000000</v>
      </c>
      <c r="AM320" s="5"/>
    </row>
    <row r="321" spans="1:39" ht="51" x14ac:dyDescent="0.25">
      <c r="A321" s="4" t="s">
        <v>74</v>
      </c>
      <c r="B321" s="4" t="str">
        <f>VLOOKUP(A321,'Ledger &amp; Group'!A:C,2,0)</f>
        <v>Dabur</v>
      </c>
      <c r="C321" s="4">
        <f>VLOOKUP(A321,'Ledger &amp; Group'!A:C,3,0)</f>
        <v>30</v>
      </c>
      <c r="D321" s="45">
        <f t="shared" si="8"/>
        <v>153</v>
      </c>
      <c r="E321" s="4" t="str">
        <f ca="1">IF(D321&lt;=TODAY(),IF(ISNA(VLOOKUP(V321,'Unreconciled AR'!C:C,1,0)),"Due","Unreconciled AR"),"Outstanding")</f>
        <v>Due</v>
      </c>
      <c r="F321" s="4">
        <f t="shared" ca="1" si="9"/>
        <v>44576</v>
      </c>
      <c r="G321" s="4" t="e">
        <f ca="1">LOOKUP(F321,{-10000,-60,-30,-15,0,1,10000},{"&gt;60","31-60","16-30","01-15","Due on Today","OS"})</f>
        <v>#N/A</v>
      </c>
      <c r="H321" s="4" t="s">
        <v>103</v>
      </c>
      <c r="I321" s="4" t="s">
        <v>103</v>
      </c>
      <c r="J321" s="4" t="s">
        <v>104</v>
      </c>
      <c r="K321" s="4" t="s">
        <v>105</v>
      </c>
      <c r="L321" s="4" t="s">
        <v>112</v>
      </c>
      <c r="M321" s="4" t="s">
        <v>113</v>
      </c>
      <c r="N321" s="4" t="s">
        <v>103</v>
      </c>
      <c r="O321" s="4" t="s">
        <v>432</v>
      </c>
      <c r="P321" s="5"/>
      <c r="Q321" s="5"/>
      <c r="R321" s="4" t="s">
        <v>433</v>
      </c>
      <c r="S321" s="5"/>
      <c r="T321" s="4" t="s">
        <v>107</v>
      </c>
      <c r="U321" s="45">
        <v>123</v>
      </c>
      <c r="V321" s="4" t="s">
        <v>312</v>
      </c>
      <c r="W321" s="45">
        <v>123</v>
      </c>
      <c r="X321" s="4" t="s">
        <v>8</v>
      </c>
      <c r="Y321" s="5">
        <v>1</v>
      </c>
      <c r="Z321" s="4" t="s">
        <v>108</v>
      </c>
      <c r="AA321" s="5"/>
      <c r="AB321" s="5">
        <v>14</v>
      </c>
      <c r="AC321" s="4" t="s">
        <v>109</v>
      </c>
      <c r="AD321" s="4" t="s">
        <v>309</v>
      </c>
      <c r="AE321" s="4" t="s">
        <v>312</v>
      </c>
      <c r="AF321" s="4"/>
      <c r="AG321" s="5">
        <v>1000000</v>
      </c>
      <c r="AH321" s="5">
        <v>1000000</v>
      </c>
      <c r="AI321" s="5">
        <v>0</v>
      </c>
      <c r="AJ321" s="5">
        <v>1000000</v>
      </c>
      <c r="AK321" s="5">
        <v>0</v>
      </c>
      <c r="AL321" s="5">
        <v>1000000</v>
      </c>
      <c r="AM321" s="5"/>
    </row>
    <row r="322" spans="1:39" ht="38.25" x14ac:dyDescent="0.25">
      <c r="A322" s="4" t="s">
        <v>35</v>
      </c>
      <c r="B322" s="4" t="str">
        <f>VLOOKUP(A322,'Ledger &amp; Group'!A:C,2,0)</f>
        <v>Own Brand</v>
      </c>
      <c r="C322" s="4">
        <f>VLOOKUP(A322,'Ledger &amp; Group'!A:C,3,0)</f>
        <v>30</v>
      </c>
      <c r="D322" s="45">
        <f t="shared" ref="D322:D385" si="10">+W322+C322</f>
        <v>296</v>
      </c>
      <c r="E322" s="4" t="str">
        <f ca="1">IF(D322&lt;=TODAY(),IF(ISNA(VLOOKUP(V322,'Unreconciled AR'!C:C,1,0)),"Due","Unreconciled AR"),"Outstanding")</f>
        <v>Due</v>
      </c>
      <c r="F322" s="4">
        <f t="shared" ref="F322:F346" ca="1" si="11">TODAY()-W322</f>
        <v>44433</v>
      </c>
      <c r="G322" s="4" t="e">
        <f ca="1">LOOKUP(F322,{-10000,-60,-30,-15,0,1,10000},{"&gt;60","31-60","16-30","01-15","Due on Today","OS"})</f>
        <v>#N/A</v>
      </c>
      <c r="H322" s="4" t="s">
        <v>103</v>
      </c>
      <c r="I322" s="4" t="s">
        <v>103</v>
      </c>
      <c r="J322" s="4" t="s">
        <v>104</v>
      </c>
      <c r="K322" s="4" t="s">
        <v>111</v>
      </c>
      <c r="L322" s="4" t="s">
        <v>112</v>
      </c>
      <c r="M322" s="4" t="s">
        <v>113</v>
      </c>
      <c r="N322" s="4" t="s">
        <v>110</v>
      </c>
      <c r="O322" s="4" t="s">
        <v>432</v>
      </c>
      <c r="P322" s="5"/>
      <c r="Q322" s="5"/>
      <c r="R322" s="4" t="s">
        <v>433</v>
      </c>
      <c r="S322" s="5"/>
      <c r="T322" s="4" t="s">
        <v>107</v>
      </c>
      <c r="U322" s="45">
        <v>266</v>
      </c>
      <c r="V322" s="4" t="s">
        <v>144</v>
      </c>
      <c r="W322" s="45">
        <v>266</v>
      </c>
      <c r="X322" s="4" t="s">
        <v>8</v>
      </c>
      <c r="Y322" s="5">
        <v>1</v>
      </c>
      <c r="Z322" s="4" t="s">
        <v>108</v>
      </c>
      <c r="AA322" s="5"/>
      <c r="AB322" s="5">
        <v>601</v>
      </c>
      <c r="AC322" s="4" t="s">
        <v>109</v>
      </c>
      <c r="AD322" s="4" t="s">
        <v>145</v>
      </c>
      <c r="AE322" s="4" t="s">
        <v>144</v>
      </c>
      <c r="AF322" s="5"/>
      <c r="AG322" s="5">
        <v>1000000</v>
      </c>
      <c r="AH322" s="5">
        <v>1000000</v>
      </c>
      <c r="AI322" s="5">
        <v>0</v>
      </c>
      <c r="AJ322" s="5">
        <v>1000000</v>
      </c>
      <c r="AK322" s="5">
        <v>0</v>
      </c>
      <c r="AL322" s="5">
        <v>1000000</v>
      </c>
      <c r="AM322" s="5"/>
    </row>
    <row r="323" spans="1:39" ht="38.25" x14ac:dyDescent="0.25">
      <c r="A323" s="4" t="s">
        <v>35</v>
      </c>
      <c r="B323" s="4" t="str">
        <f>VLOOKUP(A323,'Ledger &amp; Group'!A:C,2,0)</f>
        <v>Own Brand</v>
      </c>
      <c r="C323" s="4">
        <f>VLOOKUP(A323,'Ledger &amp; Group'!A:C,3,0)</f>
        <v>30</v>
      </c>
      <c r="D323" s="45">
        <f t="shared" si="10"/>
        <v>36</v>
      </c>
      <c r="E323" s="4" t="str">
        <f ca="1">IF(D323&lt;=TODAY(),IF(ISNA(VLOOKUP(V323,'Unreconciled AR'!C:C,1,0)),"Due","Unreconciled AR"),"Outstanding")</f>
        <v>Due</v>
      </c>
      <c r="F323" s="4">
        <f t="shared" ca="1" si="11"/>
        <v>44693</v>
      </c>
      <c r="G323" s="4" t="e">
        <f ca="1">LOOKUP(F323,{-10000,-60,-30,-15,0,1,10000},{"&gt;60","31-60","16-30","01-15","Due on Today","OS"})</f>
        <v>#N/A</v>
      </c>
      <c r="H323" s="4" t="s">
        <v>103</v>
      </c>
      <c r="I323" s="4" t="s">
        <v>103</v>
      </c>
      <c r="J323" s="4" t="s">
        <v>104</v>
      </c>
      <c r="K323" s="4" t="s">
        <v>111</v>
      </c>
      <c r="L323" s="4" t="s">
        <v>112</v>
      </c>
      <c r="M323" s="4" t="s">
        <v>113</v>
      </c>
      <c r="N323" s="4" t="s">
        <v>110</v>
      </c>
      <c r="O323" s="4" t="s">
        <v>432</v>
      </c>
      <c r="P323" s="5"/>
      <c r="Q323" s="5"/>
      <c r="R323" s="4" t="s">
        <v>433</v>
      </c>
      <c r="S323" s="5"/>
      <c r="T323" s="4" t="s">
        <v>107</v>
      </c>
      <c r="U323" s="45">
        <v>6</v>
      </c>
      <c r="V323" s="4" t="s">
        <v>146</v>
      </c>
      <c r="W323" s="45">
        <v>6</v>
      </c>
      <c r="X323" s="4" t="s">
        <v>8</v>
      </c>
      <c r="Y323" s="5">
        <v>1</v>
      </c>
      <c r="Z323" s="4" t="s">
        <v>108</v>
      </c>
      <c r="AA323" s="5"/>
      <c r="AB323" s="5">
        <v>495</v>
      </c>
      <c r="AC323" s="4" t="s">
        <v>109</v>
      </c>
      <c r="AD323" s="4" t="s">
        <v>147</v>
      </c>
      <c r="AE323" s="4" t="s">
        <v>146</v>
      </c>
      <c r="AF323" s="5"/>
      <c r="AG323" s="5">
        <v>1000000</v>
      </c>
      <c r="AH323" s="5">
        <v>1000000</v>
      </c>
      <c r="AI323" s="5">
        <v>0</v>
      </c>
      <c r="AJ323" s="5">
        <v>1000000</v>
      </c>
      <c r="AK323" s="5">
        <v>0</v>
      </c>
      <c r="AL323" s="5">
        <v>1000000</v>
      </c>
      <c r="AM323" s="5"/>
    </row>
    <row r="324" spans="1:39" ht="38.25" x14ac:dyDescent="0.25">
      <c r="A324" s="4" t="s">
        <v>35</v>
      </c>
      <c r="B324" s="4" t="str">
        <f>VLOOKUP(A324,'Ledger &amp; Group'!A:C,2,0)</f>
        <v>Own Brand</v>
      </c>
      <c r="C324" s="4">
        <f>VLOOKUP(A324,'Ledger &amp; Group'!A:C,3,0)</f>
        <v>30</v>
      </c>
      <c r="D324" s="45">
        <f t="shared" si="10"/>
        <v>261</v>
      </c>
      <c r="E324" s="4" t="str">
        <f ca="1">IF(D324&lt;=TODAY(),IF(ISNA(VLOOKUP(V324,'Unreconciled AR'!C:C,1,0)),"Due","Unreconciled AR"),"Outstanding")</f>
        <v>Due</v>
      </c>
      <c r="F324" s="4">
        <f t="shared" ca="1" si="11"/>
        <v>44468</v>
      </c>
      <c r="G324" s="4" t="e">
        <f ca="1">LOOKUP(F324,{-10000,-60,-30,-15,0,1,10000},{"&gt;60","31-60","16-30","01-15","Due on Today","OS"})</f>
        <v>#N/A</v>
      </c>
      <c r="H324" s="4" t="s">
        <v>103</v>
      </c>
      <c r="I324" s="4" t="s">
        <v>103</v>
      </c>
      <c r="J324" s="4" t="s">
        <v>104</v>
      </c>
      <c r="K324" s="4" t="s">
        <v>111</v>
      </c>
      <c r="L324" s="4" t="s">
        <v>112</v>
      </c>
      <c r="M324" s="4" t="s">
        <v>113</v>
      </c>
      <c r="N324" s="4" t="s">
        <v>110</v>
      </c>
      <c r="O324" s="4" t="s">
        <v>432</v>
      </c>
      <c r="P324" s="5"/>
      <c r="Q324" s="5"/>
      <c r="R324" s="4" t="s">
        <v>433</v>
      </c>
      <c r="S324" s="5"/>
      <c r="T324" s="4" t="s">
        <v>107</v>
      </c>
      <c r="U324" s="45">
        <v>231</v>
      </c>
      <c r="V324" s="4" t="s">
        <v>534</v>
      </c>
      <c r="W324" s="45">
        <v>231</v>
      </c>
      <c r="X324" s="4" t="s">
        <v>8</v>
      </c>
      <c r="Y324" s="5">
        <v>1</v>
      </c>
      <c r="Z324" s="4" t="s">
        <v>108</v>
      </c>
      <c r="AA324" s="5"/>
      <c r="AB324" s="5">
        <v>271</v>
      </c>
      <c r="AC324" s="4" t="s">
        <v>109</v>
      </c>
      <c r="AD324" s="4" t="s">
        <v>170</v>
      </c>
      <c r="AE324" s="4" t="s">
        <v>380</v>
      </c>
      <c r="AF324" s="5"/>
      <c r="AG324" s="5">
        <v>1000000</v>
      </c>
      <c r="AH324" s="5">
        <v>1000000</v>
      </c>
      <c r="AI324" s="5">
        <v>0</v>
      </c>
      <c r="AJ324" s="5">
        <v>1000000</v>
      </c>
      <c r="AK324" s="5">
        <v>0</v>
      </c>
      <c r="AL324" s="5">
        <v>1000000</v>
      </c>
      <c r="AM324" s="5"/>
    </row>
    <row r="325" spans="1:39" ht="38.25" x14ac:dyDescent="0.25">
      <c r="A325" s="4" t="s">
        <v>35</v>
      </c>
      <c r="B325" s="4" t="str">
        <f>VLOOKUP(A325,'Ledger &amp; Group'!A:C,2,0)</f>
        <v>Own Brand</v>
      </c>
      <c r="C325" s="4">
        <f>VLOOKUP(A325,'Ledger &amp; Group'!A:C,3,0)</f>
        <v>30</v>
      </c>
      <c r="D325" s="45">
        <f t="shared" si="10"/>
        <v>304</v>
      </c>
      <c r="E325" s="4" t="str">
        <f ca="1">IF(D325&lt;=TODAY(),IF(ISNA(VLOOKUP(V325,'Unreconciled AR'!C:C,1,0)),"Due","Unreconciled AR"),"Outstanding")</f>
        <v>Due</v>
      </c>
      <c r="F325" s="4">
        <f t="shared" ca="1" si="11"/>
        <v>44425</v>
      </c>
      <c r="G325" s="4" t="e">
        <f ca="1">LOOKUP(F325,{-10000,-60,-30,-15,0,1,10000},{"&gt;60","31-60","16-30","01-15","Due on Today","OS"})</f>
        <v>#N/A</v>
      </c>
      <c r="H325" s="4" t="s">
        <v>103</v>
      </c>
      <c r="I325" s="4" t="s">
        <v>103</v>
      </c>
      <c r="J325" s="4" t="s">
        <v>104</v>
      </c>
      <c r="K325" s="4" t="s">
        <v>111</v>
      </c>
      <c r="L325" s="4" t="s">
        <v>112</v>
      </c>
      <c r="M325" s="4" t="s">
        <v>113</v>
      </c>
      <c r="N325" s="4" t="s">
        <v>110</v>
      </c>
      <c r="O325" s="4" t="s">
        <v>432</v>
      </c>
      <c r="P325" s="5"/>
      <c r="Q325" s="5"/>
      <c r="R325" s="4" t="s">
        <v>433</v>
      </c>
      <c r="S325" s="5"/>
      <c r="T325" s="4" t="s">
        <v>107</v>
      </c>
      <c r="U325" s="45">
        <v>274</v>
      </c>
      <c r="V325" s="4" t="s">
        <v>535</v>
      </c>
      <c r="W325" s="45">
        <v>274</v>
      </c>
      <c r="X325" s="4" t="s">
        <v>8</v>
      </c>
      <c r="Y325" s="5">
        <v>1</v>
      </c>
      <c r="Z325" s="4" t="s">
        <v>108</v>
      </c>
      <c r="AA325" s="5"/>
      <c r="AB325" s="5">
        <v>228</v>
      </c>
      <c r="AC325" s="4" t="s">
        <v>109</v>
      </c>
      <c r="AD325" s="4" t="s">
        <v>381</v>
      </c>
      <c r="AE325" s="4" t="s">
        <v>382</v>
      </c>
      <c r="AF325" s="5"/>
      <c r="AG325" s="5">
        <v>1000000</v>
      </c>
      <c r="AH325" s="5">
        <v>1000000</v>
      </c>
      <c r="AI325" s="5">
        <v>0</v>
      </c>
      <c r="AJ325" s="5">
        <v>1000000</v>
      </c>
      <c r="AK325" s="5">
        <v>0</v>
      </c>
      <c r="AL325" s="5">
        <v>1000000</v>
      </c>
      <c r="AM325" s="5"/>
    </row>
    <row r="326" spans="1:39" ht="38.25" x14ac:dyDescent="0.25">
      <c r="A326" s="4" t="s">
        <v>63</v>
      </c>
      <c r="B326" s="4" t="str">
        <f>VLOOKUP(A326,'Ledger &amp; Group'!A:C,2,0)</f>
        <v>Own Brand</v>
      </c>
      <c r="C326" s="4">
        <f>VLOOKUP(A326,'Ledger &amp; Group'!A:C,3,0)</f>
        <v>30</v>
      </c>
      <c r="D326" s="45">
        <f t="shared" si="10"/>
        <v>122</v>
      </c>
      <c r="E326" s="4" t="str">
        <f ca="1">IF(D326&lt;=TODAY(),IF(ISNA(VLOOKUP(V326,'Unreconciled AR'!C:C,1,0)),"Due","Unreconciled AR"),"Outstanding")</f>
        <v>Due</v>
      </c>
      <c r="F326" s="4">
        <f t="shared" ca="1" si="11"/>
        <v>44607</v>
      </c>
      <c r="G326" s="4" t="e">
        <f ca="1">LOOKUP(F326,{-10000,-60,-30,-15,0,1,10000},{"&gt;60","31-60","16-30","01-15","Due on Today","OS"})</f>
        <v>#N/A</v>
      </c>
      <c r="H326" s="4" t="s">
        <v>103</v>
      </c>
      <c r="I326" s="4" t="s">
        <v>103</v>
      </c>
      <c r="J326" s="4" t="s">
        <v>104</v>
      </c>
      <c r="K326" s="4" t="s">
        <v>111</v>
      </c>
      <c r="L326" s="4" t="s">
        <v>112</v>
      </c>
      <c r="M326" s="4" t="s">
        <v>113</v>
      </c>
      <c r="N326" s="4" t="s">
        <v>110</v>
      </c>
      <c r="O326" s="4" t="s">
        <v>432</v>
      </c>
      <c r="P326" s="5"/>
      <c r="Q326" s="5"/>
      <c r="R326" s="4" t="s">
        <v>433</v>
      </c>
      <c r="S326" s="5"/>
      <c r="T326" s="4" t="s">
        <v>107</v>
      </c>
      <c r="U326" s="45">
        <v>92</v>
      </c>
      <c r="V326" s="4" t="s">
        <v>384</v>
      </c>
      <c r="W326" s="45">
        <v>92</v>
      </c>
      <c r="X326" s="4" t="s">
        <v>8</v>
      </c>
      <c r="Y326" s="5">
        <v>1</v>
      </c>
      <c r="Z326" s="4" t="s">
        <v>108</v>
      </c>
      <c r="AA326" s="5"/>
      <c r="AB326" s="5">
        <v>45</v>
      </c>
      <c r="AC326" s="4" t="s">
        <v>109</v>
      </c>
      <c r="AD326" s="4" t="s">
        <v>383</v>
      </c>
      <c r="AE326" s="4" t="s">
        <v>384</v>
      </c>
      <c r="AF326" s="5"/>
      <c r="AG326" s="5">
        <v>1000000</v>
      </c>
      <c r="AH326" s="5">
        <v>1000000</v>
      </c>
      <c r="AI326" s="5">
        <v>0</v>
      </c>
      <c r="AJ326" s="5">
        <v>1000000</v>
      </c>
      <c r="AK326" s="5">
        <v>0</v>
      </c>
      <c r="AL326" s="5">
        <v>1000000</v>
      </c>
      <c r="AM326" s="5"/>
    </row>
    <row r="327" spans="1:39" ht="38.25" x14ac:dyDescent="0.25">
      <c r="A327" s="4" t="s">
        <v>55</v>
      </c>
      <c r="B327" s="4" t="str">
        <f>VLOOKUP(A327,'Ledger &amp; Group'!A:C,2,0)</f>
        <v>Own Brand</v>
      </c>
      <c r="C327" s="4">
        <f>VLOOKUP(A327,'Ledger &amp; Group'!A:C,3,0)</f>
        <v>30</v>
      </c>
      <c r="D327" s="45">
        <f t="shared" si="10"/>
        <v>389</v>
      </c>
      <c r="E327" s="4" t="str">
        <f ca="1">IF(D327&lt;=TODAY(),IF(ISNA(VLOOKUP(V327,'Unreconciled AR'!C:C,1,0)),"Due","Unreconciled AR"),"Outstanding")</f>
        <v>Due</v>
      </c>
      <c r="F327" s="4">
        <f t="shared" ca="1" si="11"/>
        <v>44340</v>
      </c>
      <c r="G327" s="4" t="e">
        <f ca="1">LOOKUP(F327,{-10000,-60,-30,-15,0,1,10000},{"&gt;60","31-60","16-30","01-15","Due on Today","OS"})</f>
        <v>#N/A</v>
      </c>
      <c r="H327" s="4" t="s">
        <v>103</v>
      </c>
      <c r="I327" s="4" t="s">
        <v>103</v>
      </c>
      <c r="J327" s="4" t="s">
        <v>104</v>
      </c>
      <c r="K327" s="4" t="s">
        <v>111</v>
      </c>
      <c r="L327" s="4" t="s">
        <v>112</v>
      </c>
      <c r="M327" s="4" t="s">
        <v>113</v>
      </c>
      <c r="N327" s="4" t="s">
        <v>106</v>
      </c>
      <c r="O327" s="4" t="s">
        <v>432</v>
      </c>
      <c r="P327" s="5"/>
      <c r="Q327" s="5"/>
      <c r="R327" s="4" t="s">
        <v>433</v>
      </c>
      <c r="S327" s="5"/>
      <c r="T327" s="4" t="s">
        <v>107</v>
      </c>
      <c r="U327" s="45">
        <v>359</v>
      </c>
      <c r="V327" s="4" t="s">
        <v>148</v>
      </c>
      <c r="W327" s="45">
        <v>359</v>
      </c>
      <c r="X327" s="4" t="s">
        <v>8</v>
      </c>
      <c r="Y327" s="5">
        <v>1</v>
      </c>
      <c r="Z327" s="4" t="s">
        <v>108</v>
      </c>
      <c r="AA327" s="5"/>
      <c r="AB327" s="5">
        <v>508</v>
      </c>
      <c r="AC327" s="4" t="s">
        <v>109</v>
      </c>
      <c r="AD327" s="4" t="s">
        <v>124</v>
      </c>
      <c r="AE327" s="4" t="s">
        <v>148</v>
      </c>
      <c r="AF327" s="5"/>
      <c r="AG327" s="5">
        <v>1000000</v>
      </c>
      <c r="AH327" s="5">
        <v>1000000</v>
      </c>
      <c r="AI327" s="5">
        <v>0</v>
      </c>
      <c r="AJ327" s="5">
        <v>1000000</v>
      </c>
      <c r="AK327" s="5">
        <v>0</v>
      </c>
      <c r="AL327" s="5">
        <v>1000000</v>
      </c>
      <c r="AM327" s="5"/>
    </row>
    <row r="328" spans="1:39" ht="38.25" x14ac:dyDescent="0.25">
      <c r="A328" s="4" t="s">
        <v>55</v>
      </c>
      <c r="B328" s="4" t="str">
        <f>VLOOKUP(A328,'Ledger &amp; Group'!A:C,2,0)</f>
        <v>Own Brand</v>
      </c>
      <c r="C328" s="4">
        <f>VLOOKUP(A328,'Ledger &amp; Group'!A:C,3,0)</f>
        <v>30</v>
      </c>
      <c r="D328" s="45">
        <f t="shared" si="10"/>
        <v>337</v>
      </c>
      <c r="E328" s="4" t="str">
        <f ca="1">IF(D328&lt;=TODAY(),IF(ISNA(VLOOKUP(V328,'Unreconciled AR'!C:C,1,0)),"Due","Unreconciled AR"),"Outstanding")</f>
        <v>Due</v>
      </c>
      <c r="F328" s="4">
        <f t="shared" ca="1" si="11"/>
        <v>44392</v>
      </c>
      <c r="G328" s="4" t="e">
        <f ca="1">LOOKUP(F328,{-10000,-60,-30,-15,0,1,10000},{"&gt;60","31-60","16-30","01-15","Due on Today","OS"})</f>
        <v>#N/A</v>
      </c>
      <c r="H328" s="4" t="s">
        <v>103</v>
      </c>
      <c r="I328" s="4" t="s">
        <v>103</v>
      </c>
      <c r="J328" s="4" t="s">
        <v>104</v>
      </c>
      <c r="K328" s="4" t="s">
        <v>111</v>
      </c>
      <c r="L328" s="4" t="s">
        <v>112</v>
      </c>
      <c r="M328" s="4" t="s">
        <v>113</v>
      </c>
      <c r="N328" s="4" t="s">
        <v>106</v>
      </c>
      <c r="O328" s="4" t="s">
        <v>432</v>
      </c>
      <c r="P328" s="5"/>
      <c r="Q328" s="5"/>
      <c r="R328" s="4" t="s">
        <v>433</v>
      </c>
      <c r="S328" s="5"/>
      <c r="T328" s="4" t="s">
        <v>107</v>
      </c>
      <c r="U328" s="45">
        <v>307</v>
      </c>
      <c r="V328" s="4" t="s">
        <v>536</v>
      </c>
      <c r="W328" s="45">
        <v>307</v>
      </c>
      <c r="X328" s="4" t="s">
        <v>8</v>
      </c>
      <c r="Y328" s="5">
        <v>1</v>
      </c>
      <c r="Z328" s="4" t="s">
        <v>108</v>
      </c>
      <c r="AA328" s="5"/>
      <c r="AB328" s="5">
        <v>195</v>
      </c>
      <c r="AC328" s="4" t="s">
        <v>109</v>
      </c>
      <c r="AD328" s="4" t="s">
        <v>385</v>
      </c>
      <c r="AE328" s="4" t="s">
        <v>386</v>
      </c>
      <c r="AF328" s="5"/>
      <c r="AG328" s="5">
        <v>1000000</v>
      </c>
      <c r="AH328" s="5">
        <v>1000000</v>
      </c>
      <c r="AI328" s="5">
        <v>0</v>
      </c>
      <c r="AJ328" s="5">
        <v>1000000</v>
      </c>
      <c r="AK328" s="5">
        <v>0</v>
      </c>
      <c r="AL328" s="5">
        <v>1000000</v>
      </c>
      <c r="AM328" s="5"/>
    </row>
    <row r="329" spans="1:39" ht="38.25" x14ac:dyDescent="0.25">
      <c r="A329" s="4" t="s">
        <v>55</v>
      </c>
      <c r="B329" s="4" t="str">
        <f>VLOOKUP(A329,'Ledger &amp; Group'!A:C,2,0)</f>
        <v>Own Brand</v>
      </c>
      <c r="C329" s="4">
        <f>VLOOKUP(A329,'Ledger &amp; Group'!A:C,3,0)</f>
        <v>30</v>
      </c>
      <c r="D329" s="45">
        <f t="shared" si="10"/>
        <v>80</v>
      </c>
      <c r="E329" s="4" t="str">
        <f ca="1">IF(D329&lt;=TODAY(),IF(ISNA(VLOOKUP(V329,'Unreconciled AR'!C:C,1,0)),"Due","Unreconciled AR"),"Outstanding")</f>
        <v>Due</v>
      </c>
      <c r="F329" s="4">
        <f t="shared" ca="1" si="11"/>
        <v>44649</v>
      </c>
      <c r="G329" s="4" t="e">
        <f ca="1">LOOKUP(F329,{-10000,-60,-30,-15,0,1,10000},{"&gt;60","31-60","16-30","01-15","Due on Today","OS"})</f>
        <v>#N/A</v>
      </c>
      <c r="H329" s="4" t="s">
        <v>103</v>
      </c>
      <c r="I329" s="4" t="s">
        <v>103</v>
      </c>
      <c r="J329" s="4" t="s">
        <v>104</v>
      </c>
      <c r="K329" s="4" t="s">
        <v>111</v>
      </c>
      <c r="L329" s="4" t="s">
        <v>112</v>
      </c>
      <c r="M329" s="4" t="s">
        <v>113</v>
      </c>
      <c r="N329" s="4" t="s">
        <v>106</v>
      </c>
      <c r="O329" s="4" t="s">
        <v>432</v>
      </c>
      <c r="P329" s="5"/>
      <c r="Q329" s="5"/>
      <c r="R329" s="4" t="s">
        <v>433</v>
      </c>
      <c r="S329" s="5"/>
      <c r="T329" s="4" t="s">
        <v>107</v>
      </c>
      <c r="U329" s="45">
        <v>50</v>
      </c>
      <c r="V329" s="4" t="s">
        <v>537</v>
      </c>
      <c r="W329" s="45">
        <v>50</v>
      </c>
      <c r="X329" s="4" t="s">
        <v>8</v>
      </c>
      <c r="Y329" s="5">
        <v>1</v>
      </c>
      <c r="Z329" s="4" t="s">
        <v>108</v>
      </c>
      <c r="AA329" s="5"/>
      <c r="AB329" s="5">
        <v>86</v>
      </c>
      <c r="AC329" s="4" t="s">
        <v>109</v>
      </c>
      <c r="AD329" s="4" t="s">
        <v>387</v>
      </c>
      <c r="AE329" s="4" t="s">
        <v>388</v>
      </c>
      <c r="AF329" s="5"/>
      <c r="AG329" s="5">
        <v>1000000</v>
      </c>
      <c r="AH329" s="5">
        <v>1000000</v>
      </c>
      <c r="AI329" s="5">
        <v>0</v>
      </c>
      <c r="AJ329" s="5">
        <v>1000000</v>
      </c>
      <c r="AK329" s="5">
        <v>0</v>
      </c>
      <c r="AL329" s="5">
        <v>1000000</v>
      </c>
      <c r="AM329" s="5"/>
    </row>
    <row r="330" spans="1:39" ht="38.25" x14ac:dyDescent="0.25">
      <c r="A330" s="4" t="s">
        <v>55</v>
      </c>
      <c r="B330" s="4" t="str">
        <f>VLOOKUP(A330,'Ledger &amp; Group'!A:C,2,0)</f>
        <v>Own Brand</v>
      </c>
      <c r="C330" s="4">
        <f>VLOOKUP(A330,'Ledger &amp; Group'!A:C,3,0)</f>
        <v>30</v>
      </c>
      <c r="D330" s="45">
        <f t="shared" si="10"/>
        <v>121</v>
      </c>
      <c r="E330" s="4" t="str">
        <f ca="1">IF(D330&lt;=TODAY(),IF(ISNA(VLOOKUP(V330,'Unreconciled AR'!C:C,1,0)),"Due","Unreconciled AR"),"Outstanding")</f>
        <v>Due</v>
      </c>
      <c r="F330" s="4">
        <f t="shared" ca="1" si="11"/>
        <v>44608</v>
      </c>
      <c r="G330" s="4" t="e">
        <f ca="1">LOOKUP(F330,{-10000,-60,-30,-15,0,1,10000},{"&gt;60","31-60","16-30","01-15","Due on Today","OS"})</f>
        <v>#N/A</v>
      </c>
      <c r="H330" s="4" t="s">
        <v>103</v>
      </c>
      <c r="I330" s="4" t="s">
        <v>103</v>
      </c>
      <c r="J330" s="4" t="s">
        <v>104</v>
      </c>
      <c r="K330" s="4" t="s">
        <v>111</v>
      </c>
      <c r="L330" s="4" t="s">
        <v>112</v>
      </c>
      <c r="M330" s="4" t="s">
        <v>113</v>
      </c>
      <c r="N330" s="4" t="s">
        <v>106</v>
      </c>
      <c r="O330" s="4" t="s">
        <v>432</v>
      </c>
      <c r="P330" s="5"/>
      <c r="Q330" s="5"/>
      <c r="R330" s="4" t="s">
        <v>433</v>
      </c>
      <c r="S330" s="5"/>
      <c r="T330" s="4" t="s">
        <v>107</v>
      </c>
      <c r="U330" s="45">
        <v>91</v>
      </c>
      <c r="V330" s="4" t="s">
        <v>538</v>
      </c>
      <c r="W330" s="45">
        <v>91</v>
      </c>
      <c r="X330" s="4" t="s">
        <v>8</v>
      </c>
      <c r="Y330" s="5">
        <v>1</v>
      </c>
      <c r="Z330" s="4" t="s">
        <v>108</v>
      </c>
      <c r="AA330" s="5"/>
      <c r="AB330" s="5">
        <v>46</v>
      </c>
      <c r="AC330" s="4" t="s">
        <v>109</v>
      </c>
      <c r="AD330" s="4" t="s">
        <v>200</v>
      </c>
      <c r="AE330" s="4" t="s">
        <v>389</v>
      </c>
      <c r="AF330" s="5"/>
      <c r="AG330" s="5">
        <v>1000000</v>
      </c>
      <c r="AH330" s="5">
        <v>1000000</v>
      </c>
      <c r="AI330" s="5">
        <v>0</v>
      </c>
      <c r="AJ330" s="5">
        <v>1000000</v>
      </c>
      <c r="AK330" s="5">
        <v>0</v>
      </c>
      <c r="AL330" s="5">
        <v>1000000</v>
      </c>
      <c r="AM330" s="5"/>
    </row>
    <row r="331" spans="1:39" ht="25.5" x14ac:dyDescent="0.25">
      <c r="A331" s="4" t="s">
        <v>183</v>
      </c>
      <c r="B331" s="4" t="str">
        <f>VLOOKUP(A331,'Ledger &amp; Group'!A:C,2,0)</f>
        <v>Own Brand</v>
      </c>
      <c r="C331" s="4">
        <f>VLOOKUP(A331,'Ledger &amp; Group'!A:C,3,0)</f>
        <v>30</v>
      </c>
      <c r="D331" s="45">
        <f t="shared" si="10"/>
        <v>297</v>
      </c>
      <c r="E331" s="4" t="str">
        <f ca="1">IF(D331&lt;=TODAY(),IF(ISNA(VLOOKUP(V331,'Unreconciled AR'!C:C,1,0)),"Due","Unreconciled AR"),"Outstanding")</f>
        <v>Due</v>
      </c>
      <c r="F331" s="4">
        <f t="shared" ca="1" si="11"/>
        <v>44432</v>
      </c>
      <c r="G331" s="4" t="e">
        <f ca="1">LOOKUP(F331,{-10000,-60,-30,-15,0,1,10000},{"&gt;60","31-60","16-30","01-15","Due on Today","OS"})</f>
        <v>#N/A</v>
      </c>
      <c r="H331" s="4" t="s">
        <v>103</v>
      </c>
      <c r="I331" s="4" t="s">
        <v>103</v>
      </c>
      <c r="J331" s="4" t="s">
        <v>104</v>
      </c>
      <c r="K331" s="4" t="s">
        <v>111</v>
      </c>
      <c r="L331" s="4" t="s">
        <v>112</v>
      </c>
      <c r="M331" s="4" t="s">
        <v>113</v>
      </c>
      <c r="N331" s="4" t="s">
        <v>103</v>
      </c>
      <c r="O331" s="4" t="s">
        <v>432</v>
      </c>
      <c r="P331" s="5"/>
      <c r="Q331" s="5"/>
      <c r="R331" s="4" t="s">
        <v>433</v>
      </c>
      <c r="S331" s="5"/>
      <c r="T331" s="4" t="s">
        <v>107</v>
      </c>
      <c r="U331" s="45">
        <v>267</v>
      </c>
      <c r="V331" s="4" t="s">
        <v>539</v>
      </c>
      <c r="W331" s="45">
        <v>267</v>
      </c>
      <c r="X331" s="4" t="s">
        <v>8</v>
      </c>
      <c r="Y331" s="5">
        <v>1</v>
      </c>
      <c r="Z331" s="4" t="s">
        <v>108</v>
      </c>
      <c r="AA331" s="5"/>
      <c r="AB331" s="5">
        <v>235</v>
      </c>
      <c r="AC331" s="4" t="s">
        <v>109</v>
      </c>
      <c r="AD331" s="4" t="s">
        <v>390</v>
      </c>
      <c r="AE331" s="4" t="s">
        <v>391</v>
      </c>
      <c r="AF331" s="5"/>
      <c r="AG331" s="5">
        <v>1000000</v>
      </c>
      <c r="AH331" s="5">
        <v>1000000</v>
      </c>
      <c r="AI331" s="5">
        <v>0</v>
      </c>
      <c r="AJ331" s="5">
        <v>1000000</v>
      </c>
      <c r="AK331" s="5">
        <v>0</v>
      </c>
      <c r="AL331" s="5">
        <v>1000000</v>
      </c>
      <c r="AM331" s="5"/>
    </row>
    <row r="332" spans="1:39" ht="38.25" x14ac:dyDescent="0.25">
      <c r="A332" s="4" t="s">
        <v>60</v>
      </c>
      <c r="B332" s="4" t="str">
        <f>VLOOKUP(A332,'Ledger &amp; Group'!A:C,2,0)</f>
        <v>Own Brand</v>
      </c>
      <c r="C332" s="4">
        <f>VLOOKUP(A332,'Ledger &amp; Group'!A:C,3,0)</f>
        <v>30</v>
      </c>
      <c r="D332" s="45">
        <f t="shared" si="10"/>
        <v>40</v>
      </c>
      <c r="E332" s="4" t="str">
        <f ca="1">IF(D332&lt;=TODAY(),IF(ISNA(VLOOKUP(V332,'Unreconciled AR'!C:C,1,0)),"Due","Unreconciled AR"),"Outstanding")</f>
        <v>Due</v>
      </c>
      <c r="F332" s="4">
        <f t="shared" ca="1" si="11"/>
        <v>44689</v>
      </c>
      <c r="G332" s="4" t="e">
        <f ca="1">LOOKUP(F332,{-10000,-60,-30,-15,0,1,10000},{"&gt;60","31-60","16-30","01-15","Due on Today","OS"})</f>
        <v>#N/A</v>
      </c>
      <c r="H332" s="4" t="s">
        <v>103</v>
      </c>
      <c r="I332" s="4" t="s">
        <v>103</v>
      </c>
      <c r="J332" s="4" t="s">
        <v>104</v>
      </c>
      <c r="K332" s="4" t="s">
        <v>111</v>
      </c>
      <c r="L332" s="4" t="s">
        <v>112</v>
      </c>
      <c r="M332" s="4" t="s">
        <v>113</v>
      </c>
      <c r="N332" s="4" t="s">
        <v>110</v>
      </c>
      <c r="O332" s="4" t="s">
        <v>432</v>
      </c>
      <c r="P332" s="5"/>
      <c r="Q332" s="5"/>
      <c r="R332" s="4" t="s">
        <v>433</v>
      </c>
      <c r="S332" s="5"/>
      <c r="T332" s="4" t="s">
        <v>107</v>
      </c>
      <c r="U332" s="45">
        <v>10</v>
      </c>
      <c r="V332" s="4" t="s">
        <v>540</v>
      </c>
      <c r="W332" s="45">
        <v>10</v>
      </c>
      <c r="X332" s="4" t="s">
        <v>8</v>
      </c>
      <c r="Y332" s="5">
        <v>1</v>
      </c>
      <c r="Z332" s="4" t="s">
        <v>108</v>
      </c>
      <c r="AA332" s="5"/>
      <c r="AB332" s="5">
        <v>126</v>
      </c>
      <c r="AC332" s="4" t="s">
        <v>109</v>
      </c>
      <c r="AD332" s="4" t="s">
        <v>392</v>
      </c>
      <c r="AE332" s="4" t="s">
        <v>393</v>
      </c>
      <c r="AF332" s="5"/>
      <c r="AG332" s="5">
        <v>1000000</v>
      </c>
      <c r="AH332" s="5">
        <v>1000000</v>
      </c>
      <c r="AI332" s="5">
        <v>0</v>
      </c>
      <c r="AJ332" s="5">
        <v>1000000</v>
      </c>
      <c r="AK332" s="5">
        <v>0</v>
      </c>
      <c r="AL332" s="5">
        <v>1000000</v>
      </c>
      <c r="AM332" s="5"/>
    </row>
    <row r="333" spans="1:39" ht="38.25" x14ac:dyDescent="0.25">
      <c r="A333" s="4" t="s">
        <v>60</v>
      </c>
      <c r="B333" s="4" t="str">
        <f>VLOOKUP(A333,'Ledger &amp; Group'!A:C,2,0)</f>
        <v>Own Brand</v>
      </c>
      <c r="C333" s="4">
        <f>VLOOKUP(A333,'Ledger &amp; Group'!A:C,3,0)</f>
        <v>30</v>
      </c>
      <c r="D333" s="45">
        <f t="shared" si="10"/>
        <v>92</v>
      </c>
      <c r="E333" s="4" t="str">
        <f ca="1">IF(D333&lt;=TODAY(),IF(ISNA(VLOOKUP(V333,'Unreconciled AR'!C:C,1,0)),"Due","Unreconciled AR"),"Outstanding")</f>
        <v>Due</v>
      </c>
      <c r="F333" s="4">
        <f t="shared" ca="1" si="11"/>
        <v>44637</v>
      </c>
      <c r="G333" s="4" t="e">
        <f ca="1">LOOKUP(F333,{-10000,-60,-30,-15,0,1,10000},{"&gt;60","31-60","16-30","01-15","Due on Today","OS"})</f>
        <v>#N/A</v>
      </c>
      <c r="H333" s="4" t="s">
        <v>103</v>
      </c>
      <c r="I333" s="4" t="s">
        <v>103</v>
      </c>
      <c r="J333" s="4" t="s">
        <v>104</v>
      </c>
      <c r="K333" s="4" t="s">
        <v>111</v>
      </c>
      <c r="L333" s="4" t="s">
        <v>112</v>
      </c>
      <c r="M333" s="4" t="s">
        <v>113</v>
      </c>
      <c r="N333" s="4" t="s">
        <v>110</v>
      </c>
      <c r="O333" s="4" t="s">
        <v>432</v>
      </c>
      <c r="P333" s="5"/>
      <c r="Q333" s="5"/>
      <c r="R333" s="4" t="s">
        <v>433</v>
      </c>
      <c r="S333" s="5"/>
      <c r="T333" s="4" t="s">
        <v>107</v>
      </c>
      <c r="U333" s="45">
        <v>62</v>
      </c>
      <c r="V333" s="4" t="s">
        <v>541</v>
      </c>
      <c r="W333" s="45">
        <v>62</v>
      </c>
      <c r="X333" s="4" t="s">
        <v>8</v>
      </c>
      <c r="Y333" s="5">
        <v>1</v>
      </c>
      <c r="Z333" s="4" t="s">
        <v>108</v>
      </c>
      <c r="AA333" s="5"/>
      <c r="AB333" s="5">
        <v>75</v>
      </c>
      <c r="AC333" s="4" t="s">
        <v>109</v>
      </c>
      <c r="AD333" s="4" t="s">
        <v>394</v>
      </c>
      <c r="AE333" s="4" t="s">
        <v>395</v>
      </c>
      <c r="AF333" s="5"/>
      <c r="AG333" s="5">
        <v>1000000</v>
      </c>
      <c r="AH333" s="5">
        <v>1000000</v>
      </c>
      <c r="AI333" s="5">
        <v>0</v>
      </c>
      <c r="AJ333" s="5">
        <v>1000000</v>
      </c>
      <c r="AK333" s="5">
        <v>0</v>
      </c>
      <c r="AL333" s="5">
        <v>1000000</v>
      </c>
      <c r="AM333" s="5"/>
    </row>
    <row r="334" spans="1:39" ht="38.25" x14ac:dyDescent="0.25">
      <c r="A334" s="4" t="s">
        <v>60</v>
      </c>
      <c r="B334" s="4" t="str">
        <f>VLOOKUP(A334,'Ledger &amp; Group'!A:C,2,0)</f>
        <v>Own Brand</v>
      </c>
      <c r="C334" s="4">
        <f>VLOOKUP(A334,'Ledger &amp; Group'!A:C,3,0)</f>
        <v>30</v>
      </c>
      <c r="D334" s="45">
        <f t="shared" si="10"/>
        <v>121</v>
      </c>
      <c r="E334" s="4" t="str">
        <f ca="1">IF(D334&lt;=TODAY(),IF(ISNA(VLOOKUP(V334,'Unreconciled AR'!C:C,1,0)),"Due","Unreconciled AR"),"Outstanding")</f>
        <v>Due</v>
      </c>
      <c r="F334" s="4">
        <f t="shared" ca="1" si="11"/>
        <v>44608</v>
      </c>
      <c r="G334" s="4" t="e">
        <f ca="1">LOOKUP(F334,{-10000,-60,-30,-15,0,1,10000},{"&gt;60","31-60","16-30","01-15","Due on Today","OS"})</f>
        <v>#N/A</v>
      </c>
      <c r="H334" s="4" t="s">
        <v>103</v>
      </c>
      <c r="I334" s="4" t="s">
        <v>103</v>
      </c>
      <c r="J334" s="4" t="s">
        <v>104</v>
      </c>
      <c r="K334" s="4" t="s">
        <v>111</v>
      </c>
      <c r="L334" s="4" t="s">
        <v>112</v>
      </c>
      <c r="M334" s="4" t="s">
        <v>113</v>
      </c>
      <c r="N334" s="4" t="s">
        <v>110</v>
      </c>
      <c r="O334" s="4" t="s">
        <v>432</v>
      </c>
      <c r="P334" s="5"/>
      <c r="Q334" s="5"/>
      <c r="R334" s="4" t="s">
        <v>433</v>
      </c>
      <c r="S334" s="5"/>
      <c r="T334" s="4" t="s">
        <v>107</v>
      </c>
      <c r="U334" s="45">
        <v>91</v>
      </c>
      <c r="V334" s="4" t="s">
        <v>542</v>
      </c>
      <c r="W334" s="45">
        <v>91</v>
      </c>
      <c r="X334" s="4" t="s">
        <v>8</v>
      </c>
      <c r="Y334" s="5">
        <v>1</v>
      </c>
      <c r="Z334" s="4" t="s">
        <v>108</v>
      </c>
      <c r="AA334" s="5"/>
      <c r="AB334" s="5">
        <v>46</v>
      </c>
      <c r="AC334" s="4" t="s">
        <v>109</v>
      </c>
      <c r="AD334" s="4" t="s">
        <v>200</v>
      </c>
      <c r="AE334" s="4" t="s">
        <v>396</v>
      </c>
      <c r="AF334" s="5"/>
      <c r="AG334" s="5">
        <v>1000000</v>
      </c>
      <c r="AH334" s="5">
        <v>1000000</v>
      </c>
      <c r="AI334" s="5">
        <v>0</v>
      </c>
      <c r="AJ334" s="5">
        <v>1000000</v>
      </c>
      <c r="AK334" s="5">
        <v>0</v>
      </c>
      <c r="AL334" s="5">
        <v>1000000</v>
      </c>
      <c r="AM334" s="5"/>
    </row>
    <row r="335" spans="1:39" ht="153" x14ac:dyDescent="0.25">
      <c r="A335" s="4" t="s">
        <v>36</v>
      </c>
      <c r="B335" s="4" t="str">
        <f>VLOOKUP(A335,'Ledger &amp; Group'!A:C,2,0)</f>
        <v xml:space="preserve">HELIOS </v>
      </c>
      <c r="C335" s="4">
        <f>VLOOKUP(A335,'Ledger &amp; Group'!A:C,3,0)</f>
        <v>30</v>
      </c>
      <c r="D335" s="45">
        <f t="shared" si="10"/>
        <v>61</v>
      </c>
      <c r="E335" s="4" t="str">
        <f ca="1">IF(D335&lt;=TODAY(),IF(ISNA(VLOOKUP(V335,'Unreconciled AR'!C:C,1,0)),"Due","Unreconciled AR"),"Outstanding")</f>
        <v>Due</v>
      </c>
      <c r="F335" s="4">
        <f t="shared" ca="1" si="11"/>
        <v>44668</v>
      </c>
      <c r="G335" s="4" t="e">
        <f ca="1">LOOKUP(F335,{-10000,-60,-30,-15,0,1,10000},{"&gt;60","31-60","16-30","01-15","Due on Today","OS"})</f>
        <v>#N/A</v>
      </c>
      <c r="H335" s="4" t="s">
        <v>103</v>
      </c>
      <c r="I335" s="4" t="s">
        <v>103</v>
      </c>
      <c r="J335" s="4" t="s">
        <v>104</v>
      </c>
      <c r="K335" s="4" t="s">
        <v>105</v>
      </c>
      <c r="L335" s="4" t="s">
        <v>112</v>
      </c>
      <c r="M335" s="4" t="s">
        <v>113</v>
      </c>
      <c r="N335" s="4" t="s">
        <v>103</v>
      </c>
      <c r="O335" s="4" t="s">
        <v>432</v>
      </c>
      <c r="P335" s="5"/>
      <c r="Q335" s="5"/>
      <c r="R335" s="4" t="s">
        <v>433</v>
      </c>
      <c r="S335" s="5"/>
      <c r="T335" s="4" t="s">
        <v>107</v>
      </c>
      <c r="U335" s="45">
        <v>31</v>
      </c>
      <c r="V335" s="4" t="s">
        <v>397</v>
      </c>
      <c r="W335" s="45">
        <v>31</v>
      </c>
      <c r="X335" s="4" t="s">
        <v>8</v>
      </c>
      <c r="Y335" s="5">
        <v>1</v>
      </c>
      <c r="Z335" s="4" t="s">
        <v>398</v>
      </c>
      <c r="AA335" s="5"/>
      <c r="AB335" s="5">
        <v>105</v>
      </c>
      <c r="AC335" s="4" t="s">
        <v>109</v>
      </c>
      <c r="AD335" s="4" t="s">
        <v>399</v>
      </c>
      <c r="AE335" s="4" t="s">
        <v>400</v>
      </c>
      <c r="AF335" s="5"/>
      <c r="AG335" s="5">
        <v>1000000</v>
      </c>
      <c r="AH335" s="5">
        <v>1000000</v>
      </c>
      <c r="AI335" s="5">
        <v>0</v>
      </c>
      <c r="AJ335" s="5">
        <v>1000000</v>
      </c>
      <c r="AK335" s="5">
        <v>0</v>
      </c>
      <c r="AL335" s="5">
        <v>1000000</v>
      </c>
      <c r="AM335" s="5"/>
    </row>
    <row r="336" spans="1:39" ht="38.25" x14ac:dyDescent="0.25">
      <c r="A336" s="4" t="s">
        <v>36</v>
      </c>
      <c r="B336" s="4" t="str">
        <f>VLOOKUP(A336,'Ledger &amp; Group'!A:C,2,0)</f>
        <v xml:space="preserve">HELIOS </v>
      </c>
      <c r="C336" s="4">
        <f>VLOOKUP(A336,'Ledger &amp; Group'!A:C,3,0)</f>
        <v>30</v>
      </c>
      <c r="D336" s="45">
        <f t="shared" si="10"/>
        <v>287</v>
      </c>
      <c r="E336" s="4" t="str">
        <f ca="1">IF(D336&lt;=TODAY(),IF(ISNA(VLOOKUP(V336,'Unreconciled AR'!C:C,1,0)),"Due","Unreconciled AR"),"Outstanding")</f>
        <v>Due</v>
      </c>
      <c r="F336" s="4">
        <f t="shared" ca="1" si="11"/>
        <v>44442</v>
      </c>
      <c r="G336" s="4" t="e">
        <f ca="1">LOOKUP(F336,{-10000,-60,-30,-15,0,1,10000},{"&gt;60","31-60","16-30","01-15","Due on Today","OS"})</f>
        <v>#N/A</v>
      </c>
      <c r="H336" s="4" t="s">
        <v>103</v>
      </c>
      <c r="I336" s="4" t="s">
        <v>103</v>
      </c>
      <c r="J336" s="4" t="s">
        <v>104</v>
      </c>
      <c r="K336" s="4" t="s">
        <v>105</v>
      </c>
      <c r="L336" s="4" t="s">
        <v>112</v>
      </c>
      <c r="M336" s="4" t="s">
        <v>113</v>
      </c>
      <c r="N336" s="4" t="s">
        <v>103</v>
      </c>
      <c r="O336" s="4" t="s">
        <v>432</v>
      </c>
      <c r="P336" s="5"/>
      <c r="Q336" s="5"/>
      <c r="R336" s="4" t="s">
        <v>433</v>
      </c>
      <c r="S336" s="5"/>
      <c r="T336" s="4" t="s">
        <v>107</v>
      </c>
      <c r="U336" s="45">
        <v>257</v>
      </c>
      <c r="V336" s="4" t="s">
        <v>543</v>
      </c>
      <c r="W336" s="45">
        <v>257</v>
      </c>
      <c r="X336" s="4" t="s">
        <v>8</v>
      </c>
      <c r="Y336" s="5">
        <v>1</v>
      </c>
      <c r="Z336" s="4" t="s">
        <v>108</v>
      </c>
      <c r="AA336" s="5"/>
      <c r="AB336" s="5">
        <v>245</v>
      </c>
      <c r="AC336" s="4" t="s">
        <v>109</v>
      </c>
      <c r="AD336" s="4" t="s">
        <v>401</v>
      </c>
      <c r="AE336" s="4" t="s">
        <v>402</v>
      </c>
      <c r="AF336" s="4"/>
      <c r="AG336" s="5">
        <v>1000000</v>
      </c>
      <c r="AH336" s="5">
        <v>1000000</v>
      </c>
      <c r="AI336" s="5">
        <v>0</v>
      </c>
      <c r="AJ336" s="5">
        <v>1000000</v>
      </c>
      <c r="AK336" s="5">
        <v>0</v>
      </c>
      <c r="AL336" s="5">
        <v>1000000</v>
      </c>
      <c r="AM336" s="5"/>
    </row>
    <row r="337" spans="1:39" ht="114.75" x14ac:dyDescent="0.25">
      <c r="A337" s="4" t="s">
        <v>37</v>
      </c>
      <c r="B337" s="4" t="str">
        <f>VLOOKUP(A337,'Ledger &amp; Group'!A:C,2,0)</f>
        <v>JYOTHY</v>
      </c>
      <c r="C337" s="4">
        <f>VLOOKUP(A337,'Ledger &amp; Group'!A:C,3,0)</f>
        <v>30</v>
      </c>
      <c r="D337" s="45">
        <f t="shared" si="10"/>
        <v>286</v>
      </c>
      <c r="E337" s="4" t="str">
        <f ca="1">IF(D337&lt;=TODAY(),IF(ISNA(VLOOKUP(V337,'Unreconciled AR'!C:C,1,0)),"Due","Unreconciled AR"),"Outstanding")</f>
        <v>Due</v>
      </c>
      <c r="F337" s="4">
        <f t="shared" ca="1" si="11"/>
        <v>44443</v>
      </c>
      <c r="G337" s="4" t="e">
        <f ca="1">LOOKUP(F337,{-10000,-60,-30,-15,0,1,10000},{"&gt;60","31-60","16-30","01-15","Due on Today","OS"})</f>
        <v>#N/A</v>
      </c>
      <c r="H337" s="4" t="s">
        <v>103</v>
      </c>
      <c r="I337" s="4" t="s">
        <v>103</v>
      </c>
      <c r="J337" s="4" t="s">
        <v>104</v>
      </c>
      <c r="K337" s="4" t="s">
        <v>111</v>
      </c>
      <c r="L337" s="4" t="s">
        <v>112</v>
      </c>
      <c r="M337" s="4" t="s">
        <v>113</v>
      </c>
      <c r="N337" s="4" t="s">
        <v>103</v>
      </c>
      <c r="O337" s="4" t="s">
        <v>432</v>
      </c>
      <c r="P337" s="5"/>
      <c r="Q337" s="5"/>
      <c r="R337" s="4" t="s">
        <v>433</v>
      </c>
      <c r="S337" s="5"/>
      <c r="T337" s="4" t="s">
        <v>107</v>
      </c>
      <c r="U337" s="45">
        <v>256</v>
      </c>
      <c r="V337" s="4" t="s">
        <v>149</v>
      </c>
      <c r="W337" s="45">
        <v>256</v>
      </c>
      <c r="X337" s="4" t="s">
        <v>8</v>
      </c>
      <c r="Y337" s="5">
        <v>1</v>
      </c>
      <c r="Z337" s="4" t="s">
        <v>108</v>
      </c>
      <c r="AA337" s="5"/>
      <c r="AB337" s="5">
        <v>977</v>
      </c>
      <c r="AC337" s="4" t="s">
        <v>109</v>
      </c>
      <c r="AD337" s="4" t="s">
        <v>150</v>
      </c>
      <c r="AE337" s="4" t="s">
        <v>149</v>
      </c>
      <c r="AF337" s="4"/>
      <c r="AG337" s="5">
        <v>1000000</v>
      </c>
      <c r="AH337" s="5">
        <v>1000000</v>
      </c>
      <c r="AI337" s="5">
        <v>0</v>
      </c>
      <c r="AJ337" s="5">
        <v>1000000</v>
      </c>
      <c r="AK337" s="5">
        <v>0</v>
      </c>
      <c r="AL337" s="5">
        <v>1000000</v>
      </c>
      <c r="AM337" s="5"/>
    </row>
    <row r="338" spans="1:39" ht="114.75" x14ac:dyDescent="0.25">
      <c r="A338" s="4" t="s">
        <v>37</v>
      </c>
      <c r="B338" s="4" t="str">
        <f>VLOOKUP(A338,'Ledger &amp; Group'!A:C,2,0)</f>
        <v>JYOTHY</v>
      </c>
      <c r="C338" s="4">
        <f>VLOOKUP(A338,'Ledger &amp; Group'!A:C,3,0)</f>
        <v>30</v>
      </c>
      <c r="D338" s="45">
        <f t="shared" si="10"/>
        <v>286</v>
      </c>
      <c r="E338" s="4" t="str">
        <f ca="1">IF(D338&lt;=TODAY(),IF(ISNA(VLOOKUP(V338,'Unreconciled AR'!C:C,1,0)),"Due","Unreconciled AR"),"Outstanding")</f>
        <v>Due</v>
      </c>
      <c r="F338" s="4">
        <f t="shared" ca="1" si="11"/>
        <v>44443</v>
      </c>
      <c r="G338" s="4" t="e">
        <f ca="1">LOOKUP(F338,{-10000,-60,-30,-15,0,1,10000},{"&gt;60","31-60","16-30","01-15","Due on Today","OS"})</f>
        <v>#N/A</v>
      </c>
      <c r="H338" s="4" t="s">
        <v>103</v>
      </c>
      <c r="I338" s="4" t="s">
        <v>103</v>
      </c>
      <c r="J338" s="4" t="s">
        <v>104</v>
      </c>
      <c r="K338" s="4" t="s">
        <v>111</v>
      </c>
      <c r="L338" s="4" t="s">
        <v>112</v>
      </c>
      <c r="M338" s="4" t="s">
        <v>113</v>
      </c>
      <c r="N338" s="4" t="s">
        <v>103</v>
      </c>
      <c r="O338" s="4" t="s">
        <v>432</v>
      </c>
      <c r="P338" s="5"/>
      <c r="Q338" s="5"/>
      <c r="R338" s="4" t="s">
        <v>433</v>
      </c>
      <c r="S338" s="5"/>
      <c r="T338" s="4" t="s">
        <v>107</v>
      </c>
      <c r="U338" s="45">
        <v>256</v>
      </c>
      <c r="V338" s="4" t="s">
        <v>154</v>
      </c>
      <c r="W338" s="45">
        <v>256</v>
      </c>
      <c r="X338" s="4" t="s">
        <v>8</v>
      </c>
      <c r="Y338" s="5">
        <v>1</v>
      </c>
      <c r="Z338" s="4" t="s">
        <v>108</v>
      </c>
      <c r="AA338" s="5"/>
      <c r="AB338" s="5">
        <v>977</v>
      </c>
      <c r="AC338" s="4" t="s">
        <v>109</v>
      </c>
      <c r="AD338" s="4" t="s">
        <v>150</v>
      </c>
      <c r="AE338" s="4" t="s">
        <v>154</v>
      </c>
      <c r="AF338" s="4"/>
      <c r="AG338" s="5">
        <v>1000000</v>
      </c>
      <c r="AH338" s="5">
        <v>1000000</v>
      </c>
      <c r="AI338" s="5">
        <v>0</v>
      </c>
      <c r="AJ338" s="5">
        <v>1000000</v>
      </c>
      <c r="AK338" s="5">
        <v>0</v>
      </c>
      <c r="AL338" s="5">
        <v>1000000</v>
      </c>
      <c r="AM338" s="5"/>
    </row>
    <row r="339" spans="1:39" ht="114.75" x14ac:dyDescent="0.25">
      <c r="A339" s="4" t="s">
        <v>37</v>
      </c>
      <c r="B339" s="4" t="str">
        <f>VLOOKUP(A339,'Ledger &amp; Group'!A:C,2,0)</f>
        <v>JYOTHY</v>
      </c>
      <c r="C339" s="4">
        <f>VLOOKUP(A339,'Ledger &amp; Group'!A:C,3,0)</f>
        <v>30</v>
      </c>
      <c r="D339" s="45">
        <f t="shared" si="10"/>
        <v>290</v>
      </c>
      <c r="E339" s="4" t="str">
        <f ca="1">IF(D339&lt;=TODAY(),IF(ISNA(VLOOKUP(V339,'Unreconciled AR'!C:C,1,0)),"Due","Unreconciled AR"),"Outstanding")</f>
        <v>Due</v>
      </c>
      <c r="F339" s="4">
        <f t="shared" ca="1" si="11"/>
        <v>44439</v>
      </c>
      <c r="G339" s="4" t="e">
        <f ca="1">LOOKUP(F339,{-10000,-60,-30,-15,0,1,10000},{"&gt;60","31-60","16-30","01-15","Due on Today","OS"})</f>
        <v>#N/A</v>
      </c>
      <c r="H339" s="4" t="s">
        <v>103</v>
      </c>
      <c r="I339" s="4" t="s">
        <v>103</v>
      </c>
      <c r="J339" s="4" t="s">
        <v>104</v>
      </c>
      <c r="K339" s="4" t="s">
        <v>111</v>
      </c>
      <c r="L339" s="4" t="s">
        <v>112</v>
      </c>
      <c r="M339" s="4" t="s">
        <v>113</v>
      </c>
      <c r="N339" s="4" t="s">
        <v>103</v>
      </c>
      <c r="O339" s="4" t="s">
        <v>432</v>
      </c>
      <c r="P339" s="5"/>
      <c r="Q339" s="5"/>
      <c r="R339" s="4" t="s">
        <v>433</v>
      </c>
      <c r="S339" s="5"/>
      <c r="T339" s="4" t="s">
        <v>107</v>
      </c>
      <c r="U339" s="45">
        <v>260</v>
      </c>
      <c r="V339" s="4" t="s">
        <v>151</v>
      </c>
      <c r="W339" s="45">
        <v>260</v>
      </c>
      <c r="X339" s="4" t="s">
        <v>8</v>
      </c>
      <c r="Y339" s="5">
        <v>1</v>
      </c>
      <c r="Z339" s="4" t="s">
        <v>108</v>
      </c>
      <c r="AA339" s="5"/>
      <c r="AB339" s="5">
        <v>973</v>
      </c>
      <c r="AC339" s="4" t="s">
        <v>109</v>
      </c>
      <c r="AD339" s="4" t="s">
        <v>152</v>
      </c>
      <c r="AE339" s="4" t="s">
        <v>151</v>
      </c>
      <c r="AF339" s="4"/>
      <c r="AG339" s="5">
        <v>1000000</v>
      </c>
      <c r="AH339" s="5">
        <v>1000000</v>
      </c>
      <c r="AI339" s="5">
        <v>0</v>
      </c>
      <c r="AJ339" s="5">
        <v>1000000</v>
      </c>
      <c r="AK339" s="5">
        <v>0</v>
      </c>
      <c r="AL339" s="5">
        <v>1000000</v>
      </c>
      <c r="AM339" s="5"/>
    </row>
    <row r="340" spans="1:39" ht="114.75" x14ac:dyDescent="0.25">
      <c r="A340" s="4" t="s">
        <v>37</v>
      </c>
      <c r="B340" s="4" t="str">
        <f>VLOOKUP(A340,'Ledger &amp; Group'!A:C,2,0)</f>
        <v>JYOTHY</v>
      </c>
      <c r="C340" s="4">
        <f>VLOOKUP(A340,'Ledger &amp; Group'!A:C,3,0)</f>
        <v>30</v>
      </c>
      <c r="D340" s="45">
        <f t="shared" si="10"/>
        <v>290</v>
      </c>
      <c r="E340" s="4" t="str">
        <f ca="1">IF(D340&lt;=TODAY(),IF(ISNA(VLOOKUP(V340,'Unreconciled AR'!C:C,1,0)),"Due","Unreconciled AR"),"Outstanding")</f>
        <v>Due</v>
      </c>
      <c r="F340" s="4">
        <f t="shared" ca="1" si="11"/>
        <v>44439</v>
      </c>
      <c r="G340" s="4" t="e">
        <f ca="1">LOOKUP(F340,{-10000,-60,-30,-15,0,1,10000},{"&gt;60","31-60","16-30","01-15","Due on Today","OS"})</f>
        <v>#N/A</v>
      </c>
      <c r="H340" s="4" t="s">
        <v>103</v>
      </c>
      <c r="I340" s="4" t="s">
        <v>103</v>
      </c>
      <c r="J340" s="4" t="s">
        <v>104</v>
      </c>
      <c r="K340" s="4" t="s">
        <v>111</v>
      </c>
      <c r="L340" s="4" t="s">
        <v>112</v>
      </c>
      <c r="M340" s="4" t="s">
        <v>113</v>
      </c>
      <c r="N340" s="4" t="s">
        <v>103</v>
      </c>
      <c r="O340" s="4" t="s">
        <v>432</v>
      </c>
      <c r="P340" s="5"/>
      <c r="Q340" s="5"/>
      <c r="R340" s="4" t="s">
        <v>433</v>
      </c>
      <c r="S340" s="5"/>
      <c r="T340" s="4" t="s">
        <v>107</v>
      </c>
      <c r="U340" s="45">
        <v>260</v>
      </c>
      <c r="V340" s="4" t="s">
        <v>153</v>
      </c>
      <c r="W340" s="45">
        <v>260</v>
      </c>
      <c r="X340" s="4" t="s">
        <v>8</v>
      </c>
      <c r="Y340" s="5">
        <v>1</v>
      </c>
      <c r="Z340" s="4" t="s">
        <v>108</v>
      </c>
      <c r="AA340" s="5"/>
      <c r="AB340" s="5">
        <v>973</v>
      </c>
      <c r="AC340" s="4" t="s">
        <v>109</v>
      </c>
      <c r="AD340" s="4" t="s">
        <v>152</v>
      </c>
      <c r="AE340" s="4" t="s">
        <v>153</v>
      </c>
      <c r="AF340" s="4"/>
      <c r="AG340" s="5">
        <v>1000000</v>
      </c>
      <c r="AH340" s="5">
        <v>1000000</v>
      </c>
      <c r="AI340" s="5">
        <v>0</v>
      </c>
      <c r="AJ340" s="5">
        <v>1000000</v>
      </c>
      <c r="AK340" s="5">
        <v>0</v>
      </c>
      <c r="AL340" s="5">
        <v>1000000</v>
      </c>
      <c r="AM340" s="5"/>
    </row>
    <row r="341" spans="1:39" ht="114.75" x14ac:dyDescent="0.25">
      <c r="A341" s="4" t="s">
        <v>37</v>
      </c>
      <c r="B341" s="4" t="str">
        <f>VLOOKUP(A341,'Ledger &amp; Group'!A:C,2,0)</f>
        <v>JYOTHY</v>
      </c>
      <c r="C341" s="4">
        <f>VLOOKUP(A341,'Ledger &amp; Group'!A:C,3,0)</f>
        <v>30</v>
      </c>
      <c r="D341" s="45">
        <f t="shared" si="10"/>
        <v>121</v>
      </c>
      <c r="E341" s="4" t="str">
        <f ca="1">IF(D341&lt;=TODAY(),IF(ISNA(VLOOKUP(V341,'Unreconciled AR'!C:C,1,0)),"Due","Unreconciled AR"),"Outstanding")</f>
        <v>Due</v>
      </c>
      <c r="F341" s="4">
        <f t="shared" ca="1" si="11"/>
        <v>44608</v>
      </c>
      <c r="G341" s="4" t="e">
        <f ca="1">LOOKUP(F341,{-10000,-60,-30,-15,0,1,10000},{"&gt;60","31-60","16-30","01-15","Due on Today","OS"})</f>
        <v>#N/A</v>
      </c>
      <c r="H341" s="5"/>
      <c r="I341" s="4" t="s">
        <v>103</v>
      </c>
      <c r="J341" s="4" t="s">
        <v>104</v>
      </c>
      <c r="K341" s="4" t="s">
        <v>111</v>
      </c>
      <c r="L341" s="4" t="s">
        <v>112</v>
      </c>
      <c r="M341" s="4" t="s">
        <v>113</v>
      </c>
      <c r="N341" s="4" t="s">
        <v>103</v>
      </c>
      <c r="O341" s="4" t="s">
        <v>432</v>
      </c>
      <c r="P341" s="5"/>
      <c r="Q341" s="5"/>
      <c r="R341" s="4" t="s">
        <v>433</v>
      </c>
      <c r="S341" s="5"/>
      <c r="T341" s="4" t="s">
        <v>107</v>
      </c>
      <c r="U341" s="45">
        <v>91</v>
      </c>
      <c r="V341" s="4" t="s">
        <v>156</v>
      </c>
      <c r="W341" s="45">
        <v>91</v>
      </c>
      <c r="X341" s="4" t="s">
        <v>8</v>
      </c>
      <c r="Y341" s="5">
        <v>1</v>
      </c>
      <c r="Z341" s="4" t="s">
        <v>38</v>
      </c>
      <c r="AA341" s="5"/>
      <c r="AB341" s="5">
        <v>776</v>
      </c>
      <c r="AC341" s="4" t="s">
        <v>109</v>
      </c>
      <c r="AD341" s="4" t="s">
        <v>155</v>
      </c>
      <c r="AE341" s="4" t="s">
        <v>157</v>
      </c>
      <c r="AF341" s="5"/>
      <c r="AG341" s="5">
        <v>1000000</v>
      </c>
      <c r="AH341" s="5">
        <v>1000000</v>
      </c>
      <c r="AI341" s="5">
        <v>0</v>
      </c>
      <c r="AJ341" s="5">
        <v>1000000</v>
      </c>
      <c r="AK341" s="5">
        <v>0</v>
      </c>
      <c r="AL341" s="5">
        <v>1000000</v>
      </c>
      <c r="AM341" s="5"/>
    </row>
    <row r="342" spans="1:39" ht="114.75" x14ac:dyDescent="0.25">
      <c r="A342" s="4" t="s">
        <v>37</v>
      </c>
      <c r="B342" s="4" t="str">
        <f>VLOOKUP(A342,'Ledger &amp; Group'!A:C,2,0)</f>
        <v>JYOTHY</v>
      </c>
      <c r="C342" s="4">
        <f>VLOOKUP(A342,'Ledger &amp; Group'!A:C,3,0)</f>
        <v>30</v>
      </c>
      <c r="D342" s="45">
        <f t="shared" si="10"/>
        <v>121</v>
      </c>
      <c r="E342" s="4" t="str">
        <f ca="1">IF(D342&lt;=TODAY(),IF(ISNA(VLOOKUP(V342,'Unreconciled AR'!C:C,1,0)),"Due","Unreconciled AR"),"Outstanding")</f>
        <v>Due</v>
      </c>
      <c r="F342" s="4">
        <f t="shared" ca="1" si="11"/>
        <v>44608</v>
      </c>
      <c r="G342" s="4" t="e">
        <f ca="1">LOOKUP(F342,{-10000,-60,-30,-15,0,1,10000},{"&gt;60","31-60","16-30","01-15","Due on Today","OS"})</f>
        <v>#N/A</v>
      </c>
      <c r="H342" s="5"/>
      <c r="I342" s="4" t="s">
        <v>103</v>
      </c>
      <c r="J342" s="4" t="s">
        <v>104</v>
      </c>
      <c r="K342" s="4" t="s">
        <v>111</v>
      </c>
      <c r="L342" s="4" t="s">
        <v>112</v>
      </c>
      <c r="M342" s="4" t="s">
        <v>113</v>
      </c>
      <c r="N342" s="4" t="s">
        <v>103</v>
      </c>
      <c r="O342" s="4" t="s">
        <v>432</v>
      </c>
      <c r="P342" s="5"/>
      <c r="Q342" s="5"/>
      <c r="R342" s="4" t="s">
        <v>433</v>
      </c>
      <c r="S342" s="5"/>
      <c r="T342" s="4" t="s">
        <v>107</v>
      </c>
      <c r="U342" s="45">
        <v>91</v>
      </c>
      <c r="V342" s="4" t="s">
        <v>165</v>
      </c>
      <c r="W342" s="45">
        <v>91</v>
      </c>
      <c r="X342" s="4" t="s">
        <v>8</v>
      </c>
      <c r="Y342" s="5">
        <v>1</v>
      </c>
      <c r="Z342" s="4" t="s">
        <v>38</v>
      </c>
      <c r="AA342" s="5"/>
      <c r="AB342" s="5">
        <v>411</v>
      </c>
      <c r="AC342" s="4" t="s">
        <v>109</v>
      </c>
      <c r="AD342" s="4" t="s">
        <v>67</v>
      </c>
      <c r="AE342" s="4" t="s">
        <v>166</v>
      </c>
      <c r="AF342" s="5"/>
      <c r="AG342" s="5">
        <v>1000000</v>
      </c>
      <c r="AH342" s="5">
        <v>1000000</v>
      </c>
      <c r="AI342" s="5">
        <v>0</v>
      </c>
      <c r="AJ342" s="5">
        <v>1000000</v>
      </c>
      <c r="AK342" s="5">
        <v>0</v>
      </c>
      <c r="AL342" s="5">
        <v>1000000</v>
      </c>
      <c r="AM342" s="5"/>
    </row>
    <row r="343" spans="1:39" ht="318.75" x14ac:dyDescent="0.25">
      <c r="A343" s="4" t="s">
        <v>37</v>
      </c>
      <c r="B343" s="4" t="str">
        <f>VLOOKUP(A343,'Ledger &amp; Group'!A:C,2,0)</f>
        <v>JYOTHY</v>
      </c>
      <c r="C343" s="4">
        <f>VLOOKUP(A343,'Ledger &amp; Group'!A:C,3,0)</f>
        <v>30</v>
      </c>
      <c r="D343" s="45">
        <f t="shared" si="10"/>
        <v>172</v>
      </c>
      <c r="E343" s="4" t="str">
        <f ca="1">IF(D343&lt;=TODAY(),IF(ISNA(VLOOKUP(V343,'Unreconciled AR'!C:C,1,0)),"Due","Unreconciled AR"),"Outstanding")</f>
        <v>Due</v>
      </c>
      <c r="F343" s="4">
        <f t="shared" ca="1" si="11"/>
        <v>44557</v>
      </c>
      <c r="G343" s="4" t="e">
        <f ca="1">LOOKUP(F343,{-10000,-60,-30,-15,0,1,10000},{"&gt;60","31-60","16-30","01-15","Due on Today","OS"})</f>
        <v>#N/A</v>
      </c>
      <c r="H343" s="5"/>
      <c r="I343" s="4" t="s">
        <v>103</v>
      </c>
      <c r="J343" s="4" t="s">
        <v>104</v>
      </c>
      <c r="K343" s="4" t="s">
        <v>111</v>
      </c>
      <c r="L343" s="4" t="s">
        <v>112</v>
      </c>
      <c r="M343" s="4" t="s">
        <v>113</v>
      </c>
      <c r="N343" s="4" t="s">
        <v>103</v>
      </c>
      <c r="O343" s="4" t="s">
        <v>432</v>
      </c>
      <c r="P343" s="5"/>
      <c r="Q343" s="5"/>
      <c r="R343" s="4" t="s">
        <v>433</v>
      </c>
      <c r="S343" s="5"/>
      <c r="T343" s="4" t="s">
        <v>107</v>
      </c>
      <c r="U343" s="45">
        <v>142</v>
      </c>
      <c r="V343" s="4" t="s">
        <v>159</v>
      </c>
      <c r="W343" s="45">
        <v>142</v>
      </c>
      <c r="X343" s="4" t="s">
        <v>8</v>
      </c>
      <c r="Y343" s="5">
        <v>1</v>
      </c>
      <c r="Z343" s="4" t="s">
        <v>160</v>
      </c>
      <c r="AA343" s="5"/>
      <c r="AB343" s="5">
        <v>725</v>
      </c>
      <c r="AC343" s="4" t="s">
        <v>109</v>
      </c>
      <c r="AD343" s="4" t="s">
        <v>158</v>
      </c>
      <c r="AE343" s="5">
        <v>1</v>
      </c>
      <c r="AF343" s="5"/>
      <c r="AG343" s="5">
        <v>1000000</v>
      </c>
      <c r="AH343" s="5">
        <v>1000000</v>
      </c>
      <c r="AI343" s="5">
        <v>0</v>
      </c>
      <c r="AJ343" s="5">
        <v>1000000</v>
      </c>
      <c r="AK343" s="5">
        <v>-1500000</v>
      </c>
      <c r="AL343" s="5">
        <v>1000000</v>
      </c>
      <c r="AM343" s="5"/>
    </row>
    <row r="344" spans="1:39" ht="318.75" x14ac:dyDescent="0.25">
      <c r="A344" s="4" t="s">
        <v>37</v>
      </c>
      <c r="B344" s="4" t="str">
        <f>VLOOKUP(A344,'Ledger &amp; Group'!A:C,2,0)</f>
        <v>JYOTHY</v>
      </c>
      <c r="C344" s="4">
        <f>VLOOKUP(A344,'Ledger &amp; Group'!A:C,3,0)</f>
        <v>30</v>
      </c>
      <c r="D344" s="45">
        <f t="shared" si="10"/>
        <v>247</v>
      </c>
      <c r="E344" s="4" t="str">
        <f ca="1">IF(D344&lt;=TODAY(),IF(ISNA(VLOOKUP(V344,'Unreconciled AR'!C:C,1,0)),"Due","Unreconciled AR"),"Outstanding")</f>
        <v>Due</v>
      </c>
      <c r="F344" s="4">
        <f t="shared" ca="1" si="11"/>
        <v>44482</v>
      </c>
      <c r="G344" s="4" t="e">
        <f ca="1">LOOKUP(F344,{-10000,-60,-30,-15,0,1,10000},{"&gt;60","31-60","16-30","01-15","Due on Today","OS"})</f>
        <v>#N/A</v>
      </c>
      <c r="H344" s="5"/>
      <c r="I344" s="4" t="s">
        <v>103</v>
      </c>
      <c r="J344" s="4" t="s">
        <v>104</v>
      </c>
      <c r="K344" s="4" t="s">
        <v>111</v>
      </c>
      <c r="L344" s="4" t="s">
        <v>112</v>
      </c>
      <c r="M344" s="4" t="s">
        <v>113</v>
      </c>
      <c r="N344" s="4" t="s">
        <v>103</v>
      </c>
      <c r="O344" s="4" t="s">
        <v>432</v>
      </c>
      <c r="P344" s="5"/>
      <c r="Q344" s="5"/>
      <c r="R344" s="4" t="s">
        <v>433</v>
      </c>
      <c r="S344" s="5"/>
      <c r="T344" s="4" t="s">
        <v>107</v>
      </c>
      <c r="U344" s="45">
        <v>217</v>
      </c>
      <c r="V344" s="4" t="s">
        <v>162</v>
      </c>
      <c r="W344" s="45">
        <v>217</v>
      </c>
      <c r="X344" s="4" t="s">
        <v>8</v>
      </c>
      <c r="Y344" s="5">
        <v>1</v>
      </c>
      <c r="Z344" s="4" t="s">
        <v>163</v>
      </c>
      <c r="AA344" s="5"/>
      <c r="AB344" s="5">
        <v>650</v>
      </c>
      <c r="AC344" s="4" t="s">
        <v>109</v>
      </c>
      <c r="AD344" s="4" t="s">
        <v>161</v>
      </c>
      <c r="AE344" s="4" t="s">
        <v>164</v>
      </c>
      <c r="AF344" s="5"/>
      <c r="AG344" s="5">
        <v>1000000</v>
      </c>
      <c r="AH344" s="5">
        <v>1000000</v>
      </c>
      <c r="AI344" s="5">
        <v>0</v>
      </c>
      <c r="AJ344" s="5">
        <v>1000000</v>
      </c>
      <c r="AK344" s="5">
        <v>-1546326.06</v>
      </c>
      <c r="AL344" s="5">
        <v>1000000</v>
      </c>
      <c r="AM344" s="5"/>
    </row>
    <row r="345" spans="1:39" ht="102" x14ac:dyDescent="0.25">
      <c r="A345" s="4" t="s">
        <v>64</v>
      </c>
      <c r="B345" s="4" t="str">
        <f>VLOOKUP(A345,'Ledger &amp; Group'!A:C,2,0)</f>
        <v>JYOTHY</v>
      </c>
      <c r="C345" s="4">
        <f>VLOOKUP(A345,'Ledger &amp; Group'!A:C,3,0)</f>
        <v>30</v>
      </c>
      <c r="D345" s="45">
        <f t="shared" si="10"/>
        <v>377</v>
      </c>
      <c r="E345" s="4" t="str">
        <f ca="1">IF(D345&lt;=TODAY(),IF(ISNA(VLOOKUP(V345,'Unreconciled AR'!C:C,1,0)),"Due","Unreconciled AR"),"Outstanding")</f>
        <v>Due</v>
      </c>
      <c r="F345" s="4">
        <f t="shared" ca="1" si="11"/>
        <v>44352</v>
      </c>
      <c r="G345" s="4" t="e">
        <f ca="1">LOOKUP(F345,{-10000,-60,-30,-15,0,1,10000},{"&gt;60","31-60","16-30","01-15","Due on Today","OS"})</f>
        <v>#N/A</v>
      </c>
      <c r="H345" s="4" t="s">
        <v>103</v>
      </c>
      <c r="I345" s="4" t="s">
        <v>103</v>
      </c>
      <c r="J345" s="4" t="s">
        <v>104</v>
      </c>
      <c r="K345" s="4" t="s">
        <v>111</v>
      </c>
      <c r="L345" s="4" t="s">
        <v>112</v>
      </c>
      <c r="M345" s="4" t="s">
        <v>113</v>
      </c>
      <c r="N345" s="4" t="s">
        <v>110</v>
      </c>
      <c r="O345" s="4" t="s">
        <v>432</v>
      </c>
      <c r="P345" s="5"/>
      <c r="Q345" s="5"/>
      <c r="R345" s="4" t="s">
        <v>433</v>
      </c>
      <c r="S345" s="5"/>
      <c r="T345" s="4" t="s">
        <v>107</v>
      </c>
      <c r="U345" s="45">
        <v>347</v>
      </c>
      <c r="V345" s="4" t="s">
        <v>167</v>
      </c>
      <c r="W345" s="45">
        <v>347</v>
      </c>
      <c r="X345" s="4" t="s">
        <v>8</v>
      </c>
      <c r="Y345" s="5">
        <v>1</v>
      </c>
      <c r="Z345" s="4" t="s">
        <v>108</v>
      </c>
      <c r="AA345" s="5"/>
      <c r="AB345" s="5">
        <v>520</v>
      </c>
      <c r="AC345" s="4" t="s">
        <v>109</v>
      </c>
      <c r="AD345" s="4" t="s">
        <v>168</v>
      </c>
      <c r="AE345" s="4" t="s">
        <v>167</v>
      </c>
      <c r="AF345" s="5"/>
      <c r="AG345" s="5">
        <v>1000000</v>
      </c>
      <c r="AH345" s="5">
        <v>1000000</v>
      </c>
      <c r="AI345" s="5">
        <v>0</v>
      </c>
      <c r="AJ345" s="5">
        <v>1000000</v>
      </c>
      <c r="AK345" s="5">
        <v>0</v>
      </c>
      <c r="AL345" s="5">
        <v>1000000</v>
      </c>
      <c r="AM345" s="5"/>
    </row>
    <row r="346" spans="1:39" ht="102" x14ac:dyDescent="0.25">
      <c r="A346" s="4" t="s">
        <v>64</v>
      </c>
      <c r="B346" s="4" t="str">
        <f>VLOOKUP(A346,'Ledger &amp; Group'!A:C,2,0)</f>
        <v>JYOTHY</v>
      </c>
      <c r="C346" s="4">
        <f>VLOOKUP(A346,'Ledger &amp; Group'!A:C,3,0)</f>
        <v>30</v>
      </c>
      <c r="D346" s="45">
        <f t="shared" si="10"/>
        <v>121</v>
      </c>
      <c r="E346" s="4" t="str">
        <f ca="1">IF(D346&lt;=TODAY(),IF(ISNA(VLOOKUP(V346,'Unreconciled AR'!C:C,1,0)),"Due","Unreconciled AR"),"Outstanding")</f>
        <v>Due</v>
      </c>
      <c r="F346" s="4">
        <f t="shared" ca="1" si="11"/>
        <v>44608</v>
      </c>
      <c r="G346" s="4" t="e">
        <f ca="1">LOOKUP(F346,{-10000,-60,-30,-15,0,1,10000},{"&gt;60","31-60","16-30","01-15","Due on Today","OS"})</f>
        <v>#N/A</v>
      </c>
      <c r="H346" s="5"/>
      <c r="I346" s="4" t="s">
        <v>103</v>
      </c>
      <c r="J346" s="4" t="s">
        <v>104</v>
      </c>
      <c r="K346" s="4" t="s">
        <v>111</v>
      </c>
      <c r="L346" s="4" t="s">
        <v>112</v>
      </c>
      <c r="M346" s="4" t="s">
        <v>113</v>
      </c>
      <c r="N346" s="4" t="s">
        <v>110</v>
      </c>
      <c r="O346" s="4" t="s">
        <v>432</v>
      </c>
      <c r="P346" s="5"/>
      <c r="Q346" s="5"/>
      <c r="R346" s="4" t="s">
        <v>433</v>
      </c>
      <c r="S346" s="5"/>
      <c r="T346" s="4" t="s">
        <v>107</v>
      </c>
      <c r="U346" s="45">
        <v>91</v>
      </c>
      <c r="V346" s="4" t="s">
        <v>169</v>
      </c>
      <c r="W346" s="45">
        <v>91</v>
      </c>
      <c r="X346" s="4" t="s">
        <v>8</v>
      </c>
      <c r="Y346" s="5">
        <v>1</v>
      </c>
      <c r="Z346" s="4" t="s">
        <v>38</v>
      </c>
      <c r="AA346" s="5"/>
      <c r="AB346" s="5">
        <v>411</v>
      </c>
      <c r="AC346" s="4" t="s">
        <v>109</v>
      </c>
      <c r="AD346" s="4" t="s">
        <v>67</v>
      </c>
      <c r="AE346" s="4" t="s">
        <v>39</v>
      </c>
      <c r="AF346" s="5"/>
      <c r="AG346" s="5">
        <v>1000000</v>
      </c>
      <c r="AH346" s="5">
        <v>1000000</v>
      </c>
      <c r="AI346" s="5">
        <v>0</v>
      </c>
      <c r="AJ346" s="5">
        <v>1000000</v>
      </c>
      <c r="AK346" s="5">
        <v>0</v>
      </c>
      <c r="AL346" s="5">
        <v>1000000</v>
      </c>
      <c r="AM346"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1"/>
  <sheetViews>
    <sheetView workbookViewId="0">
      <selection activeCell="G2" sqref="G2:G7"/>
    </sheetView>
  </sheetViews>
  <sheetFormatPr defaultRowHeight="15" x14ac:dyDescent="0.25"/>
  <cols>
    <col min="1" max="1" width="68.42578125" bestFit="1" customWidth="1"/>
    <col min="2" max="2" width="10.7109375" bestFit="1" customWidth="1"/>
    <col min="3" max="3" width="12.140625" bestFit="1" customWidth="1"/>
    <col min="7" max="7" width="14.140625" bestFit="1" customWidth="1"/>
    <col min="8" max="8" width="15.7109375" customWidth="1"/>
    <col min="9" max="9" width="15" customWidth="1"/>
  </cols>
  <sheetData>
    <row r="1" spans="1:9" ht="24.95" customHeight="1" x14ac:dyDescent="0.25">
      <c r="A1" s="1" t="s">
        <v>0</v>
      </c>
      <c r="B1" s="1" t="s">
        <v>0</v>
      </c>
      <c r="C1" s="1" t="s">
        <v>40</v>
      </c>
      <c r="G1" s="23" t="s">
        <v>0</v>
      </c>
      <c r="H1" s="24" t="s">
        <v>78</v>
      </c>
      <c r="I1" s="24" t="s">
        <v>79</v>
      </c>
    </row>
    <row r="2" spans="1:9" x14ac:dyDescent="0.25">
      <c r="A2" s="6" t="s">
        <v>9</v>
      </c>
      <c r="B2" s="6" t="s">
        <v>47</v>
      </c>
      <c r="C2" s="6">
        <v>30</v>
      </c>
      <c r="G2" s="50" t="s">
        <v>47</v>
      </c>
      <c r="H2" s="32" t="s">
        <v>430</v>
      </c>
      <c r="I2" s="32" t="s">
        <v>431</v>
      </c>
    </row>
    <row r="3" spans="1:9" x14ac:dyDescent="0.25">
      <c r="A3" s="6" t="s">
        <v>10</v>
      </c>
      <c r="B3" s="6" t="s">
        <v>47</v>
      </c>
      <c r="C3" s="6">
        <v>30</v>
      </c>
      <c r="G3" s="50" t="s">
        <v>48</v>
      </c>
      <c r="H3" s="32" t="s">
        <v>430</v>
      </c>
      <c r="I3" s="32" t="s">
        <v>431</v>
      </c>
    </row>
    <row r="4" spans="1:9" x14ac:dyDescent="0.25">
      <c r="A4" s="6" t="s">
        <v>11</v>
      </c>
      <c r="B4" s="6" t="s">
        <v>47</v>
      </c>
      <c r="C4" s="6">
        <v>30</v>
      </c>
      <c r="G4" s="50" t="s">
        <v>49</v>
      </c>
      <c r="H4" s="32" t="s">
        <v>430</v>
      </c>
      <c r="I4" s="32" t="s">
        <v>431</v>
      </c>
    </row>
    <row r="5" spans="1:9" x14ac:dyDescent="0.25">
      <c r="A5" s="6" t="s">
        <v>12</v>
      </c>
      <c r="B5" s="6" t="s">
        <v>48</v>
      </c>
      <c r="C5" s="6">
        <v>60</v>
      </c>
      <c r="G5" s="50" t="s">
        <v>38</v>
      </c>
      <c r="H5" s="32" t="s">
        <v>430</v>
      </c>
      <c r="I5" s="32" t="s">
        <v>431</v>
      </c>
    </row>
    <row r="6" spans="1:9" x14ac:dyDescent="0.25">
      <c r="A6" s="6" t="s">
        <v>14</v>
      </c>
      <c r="B6" s="6" t="s">
        <v>48</v>
      </c>
      <c r="C6" s="6">
        <v>60</v>
      </c>
      <c r="G6" s="50" t="s">
        <v>171</v>
      </c>
      <c r="H6" s="32" t="s">
        <v>430</v>
      </c>
      <c r="I6" s="32" t="s">
        <v>431</v>
      </c>
    </row>
    <row r="7" spans="1:9" x14ac:dyDescent="0.25">
      <c r="A7" s="6" t="s">
        <v>15</v>
      </c>
      <c r="B7" s="6" t="s">
        <v>48</v>
      </c>
      <c r="C7" s="6">
        <v>60</v>
      </c>
      <c r="G7" s="50" t="s">
        <v>50</v>
      </c>
      <c r="H7" s="32" t="s">
        <v>430</v>
      </c>
      <c r="I7" s="32" t="s">
        <v>431</v>
      </c>
    </row>
    <row r="8" spans="1:9" x14ac:dyDescent="0.25">
      <c r="A8" s="6" t="s">
        <v>16</v>
      </c>
      <c r="B8" s="6" t="s">
        <v>48</v>
      </c>
      <c r="C8" s="6">
        <v>60</v>
      </c>
    </row>
    <row r="9" spans="1:9" x14ac:dyDescent="0.25">
      <c r="A9" s="6" t="s">
        <v>17</v>
      </c>
      <c r="B9" s="6" t="s">
        <v>48</v>
      </c>
      <c r="C9" s="6">
        <v>60</v>
      </c>
    </row>
    <row r="10" spans="1:9" x14ac:dyDescent="0.25">
      <c r="A10" s="6" t="s">
        <v>18</v>
      </c>
      <c r="B10" s="6" t="s">
        <v>48</v>
      </c>
      <c r="C10" s="6">
        <v>60</v>
      </c>
    </row>
    <row r="11" spans="1:9" x14ac:dyDescent="0.25">
      <c r="A11" s="6" t="s">
        <v>19</v>
      </c>
      <c r="B11" s="6" t="s">
        <v>48</v>
      </c>
      <c r="C11" s="6">
        <v>60</v>
      </c>
    </row>
    <row r="12" spans="1:9" x14ac:dyDescent="0.25">
      <c r="A12" s="6" t="s">
        <v>20</v>
      </c>
      <c r="B12" s="6" t="s">
        <v>48</v>
      </c>
      <c r="C12" s="6">
        <v>60</v>
      </c>
    </row>
    <row r="13" spans="1:9" x14ac:dyDescent="0.25">
      <c r="A13" s="6" t="s">
        <v>21</v>
      </c>
      <c r="B13" s="6" t="s">
        <v>48</v>
      </c>
      <c r="C13" s="6">
        <v>60</v>
      </c>
    </row>
    <row r="14" spans="1:9" x14ac:dyDescent="0.25">
      <c r="A14" s="6" t="s">
        <v>23</v>
      </c>
      <c r="B14" s="6" t="s">
        <v>48</v>
      </c>
      <c r="C14" s="6">
        <v>60</v>
      </c>
    </row>
    <row r="15" spans="1:9" x14ac:dyDescent="0.25">
      <c r="A15" s="6" t="s">
        <v>24</v>
      </c>
      <c r="B15" s="6" t="s">
        <v>48</v>
      </c>
      <c r="C15" s="6">
        <v>60</v>
      </c>
    </row>
    <row r="16" spans="1:9" x14ac:dyDescent="0.25">
      <c r="A16" s="6" t="s">
        <v>25</v>
      </c>
      <c r="B16" s="6" t="s">
        <v>48</v>
      </c>
      <c r="C16" s="6">
        <v>60</v>
      </c>
    </row>
    <row r="17" spans="1:3" x14ac:dyDescent="0.25">
      <c r="A17" s="6" t="s">
        <v>26</v>
      </c>
      <c r="B17" s="6" t="s">
        <v>48</v>
      </c>
      <c r="C17" s="6">
        <v>60</v>
      </c>
    </row>
    <row r="18" spans="1:3" x14ac:dyDescent="0.25">
      <c r="A18" s="6" t="s">
        <v>27</v>
      </c>
      <c r="B18" s="6" t="s">
        <v>48</v>
      </c>
      <c r="C18" s="6">
        <v>60</v>
      </c>
    </row>
    <row r="19" spans="1:3" x14ac:dyDescent="0.25">
      <c r="A19" s="6" t="s">
        <v>28</v>
      </c>
      <c r="B19" s="6" t="s">
        <v>48</v>
      </c>
      <c r="C19" s="6">
        <v>60</v>
      </c>
    </row>
    <row r="20" spans="1:3" x14ac:dyDescent="0.25">
      <c r="A20" s="6" t="s">
        <v>29</v>
      </c>
      <c r="B20" s="6" t="s">
        <v>48</v>
      </c>
      <c r="C20" s="6">
        <v>60</v>
      </c>
    </row>
    <row r="21" spans="1:3" x14ac:dyDescent="0.25">
      <c r="A21" s="6" t="s">
        <v>30</v>
      </c>
      <c r="B21" s="6" t="s">
        <v>48</v>
      </c>
      <c r="C21" s="6">
        <v>60</v>
      </c>
    </row>
    <row r="22" spans="1:3" x14ac:dyDescent="0.25">
      <c r="A22" s="6" t="s">
        <v>31</v>
      </c>
      <c r="B22" s="6" t="s">
        <v>48</v>
      </c>
      <c r="C22" s="6">
        <v>60</v>
      </c>
    </row>
    <row r="23" spans="1:3" x14ac:dyDescent="0.25">
      <c r="A23" s="6" t="s">
        <v>32</v>
      </c>
      <c r="B23" s="6" t="s">
        <v>48</v>
      </c>
      <c r="C23" s="6">
        <v>60</v>
      </c>
    </row>
    <row r="24" spans="1:3" x14ac:dyDescent="0.25">
      <c r="A24" s="6" t="s">
        <v>33</v>
      </c>
      <c r="B24" s="6" t="s">
        <v>49</v>
      </c>
      <c r="C24" s="6">
        <v>30</v>
      </c>
    </row>
    <row r="25" spans="1:3" x14ac:dyDescent="0.25">
      <c r="A25" s="6" t="s">
        <v>34</v>
      </c>
      <c r="B25" s="6" t="s">
        <v>49</v>
      </c>
      <c r="C25" s="6">
        <v>30</v>
      </c>
    </row>
    <row r="26" spans="1:3" x14ac:dyDescent="0.25">
      <c r="A26" s="6" t="s">
        <v>35</v>
      </c>
      <c r="B26" s="6" t="s">
        <v>171</v>
      </c>
      <c r="C26" s="6">
        <v>30</v>
      </c>
    </row>
    <row r="27" spans="1:3" x14ac:dyDescent="0.25">
      <c r="A27" s="6" t="s">
        <v>36</v>
      </c>
      <c r="B27" s="6" t="s">
        <v>50</v>
      </c>
      <c r="C27" s="6">
        <v>30</v>
      </c>
    </row>
    <row r="28" spans="1:3" x14ac:dyDescent="0.25">
      <c r="A28" s="6" t="s">
        <v>37</v>
      </c>
      <c r="B28" s="6" t="s">
        <v>38</v>
      </c>
      <c r="C28" s="6">
        <v>30</v>
      </c>
    </row>
    <row r="29" spans="1:3" x14ac:dyDescent="0.25">
      <c r="A29" s="7" t="s">
        <v>44</v>
      </c>
      <c r="B29" s="8" t="s">
        <v>49</v>
      </c>
      <c r="C29" s="6">
        <v>30</v>
      </c>
    </row>
    <row r="30" spans="1:3" x14ac:dyDescent="0.25">
      <c r="A30" s="10" t="s">
        <v>55</v>
      </c>
      <c r="B30" s="6" t="s">
        <v>171</v>
      </c>
      <c r="C30" s="6">
        <v>30</v>
      </c>
    </row>
    <row r="31" spans="1:3" x14ac:dyDescent="0.25">
      <c r="A31" s="10" t="s">
        <v>63</v>
      </c>
      <c r="B31" s="6" t="s">
        <v>171</v>
      </c>
      <c r="C31" s="6">
        <v>30</v>
      </c>
    </row>
    <row r="32" spans="1:3" x14ac:dyDescent="0.25">
      <c r="A32" s="10" t="s">
        <v>64</v>
      </c>
      <c r="B32" s="6" t="s">
        <v>38</v>
      </c>
      <c r="C32" s="6">
        <v>30</v>
      </c>
    </row>
    <row r="33" spans="1:3" x14ac:dyDescent="0.25">
      <c r="A33" s="10" t="s">
        <v>65</v>
      </c>
      <c r="B33" s="6" t="s">
        <v>171</v>
      </c>
      <c r="C33" s="6">
        <v>30</v>
      </c>
    </row>
    <row r="34" spans="1:3" x14ac:dyDescent="0.25">
      <c r="A34" s="10" t="s">
        <v>66</v>
      </c>
      <c r="B34" s="6" t="s">
        <v>49</v>
      </c>
      <c r="C34" s="6">
        <v>30</v>
      </c>
    </row>
    <row r="35" spans="1:3" x14ac:dyDescent="0.25">
      <c r="A35" s="10" t="s">
        <v>71</v>
      </c>
      <c r="B35" s="6" t="s">
        <v>48</v>
      </c>
      <c r="C35" s="6">
        <v>60</v>
      </c>
    </row>
    <row r="36" spans="1:3" x14ac:dyDescent="0.25">
      <c r="A36" s="10" t="s">
        <v>74</v>
      </c>
      <c r="B36" s="6" t="s">
        <v>49</v>
      </c>
      <c r="C36" s="6">
        <v>30</v>
      </c>
    </row>
    <row r="37" spans="1:3" x14ac:dyDescent="0.25">
      <c r="A37" s="22" t="s">
        <v>59</v>
      </c>
    </row>
    <row r="38" spans="1:3" x14ac:dyDescent="0.25">
      <c r="A38" s="22" t="s">
        <v>176</v>
      </c>
      <c r="B38" s="6" t="s">
        <v>47</v>
      </c>
      <c r="C38" s="6">
        <v>30</v>
      </c>
    </row>
    <row r="39" spans="1:3" x14ac:dyDescent="0.25">
      <c r="A39" s="22" t="s">
        <v>177</v>
      </c>
      <c r="B39" s="6" t="s">
        <v>171</v>
      </c>
      <c r="C39" s="6">
        <v>30</v>
      </c>
    </row>
    <row r="40" spans="1:3" x14ac:dyDescent="0.25">
      <c r="A40" s="22" t="s">
        <v>183</v>
      </c>
      <c r="B40" s="6" t="s">
        <v>171</v>
      </c>
      <c r="C40" s="6">
        <v>30</v>
      </c>
    </row>
    <row r="41" spans="1:3" x14ac:dyDescent="0.25">
      <c r="A41" s="22" t="s">
        <v>60</v>
      </c>
      <c r="B41" s="6" t="s">
        <v>171</v>
      </c>
      <c r="C41" s="6">
        <v>30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H1"/>
  <sheetViews>
    <sheetView workbookViewId="0">
      <selection activeCell="J7" sqref="J7"/>
    </sheetView>
  </sheetViews>
  <sheetFormatPr defaultRowHeight="15" x14ac:dyDescent="0.25"/>
  <cols>
    <col min="1" max="1" width="9.7109375" bestFit="1" customWidth="1"/>
    <col min="2" max="2" width="38.5703125" bestFit="1" customWidth="1"/>
    <col min="3" max="3" width="14.140625" bestFit="1" customWidth="1"/>
    <col min="4" max="4" width="10.42578125" bestFit="1" customWidth="1"/>
    <col min="5" max="5" width="10.140625" bestFit="1" customWidth="1"/>
    <col min="6" max="6" width="7.7109375" bestFit="1" customWidth="1"/>
    <col min="7" max="7" width="13.85546875" style="28" bestFit="1" customWidth="1"/>
    <col min="8" max="8" width="16.42578125" style="28" bestFit="1" customWidth="1"/>
  </cols>
  <sheetData>
    <row r="1" spans="1:8" x14ac:dyDescent="0.25">
      <c r="A1" s="15" t="s">
        <v>0</v>
      </c>
      <c r="B1" s="15" t="s">
        <v>45</v>
      </c>
      <c r="C1" s="15" t="s">
        <v>5</v>
      </c>
      <c r="D1" s="15" t="s">
        <v>6</v>
      </c>
      <c r="E1" s="15" t="s">
        <v>4</v>
      </c>
      <c r="F1" s="15" t="s">
        <v>43</v>
      </c>
      <c r="G1" s="15" t="s">
        <v>184</v>
      </c>
      <c r="H1" s="15" t="s">
        <v>185</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tabColor rgb="FF92D050"/>
  </sheetPr>
  <dimension ref="A1:P484"/>
  <sheetViews>
    <sheetView tabSelected="1" zoomScaleNormal="100" workbookViewId="0">
      <selection sqref="A1:C1"/>
    </sheetView>
  </sheetViews>
  <sheetFormatPr defaultRowHeight="15" x14ac:dyDescent="0.25"/>
  <cols>
    <col min="1" max="1" width="11.42578125" customWidth="1"/>
    <col min="2" max="2" width="72.140625" bestFit="1" customWidth="1"/>
    <col min="3" max="3" width="15.140625" bestFit="1" customWidth="1"/>
    <col min="4" max="5" width="11.42578125" bestFit="1" customWidth="1"/>
    <col min="6" max="6" width="11.85546875" bestFit="1" customWidth="1"/>
    <col min="7" max="7" width="15.5703125" style="11" bestFit="1" customWidth="1"/>
    <col min="8" max="8" width="11.7109375" bestFit="1" customWidth="1"/>
    <col min="10" max="10" width="14" customWidth="1"/>
  </cols>
  <sheetData>
    <row r="1" spans="1:16" ht="23.25" x14ac:dyDescent="0.35">
      <c r="A1" s="47" t="s">
        <v>544</v>
      </c>
      <c r="B1" s="48"/>
      <c r="C1" s="48"/>
      <c r="G1" s="33"/>
      <c r="H1" s="26"/>
      <c r="I1" s="9"/>
      <c r="P1" s="28"/>
    </row>
    <row r="2" spans="1:16" ht="18.75" x14ac:dyDescent="0.3">
      <c r="A2" s="3" t="s">
        <v>545</v>
      </c>
      <c r="H2" s="27"/>
      <c r="I2" s="27"/>
    </row>
    <row r="3" spans="1:16" ht="18.75" x14ac:dyDescent="0.3">
      <c r="A3" s="3" t="s">
        <v>46</v>
      </c>
      <c r="H3" s="27"/>
      <c r="I3" s="27"/>
    </row>
    <row r="4" spans="1:16" x14ac:dyDescent="0.25">
      <c r="H4" s="27"/>
      <c r="I4" s="27"/>
    </row>
    <row r="5" spans="1:16" x14ac:dyDescent="0.25">
      <c r="A5" s="2" t="str">
        <f ca="1">"Over Due details of "&amp;A13&amp;" as on "&amp;TEXT(TODAY(),"dd-mm-yyy")</f>
        <v>Over Due details of Artsana as on 18-05-2022</v>
      </c>
      <c r="H5" s="27"/>
      <c r="I5" s="27"/>
    </row>
    <row r="6" spans="1:16" x14ac:dyDescent="0.25">
      <c r="H6" s="27"/>
      <c r="I6" s="27"/>
    </row>
    <row r="7" spans="1:16" x14ac:dyDescent="0.25">
      <c r="H7" s="27"/>
      <c r="I7" s="27"/>
    </row>
    <row r="8" spans="1:16" x14ac:dyDescent="0.25">
      <c r="A8" s="17" t="s">
        <v>172</v>
      </c>
      <c r="B8" s="17"/>
      <c r="H8" s="27"/>
      <c r="I8" s="27"/>
    </row>
    <row r="9" spans="1:16" x14ac:dyDescent="0.25">
      <c r="H9" s="27"/>
      <c r="I9" s="27"/>
    </row>
    <row r="10" spans="1:16" x14ac:dyDescent="0.25">
      <c r="H10" s="27"/>
      <c r="I10" s="27"/>
    </row>
    <row r="11" spans="1:16" hidden="1" x14ac:dyDescent="0.25">
      <c r="A11" s="44" t="s">
        <v>73</v>
      </c>
      <c r="B11" s="22"/>
      <c r="C11" s="22"/>
      <c r="D11" s="22"/>
      <c r="E11" s="22"/>
      <c r="F11" s="22"/>
      <c r="G11" s="22"/>
      <c r="H11" s="22"/>
    </row>
    <row r="12" spans="1:16" x14ac:dyDescent="0.25">
      <c r="A12" s="44" t="s">
        <v>0</v>
      </c>
      <c r="B12" s="44" t="s">
        <v>45</v>
      </c>
      <c r="C12" s="44" t="s">
        <v>5</v>
      </c>
      <c r="D12" s="44" t="s">
        <v>6</v>
      </c>
      <c r="E12" s="44" t="s">
        <v>4</v>
      </c>
      <c r="F12" s="44" t="s">
        <v>41</v>
      </c>
      <c r="G12" s="44" t="s">
        <v>192</v>
      </c>
      <c r="H12" s="22" t="s">
        <v>43</v>
      </c>
    </row>
    <row r="13" spans="1:16" s="20" customFormat="1" x14ac:dyDescent="0.25">
      <c r="A13" s="19" t="s">
        <v>47</v>
      </c>
      <c r="B13" s="22" t="s">
        <v>11</v>
      </c>
      <c r="C13" s="18" t="s">
        <v>186</v>
      </c>
      <c r="D13" s="46">
        <v>337</v>
      </c>
      <c r="E13" s="30">
        <v>367</v>
      </c>
      <c r="F13" s="22" t="s">
        <v>328</v>
      </c>
      <c r="G13" s="35">
        <v>44362</v>
      </c>
      <c r="H13" s="43">
        <v>1000000</v>
      </c>
    </row>
    <row r="14" spans="1:16" s="20" customFormat="1" x14ac:dyDescent="0.25">
      <c r="A14" s="19" t="s">
        <v>47</v>
      </c>
      <c r="B14" s="22" t="s">
        <v>11</v>
      </c>
      <c r="C14" s="22" t="s">
        <v>197</v>
      </c>
      <c r="D14" s="46">
        <v>84</v>
      </c>
      <c r="E14" s="30">
        <v>114</v>
      </c>
      <c r="F14" s="22" t="s">
        <v>328</v>
      </c>
      <c r="G14" s="35">
        <v>44615</v>
      </c>
      <c r="H14" s="43">
        <v>1000000</v>
      </c>
    </row>
    <row r="15" spans="1:16" s="20" customFormat="1" x14ac:dyDescent="0.25">
      <c r="A15" s="19" t="s">
        <v>47</v>
      </c>
      <c r="B15" s="22" t="s">
        <v>11</v>
      </c>
      <c r="C15" s="22" t="s">
        <v>198</v>
      </c>
      <c r="D15" s="46">
        <v>84</v>
      </c>
      <c r="E15" s="30">
        <v>114</v>
      </c>
      <c r="F15" s="22" t="s">
        <v>328</v>
      </c>
      <c r="G15" s="35">
        <v>44615</v>
      </c>
      <c r="H15" s="43">
        <v>1000000</v>
      </c>
      <c r="J15" s="38"/>
    </row>
    <row r="16" spans="1:16" s="20" customFormat="1" x14ac:dyDescent="0.25">
      <c r="A16" s="19" t="s">
        <v>47</v>
      </c>
      <c r="B16" s="22" t="s">
        <v>11</v>
      </c>
      <c r="C16" s="22" t="s">
        <v>230</v>
      </c>
      <c r="D16" s="46">
        <v>102</v>
      </c>
      <c r="E16" s="30">
        <v>132</v>
      </c>
      <c r="F16" s="22" t="s">
        <v>328</v>
      </c>
      <c r="G16" s="35">
        <v>44597</v>
      </c>
      <c r="H16" s="43">
        <v>1000000</v>
      </c>
      <c r="J16" s="39"/>
    </row>
    <row r="17" spans="1:10" s="20" customFormat="1" x14ac:dyDescent="0.25">
      <c r="A17" s="19" t="s">
        <v>47</v>
      </c>
      <c r="B17" s="22" t="s">
        <v>11</v>
      </c>
      <c r="C17" s="22" t="s">
        <v>233</v>
      </c>
      <c r="D17" s="46">
        <v>105</v>
      </c>
      <c r="E17" s="30">
        <v>135</v>
      </c>
      <c r="F17" s="22" t="s">
        <v>328</v>
      </c>
      <c r="G17" s="35">
        <v>44594</v>
      </c>
      <c r="H17" s="43">
        <v>1000000</v>
      </c>
      <c r="J17" s="40"/>
    </row>
    <row r="18" spans="1:10" s="20" customFormat="1" x14ac:dyDescent="0.25">
      <c r="A18" s="19" t="s">
        <v>47</v>
      </c>
      <c r="B18" s="22" t="s">
        <v>11</v>
      </c>
      <c r="C18" s="22" t="s">
        <v>234</v>
      </c>
      <c r="D18" s="46">
        <v>105</v>
      </c>
      <c r="E18" s="30">
        <v>135</v>
      </c>
      <c r="F18" s="22" t="s">
        <v>328</v>
      </c>
      <c r="G18" s="35">
        <v>44594</v>
      </c>
      <c r="H18" s="43">
        <v>1000000</v>
      </c>
      <c r="J18" s="41"/>
    </row>
    <row r="19" spans="1:10" s="20" customFormat="1" x14ac:dyDescent="0.25">
      <c r="A19" s="19" t="s">
        <v>47</v>
      </c>
      <c r="B19" s="22" t="s">
        <v>11</v>
      </c>
      <c r="C19" s="22" t="s">
        <v>269</v>
      </c>
      <c r="D19" s="46">
        <v>111</v>
      </c>
      <c r="E19" s="30">
        <v>141</v>
      </c>
      <c r="F19" s="22" t="s">
        <v>328</v>
      </c>
      <c r="G19" s="35">
        <v>44588</v>
      </c>
      <c r="H19" s="43">
        <v>1000000</v>
      </c>
      <c r="J19" s="41"/>
    </row>
    <row r="20" spans="1:10" s="20" customFormat="1" x14ac:dyDescent="0.25">
      <c r="A20" s="19" t="s">
        <v>47</v>
      </c>
      <c r="B20" s="22" t="s">
        <v>11</v>
      </c>
      <c r="C20" s="22" t="s">
        <v>293</v>
      </c>
      <c r="D20" s="46">
        <v>118</v>
      </c>
      <c r="E20" s="30">
        <v>148</v>
      </c>
      <c r="F20" s="22" t="s">
        <v>328</v>
      </c>
      <c r="G20" s="35">
        <v>44581</v>
      </c>
      <c r="H20" s="43">
        <v>1000000</v>
      </c>
      <c r="J20" s="34"/>
    </row>
    <row r="21" spans="1:10" s="20" customFormat="1" x14ac:dyDescent="0.25">
      <c r="A21" s="19" t="s">
        <v>47</v>
      </c>
      <c r="B21" s="22" t="s">
        <v>11</v>
      </c>
      <c r="C21" s="22" t="s">
        <v>294</v>
      </c>
      <c r="D21" s="46">
        <v>118</v>
      </c>
      <c r="E21" s="30">
        <v>148</v>
      </c>
      <c r="F21" s="22" t="s">
        <v>328</v>
      </c>
      <c r="G21" s="35">
        <v>44581</v>
      </c>
      <c r="H21" s="43">
        <v>1000000</v>
      </c>
      <c r="J21" s="35"/>
    </row>
    <row r="22" spans="1:10" s="20" customFormat="1" x14ac:dyDescent="0.25">
      <c r="A22" s="19" t="s">
        <v>47</v>
      </c>
      <c r="B22" s="22" t="s">
        <v>11</v>
      </c>
      <c r="C22" s="22" t="s">
        <v>313</v>
      </c>
      <c r="D22" s="46">
        <v>123</v>
      </c>
      <c r="E22" s="30">
        <v>153</v>
      </c>
      <c r="F22" s="22" t="s">
        <v>328</v>
      </c>
      <c r="G22" s="35">
        <v>44576</v>
      </c>
      <c r="H22" s="43">
        <v>1000000</v>
      </c>
      <c r="J22" s="36"/>
    </row>
    <row r="23" spans="1:10" s="20" customFormat="1" x14ac:dyDescent="0.25">
      <c r="A23" s="19" t="s">
        <v>47</v>
      </c>
      <c r="B23" s="22" t="s">
        <v>11</v>
      </c>
      <c r="C23" s="22" t="s">
        <v>449</v>
      </c>
      <c r="D23" s="46">
        <v>63</v>
      </c>
      <c r="E23" s="30">
        <v>93</v>
      </c>
      <c r="F23" s="22" t="s">
        <v>328</v>
      </c>
      <c r="G23" s="35">
        <v>44636</v>
      </c>
      <c r="H23" s="43">
        <v>1000000</v>
      </c>
      <c r="J23" s="42"/>
    </row>
    <row r="24" spans="1:10" s="20" customFormat="1" x14ac:dyDescent="0.25">
      <c r="A24" s="19" t="s">
        <v>47</v>
      </c>
      <c r="B24" s="22" t="s">
        <v>11</v>
      </c>
      <c r="C24" s="22" t="s">
        <v>450</v>
      </c>
      <c r="D24" s="46">
        <v>74</v>
      </c>
      <c r="E24" s="30">
        <v>104</v>
      </c>
      <c r="F24" s="22" t="s">
        <v>328</v>
      </c>
      <c r="G24" s="35">
        <v>44625</v>
      </c>
      <c r="H24" s="43">
        <v>1000000</v>
      </c>
      <c r="J24" s="42"/>
    </row>
    <row r="25" spans="1:10" s="20" customFormat="1" x14ac:dyDescent="0.25">
      <c r="A25" s="19" t="s">
        <v>47</v>
      </c>
      <c r="B25" s="22" t="s">
        <v>11</v>
      </c>
      <c r="C25" s="22" t="s">
        <v>451</v>
      </c>
      <c r="D25" s="46">
        <v>81</v>
      </c>
      <c r="E25" s="30">
        <v>111</v>
      </c>
      <c r="F25" s="22" t="s">
        <v>328</v>
      </c>
      <c r="G25" s="35">
        <v>44618</v>
      </c>
      <c r="H25" s="43">
        <v>1000000</v>
      </c>
      <c r="J25" s="36"/>
    </row>
    <row r="26" spans="1:10" s="20" customFormat="1" x14ac:dyDescent="0.25">
      <c r="A26" s="19" t="s">
        <v>47</v>
      </c>
      <c r="B26" s="22" t="s">
        <v>11</v>
      </c>
      <c r="C26" s="22" t="s">
        <v>452</v>
      </c>
      <c r="D26" s="46">
        <v>82</v>
      </c>
      <c r="E26" s="30">
        <v>112</v>
      </c>
      <c r="F26" s="22" t="s">
        <v>328</v>
      </c>
      <c r="G26" s="35">
        <v>44617</v>
      </c>
      <c r="H26" s="43">
        <v>1000000</v>
      </c>
      <c r="J26" s="37"/>
    </row>
    <row r="27" spans="1:10" s="20" customFormat="1" x14ac:dyDescent="0.25">
      <c r="A27" s="19" t="s">
        <v>47</v>
      </c>
      <c r="B27" s="22" t="s">
        <v>11</v>
      </c>
      <c r="C27" s="22" t="s">
        <v>453</v>
      </c>
      <c r="D27" s="46">
        <v>84</v>
      </c>
      <c r="E27" s="30">
        <v>114</v>
      </c>
      <c r="F27" s="22" t="s">
        <v>328</v>
      </c>
      <c r="G27" s="35">
        <v>44615</v>
      </c>
      <c r="H27" s="43">
        <v>1000000</v>
      </c>
    </row>
    <row r="28" spans="1:10" s="20" customFormat="1" x14ac:dyDescent="0.25">
      <c r="A28" s="19" t="s">
        <v>47</v>
      </c>
      <c r="B28" s="22" t="s">
        <v>11</v>
      </c>
      <c r="C28" s="22" t="s">
        <v>454</v>
      </c>
      <c r="D28" s="46">
        <v>88</v>
      </c>
      <c r="E28" s="30">
        <v>118</v>
      </c>
      <c r="F28" s="22" t="s">
        <v>328</v>
      </c>
      <c r="G28" s="35">
        <v>44611</v>
      </c>
      <c r="H28" s="43">
        <v>1000000</v>
      </c>
    </row>
    <row r="29" spans="1:10" s="20" customFormat="1" x14ac:dyDescent="0.25">
      <c r="A29" s="19" t="s">
        <v>47</v>
      </c>
      <c r="B29" s="22" t="s">
        <v>11</v>
      </c>
      <c r="C29" s="22" t="s">
        <v>455</v>
      </c>
      <c r="D29" s="46">
        <v>91</v>
      </c>
      <c r="E29" s="30">
        <v>121</v>
      </c>
      <c r="F29" s="22" t="s">
        <v>328</v>
      </c>
      <c r="G29" s="35">
        <v>44608</v>
      </c>
      <c r="H29" s="43">
        <v>1000000</v>
      </c>
    </row>
    <row r="30" spans="1:10" s="20" customFormat="1" x14ac:dyDescent="0.25">
      <c r="A30" s="19" t="s">
        <v>47</v>
      </c>
      <c r="B30" s="22" t="s">
        <v>176</v>
      </c>
      <c r="C30" s="22" t="s">
        <v>439</v>
      </c>
      <c r="D30" s="46">
        <v>363</v>
      </c>
      <c r="E30" s="30">
        <v>393</v>
      </c>
      <c r="F30" s="22" t="s">
        <v>328</v>
      </c>
      <c r="G30" s="35">
        <v>44336</v>
      </c>
      <c r="H30" s="43">
        <v>1000000</v>
      </c>
    </row>
    <row r="31" spans="1:10" s="20" customFormat="1" x14ac:dyDescent="0.25">
      <c r="A31" s="19" t="s">
        <v>47</v>
      </c>
      <c r="B31" s="22" t="s">
        <v>176</v>
      </c>
      <c r="C31" s="22" t="s">
        <v>440</v>
      </c>
      <c r="D31" s="46">
        <v>3</v>
      </c>
      <c r="E31" s="30">
        <v>33</v>
      </c>
      <c r="F31" s="22" t="s">
        <v>328</v>
      </c>
      <c r="G31" s="35">
        <v>44696</v>
      </c>
      <c r="H31" s="43">
        <v>1000000</v>
      </c>
    </row>
    <row r="32" spans="1:10" s="20" customFormat="1" x14ac:dyDescent="0.25">
      <c r="A32" s="19" t="s">
        <v>47</v>
      </c>
      <c r="B32" s="22" t="s">
        <v>176</v>
      </c>
      <c r="C32" s="22" t="s">
        <v>441</v>
      </c>
      <c r="D32" s="46">
        <v>8</v>
      </c>
      <c r="E32" s="30">
        <v>38</v>
      </c>
      <c r="F32" s="22" t="s">
        <v>328</v>
      </c>
      <c r="G32" s="35">
        <v>44691</v>
      </c>
      <c r="H32" s="43">
        <v>1000000</v>
      </c>
    </row>
    <row r="33" spans="1:8" s="20" customFormat="1" x14ac:dyDescent="0.25">
      <c r="A33" s="19" t="s">
        <v>47</v>
      </c>
      <c r="B33" s="22" t="s">
        <v>176</v>
      </c>
      <c r="C33" s="22" t="s">
        <v>442</v>
      </c>
      <c r="D33" s="46">
        <v>8</v>
      </c>
      <c r="E33" s="30">
        <v>38</v>
      </c>
      <c r="F33" s="22" t="s">
        <v>328</v>
      </c>
      <c r="G33" s="35">
        <v>44691</v>
      </c>
      <c r="H33" s="43">
        <v>1000000</v>
      </c>
    </row>
    <row r="34" spans="1:8" s="20" customFormat="1" x14ac:dyDescent="0.25">
      <c r="A34" s="19" t="s">
        <v>47</v>
      </c>
      <c r="B34" s="22" t="s">
        <v>176</v>
      </c>
      <c r="C34" s="22" t="s">
        <v>443</v>
      </c>
      <c r="D34" s="46">
        <v>28</v>
      </c>
      <c r="E34" s="30">
        <v>58</v>
      </c>
      <c r="F34" s="22" t="s">
        <v>328</v>
      </c>
      <c r="G34" s="35">
        <v>44671</v>
      </c>
      <c r="H34" s="43">
        <v>1000000</v>
      </c>
    </row>
    <row r="35" spans="1:8" s="20" customFormat="1" x14ac:dyDescent="0.25">
      <c r="A35" s="19" t="s">
        <v>47</v>
      </c>
      <c r="B35" s="22" t="s">
        <v>9</v>
      </c>
      <c r="C35" s="22" t="s">
        <v>228</v>
      </c>
      <c r="D35" s="46">
        <v>102</v>
      </c>
      <c r="E35" s="30">
        <v>132</v>
      </c>
      <c r="F35" s="22" t="s">
        <v>328</v>
      </c>
      <c r="G35" s="35">
        <v>44597</v>
      </c>
      <c r="H35" s="43">
        <v>1000000</v>
      </c>
    </row>
    <row r="36" spans="1:8" s="20" customFormat="1" x14ac:dyDescent="0.25">
      <c r="A36" s="19" t="s">
        <v>47</v>
      </c>
      <c r="B36" s="22" t="s">
        <v>9</v>
      </c>
      <c r="C36" s="22" t="s">
        <v>268</v>
      </c>
      <c r="D36" s="46">
        <v>111</v>
      </c>
      <c r="E36" s="30">
        <v>141</v>
      </c>
      <c r="F36" s="22" t="s">
        <v>328</v>
      </c>
      <c r="G36" s="35">
        <v>44588</v>
      </c>
      <c r="H36" s="43">
        <v>1000000</v>
      </c>
    </row>
    <row r="37" spans="1:8" s="20" customFormat="1" x14ac:dyDescent="0.25">
      <c r="A37" s="19" t="s">
        <v>47</v>
      </c>
      <c r="B37" s="22" t="s">
        <v>9</v>
      </c>
      <c r="C37" s="22" t="s">
        <v>291</v>
      </c>
      <c r="D37" s="46">
        <v>118</v>
      </c>
      <c r="E37" s="30">
        <v>148</v>
      </c>
      <c r="F37" s="22" t="s">
        <v>328</v>
      </c>
      <c r="G37" s="35">
        <v>44581</v>
      </c>
      <c r="H37" s="43">
        <v>1000000</v>
      </c>
    </row>
    <row r="38" spans="1:8" s="21" customFormat="1" x14ac:dyDescent="0.25">
      <c r="A38" s="19" t="s">
        <v>47</v>
      </c>
      <c r="B38" s="22" t="s">
        <v>9</v>
      </c>
      <c r="C38" s="22" t="s">
        <v>317</v>
      </c>
      <c r="D38" s="46">
        <v>124</v>
      </c>
      <c r="E38" s="30">
        <v>154</v>
      </c>
      <c r="F38" s="22" t="s">
        <v>328</v>
      </c>
      <c r="G38" s="35">
        <v>44575</v>
      </c>
      <c r="H38" s="43">
        <v>1000000</v>
      </c>
    </row>
    <row r="39" spans="1:8" s="21" customFormat="1" x14ac:dyDescent="0.25">
      <c r="A39" s="19" t="s">
        <v>47</v>
      </c>
      <c r="B39" s="22" t="s">
        <v>9</v>
      </c>
      <c r="C39" s="22" t="s">
        <v>434</v>
      </c>
      <c r="D39" s="46">
        <v>54</v>
      </c>
      <c r="E39" s="30">
        <v>84</v>
      </c>
      <c r="F39" s="22" t="s">
        <v>328</v>
      </c>
      <c r="G39" s="35">
        <v>44645</v>
      </c>
      <c r="H39" s="43">
        <v>1000000</v>
      </c>
    </row>
    <row r="40" spans="1:8" s="21" customFormat="1" x14ac:dyDescent="0.25">
      <c r="A40" s="19" t="s">
        <v>47</v>
      </c>
      <c r="B40" s="22" t="s">
        <v>9</v>
      </c>
      <c r="C40" s="22" t="s">
        <v>435</v>
      </c>
      <c r="D40" s="46">
        <v>77</v>
      </c>
      <c r="E40" s="30">
        <v>107</v>
      </c>
      <c r="F40" s="22" t="s">
        <v>328</v>
      </c>
      <c r="G40" s="35">
        <v>44622</v>
      </c>
      <c r="H40" s="43">
        <v>1000000</v>
      </c>
    </row>
    <row r="41" spans="1:8" s="21" customFormat="1" x14ac:dyDescent="0.25">
      <c r="A41" s="19" t="s">
        <v>47</v>
      </c>
      <c r="B41" s="22" t="s">
        <v>9</v>
      </c>
      <c r="C41" s="22" t="s">
        <v>436</v>
      </c>
      <c r="D41" s="46">
        <v>83</v>
      </c>
      <c r="E41" s="30">
        <v>113</v>
      </c>
      <c r="F41" s="22" t="s">
        <v>328</v>
      </c>
      <c r="G41" s="35">
        <v>44616</v>
      </c>
      <c r="H41" s="43">
        <v>1000000</v>
      </c>
    </row>
    <row r="42" spans="1:8" s="21" customFormat="1" x14ac:dyDescent="0.25">
      <c r="A42" s="19" t="s">
        <v>47</v>
      </c>
      <c r="B42" s="22" t="s">
        <v>9</v>
      </c>
      <c r="C42" s="22" t="s">
        <v>437</v>
      </c>
      <c r="D42" s="46">
        <v>89</v>
      </c>
      <c r="E42" s="30">
        <v>119</v>
      </c>
      <c r="F42" s="22" t="s">
        <v>328</v>
      </c>
      <c r="G42" s="35">
        <v>44610</v>
      </c>
      <c r="H42" s="43">
        <v>1000000</v>
      </c>
    </row>
    <row r="43" spans="1:8" s="21" customFormat="1" x14ac:dyDescent="0.25">
      <c r="A43" s="19" t="s">
        <v>47</v>
      </c>
      <c r="B43" s="22" t="s">
        <v>9</v>
      </c>
      <c r="C43" s="22" t="s">
        <v>438</v>
      </c>
      <c r="D43" s="46">
        <v>89</v>
      </c>
      <c r="E43" s="30">
        <v>119</v>
      </c>
      <c r="F43" s="22" t="s">
        <v>328</v>
      </c>
      <c r="G43" s="35">
        <v>44610</v>
      </c>
      <c r="H43" s="43">
        <v>1000000</v>
      </c>
    </row>
    <row r="44" spans="1:8" s="21" customFormat="1" x14ac:dyDescent="0.25">
      <c r="A44" s="19" t="s">
        <v>47</v>
      </c>
      <c r="B44" s="22" t="s">
        <v>10</v>
      </c>
      <c r="C44" s="22" t="s">
        <v>229</v>
      </c>
      <c r="D44" s="46">
        <v>102</v>
      </c>
      <c r="E44" s="30">
        <v>132</v>
      </c>
      <c r="F44" s="22" t="s">
        <v>328</v>
      </c>
      <c r="G44" s="35">
        <v>44597</v>
      </c>
      <c r="H44" s="43">
        <v>1000000</v>
      </c>
    </row>
    <row r="45" spans="1:8" s="21" customFormat="1" x14ac:dyDescent="0.25">
      <c r="A45" s="19" t="s">
        <v>47</v>
      </c>
      <c r="B45" s="22" t="s">
        <v>10</v>
      </c>
      <c r="C45" s="22" t="s">
        <v>261</v>
      </c>
      <c r="D45" s="46">
        <v>111</v>
      </c>
      <c r="E45" s="30">
        <v>141</v>
      </c>
      <c r="F45" s="22" t="s">
        <v>328</v>
      </c>
      <c r="G45" s="35">
        <v>44588</v>
      </c>
      <c r="H45" s="43">
        <v>1000000</v>
      </c>
    </row>
    <row r="46" spans="1:8" s="21" customFormat="1" x14ac:dyDescent="0.25">
      <c r="A46" s="19" t="s">
        <v>47</v>
      </c>
      <c r="B46" s="22" t="s">
        <v>10</v>
      </c>
      <c r="C46" s="22" t="s">
        <v>292</v>
      </c>
      <c r="D46" s="46">
        <v>118</v>
      </c>
      <c r="E46" s="30">
        <v>148</v>
      </c>
      <c r="F46" s="22" t="s">
        <v>328</v>
      </c>
      <c r="G46" s="35">
        <v>44581</v>
      </c>
      <c r="H46" s="43">
        <v>1000000</v>
      </c>
    </row>
    <row r="47" spans="1:8" s="21" customFormat="1" x14ac:dyDescent="0.25">
      <c r="A47" s="19" t="s">
        <v>47</v>
      </c>
      <c r="B47" s="22" t="s">
        <v>10</v>
      </c>
      <c r="C47" s="22" t="s">
        <v>318</v>
      </c>
      <c r="D47" s="46">
        <v>125</v>
      </c>
      <c r="E47" s="30">
        <v>155</v>
      </c>
      <c r="F47" s="22" t="s">
        <v>328</v>
      </c>
      <c r="G47" s="35">
        <v>44574</v>
      </c>
      <c r="H47" s="43">
        <v>1000000</v>
      </c>
    </row>
    <row r="48" spans="1:8" s="21" customFormat="1" x14ac:dyDescent="0.25">
      <c r="A48" s="19" t="s">
        <v>47</v>
      </c>
      <c r="B48" s="22" t="s">
        <v>10</v>
      </c>
      <c r="C48" s="22" t="s">
        <v>444</v>
      </c>
      <c r="D48" s="46">
        <v>74</v>
      </c>
      <c r="E48" s="30">
        <v>104</v>
      </c>
      <c r="F48" s="22" t="s">
        <v>328</v>
      </c>
      <c r="G48" s="35">
        <v>44625</v>
      </c>
      <c r="H48" s="43">
        <v>1000000</v>
      </c>
    </row>
    <row r="49" spans="1:8" s="21" customFormat="1" x14ac:dyDescent="0.25">
      <c r="A49" s="19" t="s">
        <v>47</v>
      </c>
      <c r="B49" s="22" t="s">
        <v>10</v>
      </c>
      <c r="C49" s="22" t="s">
        <v>445</v>
      </c>
      <c r="D49" s="46">
        <v>77</v>
      </c>
      <c r="E49" s="30">
        <v>107</v>
      </c>
      <c r="F49" s="22" t="s">
        <v>328</v>
      </c>
      <c r="G49" s="35">
        <v>44622</v>
      </c>
      <c r="H49" s="43">
        <v>1000000</v>
      </c>
    </row>
    <row r="50" spans="1:8" s="21" customFormat="1" x14ac:dyDescent="0.25">
      <c r="A50" s="19" t="s">
        <v>47</v>
      </c>
      <c r="B50" s="22" t="s">
        <v>10</v>
      </c>
      <c r="C50" s="22" t="s">
        <v>446</v>
      </c>
      <c r="D50" s="46">
        <v>83</v>
      </c>
      <c r="E50" s="30">
        <v>113</v>
      </c>
      <c r="F50" s="22" t="s">
        <v>328</v>
      </c>
      <c r="G50" s="35">
        <v>44616</v>
      </c>
      <c r="H50" s="43">
        <v>1000000</v>
      </c>
    </row>
    <row r="51" spans="1:8" s="21" customFormat="1" x14ac:dyDescent="0.25">
      <c r="A51" s="19" t="s">
        <v>47</v>
      </c>
      <c r="B51" s="22" t="s">
        <v>10</v>
      </c>
      <c r="C51" s="22" t="s">
        <v>447</v>
      </c>
      <c r="D51" s="46">
        <v>88</v>
      </c>
      <c r="E51" s="30">
        <v>118</v>
      </c>
      <c r="F51" s="22" t="s">
        <v>328</v>
      </c>
      <c r="G51" s="35">
        <v>44611</v>
      </c>
      <c r="H51" s="43">
        <v>1000000</v>
      </c>
    </row>
    <row r="52" spans="1:8" s="21" customFormat="1" x14ac:dyDescent="0.25">
      <c r="A52" s="19" t="s">
        <v>47</v>
      </c>
      <c r="B52" s="22" t="s">
        <v>10</v>
      </c>
      <c r="C52" s="22" t="s">
        <v>448</v>
      </c>
      <c r="D52" s="46">
        <v>89</v>
      </c>
      <c r="E52" s="30">
        <v>119</v>
      </c>
      <c r="F52" s="22" t="s">
        <v>328</v>
      </c>
      <c r="G52" s="35">
        <v>44610</v>
      </c>
      <c r="H52" s="43">
        <v>1000000</v>
      </c>
    </row>
    <row r="53" spans="1:8" s="21" customFormat="1" x14ac:dyDescent="0.25">
      <c r="A53" s="19" t="s">
        <v>48</v>
      </c>
      <c r="B53" s="18" t="s">
        <v>12</v>
      </c>
      <c r="C53" s="22" t="s">
        <v>13</v>
      </c>
      <c r="D53" s="46">
        <v>226</v>
      </c>
      <c r="E53" s="30">
        <v>286</v>
      </c>
      <c r="F53" s="22" t="s">
        <v>328</v>
      </c>
      <c r="G53" s="35">
        <v>44473</v>
      </c>
      <c r="H53" s="43">
        <v>1000000</v>
      </c>
    </row>
    <row r="54" spans="1:8" s="21" customFormat="1" x14ac:dyDescent="0.25">
      <c r="A54" s="19" t="s">
        <v>48</v>
      </c>
      <c r="B54" s="18" t="s">
        <v>14</v>
      </c>
      <c r="C54" s="22" t="s">
        <v>209</v>
      </c>
      <c r="D54" s="46">
        <v>44699</v>
      </c>
      <c r="E54" s="30">
        <v>44759</v>
      </c>
      <c r="F54" s="22" t="s">
        <v>546</v>
      </c>
      <c r="G54" s="35">
        <v>0</v>
      </c>
      <c r="H54" s="43">
        <v>1000000</v>
      </c>
    </row>
    <row r="55" spans="1:8" s="21" customFormat="1" x14ac:dyDescent="0.25">
      <c r="A55" s="19" t="s">
        <v>48</v>
      </c>
      <c r="B55" s="18" t="s">
        <v>14</v>
      </c>
      <c r="C55" s="22" t="s">
        <v>211</v>
      </c>
      <c r="D55" s="46">
        <v>44699</v>
      </c>
      <c r="E55" s="30">
        <v>44759</v>
      </c>
      <c r="F55" s="22" t="s">
        <v>546</v>
      </c>
      <c r="G55" s="35">
        <v>0</v>
      </c>
      <c r="H55" s="43">
        <v>1000000</v>
      </c>
    </row>
    <row r="56" spans="1:8" s="21" customFormat="1" x14ac:dyDescent="0.25">
      <c r="A56" s="19" t="s">
        <v>48</v>
      </c>
      <c r="B56" s="18" t="s">
        <v>14</v>
      </c>
      <c r="C56" s="22" t="s">
        <v>212</v>
      </c>
      <c r="D56" s="46">
        <v>44699</v>
      </c>
      <c r="E56" s="30">
        <v>44759</v>
      </c>
      <c r="F56" s="22" t="s">
        <v>546</v>
      </c>
      <c r="G56" s="35">
        <v>0</v>
      </c>
      <c r="H56" s="43">
        <v>1000000</v>
      </c>
    </row>
    <row r="57" spans="1:8" s="21" customFormat="1" x14ac:dyDescent="0.25">
      <c r="A57" s="19" t="s">
        <v>48</v>
      </c>
      <c r="B57" s="18" t="s">
        <v>14</v>
      </c>
      <c r="C57" s="22" t="s">
        <v>215</v>
      </c>
      <c r="D57" s="46">
        <v>44699</v>
      </c>
      <c r="E57" s="30">
        <v>44759</v>
      </c>
      <c r="F57" s="22" t="s">
        <v>546</v>
      </c>
      <c r="G57" s="35">
        <v>0</v>
      </c>
      <c r="H57" s="43">
        <v>1000000</v>
      </c>
    </row>
    <row r="58" spans="1:8" s="21" customFormat="1" x14ac:dyDescent="0.25">
      <c r="A58" s="19" t="s">
        <v>48</v>
      </c>
      <c r="B58" s="18" t="s">
        <v>14</v>
      </c>
      <c r="C58" s="22" t="s">
        <v>219</v>
      </c>
      <c r="D58" s="46">
        <v>44699</v>
      </c>
      <c r="E58" s="30">
        <v>44759</v>
      </c>
      <c r="F58" s="22" t="s">
        <v>546</v>
      </c>
      <c r="G58" s="35">
        <v>0</v>
      </c>
      <c r="H58" s="43">
        <v>1000000</v>
      </c>
    </row>
    <row r="59" spans="1:8" s="21" customFormat="1" x14ac:dyDescent="0.25">
      <c r="A59" s="19" t="s">
        <v>48</v>
      </c>
      <c r="B59" s="18" t="s">
        <v>14</v>
      </c>
      <c r="C59" s="22" t="s">
        <v>220</v>
      </c>
      <c r="D59" s="46">
        <v>44699</v>
      </c>
      <c r="E59" s="30">
        <v>44759</v>
      </c>
      <c r="F59" s="22" t="s">
        <v>546</v>
      </c>
      <c r="G59" s="35">
        <v>0</v>
      </c>
      <c r="H59" s="43">
        <v>1000000</v>
      </c>
    </row>
    <row r="60" spans="1:8" s="21" customFormat="1" x14ac:dyDescent="0.25">
      <c r="A60" s="19" t="s">
        <v>48</v>
      </c>
      <c r="B60" s="18" t="s">
        <v>14</v>
      </c>
      <c r="C60" s="22" t="s">
        <v>221</v>
      </c>
      <c r="D60" s="46">
        <v>44699</v>
      </c>
      <c r="E60" s="30">
        <v>44759</v>
      </c>
      <c r="F60" s="22" t="s">
        <v>546</v>
      </c>
      <c r="G60" s="35">
        <v>0</v>
      </c>
      <c r="H60" s="43">
        <v>1000000</v>
      </c>
    </row>
    <row r="61" spans="1:8" s="21" customFormat="1" x14ac:dyDescent="0.25">
      <c r="A61" s="19" t="s">
        <v>48</v>
      </c>
      <c r="B61" s="18" t="s">
        <v>14</v>
      </c>
      <c r="C61" s="22" t="s">
        <v>235</v>
      </c>
      <c r="D61" s="46">
        <v>44699</v>
      </c>
      <c r="E61" s="30">
        <v>44759</v>
      </c>
      <c r="F61" s="22" t="s">
        <v>546</v>
      </c>
      <c r="G61" s="35">
        <v>0</v>
      </c>
      <c r="H61" s="43">
        <v>1000000</v>
      </c>
    </row>
    <row r="62" spans="1:8" s="21" customFormat="1" x14ac:dyDescent="0.25">
      <c r="A62" s="19" t="s">
        <v>48</v>
      </c>
      <c r="B62" s="18" t="s">
        <v>14</v>
      </c>
      <c r="C62" s="22" t="s">
        <v>236</v>
      </c>
      <c r="D62" s="46">
        <v>44699</v>
      </c>
      <c r="E62" s="30">
        <v>44759</v>
      </c>
      <c r="F62" s="22" t="s">
        <v>546</v>
      </c>
      <c r="G62" s="35">
        <v>0</v>
      </c>
      <c r="H62" s="43">
        <v>1000000</v>
      </c>
    </row>
    <row r="63" spans="1:8" s="21" customFormat="1" x14ac:dyDescent="0.25">
      <c r="A63" s="19" t="s">
        <v>48</v>
      </c>
      <c r="B63" s="18" t="s">
        <v>14</v>
      </c>
      <c r="C63" s="22" t="s">
        <v>237</v>
      </c>
      <c r="D63" s="46">
        <v>44699</v>
      </c>
      <c r="E63" s="30">
        <v>44759</v>
      </c>
      <c r="F63" s="22" t="s">
        <v>546</v>
      </c>
      <c r="G63" s="35">
        <v>0</v>
      </c>
      <c r="H63" s="43">
        <v>1000000</v>
      </c>
    </row>
    <row r="64" spans="1:8" s="21" customFormat="1" x14ac:dyDescent="0.25">
      <c r="A64" s="19" t="s">
        <v>48</v>
      </c>
      <c r="B64" s="18" t="s">
        <v>14</v>
      </c>
      <c r="C64" s="22" t="s">
        <v>238</v>
      </c>
      <c r="D64" s="46">
        <v>44699</v>
      </c>
      <c r="E64" s="30">
        <v>44759</v>
      </c>
      <c r="F64" s="22" t="s">
        <v>546</v>
      </c>
      <c r="G64" s="35">
        <v>0</v>
      </c>
      <c r="H64" s="43">
        <v>1000000</v>
      </c>
    </row>
    <row r="65" spans="1:8" s="21" customFormat="1" x14ac:dyDescent="0.25">
      <c r="A65" s="19" t="s">
        <v>48</v>
      </c>
      <c r="B65" s="18" t="s">
        <v>14</v>
      </c>
      <c r="C65" s="22" t="s">
        <v>239</v>
      </c>
      <c r="D65" s="46">
        <v>44699</v>
      </c>
      <c r="E65" s="30">
        <v>44759</v>
      </c>
      <c r="F65" s="22" t="s">
        <v>546</v>
      </c>
      <c r="G65" s="35">
        <v>0</v>
      </c>
      <c r="H65" s="43">
        <v>1000000</v>
      </c>
    </row>
    <row r="66" spans="1:8" s="21" customFormat="1" x14ac:dyDescent="0.25">
      <c r="A66" s="19" t="s">
        <v>48</v>
      </c>
      <c r="B66" s="18" t="s">
        <v>14</v>
      </c>
      <c r="C66" s="22" t="s">
        <v>252</v>
      </c>
      <c r="D66" s="46">
        <v>44699</v>
      </c>
      <c r="E66" s="30">
        <v>44759</v>
      </c>
      <c r="F66" s="22" t="s">
        <v>546</v>
      </c>
      <c r="G66" s="35">
        <v>0</v>
      </c>
      <c r="H66" s="43">
        <v>1000000</v>
      </c>
    </row>
    <row r="67" spans="1:8" s="21" customFormat="1" x14ac:dyDescent="0.25">
      <c r="A67" s="19" t="s">
        <v>48</v>
      </c>
      <c r="B67" s="18" t="s">
        <v>14</v>
      </c>
      <c r="C67" s="22" t="s">
        <v>253</v>
      </c>
      <c r="D67" s="46">
        <v>44699</v>
      </c>
      <c r="E67" s="30">
        <v>44759</v>
      </c>
      <c r="F67" s="22" t="s">
        <v>546</v>
      </c>
      <c r="G67" s="35">
        <v>0</v>
      </c>
      <c r="H67" s="43">
        <v>1000000</v>
      </c>
    </row>
    <row r="68" spans="1:8" s="21" customFormat="1" x14ac:dyDescent="0.25">
      <c r="A68" s="19" t="s">
        <v>48</v>
      </c>
      <c r="B68" s="18" t="s">
        <v>14</v>
      </c>
      <c r="C68" s="22" t="s">
        <v>262</v>
      </c>
      <c r="D68" s="46">
        <v>44699</v>
      </c>
      <c r="E68" s="30">
        <v>44759</v>
      </c>
      <c r="F68" s="22" t="s">
        <v>546</v>
      </c>
      <c r="G68" s="35">
        <v>0</v>
      </c>
      <c r="H68" s="43">
        <v>1000000</v>
      </c>
    </row>
    <row r="69" spans="1:8" s="21" customFormat="1" x14ac:dyDescent="0.25">
      <c r="A69" s="19" t="s">
        <v>48</v>
      </c>
      <c r="B69" s="18" t="s">
        <v>14</v>
      </c>
      <c r="C69" s="22" t="s">
        <v>263</v>
      </c>
      <c r="D69" s="46">
        <v>44699</v>
      </c>
      <c r="E69" s="30">
        <v>44759</v>
      </c>
      <c r="F69" s="22" t="s">
        <v>546</v>
      </c>
      <c r="G69" s="35">
        <v>0</v>
      </c>
      <c r="H69" s="43">
        <v>1000000</v>
      </c>
    </row>
    <row r="70" spans="1:8" s="21" customFormat="1" x14ac:dyDescent="0.25">
      <c r="A70" s="19" t="s">
        <v>48</v>
      </c>
      <c r="B70" s="18" t="s">
        <v>14</v>
      </c>
      <c r="C70" s="22" t="s">
        <v>270</v>
      </c>
      <c r="D70" s="46">
        <v>44699</v>
      </c>
      <c r="E70" s="30">
        <v>44759</v>
      </c>
      <c r="F70" s="22" t="s">
        <v>546</v>
      </c>
      <c r="G70" s="35">
        <v>0</v>
      </c>
      <c r="H70" s="43">
        <v>1000000</v>
      </c>
    </row>
    <row r="71" spans="1:8" s="21" customFormat="1" x14ac:dyDescent="0.25">
      <c r="A71" s="19" t="s">
        <v>48</v>
      </c>
      <c r="B71" s="18" t="s">
        <v>14</v>
      </c>
      <c r="C71" s="22" t="s">
        <v>286</v>
      </c>
      <c r="D71" s="46">
        <v>44699</v>
      </c>
      <c r="E71" s="30">
        <v>44759</v>
      </c>
      <c r="F71" s="22" t="s">
        <v>546</v>
      </c>
      <c r="G71" s="35">
        <v>0</v>
      </c>
      <c r="H71" s="43">
        <v>1000000</v>
      </c>
    </row>
    <row r="72" spans="1:8" s="21" customFormat="1" x14ac:dyDescent="0.25">
      <c r="A72" s="19" t="s">
        <v>48</v>
      </c>
      <c r="B72" s="18" t="s">
        <v>14</v>
      </c>
      <c r="C72" s="22" t="s">
        <v>295</v>
      </c>
      <c r="D72" s="46">
        <v>44699</v>
      </c>
      <c r="E72" s="30">
        <v>44759</v>
      </c>
      <c r="F72" s="22" t="s">
        <v>546</v>
      </c>
      <c r="G72" s="35">
        <v>0</v>
      </c>
      <c r="H72" s="43">
        <v>1000000</v>
      </c>
    </row>
    <row r="73" spans="1:8" s="21" customFormat="1" x14ac:dyDescent="0.25">
      <c r="A73" s="19" t="s">
        <v>48</v>
      </c>
      <c r="B73" s="18" t="s">
        <v>14</v>
      </c>
      <c r="C73" s="22" t="s">
        <v>296</v>
      </c>
      <c r="D73" s="46">
        <v>44699</v>
      </c>
      <c r="E73" s="30">
        <v>44759</v>
      </c>
      <c r="F73" s="22" t="s">
        <v>546</v>
      </c>
      <c r="G73" s="35">
        <v>0</v>
      </c>
      <c r="H73" s="43">
        <v>1000000</v>
      </c>
    </row>
    <row r="74" spans="1:8" s="21" customFormat="1" x14ac:dyDescent="0.25">
      <c r="A74" s="19" t="s">
        <v>48</v>
      </c>
      <c r="B74" s="18" t="s">
        <v>14</v>
      </c>
      <c r="C74" s="22" t="s">
        <v>304</v>
      </c>
      <c r="D74" s="46">
        <v>44699</v>
      </c>
      <c r="E74" s="30">
        <v>44759</v>
      </c>
      <c r="F74" s="22" t="s">
        <v>546</v>
      </c>
      <c r="G74" s="35">
        <v>0</v>
      </c>
      <c r="H74" s="43">
        <v>1000000</v>
      </c>
    </row>
    <row r="75" spans="1:8" s="21" customFormat="1" x14ac:dyDescent="0.25">
      <c r="A75" s="19" t="s">
        <v>48</v>
      </c>
      <c r="B75" s="18" t="s">
        <v>14</v>
      </c>
      <c r="C75" s="22" t="s">
        <v>314</v>
      </c>
      <c r="D75" s="46">
        <v>44699</v>
      </c>
      <c r="E75" s="30">
        <v>44759</v>
      </c>
      <c r="F75" s="22" t="s">
        <v>546</v>
      </c>
      <c r="G75" s="35">
        <v>0</v>
      </c>
      <c r="H75" s="43">
        <v>1000000</v>
      </c>
    </row>
    <row r="76" spans="1:8" s="21" customFormat="1" x14ac:dyDescent="0.25">
      <c r="A76" s="19" t="s">
        <v>48</v>
      </c>
      <c r="B76" s="18" t="s">
        <v>14</v>
      </c>
      <c r="C76" s="22" t="s">
        <v>319</v>
      </c>
      <c r="D76" s="46">
        <v>44699</v>
      </c>
      <c r="E76" s="30">
        <v>44759</v>
      </c>
      <c r="F76" s="22" t="s">
        <v>546</v>
      </c>
      <c r="G76" s="35">
        <v>0</v>
      </c>
      <c r="H76" s="43">
        <v>1000000</v>
      </c>
    </row>
    <row r="77" spans="1:8" s="21" customFormat="1" x14ac:dyDescent="0.25">
      <c r="A77" s="19" t="s">
        <v>48</v>
      </c>
      <c r="B77" s="18" t="s">
        <v>14</v>
      </c>
      <c r="C77" s="22" t="s">
        <v>329</v>
      </c>
      <c r="D77" s="46">
        <v>44699</v>
      </c>
      <c r="E77" s="30">
        <v>44759</v>
      </c>
      <c r="F77" s="22" t="s">
        <v>546</v>
      </c>
      <c r="G77" s="35">
        <v>0</v>
      </c>
      <c r="H77" s="43">
        <v>1000000</v>
      </c>
    </row>
    <row r="78" spans="1:8" s="21" customFormat="1" x14ac:dyDescent="0.25">
      <c r="A78" s="19" t="s">
        <v>48</v>
      </c>
      <c r="B78" s="18" t="s">
        <v>14</v>
      </c>
      <c r="C78" s="22" t="s">
        <v>345</v>
      </c>
      <c r="D78" s="46">
        <v>44699</v>
      </c>
      <c r="E78" s="30">
        <v>44759</v>
      </c>
      <c r="F78" s="22" t="s">
        <v>546</v>
      </c>
      <c r="G78" s="35">
        <v>0</v>
      </c>
      <c r="H78" s="43">
        <v>1000000</v>
      </c>
    </row>
    <row r="79" spans="1:8" s="21" customFormat="1" x14ac:dyDescent="0.25">
      <c r="A79" s="19" t="s">
        <v>48</v>
      </c>
      <c r="B79" s="18" t="s">
        <v>14</v>
      </c>
      <c r="C79" s="22" t="s">
        <v>346</v>
      </c>
      <c r="D79" s="46">
        <v>44699</v>
      </c>
      <c r="E79" s="30">
        <v>44759</v>
      </c>
      <c r="F79" s="22" t="s">
        <v>546</v>
      </c>
      <c r="G79" s="35">
        <v>0</v>
      </c>
      <c r="H79" s="43">
        <v>1000000</v>
      </c>
    </row>
    <row r="80" spans="1:8" s="21" customFormat="1" x14ac:dyDescent="0.25">
      <c r="A80" s="19" t="s">
        <v>48</v>
      </c>
      <c r="B80" s="18" t="s">
        <v>14</v>
      </c>
      <c r="C80" s="22" t="s">
        <v>411</v>
      </c>
      <c r="D80" s="46">
        <v>44699</v>
      </c>
      <c r="E80" s="30">
        <v>44759</v>
      </c>
      <c r="F80" s="22" t="s">
        <v>546</v>
      </c>
      <c r="G80" s="35">
        <v>0</v>
      </c>
      <c r="H80" s="43">
        <v>1000000</v>
      </c>
    </row>
    <row r="81" spans="1:8" s="21" customFormat="1" x14ac:dyDescent="0.25">
      <c r="A81" s="19" t="s">
        <v>48</v>
      </c>
      <c r="B81" s="18" t="s">
        <v>14</v>
      </c>
      <c r="C81" s="22" t="s">
        <v>457</v>
      </c>
      <c r="D81" s="46">
        <v>44699</v>
      </c>
      <c r="E81" s="30">
        <v>44759</v>
      </c>
      <c r="F81" s="22" t="s">
        <v>546</v>
      </c>
      <c r="G81" s="35">
        <v>0</v>
      </c>
      <c r="H81" s="43">
        <v>1000000</v>
      </c>
    </row>
    <row r="82" spans="1:8" s="21" customFormat="1" x14ac:dyDescent="0.25">
      <c r="A82" s="19" t="s">
        <v>48</v>
      </c>
      <c r="B82" s="18" t="s">
        <v>14</v>
      </c>
      <c r="C82" s="22" t="s">
        <v>458</v>
      </c>
      <c r="D82" s="46">
        <v>44699</v>
      </c>
      <c r="E82" s="30">
        <v>44759</v>
      </c>
      <c r="F82" s="22" t="s">
        <v>546</v>
      </c>
      <c r="G82" s="35">
        <v>0</v>
      </c>
      <c r="H82" s="43">
        <v>1000000</v>
      </c>
    </row>
    <row r="83" spans="1:8" s="21" customFormat="1" x14ac:dyDescent="0.25">
      <c r="A83" s="19" t="s">
        <v>48</v>
      </c>
      <c r="B83" s="18" t="s">
        <v>14</v>
      </c>
      <c r="C83" s="22" t="s">
        <v>459</v>
      </c>
      <c r="D83" s="46">
        <v>44699</v>
      </c>
      <c r="E83" s="30">
        <v>44759</v>
      </c>
      <c r="F83" s="22" t="s">
        <v>546</v>
      </c>
      <c r="G83" s="35">
        <v>0</v>
      </c>
      <c r="H83" s="43">
        <v>1000000</v>
      </c>
    </row>
    <row r="84" spans="1:8" s="21" customFormat="1" x14ac:dyDescent="0.25">
      <c r="A84" s="19" t="s">
        <v>48</v>
      </c>
      <c r="B84" s="18" t="s">
        <v>14</v>
      </c>
      <c r="C84" s="22" t="s">
        <v>460</v>
      </c>
      <c r="D84" s="46">
        <v>44699</v>
      </c>
      <c r="E84" s="30">
        <v>44759</v>
      </c>
      <c r="F84" s="22" t="s">
        <v>546</v>
      </c>
      <c r="G84" s="35">
        <v>0</v>
      </c>
      <c r="H84" s="43">
        <v>1000000</v>
      </c>
    </row>
    <row r="85" spans="1:8" s="21" customFormat="1" x14ac:dyDescent="0.25">
      <c r="A85" s="19" t="s">
        <v>48</v>
      </c>
      <c r="B85" s="18" t="s">
        <v>14</v>
      </c>
      <c r="C85" s="22" t="s">
        <v>461</v>
      </c>
      <c r="D85" s="46">
        <v>44699</v>
      </c>
      <c r="E85" s="30">
        <v>44759</v>
      </c>
      <c r="F85" s="22" t="s">
        <v>546</v>
      </c>
      <c r="G85" s="35">
        <v>0</v>
      </c>
      <c r="H85" s="43">
        <v>1000000</v>
      </c>
    </row>
    <row r="86" spans="1:8" s="21" customFormat="1" x14ac:dyDescent="0.25">
      <c r="A86" s="19" t="s">
        <v>48</v>
      </c>
      <c r="B86" s="18" t="s">
        <v>14</v>
      </c>
      <c r="C86" s="22" t="s">
        <v>462</v>
      </c>
      <c r="D86" s="46">
        <v>44699</v>
      </c>
      <c r="E86" s="30">
        <v>44759</v>
      </c>
      <c r="F86" s="22" t="s">
        <v>546</v>
      </c>
      <c r="G86" s="35">
        <v>0</v>
      </c>
      <c r="H86" s="43">
        <v>1000000</v>
      </c>
    </row>
    <row r="87" spans="1:8" s="21" customFormat="1" x14ac:dyDescent="0.25">
      <c r="A87" s="19" t="s">
        <v>48</v>
      </c>
      <c r="B87" s="18" t="s">
        <v>14</v>
      </c>
      <c r="C87" s="22" t="s">
        <v>463</v>
      </c>
      <c r="D87" s="46">
        <v>44699</v>
      </c>
      <c r="E87" s="30">
        <v>44759</v>
      </c>
      <c r="F87" s="22" t="s">
        <v>546</v>
      </c>
      <c r="G87" s="35">
        <v>0</v>
      </c>
      <c r="H87" s="43">
        <v>1000000</v>
      </c>
    </row>
    <row r="88" spans="1:8" s="21" customFormat="1" x14ac:dyDescent="0.25">
      <c r="A88" s="19" t="s">
        <v>48</v>
      </c>
      <c r="B88" s="18" t="s">
        <v>14</v>
      </c>
      <c r="C88" s="22" t="s">
        <v>464</v>
      </c>
      <c r="D88" s="46">
        <v>44699</v>
      </c>
      <c r="E88" s="30">
        <v>44759</v>
      </c>
      <c r="F88" s="22" t="s">
        <v>546</v>
      </c>
      <c r="G88" s="35">
        <v>0</v>
      </c>
      <c r="H88" s="43">
        <v>1000000</v>
      </c>
    </row>
    <row r="89" spans="1:8" s="21" customFormat="1" x14ac:dyDescent="0.25">
      <c r="A89" s="19" t="s">
        <v>48</v>
      </c>
      <c r="B89" s="18" t="s">
        <v>14</v>
      </c>
      <c r="C89" s="22" t="s">
        <v>465</v>
      </c>
      <c r="D89" s="46">
        <v>44699</v>
      </c>
      <c r="E89" s="30">
        <v>44759</v>
      </c>
      <c r="F89" s="22" t="s">
        <v>546</v>
      </c>
      <c r="G89" s="35">
        <v>0</v>
      </c>
      <c r="H89" s="43">
        <v>1000000</v>
      </c>
    </row>
    <row r="90" spans="1:8" s="21" customFormat="1" x14ac:dyDescent="0.25">
      <c r="A90" s="19" t="s">
        <v>48</v>
      </c>
      <c r="B90" s="18" t="s">
        <v>14</v>
      </c>
      <c r="C90" s="22" t="s">
        <v>466</v>
      </c>
      <c r="D90" s="46">
        <v>44699</v>
      </c>
      <c r="E90" s="30">
        <v>44759</v>
      </c>
      <c r="F90" s="22" t="s">
        <v>546</v>
      </c>
      <c r="G90" s="35">
        <v>0</v>
      </c>
      <c r="H90" s="43">
        <v>1000000</v>
      </c>
    </row>
    <row r="91" spans="1:8" s="21" customFormat="1" x14ac:dyDescent="0.25">
      <c r="A91" s="19" t="s">
        <v>48</v>
      </c>
      <c r="B91" s="18" t="s">
        <v>14</v>
      </c>
      <c r="C91" s="22" t="s">
        <v>467</v>
      </c>
      <c r="D91" s="46">
        <v>44699</v>
      </c>
      <c r="E91" s="30">
        <v>44759</v>
      </c>
      <c r="F91" s="22" t="s">
        <v>546</v>
      </c>
      <c r="G91" s="35">
        <v>0</v>
      </c>
      <c r="H91" s="43">
        <v>1000000</v>
      </c>
    </row>
    <row r="92" spans="1:8" s="21" customFormat="1" x14ac:dyDescent="0.25">
      <c r="A92" s="19" t="s">
        <v>48</v>
      </c>
      <c r="B92" s="18" t="s">
        <v>14</v>
      </c>
      <c r="C92" s="22" t="s">
        <v>468</v>
      </c>
      <c r="D92" s="46">
        <v>44699</v>
      </c>
      <c r="E92" s="30">
        <v>44759</v>
      </c>
      <c r="F92" s="22" t="s">
        <v>546</v>
      </c>
      <c r="G92" s="35">
        <v>0</v>
      </c>
      <c r="H92" s="43">
        <v>1000000</v>
      </c>
    </row>
    <row r="93" spans="1:8" s="21" customFormat="1" x14ac:dyDescent="0.25">
      <c r="A93" s="19" t="s">
        <v>48</v>
      </c>
      <c r="B93" s="18" t="s">
        <v>14</v>
      </c>
      <c r="C93" s="22" t="s">
        <v>469</v>
      </c>
      <c r="D93" s="46">
        <v>44699</v>
      </c>
      <c r="E93" s="30">
        <v>44759</v>
      </c>
      <c r="F93" s="22" t="s">
        <v>546</v>
      </c>
      <c r="G93" s="35">
        <v>0</v>
      </c>
      <c r="H93" s="43">
        <v>1000000</v>
      </c>
    </row>
    <row r="94" spans="1:8" s="21" customFormat="1" x14ac:dyDescent="0.25">
      <c r="A94" s="19" t="s">
        <v>48</v>
      </c>
      <c r="B94" s="18" t="s">
        <v>15</v>
      </c>
      <c r="C94" s="22" t="s">
        <v>254</v>
      </c>
      <c r="D94" s="46">
        <v>107</v>
      </c>
      <c r="E94" s="30">
        <v>167</v>
      </c>
      <c r="F94" s="22" t="s">
        <v>328</v>
      </c>
      <c r="G94" s="35">
        <v>44592</v>
      </c>
      <c r="H94" s="43">
        <v>1000000</v>
      </c>
    </row>
    <row r="95" spans="1:8" s="21" customFormat="1" x14ac:dyDescent="0.25">
      <c r="A95" s="19" t="s">
        <v>48</v>
      </c>
      <c r="B95" s="18" t="s">
        <v>15</v>
      </c>
      <c r="C95" s="22" t="s">
        <v>320</v>
      </c>
      <c r="D95" s="46">
        <v>125</v>
      </c>
      <c r="E95" s="30">
        <v>185</v>
      </c>
      <c r="F95" s="22" t="s">
        <v>328</v>
      </c>
      <c r="G95" s="35">
        <v>44574</v>
      </c>
      <c r="H95" s="43">
        <v>1000000</v>
      </c>
    </row>
    <row r="96" spans="1:8" s="21" customFormat="1" x14ac:dyDescent="0.25">
      <c r="A96" s="19" t="s">
        <v>48</v>
      </c>
      <c r="B96" s="18" t="s">
        <v>15</v>
      </c>
      <c r="C96" s="22" t="s">
        <v>321</v>
      </c>
      <c r="D96" s="46">
        <v>125</v>
      </c>
      <c r="E96" s="30">
        <v>185</v>
      </c>
      <c r="F96" s="22" t="s">
        <v>328</v>
      </c>
      <c r="G96" s="35">
        <v>44574</v>
      </c>
      <c r="H96" s="43">
        <v>1000000</v>
      </c>
    </row>
    <row r="97" spans="1:8" s="21" customFormat="1" x14ac:dyDescent="0.25">
      <c r="A97" s="19" t="s">
        <v>48</v>
      </c>
      <c r="B97" s="18" t="s">
        <v>15</v>
      </c>
      <c r="C97" s="22" t="s">
        <v>322</v>
      </c>
      <c r="D97" s="46">
        <v>125</v>
      </c>
      <c r="E97" s="30">
        <v>185</v>
      </c>
      <c r="F97" s="22" t="s">
        <v>328</v>
      </c>
      <c r="G97" s="35">
        <v>44574</v>
      </c>
      <c r="H97" s="43">
        <v>1000000</v>
      </c>
    </row>
    <row r="98" spans="1:8" s="21" customFormat="1" x14ac:dyDescent="0.25">
      <c r="A98" s="19" t="s">
        <v>48</v>
      </c>
      <c r="B98" s="18" t="s">
        <v>15</v>
      </c>
      <c r="C98" s="22" t="s">
        <v>333</v>
      </c>
      <c r="D98" s="46">
        <v>127</v>
      </c>
      <c r="E98" s="30">
        <v>187</v>
      </c>
      <c r="F98" s="22" t="s">
        <v>328</v>
      </c>
      <c r="G98" s="35">
        <v>44572</v>
      </c>
      <c r="H98" s="43">
        <v>1000000</v>
      </c>
    </row>
    <row r="99" spans="1:8" s="21" customFormat="1" x14ac:dyDescent="0.25">
      <c r="A99" s="19" t="s">
        <v>48</v>
      </c>
      <c r="B99" s="18" t="s">
        <v>15</v>
      </c>
      <c r="C99" s="22" t="s">
        <v>334</v>
      </c>
      <c r="D99" s="46">
        <v>127</v>
      </c>
      <c r="E99" s="30">
        <v>187</v>
      </c>
      <c r="F99" s="22" t="s">
        <v>328</v>
      </c>
      <c r="G99" s="35">
        <v>44572</v>
      </c>
      <c r="H99" s="43">
        <v>1000000</v>
      </c>
    </row>
    <row r="100" spans="1:8" s="21" customFormat="1" x14ac:dyDescent="0.25">
      <c r="A100" s="19" t="s">
        <v>48</v>
      </c>
      <c r="B100" s="18" t="s">
        <v>15</v>
      </c>
      <c r="C100" s="22" t="s">
        <v>335</v>
      </c>
      <c r="D100" s="46">
        <v>127</v>
      </c>
      <c r="E100" s="30">
        <v>187</v>
      </c>
      <c r="F100" s="22" t="s">
        <v>328</v>
      </c>
      <c r="G100" s="35">
        <v>44572</v>
      </c>
      <c r="H100" s="43">
        <v>1000000</v>
      </c>
    </row>
    <row r="101" spans="1:8" s="21" customFormat="1" x14ac:dyDescent="0.25">
      <c r="A101" s="19" t="s">
        <v>48</v>
      </c>
      <c r="B101" s="18" t="s">
        <v>15</v>
      </c>
      <c r="C101" s="22" t="s">
        <v>347</v>
      </c>
      <c r="D101" s="46">
        <v>129</v>
      </c>
      <c r="E101" s="30">
        <v>189</v>
      </c>
      <c r="F101" s="22" t="s">
        <v>328</v>
      </c>
      <c r="G101" s="35">
        <v>44570</v>
      </c>
      <c r="H101" s="43">
        <v>1000000</v>
      </c>
    </row>
    <row r="102" spans="1:8" s="21" customFormat="1" x14ac:dyDescent="0.25">
      <c r="A102" s="19" t="s">
        <v>48</v>
      </c>
      <c r="B102" s="18" t="s">
        <v>15</v>
      </c>
      <c r="C102" s="22" t="s">
        <v>360</v>
      </c>
      <c r="D102" s="46">
        <v>131</v>
      </c>
      <c r="E102" s="30">
        <v>191</v>
      </c>
      <c r="F102" s="22" t="s">
        <v>328</v>
      </c>
      <c r="G102" s="35">
        <v>44568</v>
      </c>
      <c r="H102" s="43">
        <v>1000000</v>
      </c>
    </row>
    <row r="103" spans="1:8" s="21" customFormat="1" x14ac:dyDescent="0.25">
      <c r="A103" s="19" t="s">
        <v>48</v>
      </c>
      <c r="B103" s="18" t="s">
        <v>15</v>
      </c>
      <c r="C103" s="22" t="s">
        <v>403</v>
      </c>
      <c r="D103" s="46">
        <v>132</v>
      </c>
      <c r="E103" s="30">
        <v>192</v>
      </c>
      <c r="F103" s="22" t="s">
        <v>328</v>
      </c>
      <c r="G103" s="35">
        <v>44567</v>
      </c>
      <c r="H103" s="43">
        <v>1000000</v>
      </c>
    </row>
    <row r="104" spans="1:8" s="21" customFormat="1" x14ac:dyDescent="0.25">
      <c r="A104" s="19" t="s">
        <v>48</v>
      </c>
      <c r="B104" s="18" t="s">
        <v>15</v>
      </c>
      <c r="C104" s="22" t="s">
        <v>413</v>
      </c>
      <c r="D104" s="46">
        <v>134</v>
      </c>
      <c r="E104" s="30">
        <v>194</v>
      </c>
      <c r="F104" s="22" t="s">
        <v>328</v>
      </c>
      <c r="G104" s="35">
        <v>44565</v>
      </c>
      <c r="H104" s="43">
        <v>1000000</v>
      </c>
    </row>
    <row r="105" spans="1:8" s="21" customFormat="1" x14ac:dyDescent="0.25">
      <c r="A105" s="19" t="s">
        <v>48</v>
      </c>
      <c r="B105" s="18" t="s">
        <v>15</v>
      </c>
      <c r="C105" s="22" t="s">
        <v>414</v>
      </c>
      <c r="D105" s="46">
        <v>134</v>
      </c>
      <c r="E105" s="30">
        <v>194</v>
      </c>
      <c r="F105" s="22" t="s">
        <v>328</v>
      </c>
      <c r="G105" s="35">
        <v>44565</v>
      </c>
      <c r="H105" s="43">
        <v>1000000</v>
      </c>
    </row>
    <row r="106" spans="1:8" s="21" customFormat="1" x14ac:dyDescent="0.25">
      <c r="A106" s="19" t="s">
        <v>48</v>
      </c>
      <c r="B106" s="18" t="s">
        <v>15</v>
      </c>
      <c r="C106" s="22" t="s">
        <v>416</v>
      </c>
      <c r="D106" s="46">
        <v>135</v>
      </c>
      <c r="E106" s="30">
        <v>195</v>
      </c>
      <c r="F106" s="22" t="s">
        <v>328</v>
      </c>
      <c r="G106" s="35">
        <v>44564</v>
      </c>
      <c r="H106" s="43">
        <v>1000000</v>
      </c>
    </row>
    <row r="107" spans="1:8" s="21" customFormat="1" x14ac:dyDescent="0.25">
      <c r="A107" s="19" t="s">
        <v>48</v>
      </c>
      <c r="B107" s="18" t="s">
        <v>15</v>
      </c>
      <c r="C107" s="22" t="s">
        <v>470</v>
      </c>
      <c r="D107" s="46">
        <v>279</v>
      </c>
      <c r="E107" s="30">
        <v>339</v>
      </c>
      <c r="F107" s="22" t="s">
        <v>328</v>
      </c>
      <c r="G107" s="35">
        <v>44420</v>
      </c>
      <c r="H107" s="43">
        <v>1000000</v>
      </c>
    </row>
    <row r="108" spans="1:8" s="21" customFormat="1" x14ac:dyDescent="0.25">
      <c r="A108" s="19" t="s">
        <v>48</v>
      </c>
      <c r="B108" s="18" t="s">
        <v>15</v>
      </c>
      <c r="C108" s="22" t="s">
        <v>471</v>
      </c>
      <c r="D108" s="46">
        <v>287</v>
      </c>
      <c r="E108" s="30">
        <v>347</v>
      </c>
      <c r="F108" s="22" t="s">
        <v>328</v>
      </c>
      <c r="G108" s="35">
        <v>44412</v>
      </c>
      <c r="H108" s="43">
        <v>1000000</v>
      </c>
    </row>
    <row r="109" spans="1:8" s="21" customFormat="1" x14ac:dyDescent="0.25">
      <c r="A109" s="19" t="s">
        <v>48</v>
      </c>
      <c r="B109" s="18" t="s">
        <v>16</v>
      </c>
      <c r="C109" s="22" t="s">
        <v>201</v>
      </c>
      <c r="D109" s="46">
        <v>94</v>
      </c>
      <c r="E109" s="30">
        <v>154</v>
      </c>
      <c r="F109" s="22" t="s">
        <v>328</v>
      </c>
      <c r="G109" s="35">
        <v>44605</v>
      </c>
      <c r="H109" s="43">
        <v>1000000</v>
      </c>
    </row>
    <row r="110" spans="1:8" s="21" customFormat="1" x14ac:dyDescent="0.25">
      <c r="A110" s="19" t="s">
        <v>48</v>
      </c>
      <c r="B110" s="18" t="s">
        <v>16</v>
      </c>
      <c r="C110" s="22" t="s">
        <v>210</v>
      </c>
      <c r="D110" s="46">
        <v>95</v>
      </c>
      <c r="E110" s="30">
        <v>155</v>
      </c>
      <c r="F110" s="22" t="s">
        <v>328</v>
      </c>
      <c r="G110" s="35">
        <v>44604</v>
      </c>
      <c r="H110" s="43">
        <v>1000000</v>
      </c>
    </row>
    <row r="111" spans="1:8" s="21" customFormat="1" x14ac:dyDescent="0.25">
      <c r="A111" s="19" t="s">
        <v>48</v>
      </c>
      <c r="B111" s="18" t="s">
        <v>16</v>
      </c>
      <c r="C111" s="22" t="s">
        <v>213</v>
      </c>
      <c r="D111" s="46">
        <v>96</v>
      </c>
      <c r="E111" s="30">
        <v>156</v>
      </c>
      <c r="F111" s="22" t="s">
        <v>328</v>
      </c>
      <c r="G111" s="35">
        <v>44603</v>
      </c>
      <c r="H111" s="43">
        <v>1000000</v>
      </c>
    </row>
    <row r="112" spans="1:8" s="21" customFormat="1" x14ac:dyDescent="0.25">
      <c r="A112" s="19" t="s">
        <v>48</v>
      </c>
      <c r="B112" s="18" t="s">
        <v>16</v>
      </c>
      <c r="C112" s="22" t="s">
        <v>216</v>
      </c>
      <c r="D112" s="46">
        <v>97</v>
      </c>
      <c r="E112" s="30">
        <v>157</v>
      </c>
      <c r="F112" s="22" t="s">
        <v>328</v>
      </c>
      <c r="G112" s="35">
        <v>44602</v>
      </c>
      <c r="H112" s="43">
        <v>1000000</v>
      </c>
    </row>
    <row r="113" spans="1:8" s="21" customFormat="1" x14ac:dyDescent="0.25">
      <c r="A113" s="19" t="s">
        <v>48</v>
      </c>
      <c r="B113" s="18" t="s">
        <v>16</v>
      </c>
      <c r="C113" s="22" t="s">
        <v>222</v>
      </c>
      <c r="D113" s="46">
        <v>99</v>
      </c>
      <c r="E113" s="30">
        <v>159</v>
      </c>
      <c r="F113" s="22" t="s">
        <v>328</v>
      </c>
      <c r="G113" s="35">
        <v>44600</v>
      </c>
      <c r="H113" s="43">
        <v>1000000</v>
      </c>
    </row>
    <row r="114" spans="1:8" s="21" customFormat="1" x14ac:dyDescent="0.25">
      <c r="A114" s="19" t="s">
        <v>48</v>
      </c>
      <c r="B114" s="18" t="s">
        <v>16</v>
      </c>
      <c r="C114" s="22" t="s">
        <v>223</v>
      </c>
      <c r="D114" s="46">
        <v>100</v>
      </c>
      <c r="E114" s="30">
        <v>160</v>
      </c>
      <c r="F114" s="22" t="s">
        <v>328</v>
      </c>
      <c r="G114" s="35">
        <v>44599</v>
      </c>
      <c r="H114" s="43">
        <v>1000000</v>
      </c>
    </row>
    <row r="115" spans="1:8" s="21" customFormat="1" x14ac:dyDescent="0.25">
      <c r="A115" s="19" t="s">
        <v>48</v>
      </c>
      <c r="B115" s="18" t="s">
        <v>16</v>
      </c>
      <c r="C115" s="22" t="s">
        <v>231</v>
      </c>
      <c r="D115" s="46">
        <v>102</v>
      </c>
      <c r="E115" s="30">
        <v>162</v>
      </c>
      <c r="F115" s="22" t="s">
        <v>328</v>
      </c>
      <c r="G115" s="35">
        <v>44597</v>
      </c>
      <c r="H115" s="43">
        <v>1000000</v>
      </c>
    </row>
    <row r="116" spans="1:8" s="21" customFormat="1" x14ac:dyDescent="0.25">
      <c r="A116" s="19" t="s">
        <v>48</v>
      </c>
      <c r="B116" s="18" t="s">
        <v>16</v>
      </c>
      <c r="C116" s="22" t="s">
        <v>240</v>
      </c>
      <c r="D116" s="46">
        <v>103</v>
      </c>
      <c r="E116" s="30">
        <v>163</v>
      </c>
      <c r="F116" s="22" t="s">
        <v>328</v>
      </c>
      <c r="G116" s="35">
        <v>44596</v>
      </c>
      <c r="H116" s="43">
        <v>1000000</v>
      </c>
    </row>
    <row r="117" spans="1:8" s="21" customFormat="1" x14ac:dyDescent="0.25">
      <c r="A117" s="19" t="s">
        <v>48</v>
      </c>
      <c r="B117" s="18" t="s">
        <v>16</v>
      </c>
      <c r="C117" s="22" t="s">
        <v>241</v>
      </c>
      <c r="D117" s="46">
        <v>105</v>
      </c>
      <c r="E117" s="30">
        <v>165</v>
      </c>
      <c r="F117" s="22" t="s">
        <v>328</v>
      </c>
      <c r="G117" s="35">
        <v>44594</v>
      </c>
      <c r="H117" s="43">
        <v>1000000</v>
      </c>
    </row>
    <row r="118" spans="1:8" s="21" customFormat="1" x14ac:dyDescent="0.25">
      <c r="A118" s="19" t="s">
        <v>48</v>
      </c>
      <c r="B118" s="18" t="s">
        <v>16</v>
      </c>
      <c r="C118" s="22" t="s">
        <v>242</v>
      </c>
      <c r="D118" s="46">
        <v>106</v>
      </c>
      <c r="E118" s="30">
        <v>166</v>
      </c>
      <c r="F118" s="22" t="s">
        <v>328</v>
      </c>
      <c r="G118" s="35">
        <v>44593</v>
      </c>
      <c r="H118" s="43">
        <v>1000000</v>
      </c>
    </row>
    <row r="119" spans="1:8" s="21" customFormat="1" x14ac:dyDescent="0.25">
      <c r="A119" s="19" t="s">
        <v>48</v>
      </c>
      <c r="B119" s="18" t="s">
        <v>16</v>
      </c>
      <c r="C119" s="22" t="s">
        <v>255</v>
      </c>
      <c r="D119" s="46">
        <v>107</v>
      </c>
      <c r="E119" s="30">
        <v>167</v>
      </c>
      <c r="F119" s="22" t="s">
        <v>328</v>
      </c>
      <c r="G119" s="35">
        <v>44592</v>
      </c>
      <c r="H119" s="43">
        <v>1000000</v>
      </c>
    </row>
    <row r="120" spans="1:8" s="21" customFormat="1" x14ac:dyDescent="0.25">
      <c r="A120" s="19" t="s">
        <v>48</v>
      </c>
      <c r="B120" s="18" t="s">
        <v>16</v>
      </c>
      <c r="C120" s="22" t="s">
        <v>256</v>
      </c>
      <c r="D120" s="46">
        <v>109</v>
      </c>
      <c r="E120" s="30">
        <v>169</v>
      </c>
      <c r="F120" s="22" t="s">
        <v>328</v>
      </c>
      <c r="G120" s="35">
        <v>44590</v>
      </c>
      <c r="H120" s="43">
        <v>1000000</v>
      </c>
    </row>
    <row r="121" spans="1:8" s="21" customFormat="1" x14ac:dyDescent="0.25">
      <c r="A121" s="19" t="s">
        <v>48</v>
      </c>
      <c r="B121" s="18" t="s">
        <v>16</v>
      </c>
      <c r="C121" s="22" t="s">
        <v>264</v>
      </c>
      <c r="D121" s="46">
        <v>110</v>
      </c>
      <c r="E121" s="30">
        <v>170</v>
      </c>
      <c r="F121" s="22" t="s">
        <v>328</v>
      </c>
      <c r="G121" s="35">
        <v>44589</v>
      </c>
      <c r="H121" s="43">
        <v>1000000</v>
      </c>
    </row>
    <row r="122" spans="1:8" s="21" customFormat="1" x14ac:dyDescent="0.25">
      <c r="A122" s="19" t="s">
        <v>48</v>
      </c>
      <c r="B122" s="18" t="s">
        <v>16</v>
      </c>
      <c r="C122" s="22" t="s">
        <v>271</v>
      </c>
      <c r="D122" s="46">
        <v>112</v>
      </c>
      <c r="E122" s="30">
        <v>172</v>
      </c>
      <c r="F122" s="22" t="s">
        <v>328</v>
      </c>
      <c r="G122" s="35">
        <v>44587</v>
      </c>
      <c r="H122" s="43">
        <v>1000000</v>
      </c>
    </row>
    <row r="123" spans="1:8" s="21" customFormat="1" x14ac:dyDescent="0.25">
      <c r="A123" s="19" t="s">
        <v>48</v>
      </c>
      <c r="B123" s="18" t="s">
        <v>16</v>
      </c>
      <c r="C123" s="22" t="s">
        <v>278</v>
      </c>
      <c r="D123" s="46">
        <v>113</v>
      </c>
      <c r="E123" s="30">
        <v>173</v>
      </c>
      <c r="F123" s="22" t="s">
        <v>328</v>
      </c>
      <c r="G123" s="35">
        <v>44586</v>
      </c>
      <c r="H123" s="43">
        <v>1000000</v>
      </c>
    </row>
    <row r="124" spans="1:8" s="21" customFormat="1" x14ac:dyDescent="0.25">
      <c r="A124" s="19" t="s">
        <v>48</v>
      </c>
      <c r="B124" s="18" t="s">
        <v>16</v>
      </c>
      <c r="C124" s="22" t="s">
        <v>279</v>
      </c>
      <c r="D124" s="46">
        <v>116</v>
      </c>
      <c r="E124" s="30">
        <v>176</v>
      </c>
      <c r="F124" s="22" t="s">
        <v>328</v>
      </c>
      <c r="G124" s="35">
        <v>44583</v>
      </c>
      <c r="H124" s="43">
        <v>1000000</v>
      </c>
    </row>
    <row r="125" spans="1:8" s="21" customFormat="1" x14ac:dyDescent="0.25">
      <c r="A125" s="19" t="s">
        <v>48</v>
      </c>
      <c r="B125" s="18" t="s">
        <v>16</v>
      </c>
      <c r="C125" s="22" t="s">
        <v>289</v>
      </c>
      <c r="D125" s="46">
        <v>117</v>
      </c>
      <c r="E125" s="30">
        <v>177</v>
      </c>
      <c r="F125" s="22" t="s">
        <v>328</v>
      </c>
      <c r="G125" s="35">
        <v>44582</v>
      </c>
      <c r="H125" s="43">
        <v>1000000</v>
      </c>
    </row>
    <row r="126" spans="1:8" s="21" customFormat="1" x14ac:dyDescent="0.25">
      <c r="A126" s="19" t="s">
        <v>48</v>
      </c>
      <c r="B126" s="18" t="s">
        <v>16</v>
      </c>
      <c r="C126" s="22" t="s">
        <v>297</v>
      </c>
      <c r="D126" s="46">
        <v>118</v>
      </c>
      <c r="E126" s="30">
        <v>178</v>
      </c>
      <c r="F126" s="22" t="s">
        <v>328</v>
      </c>
      <c r="G126" s="35">
        <v>44581</v>
      </c>
      <c r="H126" s="43">
        <v>1000000</v>
      </c>
    </row>
    <row r="127" spans="1:8" s="21" customFormat="1" x14ac:dyDescent="0.25">
      <c r="A127" s="19" t="s">
        <v>48</v>
      </c>
      <c r="B127" s="18" t="s">
        <v>16</v>
      </c>
      <c r="C127" s="22" t="s">
        <v>301</v>
      </c>
      <c r="D127" s="46">
        <v>120</v>
      </c>
      <c r="E127" s="30">
        <v>180</v>
      </c>
      <c r="F127" s="22" t="s">
        <v>328</v>
      </c>
      <c r="G127" s="35">
        <v>44579</v>
      </c>
      <c r="H127" s="43">
        <v>1000000</v>
      </c>
    </row>
    <row r="128" spans="1:8" s="21" customFormat="1" x14ac:dyDescent="0.25">
      <c r="A128" s="19" t="s">
        <v>48</v>
      </c>
      <c r="B128" s="18" t="s">
        <v>16</v>
      </c>
      <c r="C128" s="22" t="s">
        <v>305</v>
      </c>
      <c r="D128" s="46">
        <v>121</v>
      </c>
      <c r="E128" s="30">
        <v>181</v>
      </c>
      <c r="F128" s="22" t="s">
        <v>328</v>
      </c>
      <c r="G128" s="35">
        <v>44578</v>
      </c>
      <c r="H128" s="43">
        <v>1000000</v>
      </c>
    </row>
    <row r="129" spans="1:8" s="21" customFormat="1" x14ac:dyDescent="0.25">
      <c r="A129" s="19" t="s">
        <v>48</v>
      </c>
      <c r="B129" s="18" t="s">
        <v>16</v>
      </c>
      <c r="C129" s="22" t="s">
        <v>315</v>
      </c>
      <c r="D129" s="46">
        <v>123</v>
      </c>
      <c r="E129" s="30">
        <v>183</v>
      </c>
      <c r="F129" s="22" t="s">
        <v>328</v>
      </c>
      <c r="G129" s="35">
        <v>44576</v>
      </c>
      <c r="H129" s="43">
        <v>1000000</v>
      </c>
    </row>
    <row r="130" spans="1:8" s="21" customFormat="1" x14ac:dyDescent="0.25">
      <c r="A130" s="19" t="s">
        <v>48</v>
      </c>
      <c r="B130" s="18" t="s">
        <v>16</v>
      </c>
      <c r="C130" s="22" t="s">
        <v>323</v>
      </c>
      <c r="D130" s="46">
        <v>124</v>
      </c>
      <c r="E130" s="30">
        <v>184</v>
      </c>
      <c r="F130" s="22" t="s">
        <v>328</v>
      </c>
      <c r="G130" s="35">
        <v>44575</v>
      </c>
      <c r="H130" s="43">
        <v>1000000</v>
      </c>
    </row>
    <row r="131" spans="1:8" s="21" customFormat="1" x14ac:dyDescent="0.25">
      <c r="A131" s="19" t="s">
        <v>48</v>
      </c>
      <c r="B131" s="18" t="s">
        <v>16</v>
      </c>
      <c r="C131" s="22" t="s">
        <v>330</v>
      </c>
      <c r="D131" s="46">
        <v>126</v>
      </c>
      <c r="E131" s="30">
        <v>186</v>
      </c>
      <c r="F131" s="22" t="s">
        <v>328</v>
      </c>
      <c r="G131" s="35">
        <v>44573</v>
      </c>
      <c r="H131" s="43">
        <v>1000000</v>
      </c>
    </row>
    <row r="132" spans="1:8" s="21" customFormat="1" x14ac:dyDescent="0.25">
      <c r="A132" s="19" t="s">
        <v>48</v>
      </c>
      <c r="B132" s="18" t="s">
        <v>16</v>
      </c>
      <c r="C132" s="22" t="s">
        <v>348</v>
      </c>
      <c r="D132" s="46">
        <v>128</v>
      </c>
      <c r="E132" s="30">
        <v>188</v>
      </c>
      <c r="F132" s="22" t="s">
        <v>328</v>
      </c>
      <c r="G132" s="35">
        <v>44571</v>
      </c>
      <c r="H132" s="43">
        <v>1000000</v>
      </c>
    </row>
    <row r="133" spans="1:8" s="21" customFormat="1" x14ac:dyDescent="0.25">
      <c r="A133" s="19" t="s">
        <v>48</v>
      </c>
      <c r="B133" s="18" t="s">
        <v>16</v>
      </c>
      <c r="C133" s="22" t="s">
        <v>349</v>
      </c>
      <c r="D133" s="46">
        <v>130</v>
      </c>
      <c r="E133" s="30">
        <v>190</v>
      </c>
      <c r="F133" s="22" t="s">
        <v>328</v>
      </c>
      <c r="G133" s="35">
        <v>44569</v>
      </c>
      <c r="H133" s="43">
        <v>1000000</v>
      </c>
    </row>
    <row r="134" spans="1:8" s="21" customFormat="1" x14ac:dyDescent="0.25">
      <c r="A134" s="19" t="s">
        <v>48</v>
      </c>
      <c r="B134" s="18" t="s">
        <v>16</v>
      </c>
      <c r="C134" s="22" t="s">
        <v>404</v>
      </c>
      <c r="D134" s="46">
        <v>132</v>
      </c>
      <c r="E134" s="30">
        <v>192</v>
      </c>
      <c r="F134" s="22" t="s">
        <v>328</v>
      </c>
      <c r="G134" s="35">
        <v>44567</v>
      </c>
      <c r="H134" s="43">
        <v>1000000</v>
      </c>
    </row>
    <row r="135" spans="1:8" s="21" customFormat="1" x14ac:dyDescent="0.25">
      <c r="A135" s="19" t="s">
        <v>48</v>
      </c>
      <c r="B135" s="18" t="s">
        <v>16</v>
      </c>
      <c r="C135" s="22" t="s">
        <v>405</v>
      </c>
      <c r="D135" s="46">
        <v>133</v>
      </c>
      <c r="E135" s="30">
        <v>193</v>
      </c>
      <c r="F135" s="22" t="s">
        <v>328</v>
      </c>
      <c r="G135" s="35">
        <v>44566</v>
      </c>
      <c r="H135" s="43">
        <v>1000000</v>
      </c>
    </row>
    <row r="136" spans="1:8" s="21" customFormat="1" x14ac:dyDescent="0.25">
      <c r="A136" s="19" t="s">
        <v>48</v>
      </c>
      <c r="B136" s="18" t="s">
        <v>16</v>
      </c>
      <c r="C136" s="22" t="s">
        <v>417</v>
      </c>
      <c r="D136" s="46">
        <v>137</v>
      </c>
      <c r="E136" s="30">
        <v>197</v>
      </c>
      <c r="F136" s="22" t="s">
        <v>328</v>
      </c>
      <c r="G136" s="35">
        <v>44562</v>
      </c>
      <c r="H136" s="43">
        <v>1000000</v>
      </c>
    </row>
    <row r="137" spans="1:8" s="21" customFormat="1" x14ac:dyDescent="0.25">
      <c r="A137" s="19" t="s">
        <v>48</v>
      </c>
      <c r="B137" s="18" t="s">
        <v>16</v>
      </c>
      <c r="C137" s="22" t="s">
        <v>472</v>
      </c>
      <c r="D137" s="46">
        <v>283</v>
      </c>
      <c r="E137" s="30">
        <v>343</v>
      </c>
      <c r="F137" s="22" t="s">
        <v>328</v>
      </c>
      <c r="G137" s="35">
        <v>44416</v>
      </c>
      <c r="H137" s="43">
        <v>1000000</v>
      </c>
    </row>
    <row r="138" spans="1:8" s="21" customFormat="1" x14ac:dyDescent="0.25">
      <c r="A138" s="19" t="s">
        <v>48</v>
      </c>
      <c r="B138" s="18" t="s">
        <v>16</v>
      </c>
      <c r="C138" s="22" t="s">
        <v>473</v>
      </c>
      <c r="D138" s="46">
        <v>324</v>
      </c>
      <c r="E138" s="30">
        <v>384</v>
      </c>
      <c r="F138" s="22" t="s">
        <v>328</v>
      </c>
      <c r="G138" s="35">
        <v>44375</v>
      </c>
      <c r="H138" s="43">
        <v>1000000</v>
      </c>
    </row>
    <row r="139" spans="1:8" s="21" customFormat="1" x14ac:dyDescent="0.25">
      <c r="A139" s="19" t="s">
        <v>48</v>
      </c>
      <c r="B139" s="18" t="s">
        <v>16</v>
      </c>
      <c r="C139" s="22" t="s">
        <v>474</v>
      </c>
      <c r="D139" s="46">
        <v>80</v>
      </c>
      <c r="E139" s="30">
        <v>140</v>
      </c>
      <c r="F139" s="22" t="s">
        <v>328</v>
      </c>
      <c r="G139" s="35">
        <v>44619</v>
      </c>
      <c r="H139" s="43">
        <v>1000000</v>
      </c>
    </row>
    <row r="140" spans="1:8" s="21" customFormat="1" x14ac:dyDescent="0.25">
      <c r="A140" s="19" t="s">
        <v>48</v>
      </c>
      <c r="B140" s="18" t="s">
        <v>16</v>
      </c>
      <c r="C140" s="22" t="s">
        <v>475</v>
      </c>
      <c r="D140" s="46">
        <v>81</v>
      </c>
      <c r="E140" s="30">
        <v>141</v>
      </c>
      <c r="F140" s="22" t="s">
        <v>328</v>
      </c>
      <c r="G140" s="35">
        <v>44618</v>
      </c>
      <c r="H140" s="43">
        <v>1000000</v>
      </c>
    </row>
    <row r="141" spans="1:8" s="21" customFormat="1" x14ac:dyDescent="0.25">
      <c r="A141" s="19" t="s">
        <v>48</v>
      </c>
      <c r="B141" s="18" t="s">
        <v>16</v>
      </c>
      <c r="C141" s="22" t="s">
        <v>476</v>
      </c>
      <c r="D141" s="46">
        <v>84</v>
      </c>
      <c r="E141" s="30">
        <v>144</v>
      </c>
      <c r="F141" s="22" t="s">
        <v>328</v>
      </c>
      <c r="G141" s="35">
        <v>44615</v>
      </c>
      <c r="H141" s="43">
        <v>1000000</v>
      </c>
    </row>
    <row r="142" spans="1:8" s="21" customFormat="1" x14ac:dyDescent="0.25">
      <c r="A142" s="19" t="s">
        <v>48</v>
      </c>
      <c r="B142" s="18" t="s">
        <v>16</v>
      </c>
      <c r="C142" s="22" t="s">
        <v>477</v>
      </c>
      <c r="D142" s="46">
        <v>86</v>
      </c>
      <c r="E142" s="30">
        <v>146</v>
      </c>
      <c r="F142" s="22" t="s">
        <v>328</v>
      </c>
      <c r="G142" s="35">
        <v>44613</v>
      </c>
      <c r="H142" s="43">
        <v>1000000</v>
      </c>
    </row>
    <row r="143" spans="1:8" s="21" customFormat="1" x14ac:dyDescent="0.25">
      <c r="A143" s="19" t="s">
        <v>48</v>
      </c>
      <c r="B143" s="18" t="s">
        <v>16</v>
      </c>
      <c r="C143" s="22" t="s">
        <v>478</v>
      </c>
      <c r="D143" s="46">
        <v>87</v>
      </c>
      <c r="E143" s="30">
        <v>147</v>
      </c>
      <c r="F143" s="22" t="s">
        <v>328</v>
      </c>
      <c r="G143" s="35">
        <v>44612</v>
      </c>
      <c r="H143" s="43">
        <v>1000000</v>
      </c>
    </row>
    <row r="144" spans="1:8" s="21" customFormat="1" x14ac:dyDescent="0.25">
      <c r="A144" s="19" t="s">
        <v>48</v>
      </c>
      <c r="B144" s="18" t="s">
        <v>16</v>
      </c>
      <c r="C144" s="22" t="s">
        <v>479</v>
      </c>
      <c r="D144" s="46">
        <v>88</v>
      </c>
      <c r="E144" s="30">
        <v>148</v>
      </c>
      <c r="F144" s="22" t="s">
        <v>328</v>
      </c>
      <c r="G144" s="35">
        <v>44611</v>
      </c>
      <c r="H144" s="43">
        <v>1000000</v>
      </c>
    </row>
    <row r="145" spans="1:8" s="21" customFormat="1" x14ac:dyDescent="0.25">
      <c r="A145" s="19" t="s">
        <v>48</v>
      </c>
      <c r="B145" s="18" t="s">
        <v>16</v>
      </c>
      <c r="C145" s="22" t="s">
        <v>480</v>
      </c>
      <c r="D145" s="46">
        <v>89</v>
      </c>
      <c r="E145" s="30">
        <v>149</v>
      </c>
      <c r="F145" s="22" t="s">
        <v>328</v>
      </c>
      <c r="G145" s="35">
        <v>44610</v>
      </c>
      <c r="H145" s="43">
        <v>1000000</v>
      </c>
    </row>
    <row r="146" spans="1:8" s="21" customFormat="1" x14ac:dyDescent="0.25">
      <c r="A146" s="19" t="s">
        <v>48</v>
      </c>
      <c r="B146" s="18" t="s">
        <v>17</v>
      </c>
      <c r="C146" s="22" t="s">
        <v>202</v>
      </c>
      <c r="D146" s="46">
        <v>94</v>
      </c>
      <c r="E146" s="30">
        <v>154</v>
      </c>
      <c r="F146" s="22" t="s">
        <v>328</v>
      </c>
      <c r="G146" s="35">
        <v>44605</v>
      </c>
      <c r="H146" s="43">
        <v>1000000</v>
      </c>
    </row>
    <row r="147" spans="1:8" s="21" customFormat="1" x14ac:dyDescent="0.25">
      <c r="A147" s="19" t="s">
        <v>48</v>
      </c>
      <c r="B147" s="18" t="s">
        <v>17</v>
      </c>
      <c r="C147" s="22" t="s">
        <v>203</v>
      </c>
      <c r="D147" s="46">
        <v>94</v>
      </c>
      <c r="E147" s="30">
        <v>154</v>
      </c>
      <c r="F147" s="22" t="s">
        <v>328</v>
      </c>
      <c r="G147" s="35">
        <v>44605</v>
      </c>
      <c r="H147" s="43">
        <v>1000000</v>
      </c>
    </row>
    <row r="148" spans="1:8" s="21" customFormat="1" x14ac:dyDescent="0.25">
      <c r="A148" s="19" t="s">
        <v>48</v>
      </c>
      <c r="B148" s="18" t="s">
        <v>17</v>
      </c>
      <c r="C148" s="22" t="s">
        <v>224</v>
      </c>
      <c r="D148" s="46">
        <v>102</v>
      </c>
      <c r="E148" s="30">
        <v>162</v>
      </c>
      <c r="F148" s="22" t="s">
        <v>328</v>
      </c>
      <c r="G148" s="35">
        <v>44597</v>
      </c>
      <c r="H148" s="43">
        <v>1000000</v>
      </c>
    </row>
    <row r="149" spans="1:8" s="21" customFormat="1" x14ac:dyDescent="0.25">
      <c r="A149" s="19" t="s">
        <v>48</v>
      </c>
      <c r="B149" s="18" t="s">
        <v>17</v>
      </c>
      <c r="C149" s="22" t="s">
        <v>243</v>
      </c>
      <c r="D149" s="46">
        <v>106</v>
      </c>
      <c r="E149" s="30">
        <v>166</v>
      </c>
      <c r="F149" s="22" t="s">
        <v>328</v>
      </c>
      <c r="G149" s="35">
        <v>44593</v>
      </c>
      <c r="H149" s="43">
        <v>1000000</v>
      </c>
    </row>
    <row r="150" spans="1:8" s="21" customFormat="1" x14ac:dyDescent="0.25">
      <c r="A150" s="19" t="s">
        <v>48</v>
      </c>
      <c r="B150" s="18" t="s">
        <v>17</v>
      </c>
      <c r="C150" s="22" t="s">
        <v>257</v>
      </c>
      <c r="D150" s="46">
        <v>107</v>
      </c>
      <c r="E150" s="30">
        <v>167</v>
      </c>
      <c r="F150" s="22" t="s">
        <v>328</v>
      </c>
      <c r="G150" s="35">
        <v>44592</v>
      </c>
      <c r="H150" s="43">
        <v>1000000</v>
      </c>
    </row>
    <row r="151" spans="1:8" s="21" customFormat="1" x14ac:dyDescent="0.25">
      <c r="A151" s="19" t="s">
        <v>48</v>
      </c>
      <c r="B151" s="18" t="s">
        <v>17</v>
      </c>
      <c r="C151" s="22" t="s">
        <v>272</v>
      </c>
      <c r="D151" s="46">
        <v>112</v>
      </c>
      <c r="E151" s="30">
        <v>172</v>
      </c>
      <c r="F151" s="22" t="s">
        <v>328</v>
      </c>
      <c r="G151" s="35">
        <v>44587</v>
      </c>
      <c r="H151" s="43">
        <v>1000000</v>
      </c>
    </row>
    <row r="152" spans="1:8" s="21" customFormat="1" x14ac:dyDescent="0.25">
      <c r="A152" s="19" t="s">
        <v>48</v>
      </c>
      <c r="B152" s="18" t="s">
        <v>17</v>
      </c>
      <c r="C152" s="22" t="s">
        <v>298</v>
      </c>
      <c r="D152" s="46">
        <v>118</v>
      </c>
      <c r="E152" s="30">
        <v>178</v>
      </c>
      <c r="F152" s="22" t="s">
        <v>328</v>
      </c>
      <c r="G152" s="35">
        <v>44581</v>
      </c>
      <c r="H152" s="43">
        <v>1000000</v>
      </c>
    </row>
    <row r="153" spans="1:8" s="21" customFormat="1" x14ac:dyDescent="0.25">
      <c r="A153" s="19" t="s">
        <v>48</v>
      </c>
      <c r="B153" s="18" t="s">
        <v>17</v>
      </c>
      <c r="C153" s="22" t="s">
        <v>324</v>
      </c>
      <c r="D153" s="46">
        <v>124</v>
      </c>
      <c r="E153" s="30">
        <v>184</v>
      </c>
      <c r="F153" s="22" t="s">
        <v>328</v>
      </c>
      <c r="G153" s="35">
        <v>44575</v>
      </c>
      <c r="H153" s="43">
        <v>1000000</v>
      </c>
    </row>
    <row r="154" spans="1:8" s="21" customFormat="1" x14ac:dyDescent="0.25">
      <c r="A154" s="19" t="s">
        <v>48</v>
      </c>
      <c r="B154" s="18" t="s">
        <v>17</v>
      </c>
      <c r="C154" s="22" t="s">
        <v>418</v>
      </c>
      <c r="D154" s="46">
        <v>137</v>
      </c>
      <c r="E154" s="30">
        <v>197</v>
      </c>
      <c r="F154" s="22" t="s">
        <v>328</v>
      </c>
      <c r="G154" s="35">
        <v>44562</v>
      </c>
      <c r="H154" s="43">
        <v>1000000</v>
      </c>
    </row>
    <row r="155" spans="1:8" s="21" customFormat="1" x14ac:dyDescent="0.25">
      <c r="A155" s="19" t="s">
        <v>48</v>
      </c>
      <c r="B155" s="18" t="s">
        <v>17</v>
      </c>
      <c r="C155" s="22" t="s">
        <v>481</v>
      </c>
      <c r="D155" s="46">
        <v>82</v>
      </c>
      <c r="E155" s="30">
        <v>142</v>
      </c>
      <c r="F155" s="22" t="s">
        <v>328</v>
      </c>
      <c r="G155" s="35">
        <v>44617</v>
      </c>
      <c r="H155" s="43">
        <v>1000000</v>
      </c>
    </row>
    <row r="156" spans="1:8" s="21" customFormat="1" x14ac:dyDescent="0.25">
      <c r="A156" s="19" t="s">
        <v>48</v>
      </c>
      <c r="B156" s="18" t="s">
        <v>17</v>
      </c>
      <c r="C156" s="22" t="s">
        <v>482</v>
      </c>
      <c r="D156" s="46">
        <v>84</v>
      </c>
      <c r="E156" s="30">
        <v>144</v>
      </c>
      <c r="F156" s="22" t="s">
        <v>328</v>
      </c>
      <c r="G156" s="35">
        <v>44615</v>
      </c>
      <c r="H156" s="43">
        <v>1000000</v>
      </c>
    </row>
    <row r="157" spans="1:8" s="21" customFormat="1" x14ac:dyDescent="0.25">
      <c r="A157" s="19" t="s">
        <v>48</v>
      </c>
      <c r="B157" s="18" t="s">
        <v>17</v>
      </c>
      <c r="C157" s="22" t="s">
        <v>483</v>
      </c>
      <c r="D157" s="46">
        <v>86</v>
      </c>
      <c r="E157" s="30">
        <v>146</v>
      </c>
      <c r="F157" s="22" t="s">
        <v>328</v>
      </c>
      <c r="G157" s="35">
        <v>44613</v>
      </c>
      <c r="H157" s="43">
        <v>1000000</v>
      </c>
    </row>
    <row r="158" spans="1:8" s="21" customFormat="1" x14ac:dyDescent="0.25">
      <c r="A158" s="19" t="s">
        <v>48</v>
      </c>
      <c r="B158" s="18" t="s">
        <v>17</v>
      </c>
      <c r="C158" s="22" t="s">
        <v>484</v>
      </c>
      <c r="D158" s="46">
        <v>86</v>
      </c>
      <c r="E158" s="30">
        <v>146</v>
      </c>
      <c r="F158" s="22" t="s">
        <v>328</v>
      </c>
      <c r="G158" s="35">
        <v>44613</v>
      </c>
      <c r="H158" s="43">
        <v>1000000</v>
      </c>
    </row>
    <row r="159" spans="1:8" s="21" customFormat="1" x14ac:dyDescent="0.25">
      <c r="A159" s="19" t="s">
        <v>48</v>
      </c>
      <c r="B159" s="18" t="s">
        <v>17</v>
      </c>
      <c r="C159" s="22" t="s">
        <v>485</v>
      </c>
      <c r="D159" s="46">
        <v>87</v>
      </c>
      <c r="E159" s="30">
        <v>147</v>
      </c>
      <c r="F159" s="22" t="s">
        <v>328</v>
      </c>
      <c r="G159" s="35">
        <v>44612</v>
      </c>
      <c r="H159" s="43">
        <v>1000000</v>
      </c>
    </row>
    <row r="160" spans="1:8" s="21" customFormat="1" x14ac:dyDescent="0.25">
      <c r="A160" s="19" t="s">
        <v>48</v>
      </c>
      <c r="B160" s="18" t="s">
        <v>17</v>
      </c>
      <c r="C160" s="22" t="s">
        <v>486</v>
      </c>
      <c r="D160" s="46">
        <v>88</v>
      </c>
      <c r="E160" s="30">
        <v>148</v>
      </c>
      <c r="F160" s="22" t="s">
        <v>328</v>
      </c>
      <c r="G160" s="35">
        <v>44611</v>
      </c>
      <c r="H160" s="43">
        <v>1000000</v>
      </c>
    </row>
    <row r="161" spans="1:8" s="21" customFormat="1" x14ac:dyDescent="0.25">
      <c r="A161" s="19" t="s">
        <v>48</v>
      </c>
      <c r="B161" s="18" t="s">
        <v>17</v>
      </c>
      <c r="C161" s="22" t="s">
        <v>487</v>
      </c>
      <c r="D161" s="46">
        <v>89</v>
      </c>
      <c r="E161" s="30">
        <v>149</v>
      </c>
      <c r="F161" s="22" t="s">
        <v>328</v>
      </c>
      <c r="G161" s="35">
        <v>44610</v>
      </c>
      <c r="H161" s="43">
        <v>1000000</v>
      </c>
    </row>
    <row r="162" spans="1:8" s="21" customFormat="1" x14ac:dyDescent="0.25">
      <c r="A162" s="19" t="s">
        <v>48</v>
      </c>
      <c r="B162" s="18" t="s">
        <v>18</v>
      </c>
      <c r="C162" s="22" t="s">
        <v>52</v>
      </c>
      <c r="D162" s="46">
        <v>175</v>
      </c>
      <c r="E162" s="30">
        <v>235</v>
      </c>
      <c r="F162" s="22" t="s">
        <v>328</v>
      </c>
      <c r="G162" s="35">
        <v>44524</v>
      </c>
      <c r="H162" s="43">
        <v>1000000</v>
      </c>
    </row>
    <row r="163" spans="1:8" s="21" customFormat="1" x14ac:dyDescent="0.25">
      <c r="A163" s="19" t="s">
        <v>48</v>
      </c>
      <c r="B163" s="18" t="s">
        <v>18</v>
      </c>
      <c r="C163" s="22" t="s">
        <v>53</v>
      </c>
      <c r="D163" s="46">
        <v>176</v>
      </c>
      <c r="E163" s="30">
        <v>236</v>
      </c>
      <c r="F163" s="22" t="s">
        <v>328</v>
      </c>
      <c r="G163" s="35">
        <v>44523</v>
      </c>
      <c r="H163" s="43">
        <v>1000000</v>
      </c>
    </row>
    <row r="164" spans="1:8" s="21" customFormat="1" x14ac:dyDescent="0.25">
      <c r="A164" s="19" t="s">
        <v>48</v>
      </c>
      <c r="B164" s="18" t="s">
        <v>18</v>
      </c>
      <c r="C164" s="22" t="s">
        <v>54</v>
      </c>
      <c r="D164" s="46">
        <v>176</v>
      </c>
      <c r="E164" s="30">
        <v>236</v>
      </c>
      <c r="F164" s="22" t="s">
        <v>328</v>
      </c>
      <c r="G164" s="35">
        <v>44523</v>
      </c>
      <c r="H164" s="43">
        <v>1000000</v>
      </c>
    </row>
    <row r="165" spans="1:8" s="21" customFormat="1" x14ac:dyDescent="0.25">
      <c r="A165" s="19" t="s">
        <v>48</v>
      </c>
      <c r="B165" s="18" t="s">
        <v>18</v>
      </c>
      <c r="C165" s="22" t="s">
        <v>178</v>
      </c>
      <c r="D165" s="46">
        <v>251</v>
      </c>
      <c r="E165" s="30">
        <v>311</v>
      </c>
      <c r="F165" s="22" t="s">
        <v>328</v>
      </c>
      <c r="G165" s="35">
        <v>44448</v>
      </c>
      <c r="H165" s="43">
        <v>1000000</v>
      </c>
    </row>
    <row r="166" spans="1:8" s="21" customFormat="1" x14ac:dyDescent="0.25">
      <c r="A166" s="19" t="s">
        <v>48</v>
      </c>
      <c r="B166" s="18" t="s">
        <v>18</v>
      </c>
      <c r="C166" s="22" t="s">
        <v>273</v>
      </c>
      <c r="D166" s="46">
        <v>112</v>
      </c>
      <c r="E166" s="30">
        <v>172</v>
      </c>
      <c r="F166" s="22" t="s">
        <v>328</v>
      </c>
      <c r="G166" s="35">
        <v>44587</v>
      </c>
      <c r="H166" s="43">
        <v>1000000</v>
      </c>
    </row>
    <row r="167" spans="1:8" s="21" customFormat="1" x14ac:dyDescent="0.25">
      <c r="A167" s="19" t="s">
        <v>48</v>
      </c>
      <c r="B167" s="18" t="s">
        <v>18</v>
      </c>
      <c r="C167" s="22" t="s">
        <v>325</v>
      </c>
      <c r="D167" s="46">
        <v>125</v>
      </c>
      <c r="E167" s="30">
        <v>185</v>
      </c>
      <c r="F167" s="22" t="s">
        <v>328</v>
      </c>
      <c r="G167" s="35">
        <v>44574</v>
      </c>
      <c r="H167" s="43">
        <v>1000000</v>
      </c>
    </row>
    <row r="168" spans="1:8" s="21" customFormat="1" x14ac:dyDescent="0.25">
      <c r="A168" s="19" t="s">
        <v>48</v>
      </c>
      <c r="B168" s="18" t="s">
        <v>18</v>
      </c>
      <c r="C168" s="22" t="s">
        <v>326</v>
      </c>
      <c r="D168" s="46">
        <v>125</v>
      </c>
      <c r="E168" s="30">
        <v>185</v>
      </c>
      <c r="F168" s="22" t="s">
        <v>328</v>
      </c>
      <c r="G168" s="35">
        <v>44574</v>
      </c>
      <c r="H168" s="43">
        <v>1000000</v>
      </c>
    </row>
    <row r="169" spans="1:8" s="21" customFormat="1" x14ac:dyDescent="0.25">
      <c r="A169" s="19" t="s">
        <v>48</v>
      </c>
      <c r="B169" s="18" t="s">
        <v>18</v>
      </c>
      <c r="C169" s="22" t="s">
        <v>336</v>
      </c>
      <c r="D169" s="46">
        <v>127</v>
      </c>
      <c r="E169" s="30">
        <v>187</v>
      </c>
      <c r="F169" s="22" t="s">
        <v>328</v>
      </c>
      <c r="G169" s="35">
        <v>44572</v>
      </c>
      <c r="H169" s="43">
        <v>1000000</v>
      </c>
    </row>
    <row r="170" spans="1:8" s="21" customFormat="1" x14ac:dyDescent="0.25">
      <c r="A170" s="19" t="s">
        <v>48</v>
      </c>
      <c r="B170" s="18" t="s">
        <v>18</v>
      </c>
      <c r="C170" s="22" t="s">
        <v>337</v>
      </c>
      <c r="D170" s="46">
        <v>127</v>
      </c>
      <c r="E170" s="30">
        <v>187</v>
      </c>
      <c r="F170" s="22" t="s">
        <v>328</v>
      </c>
      <c r="G170" s="35">
        <v>44572</v>
      </c>
      <c r="H170" s="43">
        <v>1000000</v>
      </c>
    </row>
    <row r="171" spans="1:8" s="21" customFormat="1" x14ac:dyDescent="0.25">
      <c r="A171" s="19" t="s">
        <v>48</v>
      </c>
      <c r="B171" s="18" t="s">
        <v>18</v>
      </c>
      <c r="C171" s="22" t="s">
        <v>339</v>
      </c>
      <c r="D171" s="46">
        <v>128</v>
      </c>
      <c r="E171" s="30">
        <v>188</v>
      </c>
      <c r="F171" s="22" t="s">
        <v>328</v>
      </c>
      <c r="G171" s="35">
        <v>44571</v>
      </c>
      <c r="H171" s="43">
        <v>1000000</v>
      </c>
    </row>
    <row r="172" spans="1:8" s="21" customFormat="1" x14ac:dyDescent="0.25">
      <c r="A172" s="19" t="s">
        <v>48</v>
      </c>
      <c r="B172" s="18" t="s">
        <v>18</v>
      </c>
      <c r="C172" s="22" t="s">
        <v>350</v>
      </c>
      <c r="D172" s="46">
        <v>129</v>
      </c>
      <c r="E172" s="30">
        <v>189</v>
      </c>
      <c r="F172" s="22" t="s">
        <v>328</v>
      </c>
      <c r="G172" s="35">
        <v>44570</v>
      </c>
      <c r="H172" s="43">
        <v>1000000</v>
      </c>
    </row>
    <row r="173" spans="1:8" s="21" customFormat="1" x14ac:dyDescent="0.25">
      <c r="A173" s="19" t="s">
        <v>48</v>
      </c>
      <c r="B173" s="18" t="s">
        <v>18</v>
      </c>
      <c r="C173" s="22" t="s">
        <v>351</v>
      </c>
      <c r="D173" s="46">
        <v>130</v>
      </c>
      <c r="E173" s="30">
        <v>190</v>
      </c>
      <c r="F173" s="22" t="s">
        <v>328</v>
      </c>
      <c r="G173" s="35">
        <v>44569</v>
      </c>
      <c r="H173" s="43">
        <v>1000000</v>
      </c>
    </row>
    <row r="174" spans="1:8" s="21" customFormat="1" x14ac:dyDescent="0.25">
      <c r="A174" s="19" t="s">
        <v>48</v>
      </c>
      <c r="B174" s="18" t="s">
        <v>18</v>
      </c>
      <c r="C174" s="22" t="s">
        <v>362</v>
      </c>
      <c r="D174" s="46">
        <v>131</v>
      </c>
      <c r="E174" s="30">
        <v>191</v>
      </c>
      <c r="F174" s="22" t="s">
        <v>328</v>
      </c>
      <c r="G174" s="35">
        <v>44568</v>
      </c>
      <c r="H174" s="43">
        <v>1000000</v>
      </c>
    </row>
    <row r="175" spans="1:8" s="21" customFormat="1" x14ac:dyDescent="0.25">
      <c r="A175" s="19" t="s">
        <v>48</v>
      </c>
      <c r="B175" s="18" t="s">
        <v>18</v>
      </c>
      <c r="C175" s="22" t="s">
        <v>363</v>
      </c>
      <c r="D175" s="46">
        <v>131</v>
      </c>
      <c r="E175" s="30">
        <v>191</v>
      </c>
      <c r="F175" s="22" t="s">
        <v>328</v>
      </c>
      <c r="G175" s="35">
        <v>44568</v>
      </c>
      <c r="H175" s="43">
        <v>1000000</v>
      </c>
    </row>
    <row r="176" spans="1:8" s="21" customFormat="1" x14ac:dyDescent="0.25">
      <c r="A176" s="19" t="s">
        <v>48</v>
      </c>
      <c r="B176" s="18" t="s">
        <v>18</v>
      </c>
      <c r="C176" s="22" t="s">
        <v>406</v>
      </c>
      <c r="D176" s="46">
        <v>132</v>
      </c>
      <c r="E176" s="30">
        <v>192</v>
      </c>
      <c r="F176" s="22" t="s">
        <v>328</v>
      </c>
      <c r="G176" s="35">
        <v>44567</v>
      </c>
      <c r="H176" s="43">
        <v>1000000</v>
      </c>
    </row>
    <row r="177" spans="1:8" s="21" customFormat="1" x14ac:dyDescent="0.25">
      <c r="A177" s="19" t="s">
        <v>48</v>
      </c>
      <c r="B177" s="18" t="s">
        <v>18</v>
      </c>
      <c r="C177" s="22" t="s">
        <v>419</v>
      </c>
      <c r="D177" s="46">
        <v>134</v>
      </c>
      <c r="E177" s="30">
        <v>194</v>
      </c>
      <c r="F177" s="22" t="s">
        <v>328</v>
      </c>
      <c r="G177" s="35">
        <v>44565</v>
      </c>
      <c r="H177" s="43">
        <v>1000000</v>
      </c>
    </row>
    <row r="178" spans="1:8" s="21" customFormat="1" x14ac:dyDescent="0.25">
      <c r="A178" s="19" t="s">
        <v>48</v>
      </c>
      <c r="B178" s="18" t="s">
        <v>18</v>
      </c>
      <c r="C178" s="22" t="s">
        <v>420</v>
      </c>
      <c r="D178" s="46">
        <v>134</v>
      </c>
      <c r="E178" s="30">
        <v>194</v>
      </c>
      <c r="F178" s="22" t="s">
        <v>328</v>
      </c>
      <c r="G178" s="35">
        <v>44565</v>
      </c>
      <c r="H178" s="43">
        <v>1000000</v>
      </c>
    </row>
    <row r="179" spans="1:8" s="21" customFormat="1" x14ac:dyDescent="0.25">
      <c r="A179" s="19" t="s">
        <v>48</v>
      </c>
      <c r="B179" s="18" t="s">
        <v>18</v>
      </c>
      <c r="C179" s="22" t="s">
        <v>421</v>
      </c>
      <c r="D179" s="46">
        <v>135</v>
      </c>
      <c r="E179" s="30">
        <v>195</v>
      </c>
      <c r="F179" s="22" t="s">
        <v>328</v>
      </c>
      <c r="G179" s="35">
        <v>44564</v>
      </c>
      <c r="H179" s="43">
        <v>1000000</v>
      </c>
    </row>
    <row r="180" spans="1:8" s="21" customFormat="1" x14ac:dyDescent="0.25">
      <c r="A180" s="19" t="s">
        <v>48</v>
      </c>
      <c r="B180" s="18" t="s">
        <v>18</v>
      </c>
      <c r="C180" s="22" t="s">
        <v>488</v>
      </c>
      <c r="D180" s="46">
        <v>282</v>
      </c>
      <c r="E180" s="30">
        <v>342</v>
      </c>
      <c r="F180" s="22" t="s">
        <v>328</v>
      </c>
      <c r="G180" s="35">
        <v>44417</v>
      </c>
      <c r="H180" s="43">
        <v>1000000</v>
      </c>
    </row>
    <row r="181" spans="1:8" s="21" customFormat="1" x14ac:dyDescent="0.25">
      <c r="A181" s="19" t="s">
        <v>48</v>
      </c>
      <c r="B181" s="18" t="s">
        <v>18</v>
      </c>
      <c r="C181" s="22" t="s">
        <v>489</v>
      </c>
      <c r="D181" s="46">
        <v>83</v>
      </c>
      <c r="E181" s="30">
        <v>143</v>
      </c>
      <c r="F181" s="22" t="s">
        <v>328</v>
      </c>
      <c r="G181" s="35">
        <v>44616</v>
      </c>
      <c r="H181" s="43">
        <v>1000000</v>
      </c>
    </row>
    <row r="182" spans="1:8" s="21" customFormat="1" x14ac:dyDescent="0.25">
      <c r="A182" s="19" t="s">
        <v>48</v>
      </c>
      <c r="B182" s="18" t="s">
        <v>19</v>
      </c>
      <c r="C182" s="22" t="s">
        <v>287</v>
      </c>
      <c r="D182" s="46">
        <v>116</v>
      </c>
      <c r="E182" s="30">
        <v>176</v>
      </c>
      <c r="F182" s="22" t="s">
        <v>328</v>
      </c>
      <c r="G182" s="35">
        <v>44583</v>
      </c>
      <c r="H182" s="43">
        <v>1000000</v>
      </c>
    </row>
    <row r="183" spans="1:8" s="21" customFormat="1" x14ac:dyDescent="0.25">
      <c r="A183" s="19" t="s">
        <v>48</v>
      </c>
      <c r="B183" s="18" t="s">
        <v>19</v>
      </c>
      <c r="C183" s="22" t="s">
        <v>340</v>
      </c>
      <c r="D183" s="46">
        <v>127</v>
      </c>
      <c r="E183" s="30">
        <v>187</v>
      </c>
      <c r="F183" s="22" t="s">
        <v>328</v>
      </c>
      <c r="G183" s="35">
        <v>44572</v>
      </c>
      <c r="H183" s="43">
        <v>1000000</v>
      </c>
    </row>
    <row r="184" spans="1:8" s="21" customFormat="1" x14ac:dyDescent="0.25">
      <c r="A184" s="19" t="s">
        <v>48</v>
      </c>
      <c r="B184" s="18" t="s">
        <v>19</v>
      </c>
      <c r="C184" s="22" t="s">
        <v>364</v>
      </c>
      <c r="D184" s="46">
        <v>131</v>
      </c>
      <c r="E184" s="30">
        <v>191</v>
      </c>
      <c r="F184" s="22" t="s">
        <v>328</v>
      </c>
      <c r="G184" s="35">
        <v>44568</v>
      </c>
      <c r="H184" s="43">
        <v>1000000</v>
      </c>
    </row>
    <row r="185" spans="1:8" s="21" customFormat="1" x14ac:dyDescent="0.25">
      <c r="A185" s="19" t="s">
        <v>48</v>
      </c>
      <c r="B185" s="18" t="s">
        <v>19</v>
      </c>
      <c r="C185" s="22" t="s">
        <v>490</v>
      </c>
      <c r="D185" s="46">
        <v>64</v>
      </c>
      <c r="E185" s="30">
        <v>124</v>
      </c>
      <c r="F185" s="22" t="s">
        <v>328</v>
      </c>
      <c r="G185" s="35">
        <v>44635</v>
      </c>
      <c r="H185" s="43">
        <v>1000000</v>
      </c>
    </row>
    <row r="186" spans="1:8" s="21" customFormat="1" x14ac:dyDescent="0.25">
      <c r="A186" s="19" t="s">
        <v>48</v>
      </c>
      <c r="B186" s="18" t="s">
        <v>19</v>
      </c>
      <c r="C186" s="22" t="s">
        <v>491</v>
      </c>
      <c r="D186" s="46">
        <v>85</v>
      </c>
      <c r="E186" s="30">
        <v>145</v>
      </c>
      <c r="F186" s="22" t="s">
        <v>328</v>
      </c>
      <c r="G186" s="35">
        <v>44614</v>
      </c>
      <c r="H186" s="43">
        <v>1000000</v>
      </c>
    </row>
    <row r="187" spans="1:8" s="21" customFormat="1" x14ac:dyDescent="0.25">
      <c r="A187" s="19" t="s">
        <v>48</v>
      </c>
      <c r="B187" s="18" t="s">
        <v>20</v>
      </c>
      <c r="C187" s="22" t="s">
        <v>244</v>
      </c>
      <c r="D187" s="46">
        <v>103</v>
      </c>
      <c r="E187" s="30">
        <v>163</v>
      </c>
      <c r="F187" s="22" t="s">
        <v>328</v>
      </c>
      <c r="G187" s="35">
        <v>44596</v>
      </c>
      <c r="H187" s="43">
        <v>1000000</v>
      </c>
    </row>
    <row r="188" spans="1:8" s="21" customFormat="1" x14ac:dyDescent="0.25">
      <c r="A188" s="19" t="s">
        <v>48</v>
      </c>
      <c r="B188" s="18" t="s">
        <v>20</v>
      </c>
      <c r="C188" s="22" t="s">
        <v>274</v>
      </c>
      <c r="D188" s="46">
        <v>111</v>
      </c>
      <c r="E188" s="30">
        <v>171</v>
      </c>
      <c r="F188" s="22" t="s">
        <v>328</v>
      </c>
      <c r="G188" s="35">
        <v>44588</v>
      </c>
      <c r="H188" s="43">
        <v>1000000</v>
      </c>
    </row>
    <row r="189" spans="1:8" s="21" customFormat="1" x14ac:dyDescent="0.25">
      <c r="A189" s="19" t="s">
        <v>48</v>
      </c>
      <c r="B189" s="18" t="s">
        <v>20</v>
      </c>
      <c r="C189" s="22" t="s">
        <v>280</v>
      </c>
      <c r="D189" s="46">
        <v>114</v>
      </c>
      <c r="E189" s="30">
        <v>174</v>
      </c>
      <c r="F189" s="22" t="s">
        <v>328</v>
      </c>
      <c r="G189" s="35">
        <v>44585</v>
      </c>
      <c r="H189" s="43">
        <v>1000000</v>
      </c>
    </row>
    <row r="190" spans="1:8" s="21" customFormat="1" x14ac:dyDescent="0.25">
      <c r="A190" s="19" t="s">
        <v>48</v>
      </c>
      <c r="B190" s="18" t="s">
        <v>20</v>
      </c>
      <c r="C190" s="22" t="s">
        <v>306</v>
      </c>
      <c r="D190" s="46">
        <v>121</v>
      </c>
      <c r="E190" s="30">
        <v>181</v>
      </c>
      <c r="F190" s="22" t="s">
        <v>328</v>
      </c>
      <c r="G190" s="35">
        <v>44578</v>
      </c>
      <c r="H190" s="43">
        <v>1000000</v>
      </c>
    </row>
    <row r="191" spans="1:8" s="21" customFormat="1" x14ac:dyDescent="0.25">
      <c r="A191" s="19" t="s">
        <v>48</v>
      </c>
      <c r="B191" s="18" t="s">
        <v>20</v>
      </c>
      <c r="C191" s="22" t="s">
        <v>365</v>
      </c>
      <c r="D191" s="46">
        <v>131</v>
      </c>
      <c r="E191" s="30">
        <v>191</v>
      </c>
      <c r="F191" s="22" t="s">
        <v>328</v>
      </c>
      <c r="G191" s="35">
        <v>44568</v>
      </c>
      <c r="H191" s="43">
        <v>1000000</v>
      </c>
    </row>
    <row r="192" spans="1:8" s="21" customFormat="1" x14ac:dyDescent="0.25">
      <c r="A192" s="19" t="s">
        <v>48</v>
      </c>
      <c r="B192" s="18" t="s">
        <v>20</v>
      </c>
      <c r="C192" s="22" t="s">
        <v>492</v>
      </c>
      <c r="D192" s="46">
        <v>282</v>
      </c>
      <c r="E192" s="30">
        <v>342</v>
      </c>
      <c r="F192" s="22" t="s">
        <v>328</v>
      </c>
      <c r="G192" s="35">
        <v>44417</v>
      </c>
      <c r="H192" s="43">
        <v>1000000</v>
      </c>
    </row>
    <row r="193" spans="1:8" s="21" customFormat="1" x14ac:dyDescent="0.25">
      <c r="A193" s="19" t="s">
        <v>48</v>
      </c>
      <c r="B193" s="18" t="s">
        <v>20</v>
      </c>
      <c r="C193" s="22" t="s">
        <v>493</v>
      </c>
      <c r="D193" s="46">
        <v>366</v>
      </c>
      <c r="E193" s="30">
        <v>426</v>
      </c>
      <c r="F193" s="22" t="s">
        <v>328</v>
      </c>
      <c r="G193" s="35">
        <v>44333</v>
      </c>
      <c r="H193" s="43">
        <v>1000000</v>
      </c>
    </row>
    <row r="194" spans="1:8" s="21" customFormat="1" x14ac:dyDescent="0.25">
      <c r="A194" s="19" t="s">
        <v>48</v>
      </c>
      <c r="B194" s="18" t="s">
        <v>20</v>
      </c>
      <c r="C194" s="22" t="s">
        <v>494</v>
      </c>
      <c r="D194" s="46">
        <v>54</v>
      </c>
      <c r="E194" s="30">
        <v>114</v>
      </c>
      <c r="F194" s="22" t="s">
        <v>328</v>
      </c>
      <c r="G194" s="35">
        <v>44645</v>
      </c>
      <c r="H194" s="43">
        <v>1000000</v>
      </c>
    </row>
    <row r="195" spans="1:8" s="21" customFormat="1" x14ac:dyDescent="0.25">
      <c r="A195" s="19" t="s">
        <v>48</v>
      </c>
      <c r="B195" s="18" t="s">
        <v>20</v>
      </c>
      <c r="C195" s="22" t="s">
        <v>495</v>
      </c>
      <c r="D195" s="46">
        <v>71</v>
      </c>
      <c r="E195" s="30">
        <v>131</v>
      </c>
      <c r="F195" s="22" t="s">
        <v>328</v>
      </c>
      <c r="G195" s="35">
        <v>44628</v>
      </c>
      <c r="H195" s="43">
        <v>1000000</v>
      </c>
    </row>
    <row r="196" spans="1:8" s="21" customFormat="1" x14ac:dyDescent="0.25">
      <c r="A196" s="19" t="s">
        <v>48</v>
      </c>
      <c r="B196" s="18" t="s">
        <v>20</v>
      </c>
      <c r="C196" s="22" t="s">
        <v>496</v>
      </c>
      <c r="D196" s="46">
        <v>80</v>
      </c>
      <c r="E196" s="30">
        <v>140</v>
      </c>
      <c r="F196" s="22" t="s">
        <v>328</v>
      </c>
      <c r="G196" s="35">
        <v>44619</v>
      </c>
      <c r="H196" s="43">
        <v>1000000</v>
      </c>
    </row>
    <row r="197" spans="1:8" s="21" customFormat="1" x14ac:dyDescent="0.25">
      <c r="A197" s="19" t="s">
        <v>48</v>
      </c>
      <c r="B197" s="18" t="s">
        <v>20</v>
      </c>
      <c r="C197" s="22" t="s">
        <v>497</v>
      </c>
      <c r="D197" s="46">
        <v>87</v>
      </c>
      <c r="E197" s="30">
        <v>147</v>
      </c>
      <c r="F197" s="22" t="s">
        <v>328</v>
      </c>
      <c r="G197" s="35">
        <v>44612</v>
      </c>
      <c r="H197" s="43">
        <v>1000000</v>
      </c>
    </row>
    <row r="198" spans="1:8" s="21" customFormat="1" x14ac:dyDescent="0.25">
      <c r="A198" s="19" t="s">
        <v>48</v>
      </c>
      <c r="B198" s="18" t="s">
        <v>21</v>
      </c>
      <c r="C198" s="22" t="s">
        <v>22</v>
      </c>
      <c r="D198" s="46">
        <v>125</v>
      </c>
      <c r="E198" s="30">
        <v>185</v>
      </c>
      <c r="F198" s="22" t="s">
        <v>328</v>
      </c>
      <c r="G198" s="35">
        <v>44574</v>
      </c>
      <c r="H198" s="43">
        <v>1000000</v>
      </c>
    </row>
    <row r="199" spans="1:8" s="21" customFormat="1" x14ac:dyDescent="0.25">
      <c r="A199" s="19" t="s">
        <v>48</v>
      </c>
      <c r="B199" s="18" t="s">
        <v>21</v>
      </c>
      <c r="C199" s="22" t="s">
        <v>204</v>
      </c>
      <c r="D199" s="46">
        <v>93</v>
      </c>
      <c r="E199" s="30">
        <v>153</v>
      </c>
      <c r="F199" s="22" t="s">
        <v>328</v>
      </c>
      <c r="G199" s="35">
        <v>44606</v>
      </c>
      <c r="H199" s="43">
        <v>1000000</v>
      </c>
    </row>
    <row r="200" spans="1:8" s="21" customFormat="1" x14ac:dyDescent="0.25">
      <c r="A200" s="19" t="s">
        <v>48</v>
      </c>
      <c r="B200" s="18" t="s">
        <v>21</v>
      </c>
      <c r="C200" s="22" t="s">
        <v>205</v>
      </c>
      <c r="D200" s="46">
        <v>95</v>
      </c>
      <c r="E200" s="30">
        <v>155</v>
      </c>
      <c r="F200" s="22" t="s">
        <v>328</v>
      </c>
      <c r="G200" s="35">
        <v>44604</v>
      </c>
      <c r="H200" s="43">
        <v>1000000</v>
      </c>
    </row>
    <row r="201" spans="1:8" s="21" customFormat="1" x14ac:dyDescent="0.25">
      <c r="A201" s="19" t="s">
        <v>48</v>
      </c>
      <c r="B201" s="18" t="s">
        <v>21</v>
      </c>
      <c r="C201" s="22" t="s">
        <v>217</v>
      </c>
      <c r="D201" s="46">
        <v>97</v>
      </c>
      <c r="E201" s="30">
        <v>157</v>
      </c>
      <c r="F201" s="22" t="s">
        <v>328</v>
      </c>
      <c r="G201" s="35">
        <v>44602</v>
      </c>
      <c r="H201" s="43">
        <v>1000000</v>
      </c>
    </row>
    <row r="202" spans="1:8" s="21" customFormat="1" x14ac:dyDescent="0.25">
      <c r="A202" s="19" t="s">
        <v>48</v>
      </c>
      <c r="B202" s="18" t="s">
        <v>21</v>
      </c>
      <c r="C202" s="22" t="s">
        <v>225</v>
      </c>
      <c r="D202" s="46">
        <v>100</v>
      </c>
      <c r="E202" s="30">
        <v>160</v>
      </c>
      <c r="F202" s="22" t="s">
        <v>328</v>
      </c>
      <c r="G202" s="35">
        <v>44599</v>
      </c>
      <c r="H202" s="43">
        <v>1000000</v>
      </c>
    </row>
    <row r="203" spans="1:8" s="21" customFormat="1" x14ac:dyDescent="0.25">
      <c r="A203" s="19" t="s">
        <v>48</v>
      </c>
      <c r="B203" s="18" t="s">
        <v>21</v>
      </c>
      <c r="C203" s="22" t="s">
        <v>232</v>
      </c>
      <c r="D203" s="46">
        <v>102</v>
      </c>
      <c r="E203" s="30">
        <v>162</v>
      </c>
      <c r="F203" s="22" t="s">
        <v>328</v>
      </c>
      <c r="G203" s="35">
        <v>44597</v>
      </c>
      <c r="H203" s="43">
        <v>1000000</v>
      </c>
    </row>
    <row r="204" spans="1:8" s="21" customFormat="1" x14ac:dyDescent="0.25">
      <c r="A204" s="19" t="s">
        <v>48</v>
      </c>
      <c r="B204" s="18" t="s">
        <v>21</v>
      </c>
      <c r="C204" s="22" t="s">
        <v>245</v>
      </c>
      <c r="D204" s="46">
        <v>105</v>
      </c>
      <c r="E204" s="30">
        <v>165</v>
      </c>
      <c r="F204" s="22" t="s">
        <v>328</v>
      </c>
      <c r="G204" s="35">
        <v>44594</v>
      </c>
      <c r="H204" s="43">
        <v>1000000</v>
      </c>
    </row>
    <row r="205" spans="1:8" s="21" customFormat="1" x14ac:dyDescent="0.25">
      <c r="A205" s="19" t="s">
        <v>48</v>
      </c>
      <c r="B205" s="18" t="s">
        <v>21</v>
      </c>
      <c r="C205" s="22" t="s">
        <v>258</v>
      </c>
      <c r="D205" s="46">
        <v>109</v>
      </c>
      <c r="E205" s="30">
        <v>169</v>
      </c>
      <c r="F205" s="22" t="s">
        <v>328</v>
      </c>
      <c r="G205" s="35">
        <v>44590</v>
      </c>
      <c r="H205" s="43">
        <v>1000000</v>
      </c>
    </row>
    <row r="206" spans="1:8" s="21" customFormat="1" x14ac:dyDescent="0.25">
      <c r="A206" s="19" t="s">
        <v>48</v>
      </c>
      <c r="B206" s="18" t="s">
        <v>21</v>
      </c>
      <c r="C206" s="22" t="s">
        <v>275</v>
      </c>
      <c r="D206" s="46">
        <v>111</v>
      </c>
      <c r="E206" s="30">
        <v>171</v>
      </c>
      <c r="F206" s="22" t="s">
        <v>328</v>
      </c>
      <c r="G206" s="35">
        <v>44588</v>
      </c>
      <c r="H206" s="43">
        <v>1000000</v>
      </c>
    </row>
    <row r="207" spans="1:8" s="21" customFormat="1" x14ac:dyDescent="0.25">
      <c r="A207" s="19" t="s">
        <v>48</v>
      </c>
      <c r="B207" s="18" t="s">
        <v>21</v>
      </c>
      <c r="C207" s="22" t="s">
        <v>281</v>
      </c>
      <c r="D207" s="46">
        <v>113</v>
      </c>
      <c r="E207" s="30">
        <v>173</v>
      </c>
      <c r="F207" s="22" t="s">
        <v>328</v>
      </c>
      <c r="G207" s="35">
        <v>44586</v>
      </c>
      <c r="H207" s="43">
        <v>1000000</v>
      </c>
    </row>
    <row r="208" spans="1:8" s="21" customFormat="1" x14ac:dyDescent="0.25">
      <c r="A208" s="19" t="s">
        <v>48</v>
      </c>
      <c r="B208" s="18" t="s">
        <v>21</v>
      </c>
      <c r="C208" s="22" t="s">
        <v>307</v>
      </c>
      <c r="D208" s="46">
        <v>121</v>
      </c>
      <c r="E208" s="30">
        <v>181</v>
      </c>
      <c r="F208" s="22" t="s">
        <v>328</v>
      </c>
      <c r="G208" s="35">
        <v>44578</v>
      </c>
      <c r="H208" s="43">
        <v>1000000</v>
      </c>
    </row>
    <row r="209" spans="1:8" s="21" customFormat="1" x14ac:dyDescent="0.25">
      <c r="A209" s="19" t="s">
        <v>48</v>
      </c>
      <c r="B209" s="18" t="s">
        <v>21</v>
      </c>
      <c r="C209" s="22" t="s">
        <v>316</v>
      </c>
      <c r="D209" s="46">
        <v>123</v>
      </c>
      <c r="E209" s="30">
        <v>183</v>
      </c>
      <c r="F209" s="22" t="s">
        <v>328</v>
      </c>
      <c r="G209" s="35">
        <v>44576</v>
      </c>
      <c r="H209" s="43">
        <v>1000000</v>
      </c>
    </row>
    <row r="210" spans="1:8" s="21" customFormat="1" x14ac:dyDescent="0.25">
      <c r="A210" s="19" t="s">
        <v>48</v>
      </c>
      <c r="B210" s="18" t="s">
        <v>21</v>
      </c>
      <c r="C210" s="22" t="s">
        <v>331</v>
      </c>
      <c r="D210" s="46">
        <v>126</v>
      </c>
      <c r="E210" s="30">
        <v>186</v>
      </c>
      <c r="F210" s="22" t="s">
        <v>328</v>
      </c>
      <c r="G210" s="35">
        <v>44573</v>
      </c>
      <c r="H210" s="43">
        <v>1000000</v>
      </c>
    </row>
    <row r="211" spans="1:8" s="21" customFormat="1" x14ac:dyDescent="0.25">
      <c r="A211" s="19" t="s">
        <v>48</v>
      </c>
      <c r="B211" s="18" t="s">
        <v>21</v>
      </c>
      <c r="C211" s="22" t="s">
        <v>407</v>
      </c>
      <c r="D211" s="46">
        <v>132</v>
      </c>
      <c r="E211" s="30">
        <v>192</v>
      </c>
      <c r="F211" s="22" t="s">
        <v>328</v>
      </c>
      <c r="G211" s="35">
        <v>44567</v>
      </c>
      <c r="H211" s="43">
        <v>1000000</v>
      </c>
    </row>
    <row r="212" spans="1:8" s="21" customFormat="1" x14ac:dyDescent="0.25">
      <c r="A212" s="19" t="s">
        <v>48</v>
      </c>
      <c r="B212" s="18" t="s">
        <v>21</v>
      </c>
      <c r="C212" s="22" t="s">
        <v>422</v>
      </c>
      <c r="D212" s="46">
        <v>134</v>
      </c>
      <c r="E212" s="30">
        <v>194</v>
      </c>
      <c r="F212" s="22" t="s">
        <v>328</v>
      </c>
      <c r="G212" s="35">
        <v>44565</v>
      </c>
      <c r="H212" s="43">
        <v>1000000</v>
      </c>
    </row>
    <row r="213" spans="1:8" s="21" customFormat="1" x14ac:dyDescent="0.25">
      <c r="A213" s="19" t="s">
        <v>48</v>
      </c>
      <c r="B213" s="18" t="s">
        <v>21</v>
      </c>
      <c r="C213" s="22" t="s">
        <v>423</v>
      </c>
      <c r="D213" s="46">
        <v>135</v>
      </c>
      <c r="E213" s="30">
        <v>195</v>
      </c>
      <c r="F213" s="22" t="s">
        <v>328</v>
      </c>
      <c r="G213" s="35">
        <v>44564</v>
      </c>
      <c r="H213" s="43">
        <v>1000000</v>
      </c>
    </row>
    <row r="214" spans="1:8" s="21" customFormat="1" x14ac:dyDescent="0.25">
      <c r="A214" s="19" t="s">
        <v>48</v>
      </c>
      <c r="B214" s="18" t="s">
        <v>21</v>
      </c>
      <c r="C214" s="22" t="s">
        <v>498</v>
      </c>
      <c r="D214" s="46">
        <v>283</v>
      </c>
      <c r="E214" s="30">
        <v>343</v>
      </c>
      <c r="F214" s="22" t="s">
        <v>328</v>
      </c>
      <c r="G214" s="35">
        <v>44416</v>
      </c>
      <c r="H214" s="43">
        <v>1000000</v>
      </c>
    </row>
    <row r="215" spans="1:8" s="21" customFormat="1" x14ac:dyDescent="0.25">
      <c r="A215" s="19" t="s">
        <v>48</v>
      </c>
      <c r="B215" s="18" t="s">
        <v>21</v>
      </c>
      <c r="C215" s="22" t="s">
        <v>499</v>
      </c>
      <c r="D215" s="46">
        <v>81</v>
      </c>
      <c r="E215" s="30">
        <v>141</v>
      </c>
      <c r="F215" s="22" t="s">
        <v>328</v>
      </c>
      <c r="G215" s="35">
        <v>44618</v>
      </c>
      <c r="H215" s="43">
        <v>1000000</v>
      </c>
    </row>
    <row r="216" spans="1:8" s="21" customFormat="1" x14ac:dyDescent="0.25">
      <c r="A216" s="19" t="s">
        <v>48</v>
      </c>
      <c r="B216" s="18" t="s">
        <v>21</v>
      </c>
      <c r="C216" s="22" t="s">
        <v>500</v>
      </c>
      <c r="D216" s="46">
        <v>84</v>
      </c>
      <c r="E216" s="30">
        <v>144</v>
      </c>
      <c r="F216" s="22" t="s">
        <v>328</v>
      </c>
      <c r="G216" s="35">
        <v>44615</v>
      </c>
      <c r="H216" s="43">
        <v>1000000</v>
      </c>
    </row>
    <row r="217" spans="1:8" s="21" customFormat="1" x14ac:dyDescent="0.25">
      <c r="A217" s="19" t="s">
        <v>48</v>
      </c>
      <c r="B217" s="18" t="s">
        <v>21</v>
      </c>
      <c r="C217" s="22" t="s">
        <v>501</v>
      </c>
      <c r="D217" s="46">
        <v>86</v>
      </c>
      <c r="E217" s="30">
        <v>146</v>
      </c>
      <c r="F217" s="22" t="s">
        <v>328</v>
      </c>
      <c r="G217" s="35">
        <v>44613</v>
      </c>
      <c r="H217" s="43">
        <v>1000000</v>
      </c>
    </row>
    <row r="218" spans="1:8" s="21" customFormat="1" x14ac:dyDescent="0.25">
      <c r="A218" s="19" t="s">
        <v>48</v>
      </c>
      <c r="B218" s="22" t="s">
        <v>23</v>
      </c>
      <c r="C218" s="22" t="s">
        <v>77</v>
      </c>
      <c r="D218" s="46">
        <v>91</v>
      </c>
      <c r="E218" s="30">
        <v>151</v>
      </c>
      <c r="F218" s="22" t="s">
        <v>328</v>
      </c>
      <c r="G218" s="35">
        <v>44608</v>
      </c>
      <c r="H218" s="43">
        <v>1000000</v>
      </c>
    </row>
    <row r="219" spans="1:8" s="21" customFormat="1" x14ac:dyDescent="0.25">
      <c r="A219" s="19" t="s">
        <v>48</v>
      </c>
      <c r="B219" s="22" t="s">
        <v>23</v>
      </c>
      <c r="C219" s="22" t="s">
        <v>302</v>
      </c>
      <c r="D219" s="46">
        <v>120</v>
      </c>
      <c r="E219" s="30">
        <v>180</v>
      </c>
      <c r="F219" s="22" t="s">
        <v>328</v>
      </c>
      <c r="G219" s="35">
        <v>44579</v>
      </c>
      <c r="H219" s="43">
        <v>1000000</v>
      </c>
    </row>
    <row r="220" spans="1:8" s="21" customFormat="1" x14ac:dyDescent="0.25">
      <c r="A220" s="19" t="s">
        <v>48</v>
      </c>
      <c r="B220" s="22" t="s">
        <v>23</v>
      </c>
      <c r="C220" s="22" t="s">
        <v>408</v>
      </c>
      <c r="D220" s="46">
        <v>132</v>
      </c>
      <c r="E220" s="30">
        <v>192</v>
      </c>
      <c r="F220" s="22" t="s">
        <v>328</v>
      </c>
      <c r="G220" s="35">
        <v>44567</v>
      </c>
      <c r="H220" s="43">
        <v>1000000</v>
      </c>
    </row>
    <row r="221" spans="1:8" s="21" customFormat="1" x14ac:dyDescent="0.25">
      <c r="A221" s="19" t="s">
        <v>48</v>
      </c>
      <c r="B221" s="18" t="s">
        <v>26</v>
      </c>
      <c r="C221" s="22" t="s">
        <v>179</v>
      </c>
      <c r="D221" s="46">
        <v>218</v>
      </c>
      <c r="E221" s="30">
        <v>278</v>
      </c>
      <c r="F221" s="22" t="s">
        <v>328</v>
      </c>
      <c r="G221" s="35">
        <v>44481</v>
      </c>
      <c r="H221" s="43">
        <v>1000000</v>
      </c>
    </row>
    <row r="222" spans="1:8" s="21" customFormat="1" x14ac:dyDescent="0.25">
      <c r="A222" s="19" t="s">
        <v>48</v>
      </c>
      <c r="B222" s="18" t="s">
        <v>26</v>
      </c>
      <c r="C222" s="22" t="s">
        <v>214</v>
      </c>
      <c r="D222" s="46">
        <v>96</v>
      </c>
      <c r="E222" s="30">
        <v>156</v>
      </c>
      <c r="F222" s="22" t="s">
        <v>328</v>
      </c>
      <c r="G222" s="35">
        <v>44603</v>
      </c>
      <c r="H222" s="43">
        <v>1000000</v>
      </c>
    </row>
    <row r="223" spans="1:8" s="21" customFormat="1" x14ac:dyDescent="0.25">
      <c r="A223" s="19" t="s">
        <v>48</v>
      </c>
      <c r="B223" s="18" t="s">
        <v>26</v>
      </c>
      <c r="C223" s="22" t="s">
        <v>247</v>
      </c>
      <c r="D223" s="46">
        <v>104</v>
      </c>
      <c r="E223" s="30">
        <v>164</v>
      </c>
      <c r="F223" s="22" t="s">
        <v>328</v>
      </c>
      <c r="G223" s="35">
        <v>44595</v>
      </c>
      <c r="H223" s="43">
        <v>1000000</v>
      </c>
    </row>
    <row r="224" spans="1:8" s="21" customFormat="1" x14ac:dyDescent="0.25">
      <c r="A224" s="19" t="s">
        <v>48</v>
      </c>
      <c r="B224" s="18" t="s">
        <v>26</v>
      </c>
      <c r="C224" s="22" t="s">
        <v>276</v>
      </c>
      <c r="D224" s="46">
        <v>111</v>
      </c>
      <c r="E224" s="30">
        <v>171</v>
      </c>
      <c r="F224" s="22" t="s">
        <v>328</v>
      </c>
      <c r="G224" s="35">
        <v>44588</v>
      </c>
      <c r="H224" s="43">
        <v>1000000</v>
      </c>
    </row>
    <row r="225" spans="1:8" s="21" customFormat="1" x14ac:dyDescent="0.25">
      <c r="A225" s="19" t="s">
        <v>48</v>
      </c>
      <c r="B225" s="18" t="s">
        <v>26</v>
      </c>
      <c r="C225" s="22" t="s">
        <v>308</v>
      </c>
      <c r="D225" s="46">
        <v>121</v>
      </c>
      <c r="E225" s="30">
        <v>181</v>
      </c>
      <c r="F225" s="22" t="s">
        <v>328</v>
      </c>
      <c r="G225" s="35">
        <v>44578</v>
      </c>
      <c r="H225" s="43">
        <v>1000000</v>
      </c>
    </row>
    <row r="226" spans="1:8" s="21" customFormat="1" x14ac:dyDescent="0.25">
      <c r="A226" s="19" t="s">
        <v>48</v>
      </c>
      <c r="B226" s="18" t="s">
        <v>26</v>
      </c>
      <c r="C226" s="22" t="s">
        <v>341</v>
      </c>
      <c r="D226" s="46">
        <v>127</v>
      </c>
      <c r="E226" s="30">
        <v>187</v>
      </c>
      <c r="F226" s="22" t="s">
        <v>328</v>
      </c>
      <c r="G226" s="35">
        <v>44572</v>
      </c>
      <c r="H226" s="43">
        <v>1000000</v>
      </c>
    </row>
    <row r="227" spans="1:8" s="21" customFormat="1" x14ac:dyDescent="0.25">
      <c r="A227" s="19" t="s">
        <v>48</v>
      </c>
      <c r="B227" s="18" t="s">
        <v>26</v>
      </c>
      <c r="C227" s="22" t="s">
        <v>352</v>
      </c>
      <c r="D227" s="46">
        <v>128</v>
      </c>
      <c r="E227" s="30">
        <v>188</v>
      </c>
      <c r="F227" s="22" t="s">
        <v>328</v>
      </c>
      <c r="G227" s="35">
        <v>44571</v>
      </c>
      <c r="H227" s="43">
        <v>1000000</v>
      </c>
    </row>
    <row r="228" spans="1:8" s="21" customFormat="1" x14ac:dyDescent="0.25">
      <c r="A228" s="19" t="s">
        <v>48</v>
      </c>
      <c r="B228" s="18" t="s">
        <v>26</v>
      </c>
      <c r="C228" s="22" t="s">
        <v>367</v>
      </c>
      <c r="D228" s="46">
        <v>131</v>
      </c>
      <c r="E228" s="30">
        <v>191</v>
      </c>
      <c r="F228" s="22" t="s">
        <v>328</v>
      </c>
      <c r="G228" s="35">
        <v>44568</v>
      </c>
      <c r="H228" s="43">
        <v>1000000</v>
      </c>
    </row>
    <row r="229" spans="1:8" s="21" customFormat="1" x14ac:dyDescent="0.25">
      <c r="A229" s="19" t="s">
        <v>48</v>
      </c>
      <c r="B229" s="18" t="s">
        <v>26</v>
      </c>
      <c r="C229" s="22" t="s">
        <v>424</v>
      </c>
      <c r="D229" s="46">
        <v>135</v>
      </c>
      <c r="E229" s="30">
        <v>195</v>
      </c>
      <c r="F229" s="22" t="s">
        <v>328</v>
      </c>
      <c r="G229" s="35">
        <v>44564</v>
      </c>
      <c r="H229" s="43">
        <v>1000000</v>
      </c>
    </row>
    <row r="230" spans="1:8" s="21" customFormat="1" x14ac:dyDescent="0.25">
      <c r="A230" s="19" t="s">
        <v>48</v>
      </c>
      <c r="B230" s="18" t="s">
        <v>26</v>
      </c>
      <c r="C230" s="22" t="s">
        <v>503</v>
      </c>
      <c r="D230" s="46">
        <v>355</v>
      </c>
      <c r="E230" s="30">
        <v>415</v>
      </c>
      <c r="F230" s="22" t="s">
        <v>328</v>
      </c>
      <c r="G230" s="35">
        <v>44344</v>
      </c>
      <c r="H230" s="43">
        <v>1000000</v>
      </c>
    </row>
    <row r="231" spans="1:8" s="21" customFormat="1" x14ac:dyDescent="0.25">
      <c r="A231" s="19" t="s">
        <v>48</v>
      </c>
      <c r="B231" s="18" t="s">
        <v>26</v>
      </c>
      <c r="C231" s="22" t="s">
        <v>504</v>
      </c>
      <c r="D231" s="46">
        <v>83</v>
      </c>
      <c r="E231" s="30">
        <v>143</v>
      </c>
      <c r="F231" s="22" t="s">
        <v>328</v>
      </c>
      <c r="G231" s="35">
        <v>44616</v>
      </c>
      <c r="H231" s="43">
        <v>1000000</v>
      </c>
    </row>
    <row r="232" spans="1:8" s="21" customFormat="1" x14ac:dyDescent="0.25">
      <c r="A232" s="19" t="s">
        <v>48</v>
      </c>
      <c r="B232" s="18" t="s">
        <v>26</v>
      </c>
      <c r="C232" s="22" t="s">
        <v>505</v>
      </c>
      <c r="D232" s="46">
        <v>86</v>
      </c>
      <c r="E232" s="30">
        <v>146</v>
      </c>
      <c r="F232" s="22" t="s">
        <v>328</v>
      </c>
      <c r="G232" s="35">
        <v>44613</v>
      </c>
      <c r="H232" s="43">
        <v>1000000</v>
      </c>
    </row>
    <row r="233" spans="1:8" s="21" customFormat="1" x14ac:dyDescent="0.25">
      <c r="A233" s="19" t="s">
        <v>48</v>
      </c>
      <c r="B233" s="18" t="s">
        <v>26</v>
      </c>
      <c r="C233" s="22" t="s">
        <v>506</v>
      </c>
      <c r="D233" s="46">
        <v>88</v>
      </c>
      <c r="E233" s="30">
        <v>148</v>
      </c>
      <c r="F233" s="22" t="s">
        <v>328</v>
      </c>
      <c r="G233" s="35">
        <v>44611</v>
      </c>
      <c r="H233" s="43">
        <v>1000000</v>
      </c>
    </row>
    <row r="234" spans="1:8" s="21" customFormat="1" x14ac:dyDescent="0.25">
      <c r="A234" s="19" t="s">
        <v>48</v>
      </c>
      <c r="B234" s="18" t="s">
        <v>27</v>
      </c>
      <c r="C234" s="22" t="s">
        <v>56</v>
      </c>
      <c r="D234" s="46">
        <v>314</v>
      </c>
      <c r="E234" s="30">
        <v>374</v>
      </c>
      <c r="F234" s="22" t="s">
        <v>328</v>
      </c>
      <c r="G234" s="35">
        <v>44385</v>
      </c>
      <c r="H234" s="43">
        <v>1000000</v>
      </c>
    </row>
    <row r="235" spans="1:8" s="21" customFormat="1" x14ac:dyDescent="0.25">
      <c r="A235" s="19" t="s">
        <v>48</v>
      </c>
      <c r="B235" s="18" t="s">
        <v>27</v>
      </c>
      <c r="C235" s="22" t="s">
        <v>68</v>
      </c>
      <c r="D235" s="46">
        <v>33</v>
      </c>
      <c r="E235" s="30">
        <v>93</v>
      </c>
      <c r="F235" s="22" t="s">
        <v>328</v>
      </c>
      <c r="G235" s="35">
        <v>44666</v>
      </c>
      <c r="H235" s="43">
        <v>1000000</v>
      </c>
    </row>
    <row r="236" spans="1:8" s="21" customFormat="1" x14ac:dyDescent="0.25">
      <c r="A236" s="19" t="s">
        <v>48</v>
      </c>
      <c r="B236" s="18" t="s">
        <v>27</v>
      </c>
      <c r="C236" s="22" t="s">
        <v>69</v>
      </c>
      <c r="D236" s="46">
        <v>41</v>
      </c>
      <c r="E236" s="30">
        <v>101</v>
      </c>
      <c r="F236" s="22" t="s">
        <v>328</v>
      </c>
      <c r="G236" s="35">
        <v>44658</v>
      </c>
      <c r="H236" s="43">
        <v>1000000</v>
      </c>
    </row>
    <row r="237" spans="1:8" s="21" customFormat="1" x14ac:dyDescent="0.25">
      <c r="A237" s="19" t="s">
        <v>48</v>
      </c>
      <c r="B237" s="18" t="s">
        <v>27</v>
      </c>
      <c r="C237" s="22" t="s">
        <v>70</v>
      </c>
      <c r="D237" s="46">
        <v>47</v>
      </c>
      <c r="E237" s="30">
        <v>107</v>
      </c>
      <c r="F237" s="22" t="s">
        <v>328</v>
      </c>
      <c r="G237" s="35">
        <v>44652</v>
      </c>
      <c r="H237" s="43">
        <v>1000000</v>
      </c>
    </row>
    <row r="238" spans="1:8" s="21" customFormat="1" x14ac:dyDescent="0.25">
      <c r="A238" s="19" t="s">
        <v>48</v>
      </c>
      <c r="B238" s="18" t="s">
        <v>27</v>
      </c>
      <c r="C238" s="22" t="s">
        <v>206</v>
      </c>
      <c r="D238" s="46">
        <v>93</v>
      </c>
      <c r="E238" s="30">
        <v>153</v>
      </c>
      <c r="F238" s="22" t="s">
        <v>328</v>
      </c>
      <c r="G238" s="35">
        <v>44606</v>
      </c>
      <c r="H238" s="43">
        <v>1000000</v>
      </c>
    </row>
    <row r="239" spans="1:8" s="21" customFormat="1" x14ac:dyDescent="0.25">
      <c r="A239" s="19" t="s">
        <v>48</v>
      </c>
      <c r="B239" s="18" t="s">
        <v>27</v>
      </c>
      <c r="C239" s="22" t="s">
        <v>227</v>
      </c>
      <c r="D239" s="46">
        <v>98</v>
      </c>
      <c r="E239" s="30">
        <v>158</v>
      </c>
      <c r="F239" s="22" t="s">
        <v>328</v>
      </c>
      <c r="G239" s="35">
        <v>44601</v>
      </c>
      <c r="H239" s="43">
        <v>1000000</v>
      </c>
    </row>
    <row r="240" spans="1:8" s="21" customFormat="1" x14ac:dyDescent="0.25">
      <c r="A240" s="19" t="s">
        <v>48</v>
      </c>
      <c r="B240" s="18" t="s">
        <v>27</v>
      </c>
      <c r="C240" s="22" t="s">
        <v>248</v>
      </c>
      <c r="D240" s="46">
        <v>104</v>
      </c>
      <c r="E240" s="30">
        <v>164</v>
      </c>
      <c r="F240" s="22" t="s">
        <v>328</v>
      </c>
      <c r="G240" s="35">
        <v>44595</v>
      </c>
      <c r="H240" s="43">
        <v>1000000</v>
      </c>
    </row>
    <row r="241" spans="1:8" s="21" customFormat="1" x14ac:dyDescent="0.25">
      <c r="A241" s="19" t="s">
        <v>48</v>
      </c>
      <c r="B241" s="18" t="s">
        <v>27</v>
      </c>
      <c r="C241" s="22" t="s">
        <v>259</v>
      </c>
      <c r="D241" s="46">
        <v>109</v>
      </c>
      <c r="E241" s="30">
        <v>169</v>
      </c>
      <c r="F241" s="22" t="s">
        <v>328</v>
      </c>
      <c r="G241" s="35">
        <v>44590</v>
      </c>
      <c r="H241" s="43">
        <v>1000000</v>
      </c>
    </row>
    <row r="242" spans="1:8" s="21" customFormat="1" x14ac:dyDescent="0.25">
      <c r="A242" s="19" t="s">
        <v>48</v>
      </c>
      <c r="B242" s="18" t="s">
        <v>27</v>
      </c>
      <c r="C242" s="22" t="s">
        <v>277</v>
      </c>
      <c r="D242" s="46">
        <v>112</v>
      </c>
      <c r="E242" s="30">
        <v>172</v>
      </c>
      <c r="F242" s="22" t="s">
        <v>328</v>
      </c>
      <c r="G242" s="35">
        <v>44587</v>
      </c>
      <c r="H242" s="43">
        <v>1000000</v>
      </c>
    </row>
    <row r="243" spans="1:8" s="21" customFormat="1" x14ac:dyDescent="0.25">
      <c r="A243" s="19" t="s">
        <v>48</v>
      </c>
      <c r="B243" s="18" t="s">
        <v>27</v>
      </c>
      <c r="C243" s="22" t="s">
        <v>303</v>
      </c>
      <c r="D243" s="46">
        <v>120</v>
      </c>
      <c r="E243" s="30">
        <v>180</v>
      </c>
      <c r="F243" s="22" t="s">
        <v>328</v>
      </c>
      <c r="G243" s="35">
        <v>44579</v>
      </c>
      <c r="H243" s="43">
        <v>1000000</v>
      </c>
    </row>
    <row r="244" spans="1:8" s="21" customFormat="1" x14ac:dyDescent="0.25">
      <c r="A244" s="19" t="s">
        <v>48</v>
      </c>
      <c r="B244" s="18" t="s">
        <v>27</v>
      </c>
      <c r="C244" s="22" t="s">
        <v>327</v>
      </c>
      <c r="D244" s="46">
        <v>124</v>
      </c>
      <c r="E244" s="30">
        <v>184</v>
      </c>
      <c r="F244" s="22" t="s">
        <v>328</v>
      </c>
      <c r="G244" s="35">
        <v>44575</v>
      </c>
      <c r="H244" s="43">
        <v>1000000</v>
      </c>
    </row>
    <row r="245" spans="1:8" s="21" customFormat="1" x14ac:dyDescent="0.25">
      <c r="A245" s="19" t="s">
        <v>48</v>
      </c>
      <c r="B245" s="18" t="s">
        <v>27</v>
      </c>
      <c r="C245" s="22" t="s">
        <v>368</v>
      </c>
      <c r="D245" s="46">
        <v>131</v>
      </c>
      <c r="E245" s="30">
        <v>191</v>
      </c>
      <c r="F245" s="22" t="s">
        <v>328</v>
      </c>
      <c r="G245" s="35">
        <v>44568</v>
      </c>
      <c r="H245" s="43">
        <v>1000000</v>
      </c>
    </row>
    <row r="246" spans="1:8" s="21" customFormat="1" x14ac:dyDescent="0.25">
      <c r="A246" s="19" t="s">
        <v>48</v>
      </c>
      <c r="B246" s="18" t="s">
        <v>27</v>
      </c>
      <c r="C246" s="22" t="s">
        <v>425</v>
      </c>
      <c r="D246" s="46">
        <v>134</v>
      </c>
      <c r="E246" s="30">
        <v>194</v>
      </c>
      <c r="F246" s="22" t="s">
        <v>328</v>
      </c>
      <c r="G246" s="35">
        <v>44565</v>
      </c>
      <c r="H246" s="43">
        <v>1000000</v>
      </c>
    </row>
    <row r="247" spans="1:8" s="21" customFormat="1" x14ac:dyDescent="0.25">
      <c r="A247" s="19" t="s">
        <v>48</v>
      </c>
      <c r="B247" s="18" t="s">
        <v>27</v>
      </c>
      <c r="C247" s="22" t="s">
        <v>507</v>
      </c>
      <c r="D247" s="46">
        <v>282</v>
      </c>
      <c r="E247" s="30">
        <v>342</v>
      </c>
      <c r="F247" s="22" t="s">
        <v>328</v>
      </c>
      <c r="G247" s="35">
        <v>44417</v>
      </c>
      <c r="H247" s="43">
        <v>1000000</v>
      </c>
    </row>
    <row r="248" spans="1:8" s="21" customFormat="1" x14ac:dyDescent="0.25">
      <c r="A248" s="19" t="s">
        <v>48</v>
      </c>
      <c r="B248" s="18" t="s">
        <v>27</v>
      </c>
      <c r="C248" s="22" t="s">
        <v>508</v>
      </c>
      <c r="D248" s="46">
        <v>283</v>
      </c>
      <c r="E248" s="30">
        <v>343</v>
      </c>
      <c r="F248" s="22" t="s">
        <v>328</v>
      </c>
      <c r="G248" s="35">
        <v>44416</v>
      </c>
      <c r="H248" s="43">
        <v>1000000</v>
      </c>
    </row>
    <row r="249" spans="1:8" s="21" customFormat="1" x14ac:dyDescent="0.25">
      <c r="A249" s="19" t="s">
        <v>48</v>
      </c>
      <c r="B249" s="18" t="s">
        <v>27</v>
      </c>
      <c r="C249" s="22" t="s">
        <v>509</v>
      </c>
      <c r="D249" s="46">
        <v>320</v>
      </c>
      <c r="E249" s="30">
        <v>380</v>
      </c>
      <c r="F249" s="22" t="s">
        <v>328</v>
      </c>
      <c r="G249" s="35">
        <v>44379</v>
      </c>
      <c r="H249" s="43">
        <v>1000000</v>
      </c>
    </row>
    <row r="250" spans="1:8" s="21" customFormat="1" x14ac:dyDescent="0.25">
      <c r="A250" s="19" t="s">
        <v>48</v>
      </c>
      <c r="B250" s="18" t="s">
        <v>27</v>
      </c>
      <c r="C250" s="22" t="s">
        <v>510</v>
      </c>
      <c r="D250" s="46">
        <v>323</v>
      </c>
      <c r="E250" s="30">
        <v>383</v>
      </c>
      <c r="F250" s="22" t="s">
        <v>328</v>
      </c>
      <c r="G250" s="35">
        <v>44376</v>
      </c>
      <c r="H250" s="43">
        <v>1000000</v>
      </c>
    </row>
    <row r="251" spans="1:8" s="21" customFormat="1" x14ac:dyDescent="0.25">
      <c r="A251" s="19" t="s">
        <v>48</v>
      </c>
      <c r="B251" s="18" t="s">
        <v>27</v>
      </c>
      <c r="C251" s="22" t="s">
        <v>511</v>
      </c>
      <c r="D251" s="46">
        <v>325</v>
      </c>
      <c r="E251" s="30">
        <v>385</v>
      </c>
      <c r="F251" s="22" t="s">
        <v>328</v>
      </c>
      <c r="G251" s="35">
        <v>44374</v>
      </c>
      <c r="H251" s="43">
        <v>1000000</v>
      </c>
    </row>
    <row r="252" spans="1:8" s="21" customFormat="1" x14ac:dyDescent="0.25">
      <c r="A252" s="19" t="s">
        <v>48</v>
      </c>
      <c r="B252" s="18" t="s">
        <v>27</v>
      </c>
      <c r="C252" s="22" t="s">
        <v>512</v>
      </c>
      <c r="D252" s="46">
        <v>332</v>
      </c>
      <c r="E252" s="30">
        <v>392</v>
      </c>
      <c r="F252" s="22" t="s">
        <v>328</v>
      </c>
      <c r="G252" s="35">
        <v>44367</v>
      </c>
      <c r="H252" s="43">
        <v>1000000</v>
      </c>
    </row>
    <row r="253" spans="1:8" s="21" customFormat="1" x14ac:dyDescent="0.25">
      <c r="A253" s="19" t="s">
        <v>48</v>
      </c>
      <c r="B253" s="18" t="s">
        <v>27</v>
      </c>
      <c r="C253" s="22" t="s">
        <v>513</v>
      </c>
      <c r="D253" s="46">
        <v>339</v>
      </c>
      <c r="E253" s="30">
        <v>399</v>
      </c>
      <c r="F253" s="22" t="s">
        <v>328</v>
      </c>
      <c r="G253" s="35">
        <v>44360</v>
      </c>
      <c r="H253" s="43">
        <v>1000000</v>
      </c>
    </row>
    <row r="254" spans="1:8" s="21" customFormat="1" x14ac:dyDescent="0.25">
      <c r="A254" s="19" t="s">
        <v>48</v>
      </c>
      <c r="B254" s="18" t="s">
        <v>27</v>
      </c>
      <c r="C254" s="22" t="s">
        <v>514</v>
      </c>
      <c r="D254" s="46">
        <v>363</v>
      </c>
      <c r="E254" s="30">
        <v>423</v>
      </c>
      <c r="F254" s="22" t="s">
        <v>328</v>
      </c>
      <c r="G254" s="35">
        <v>44336</v>
      </c>
      <c r="H254" s="43">
        <v>1000000</v>
      </c>
    </row>
    <row r="255" spans="1:8" s="21" customFormat="1" x14ac:dyDescent="0.25">
      <c r="A255" s="19" t="s">
        <v>48</v>
      </c>
      <c r="B255" s="18" t="s">
        <v>27</v>
      </c>
      <c r="C255" s="22" t="s">
        <v>515</v>
      </c>
      <c r="D255" s="46">
        <v>3</v>
      </c>
      <c r="E255" s="30">
        <v>63</v>
      </c>
      <c r="F255" s="22" t="s">
        <v>328</v>
      </c>
      <c r="G255" s="35">
        <v>44696</v>
      </c>
      <c r="H255" s="43">
        <v>1000000</v>
      </c>
    </row>
    <row r="256" spans="1:8" s="21" customFormat="1" x14ac:dyDescent="0.25">
      <c r="A256" s="19" t="s">
        <v>48</v>
      </c>
      <c r="B256" s="18" t="s">
        <v>27</v>
      </c>
      <c r="C256" s="22" t="s">
        <v>516</v>
      </c>
      <c r="D256" s="46">
        <v>11</v>
      </c>
      <c r="E256" s="30">
        <v>71</v>
      </c>
      <c r="F256" s="22" t="s">
        <v>328</v>
      </c>
      <c r="G256" s="35">
        <v>44688</v>
      </c>
      <c r="H256" s="43">
        <v>1000000</v>
      </c>
    </row>
    <row r="257" spans="1:8" s="21" customFormat="1" x14ac:dyDescent="0.25">
      <c r="A257" s="19" t="s">
        <v>48</v>
      </c>
      <c r="B257" s="18" t="s">
        <v>27</v>
      </c>
      <c r="C257" s="22" t="s">
        <v>517</v>
      </c>
      <c r="D257" s="46">
        <v>18</v>
      </c>
      <c r="E257" s="30">
        <v>78</v>
      </c>
      <c r="F257" s="22" t="s">
        <v>328</v>
      </c>
      <c r="G257" s="35">
        <v>44681</v>
      </c>
      <c r="H257" s="43">
        <v>1000000</v>
      </c>
    </row>
    <row r="258" spans="1:8" s="21" customFormat="1" x14ac:dyDescent="0.25">
      <c r="A258" s="19" t="s">
        <v>48</v>
      </c>
      <c r="B258" s="18" t="s">
        <v>27</v>
      </c>
      <c r="C258" s="22" t="s">
        <v>518</v>
      </c>
      <c r="D258" s="46">
        <v>77</v>
      </c>
      <c r="E258" s="30">
        <v>137</v>
      </c>
      <c r="F258" s="22" t="s">
        <v>328</v>
      </c>
      <c r="G258" s="35">
        <v>44622</v>
      </c>
      <c r="H258" s="43">
        <v>1000000</v>
      </c>
    </row>
    <row r="259" spans="1:8" s="21" customFormat="1" x14ac:dyDescent="0.25">
      <c r="A259" s="19" t="s">
        <v>48</v>
      </c>
      <c r="B259" s="18" t="s">
        <v>27</v>
      </c>
      <c r="C259" s="22" t="s">
        <v>519</v>
      </c>
      <c r="D259" s="46">
        <v>83</v>
      </c>
      <c r="E259" s="30">
        <v>143</v>
      </c>
      <c r="F259" s="22" t="s">
        <v>328</v>
      </c>
      <c r="G259" s="35">
        <v>44616</v>
      </c>
      <c r="H259" s="43">
        <v>1000000</v>
      </c>
    </row>
    <row r="260" spans="1:8" s="21" customFormat="1" x14ac:dyDescent="0.25">
      <c r="A260" s="19" t="s">
        <v>48</v>
      </c>
      <c r="B260" s="18" t="s">
        <v>28</v>
      </c>
      <c r="C260" s="22" t="s">
        <v>207</v>
      </c>
      <c r="D260" s="46">
        <v>93</v>
      </c>
      <c r="E260" s="30">
        <v>153</v>
      </c>
      <c r="F260" s="22" t="s">
        <v>328</v>
      </c>
      <c r="G260" s="35">
        <v>44606</v>
      </c>
      <c r="H260" s="43">
        <v>1000000</v>
      </c>
    </row>
    <row r="261" spans="1:8" s="21" customFormat="1" x14ac:dyDescent="0.25">
      <c r="A261" s="19" t="s">
        <v>48</v>
      </c>
      <c r="B261" s="18" t="s">
        <v>28</v>
      </c>
      <c r="C261" s="22" t="s">
        <v>208</v>
      </c>
      <c r="D261" s="46">
        <v>94</v>
      </c>
      <c r="E261" s="30">
        <v>154</v>
      </c>
      <c r="F261" s="22" t="s">
        <v>328</v>
      </c>
      <c r="G261" s="35">
        <v>44605</v>
      </c>
      <c r="H261" s="43">
        <v>1000000</v>
      </c>
    </row>
    <row r="262" spans="1:8" s="21" customFormat="1" x14ac:dyDescent="0.25">
      <c r="A262" s="19" t="s">
        <v>48</v>
      </c>
      <c r="B262" s="18" t="s">
        <v>28</v>
      </c>
      <c r="C262" s="22" t="s">
        <v>249</v>
      </c>
      <c r="D262" s="46">
        <v>104</v>
      </c>
      <c r="E262" s="30">
        <v>164</v>
      </c>
      <c r="F262" s="22" t="s">
        <v>328</v>
      </c>
      <c r="G262" s="35">
        <v>44595</v>
      </c>
      <c r="H262" s="43">
        <v>1000000</v>
      </c>
    </row>
    <row r="263" spans="1:8" s="21" customFormat="1" x14ac:dyDescent="0.25">
      <c r="A263" s="19" t="s">
        <v>48</v>
      </c>
      <c r="B263" s="18" t="s">
        <v>28</v>
      </c>
      <c r="C263" s="22" t="s">
        <v>260</v>
      </c>
      <c r="D263" s="46">
        <v>108</v>
      </c>
      <c r="E263" s="30">
        <v>168</v>
      </c>
      <c r="F263" s="22" t="s">
        <v>328</v>
      </c>
      <c r="G263" s="35">
        <v>44591</v>
      </c>
      <c r="H263" s="43">
        <v>1000000</v>
      </c>
    </row>
    <row r="264" spans="1:8" s="21" customFormat="1" x14ac:dyDescent="0.25">
      <c r="A264" s="19" t="s">
        <v>48</v>
      </c>
      <c r="B264" s="18" t="s">
        <v>28</v>
      </c>
      <c r="C264" s="22" t="s">
        <v>283</v>
      </c>
      <c r="D264" s="46">
        <v>113</v>
      </c>
      <c r="E264" s="30">
        <v>173</v>
      </c>
      <c r="F264" s="22" t="s">
        <v>328</v>
      </c>
      <c r="G264" s="35">
        <v>44586</v>
      </c>
      <c r="H264" s="43">
        <v>1000000</v>
      </c>
    </row>
    <row r="265" spans="1:8" s="21" customFormat="1" x14ac:dyDescent="0.25">
      <c r="A265" s="19" t="s">
        <v>48</v>
      </c>
      <c r="B265" s="18" t="s">
        <v>28</v>
      </c>
      <c r="C265" s="22" t="s">
        <v>284</v>
      </c>
      <c r="D265" s="46">
        <v>114</v>
      </c>
      <c r="E265" s="30">
        <v>174</v>
      </c>
      <c r="F265" s="22" t="s">
        <v>328</v>
      </c>
      <c r="G265" s="35">
        <v>44585</v>
      </c>
      <c r="H265" s="43">
        <v>1000000</v>
      </c>
    </row>
    <row r="266" spans="1:8" s="21" customFormat="1" x14ac:dyDescent="0.25">
      <c r="A266" s="19" t="s">
        <v>48</v>
      </c>
      <c r="B266" s="18" t="s">
        <v>28</v>
      </c>
      <c r="C266" s="22" t="s">
        <v>290</v>
      </c>
      <c r="D266" s="46">
        <v>117</v>
      </c>
      <c r="E266" s="30">
        <v>177</v>
      </c>
      <c r="F266" s="22" t="s">
        <v>328</v>
      </c>
      <c r="G266" s="35">
        <v>44582</v>
      </c>
      <c r="H266" s="43">
        <v>1000000</v>
      </c>
    </row>
    <row r="267" spans="1:8" s="21" customFormat="1" x14ac:dyDescent="0.25">
      <c r="A267" s="19" t="s">
        <v>48</v>
      </c>
      <c r="B267" s="18" t="s">
        <v>28</v>
      </c>
      <c r="C267" s="22" t="s">
        <v>310</v>
      </c>
      <c r="D267" s="46">
        <v>123</v>
      </c>
      <c r="E267" s="30">
        <v>183</v>
      </c>
      <c r="F267" s="22" t="s">
        <v>328</v>
      </c>
      <c r="G267" s="35">
        <v>44576</v>
      </c>
      <c r="H267" s="43">
        <v>1000000</v>
      </c>
    </row>
    <row r="268" spans="1:8" s="21" customFormat="1" x14ac:dyDescent="0.25">
      <c r="A268" s="19" t="s">
        <v>48</v>
      </c>
      <c r="B268" s="18" t="s">
        <v>28</v>
      </c>
      <c r="C268" s="22" t="s">
        <v>409</v>
      </c>
      <c r="D268" s="46">
        <v>133</v>
      </c>
      <c r="E268" s="30">
        <v>193</v>
      </c>
      <c r="F268" s="22" t="s">
        <v>328</v>
      </c>
      <c r="G268" s="35">
        <v>44566</v>
      </c>
      <c r="H268" s="43">
        <v>1000000</v>
      </c>
    </row>
    <row r="269" spans="1:8" s="21" customFormat="1" x14ac:dyDescent="0.25">
      <c r="A269" s="19" t="s">
        <v>48</v>
      </c>
      <c r="B269" s="18" t="s">
        <v>28</v>
      </c>
      <c r="C269" s="22" t="s">
        <v>520</v>
      </c>
      <c r="D269" s="46">
        <v>77</v>
      </c>
      <c r="E269" s="30">
        <v>137</v>
      </c>
      <c r="F269" s="22" t="s">
        <v>328</v>
      </c>
      <c r="G269" s="35">
        <v>44622</v>
      </c>
      <c r="H269" s="43">
        <v>1000000</v>
      </c>
    </row>
    <row r="270" spans="1:8" s="21" customFormat="1" x14ac:dyDescent="0.25">
      <c r="A270" s="19" t="s">
        <v>48</v>
      </c>
      <c r="B270" s="18" t="s">
        <v>28</v>
      </c>
      <c r="C270" s="22" t="s">
        <v>521</v>
      </c>
      <c r="D270" s="46">
        <v>84</v>
      </c>
      <c r="E270" s="30">
        <v>144</v>
      </c>
      <c r="F270" s="22" t="s">
        <v>328</v>
      </c>
      <c r="G270" s="35">
        <v>44615</v>
      </c>
      <c r="H270" s="43">
        <v>1000000</v>
      </c>
    </row>
    <row r="271" spans="1:8" s="21" customFormat="1" x14ac:dyDescent="0.25">
      <c r="A271" s="19" t="s">
        <v>48</v>
      </c>
      <c r="B271" s="18" t="s">
        <v>28</v>
      </c>
      <c r="C271" s="22" t="s">
        <v>522</v>
      </c>
      <c r="D271" s="46">
        <v>86</v>
      </c>
      <c r="E271" s="30">
        <v>146</v>
      </c>
      <c r="F271" s="22" t="s">
        <v>328</v>
      </c>
      <c r="G271" s="35">
        <v>44613</v>
      </c>
      <c r="H271" s="43">
        <v>1000000</v>
      </c>
    </row>
    <row r="272" spans="1:8" s="21" customFormat="1" x14ac:dyDescent="0.25">
      <c r="A272" s="19" t="s">
        <v>48</v>
      </c>
      <c r="B272" s="18" t="s">
        <v>28</v>
      </c>
      <c r="C272" s="22" t="s">
        <v>523</v>
      </c>
      <c r="D272" s="46">
        <v>86</v>
      </c>
      <c r="E272" s="30">
        <v>146</v>
      </c>
      <c r="F272" s="22" t="s">
        <v>328</v>
      </c>
      <c r="G272" s="35">
        <v>44613</v>
      </c>
      <c r="H272" s="43">
        <v>1000000</v>
      </c>
    </row>
    <row r="273" spans="1:8" s="21" customFormat="1" x14ac:dyDescent="0.25">
      <c r="A273" s="19" t="s">
        <v>48</v>
      </c>
      <c r="B273" s="18" t="s">
        <v>28</v>
      </c>
      <c r="C273" s="22" t="s">
        <v>524</v>
      </c>
      <c r="D273" s="46">
        <v>87</v>
      </c>
      <c r="E273" s="30">
        <v>147</v>
      </c>
      <c r="F273" s="22" t="s">
        <v>328</v>
      </c>
      <c r="G273" s="35">
        <v>44612</v>
      </c>
      <c r="H273" s="43">
        <v>1000000</v>
      </c>
    </row>
    <row r="274" spans="1:8" s="21" customFormat="1" x14ac:dyDescent="0.25">
      <c r="A274" s="19" t="s">
        <v>48</v>
      </c>
      <c r="B274" s="18" t="s">
        <v>29</v>
      </c>
      <c r="C274" s="22" t="s">
        <v>180</v>
      </c>
      <c r="D274" s="46">
        <v>259</v>
      </c>
      <c r="E274" s="30">
        <v>319</v>
      </c>
      <c r="F274" s="22" t="s">
        <v>328</v>
      </c>
      <c r="G274" s="35">
        <v>44440</v>
      </c>
      <c r="H274" s="43">
        <v>1000000</v>
      </c>
    </row>
    <row r="275" spans="1:8" s="21" customFormat="1" x14ac:dyDescent="0.25">
      <c r="A275" s="19" t="s">
        <v>48</v>
      </c>
      <c r="B275" s="18" t="s">
        <v>29</v>
      </c>
      <c r="C275" s="22" t="s">
        <v>218</v>
      </c>
      <c r="D275" s="46">
        <v>97</v>
      </c>
      <c r="E275" s="30">
        <v>157</v>
      </c>
      <c r="F275" s="22" t="s">
        <v>328</v>
      </c>
      <c r="G275" s="35">
        <v>44602</v>
      </c>
      <c r="H275" s="43">
        <v>1000000</v>
      </c>
    </row>
    <row r="276" spans="1:8" s="21" customFormat="1" x14ac:dyDescent="0.25">
      <c r="A276" s="19" t="s">
        <v>48</v>
      </c>
      <c r="B276" s="18" t="s">
        <v>29</v>
      </c>
      <c r="C276" s="22" t="s">
        <v>250</v>
      </c>
      <c r="D276" s="46">
        <v>104</v>
      </c>
      <c r="E276" s="30">
        <v>164</v>
      </c>
      <c r="F276" s="22" t="s">
        <v>328</v>
      </c>
      <c r="G276" s="35">
        <v>44595</v>
      </c>
      <c r="H276" s="43">
        <v>1000000</v>
      </c>
    </row>
    <row r="277" spans="1:8" s="21" customFormat="1" x14ac:dyDescent="0.25">
      <c r="A277" s="19" t="s">
        <v>48</v>
      </c>
      <c r="B277" s="18" t="s">
        <v>29</v>
      </c>
      <c r="C277" s="22" t="s">
        <v>285</v>
      </c>
      <c r="D277" s="46">
        <v>114</v>
      </c>
      <c r="E277" s="30">
        <v>174</v>
      </c>
      <c r="F277" s="22" t="s">
        <v>328</v>
      </c>
      <c r="G277" s="35">
        <v>44585</v>
      </c>
      <c r="H277" s="43">
        <v>1000000</v>
      </c>
    </row>
    <row r="278" spans="1:8" s="21" customFormat="1" x14ac:dyDescent="0.25">
      <c r="A278" s="19" t="s">
        <v>48</v>
      </c>
      <c r="B278" s="18" t="s">
        <v>29</v>
      </c>
      <c r="C278" s="22" t="s">
        <v>410</v>
      </c>
      <c r="D278" s="46">
        <v>133</v>
      </c>
      <c r="E278" s="30">
        <v>193</v>
      </c>
      <c r="F278" s="22" t="s">
        <v>328</v>
      </c>
      <c r="G278" s="35">
        <v>44566</v>
      </c>
      <c r="H278" s="43">
        <v>1000000</v>
      </c>
    </row>
    <row r="279" spans="1:8" s="21" customFormat="1" x14ac:dyDescent="0.25">
      <c r="A279" s="19" t="s">
        <v>48</v>
      </c>
      <c r="B279" s="18" t="s">
        <v>29</v>
      </c>
      <c r="C279" s="22" t="s">
        <v>426</v>
      </c>
      <c r="D279" s="46">
        <v>135</v>
      </c>
      <c r="E279" s="30">
        <v>195</v>
      </c>
      <c r="F279" s="22" t="s">
        <v>328</v>
      </c>
      <c r="G279" s="35">
        <v>44564</v>
      </c>
      <c r="H279" s="43">
        <v>1000000</v>
      </c>
    </row>
    <row r="280" spans="1:8" s="21" customFormat="1" x14ac:dyDescent="0.25">
      <c r="A280" s="19" t="s">
        <v>48</v>
      </c>
      <c r="B280" s="18" t="s">
        <v>29</v>
      </c>
      <c r="C280" s="22" t="s">
        <v>525</v>
      </c>
      <c r="D280" s="46">
        <v>77</v>
      </c>
      <c r="E280" s="30">
        <v>137</v>
      </c>
      <c r="F280" s="22" t="s">
        <v>328</v>
      </c>
      <c r="G280" s="35">
        <v>44622</v>
      </c>
      <c r="H280" s="43">
        <v>1000000</v>
      </c>
    </row>
    <row r="281" spans="1:8" s="21" customFormat="1" x14ac:dyDescent="0.25">
      <c r="A281" s="19" t="s">
        <v>48</v>
      </c>
      <c r="B281" s="18" t="s">
        <v>29</v>
      </c>
      <c r="C281" s="22" t="s">
        <v>526</v>
      </c>
      <c r="D281" s="46">
        <v>85</v>
      </c>
      <c r="E281" s="30">
        <v>145</v>
      </c>
      <c r="F281" s="22" t="s">
        <v>328</v>
      </c>
      <c r="G281" s="35">
        <v>44614</v>
      </c>
      <c r="H281" s="43">
        <v>1000000</v>
      </c>
    </row>
    <row r="282" spans="1:8" s="21" customFormat="1" x14ac:dyDescent="0.25">
      <c r="A282" s="19" t="s">
        <v>48</v>
      </c>
      <c r="B282" s="22" t="s">
        <v>30</v>
      </c>
      <c r="C282" s="22" t="s">
        <v>251</v>
      </c>
      <c r="D282" s="46">
        <v>103</v>
      </c>
      <c r="E282" s="30">
        <v>163</v>
      </c>
      <c r="F282" s="22" t="s">
        <v>328</v>
      </c>
      <c r="G282" s="35">
        <v>44596</v>
      </c>
      <c r="H282" s="43">
        <v>1000000</v>
      </c>
    </row>
    <row r="283" spans="1:8" s="21" customFormat="1" x14ac:dyDescent="0.25">
      <c r="A283" s="19" t="s">
        <v>48</v>
      </c>
      <c r="B283" s="22" t="s">
        <v>30</v>
      </c>
      <c r="C283" s="22" t="s">
        <v>266</v>
      </c>
      <c r="D283" s="46">
        <v>110</v>
      </c>
      <c r="E283" s="30">
        <v>170</v>
      </c>
      <c r="F283" s="22" t="s">
        <v>328</v>
      </c>
      <c r="G283" s="35">
        <v>44589</v>
      </c>
      <c r="H283" s="43">
        <v>1000000</v>
      </c>
    </row>
    <row r="284" spans="1:8" s="21" customFormat="1" x14ac:dyDescent="0.25">
      <c r="A284" s="19" t="s">
        <v>48</v>
      </c>
      <c r="B284" s="22" t="s">
        <v>30</v>
      </c>
      <c r="C284" s="22" t="s">
        <v>288</v>
      </c>
      <c r="D284" s="46">
        <v>116</v>
      </c>
      <c r="E284" s="30">
        <v>176</v>
      </c>
      <c r="F284" s="22" t="s">
        <v>328</v>
      </c>
      <c r="G284" s="35">
        <v>44583</v>
      </c>
      <c r="H284" s="43">
        <v>1000000</v>
      </c>
    </row>
    <row r="285" spans="1:8" s="21" customFormat="1" x14ac:dyDescent="0.25">
      <c r="A285" s="19" t="s">
        <v>48</v>
      </c>
      <c r="B285" s="22" t="s">
        <v>30</v>
      </c>
      <c r="C285" s="22" t="s">
        <v>342</v>
      </c>
      <c r="D285" s="46">
        <v>127</v>
      </c>
      <c r="E285" s="30">
        <v>187</v>
      </c>
      <c r="F285" s="22" t="s">
        <v>328</v>
      </c>
      <c r="G285" s="35">
        <v>44572</v>
      </c>
      <c r="H285" s="43">
        <v>1000000</v>
      </c>
    </row>
    <row r="286" spans="1:8" s="21" customFormat="1" x14ac:dyDescent="0.25">
      <c r="A286" s="19" t="s">
        <v>48</v>
      </c>
      <c r="B286" s="22" t="s">
        <v>30</v>
      </c>
      <c r="C286" s="22" t="s">
        <v>527</v>
      </c>
      <c r="D286" s="46">
        <v>82</v>
      </c>
      <c r="E286" s="30">
        <v>142</v>
      </c>
      <c r="F286" s="22" t="s">
        <v>328</v>
      </c>
      <c r="G286" s="35">
        <v>44617</v>
      </c>
      <c r="H286" s="43">
        <v>1000000</v>
      </c>
    </row>
    <row r="287" spans="1:8" s="21" customFormat="1" x14ac:dyDescent="0.25">
      <c r="A287" s="19" t="s">
        <v>48</v>
      </c>
      <c r="B287" s="22" t="s">
        <v>30</v>
      </c>
      <c r="C287" s="22" t="s">
        <v>528</v>
      </c>
      <c r="D287" s="46">
        <v>86</v>
      </c>
      <c r="E287" s="30">
        <v>146</v>
      </c>
      <c r="F287" s="22" t="s">
        <v>328</v>
      </c>
      <c r="G287" s="35">
        <v>44613</v>
      </c>
      <c r="H287" s="43">
        <v>1000000</v>
      </c>
    </row>
    <row r="288" spans="1:8" s="21" customFormat="1" x14ac:dyDescent="0.25">
      <c r="A288" s="19" t="s">
        <v>48</v>
      </c>
      <c r="B288" s="22" t="s">
        <v>31</v>
      </c>
      <c r="C288" s="22" t="s">
        <v>75</v>
      </c>
      <c r="D288" s="46">
        <v>103</v>
      </c>
      <c r="E288" s="30">
        <v>163</v>
      </c>
      <c r="F288" s="22" t="s">
        <v>328</v>
      </c>
      <c r="G288" s="35">
        <v>44596</v>
      </c>
      <c r="H288" s="43">
        <v>1000000</v>
      </c>
    </row>
    <row r="289" spans="1:8" s="21" customFormat="1" x14ac:dyDescent="0.25">
      <c r="A289" s="19" t="s">
        <v>48</v>
      </c>
      <c r="B289" s="22" t="s">
        <v>31</v>
      </c>
      <c r="C289" s="22" t="s">
        <v>529</v>
      </c>
      <c r="D289" s="46">
        <v>353</v>
      </c>
      <c r="E289" s="30">
        <v>413</v>
      </c>
      <c r="F289" s="22" t="s">
        <v>328</v>
      </c>
      <c r="G289" s="35">
        <v>44346</v>
      </c>
      <c r="H289" s="43">
        <v>1000000</v>
      </c>
    </row>
    <row r="290" spans="1:8" s="21" customFormat="1" x14ac:dyDescent="0.25">
      <c r="A290" s="19" t="s">
        <v>48</v>
      </c>
      <c r="B290" s="22" t="s">
        <v>32</v>
      </c>
      <c r="C290" s="22" t="s">
        <v>311</v>
      </c>
      <c r="D290" s="46">
        <v>121</v>
      </c>
      <c r="E290" s="30">
        <v>181</v>
      </c>
      <c r="F290" s="22" t="s">
        <v>328</v>
      </c>
      <c r="G290" s="35">
        <v>44578</v>
      </c>
      <c r="H290" s="43">
        <v>1000000</v>
      </c>
    </row>
    <row r="291" spans="1:8" s="21" customFormat="1" x14ac:dyDescent="0.25">
      <c r="A291" s="19" t="s">
        <v>48</v>
      </c>
      <c r="B291" s="22" t="s">
        <v>32</v>
      </c>
      <c r="C291" s="22" t="s">
        <v>530</v>
      </c>
      <c r="D291" s="46">
        <v>83</v>
      </c>
      <c r="E291" s="30">
        <v>143</v>
      </c>
      <c r="F291" s="22" t="s">
        <v>328</v>
      </c>
      <c r="G291" s="35">
        <v>44616</v>
      </c>
      <c r="H291" s="43">
        <v>1000000</v>
      </c>
    </row>
    <row r="292" spans="1:8" s="21" customFormat="1" x14ac:dyDescent="0.25">
      <c r="A292" s="19" t="s">
        <v>48</v>
      </c>
      <c r="B292" s="22" t="s">
        <v>32</v>
      </c>
      <c r="C292" s="22" t="s">
        <v>531</v>
      </c>
      <c r="D292" s="46">
        <v>83</v>
      </c>
      <c r="E292" s="30">
        <v>143</v>
      </c>
      <c r="F292" s="22" t="s">
        <v>328</v>
      </c>
      <c r="G292" s="35">
        <v>44616</v>
      </c>
      <c r="H292" s="43">
        <v>1000000</v>
      </c>
    </row>
    <row r="293" spans="1:8" s="21" customFormat="1" x14ac:dyDescent="0.25">
      <c r="A293" s="19" t="s">
        <v>48</v>
      </c>
      <c r="B293" s="22" t="s">
        <v>71</v>
      </c>
      <c r="C293" s="22" t="s">
        <v>76</v>
      </c>
      <c r="D293" s="46">
        <v>132</v>
      </c>
      <c r="E293" s="30">
        <v>192</v>
      </c>
      <c r="F293" s="22" t="s">
        <v>328</v>
      </c>
      <c r="G293" s="35">
        <v>44567</v>
      </c>
      <c r="H293" s="43">
        <v>1000000</v>
      </c>
    </row>
    <row r="294" spans="1:8" s="21" customFormat="1" x14ac:dyDescent="0.25">
      <c r="A294" s="19" t="s">
        <v>48</v>
      </c>
      <c r="B294" s="22" t="s">
        <v>71</v>
      </c>
      <c r="C294" s="22" t="s">
        <v>187</v>
      </c>
      <c r="D294" s="46">
        <v>5</v>
      </c>
      <c r="E294" s="30">
        <v>65</v>
      </c>
      <c r="F294" s="22" t="s">
        <v>328</v>
      </c>
      <c r="G294" s="35">
        <v>44694</v>
      </c>
      <c r="H294" s="43">
        <v>1000000</v>
      </c>
    </row>
    <row r="295" spans="1:8" s="21" customFormat="1" x14ac:dyDescent="0.25">
      <c r="A295" s="19" t="s">
        <v>48</v>
      </c>
      <c r="B295" s="22" t="s">
        <v>71</v>
      </c>
      <c r="C295" s="22" t="s">
        <v>189</v>
      </c>
      <c r="D295" s="46">
        <v>20</v>
      </c>
      <c r="E295" s="30">
        <v>80</v>
      </c>
      <c r="F295" s="22" t="s">
        <v>328</v>
      </c>
      <c r="G295" s="35">
        <v>44679</v>
      </c>
      <c r="H295" s="43">
        <v>1000000</v>
      </c>
    </row>
    <row r="296" spans="1:8" s="21" customFormat="1" x14ac:dyDescent="0.25">
      <c r="A296" s="19" t="s">
        <v>48</v>
      </c>
      <c r="B296" s="22" t="s">
        <v>71</v>
      </c>
      <c r="C296" s="22" t="s">
        <v>190</v>
      </c>
      <c r="D296" s="46">
        <v>21</v>
      </c>
      <c r="E296" s="30">
        <v>81</v>
      </c>
      <c r="F296" s="22" t="s">
        <v>328</v>
      </c>
      <c r="G296" s="35">
        <v>44678</v>
      </c>
      <c r="H296" s="43">
        <v>1000000</v>
      </c>
    </row>
    <row r="297" spans="1:8" s="21" customFormat="1" x14ac:dyDescent="0.25">
      <c r="A297" s="19" t="s">
        <v>48</v>
      </c>
      <c r="B297" s="22" t="s">
        <v>71</v>
      </c>
      <c r="C297" s="22" t="s">
        <v>199</v>
      </c>
      <c r="D297" s="46">
        <v>85</v>
      </c>
      <c r="E297" s="30">
        <v>145</v>
      </c>
      <c r="F297" s="22" t="s">
        <v>328</v>
      </c>
      <c r="G297" s="35">
        <v>44614</v>
      </c>
      <c r="H297" s="43">
        <v>1000000</v>
      </c>
    </row>
    <row r="298" spans="1:8" s="21" customFormat="1" x14ac:dyDescent="0.25">
      <c r="A298" s="19" t="s">
        <v>48</v>
      </c>
      <c r="B298" s="22" t="s">
        <v>71</v>
      </c>
      <c r="C298" s="22" t="s">
        <v>299</v>
      </c>
      <c r="D298" s="46">
        <v>118</v>
      </c>
      <c r="E298" s="30">
        <v>178</v>
      </c>
      <c r="F298" s="22" t="s">
        <v>328</v>
      </c>
      <c r="G298" s="35">
        <v>44581</v>
      </c>
      <c r="H298" s="43">
        <v>1000000</v>
      </c>
    </row>
    <row r="299" spans="1:8" s="21" customFormat="1" x14ac:dyDescent="0.25">
      <c r="A299" s="19" t="s">
        <v>48</v>
      </c>
      <c r="B299" s="22" t="s">
        <v>25</v>
      </c>
      <c r="C299" s="22" t="s">
        <v>226</v>
      </c>
      <c r="D299" s="46">
        <v>98</v>
      </c>
      <c r="E299" s="30">
        <v>158</v>
      </c>
      <c r="F299" s="22" t="s">
        <v>328</v>
      </c>
      <c r="G299" s="35">
        <v>44601</v>
      </c>
      <c r="H299" s="43">
        <v>1000000</v>
      </c>
    </row>
    <row r="300" spans="1:8" s="21" customFormat="1" x14ac:dyDescent="0.25">
      <c r="A300" s="19" t="s">
        <v>48</v>
      </c>
      <c r="B300" s="22" t="s">
        <v>25</v>
      </c>
      <c r="C300" s="22" t="s">
        <v>265</v>
      </c>
      <c r="D300" s="46">
        <v>110</v>
      </c>
      <c r="E300" s="30">
        <v>170</v>
      </c>
      <c r="F300" s="22" t="s">
        <v>328</v>
      </c>
      <c r="G300" s="35">
        <v>44589</v>
      </c>
      <c r="H300" s="43">
        <v>1000000</v>
      </c>
    </row>
    <row r="301" spans="1:8" s="21" customFormat="1" x14ac:dyDescent="0.25">
      <c r="A301" s="19" t="s">
        <v>48</v>
      </c>
      <c r="B301" s="22" t="s">
        <v>25</v>
      </c>
      <c r="C301" s="22" t="s">
        <v>282</v>
      </c>
      <c r="D301" s="46">
        <v>114</v>
      </c>
      <c r="E301" s="30">
        <v>174</v>
      </c>
      <c r="F301" s="22" t="s">
        <v>328</v>
      </c>
      <c r="G301" s="35">
        <v>44585</v>
      </c>
      <c r="H301" s="43">
        <v>1000000</v>
      </c>
    </row>
    <row r="302" spans="1:8" s="21" customFormat="1" x14ac:dyDescent="0.25">
      <c r="A302" s="19" t="s">
        <v>48</v>
      </c>
      <c r="B302" s="22" t="s">
        <v>25</v>
      </c>
      <c r="C302" s="22" t="s">
        <v>332</v>
      </c>
      <c r="D302" s="46">
        <v>126</v>
      </c>
      <c r="E302" s="30">
        <v>186</v>
      </c>
      <c r="F302" s="22" t="s">
        <v>328</v>
      </c>
      <c r="G302" s="35">
        <v>44573</v>
      </c>
      <c r="H302" s="43">
        <v>1000000</v>
      </c>
    </row>
    <row r="303" spans="1:8" s="21" customFormat="1" x14ac:dyDescent="0.25">
      <c r="A303" s="19" t="s">
        <v>48</v>
      </c>
      <c r="B303" s="22" t="s">
        <v>25</v>
      </c>
      <c r="C303" s="22" t="s">
        <v>502</v>
      </c>
      <c r="D303" s="46">
        <v>77</v>
      </c>
      <c r="E303" s="30">
        <v>137</v>
      </c>
      <c r="F303" s="22" t="s">
        <v>328</v>
      </c>
      <c r="G303" s="35">
        <v>44622</v>
      </c>
      <c r="H303" s="43">
        <v>1000000</v>
      </c>
    </row>
    <row r="304" spans="1:8" s="21" customFormat="1" x14ac:dyDescent="0.25">
      <c r="A304" s="19" t="s">
        <v>48</v>
      </c>
      <c r="B304" s="22" t="s">
        <v>24</v>
      </c>
      <c r="C304" s="22" t="s">
        <v>246</v>
      </c>
      <c r="D304" s="46">
        <v>103</v>
      </c>
      <c r="E304" s="30">
        <v>163</v>
      </c>
      <c r="F304" s="22" t="s">
        <v>328</v>
      </c>
      <c r="G304" s="35">
        <v>44596</v>
      </c>
      <c r="H304" s="43">
        <v>1000000</v>
      </c>
    </row>
    <row r="305" spans="1:8" s="21" customFormat="1" x14ac:dyDescent="0.25">
      <c r="A305" s="19" t="s">
        <v>49</v>
      </c>
      <c r="B305" s="22" t="s">
        <v>33</v>
      </c>
      <c r="C305" s="22" t="s">
        <v>125</v>
      </c>
      <c r="D305" s="46">
        <v>269</v>
      </c>
      <c r="E305" s="30">
        <v>299</v>
      </c>
      <c r="F305" s="22" t="s">
        <v>328</v>
      </c>
      <c r="G305" s="35">
        <v>44430</v>
      </c>
      <c r="H305" s="43">
        <v>1000000</v>
      </c>
    </row>
    <row r="306" spans="1:8" s="21" customFormat="1" x14ac:dyDescent="0.25">
      <c r="A306" s="19" t="s">
        <v>49</v>
      </c>
      <c r="B306" s="22" t="s">
        <v>33</v>
      </c>
      <c r="C306" s="22" t="s">
        <v>127</v>
      </c>
      <c r="D306" s="46">
        <v>269</v>
      </c>
      <c r="E306" s="30">
        <v>299</v>
      </c>
      <c r="F306" s="22" t="s">
        <v>328</v>
      </c>
      <c r="G306" s="35">
        <v>44430</v>
      </c>
      <c r="H306" s="43">
        <v>1000000</v>
      </c>
    </row>
    <row r="307" spans="1:8" s="21" customFormat="1" x14ac:dyDescent="0.25">
      <c r="A307" s="19" t="s">
        <v>49</v>
      </c>
      <c r="B307" s="22" t="s">
        <v>33</v>
      </c>
      <c r="C307" s="22" t="s">
        <v>128</v>
      </c>
      <c r="D307" s="46">
        <v>274</v>
      </c>
      <c r="E307" s="30">
        <v>304</v>
      </c>
      <c r="F307" s="22" t="s">
        <v>328</v>
      </c>
      <c r="G307" s="35">
        <v>44425</v>
      </c>
      <c r="H307" s="43">
        <v>1000000</v>
      </c>
    </row>
    <row r="308" spans="1:8" s="21" customFormat="1" x14ac:dyDescent="0.25">
      <c r="A308" s="19" t="s">
        <v>49</v>
      </c>
      <c r="B308" s="22" t="s">
        <v>33</v>
      </c>
      <c r="C308" s="22" t="s">
        <v>129</v>
      </c>
      <c r="D308" s="46">
        <v>305</v>
      </c>
      <c r="E308" s="30">
        <v>335</v>
      </c>
      <c r="F308" s="22" t="s">
        <v>328</v>
      </c>
      <c r="G308" s="35">
        <v>44394</v>
      </c>
      <c r="H308" s="43">
        <v>1000000</v>
      </c>
    </row>
    <row r="309" spans="1:8" s="21" customFormat="1" x14ac:dyDescent="0.25">
      <c r="A309" s="19" t="s">
        <v>49</v>
      </c>
      <c r="B309" s="22" t="s">
        <v>33</v>
      </c>
      <c r="C309" s="22" t="s">
        <v>130</v>
      </c>
      <c r="D309" s="46">
        <v>73</v>
      </c>
      <c r="E309" s="30">
        <v>103</v>
      </c>
      <c r="F309" s="22" t="s">
        <v>328</v>
      </c>
      <c r="G309" s="35">
        <v>44626</v>
      </c>
      <c r="H309" s="43">
        <v>1000000</v>
      </c>
    </row>
    <row r="310" spans="1:8" s="21" customFormat="1" x14ac:dyDescent="0.25">
      <c r="A310" s="19" t="s">
        <v>49</v>
      </c>
      <c r="B310" s="22" t="s">
        <v>33</v>
      </c>
      <c r="C310" s="22" t="s">
        <v>131</v>
      </c>
      <c r="D310" s="46">
        <v>152</v>
      </c>
      <c r="E310" s="30">
        <v>182</v>
      </c>
      <c r="F310" s="22" t="s">
        <v>328</v>
      </c>
      <c r="G310" s="35">
        <v>44547</v>
      </c>
      <c r="H310" s="43">
        <v>1000000</v>
      </c>
    </row>
    <row r="311" spans="1:8" s="21" customFormat="1" x14ac:dyDescent="0.25">
      <c r="A311" s="19" t="s">
        <v>49</v>
      </c>
      <c r="B311" s="22" t="s">
        <v>33</v>
      </c>
      <c r="C311" s="22" t="s">
        <v>174</v>
      </c>
      <c r="D311" s="46">
        <v>182</v>
      </c>
      <c r="E311" s="30">
        <v>212</v>
      </c>
      <c r="F311" s="22" t="s">
        <v>328</v>
      </c>
      <c r="G311" s="35">
        <v>44517</v>
      </c>
      <c r="H311" s="43">
        <v>1000000</v>
      </c>
    </row>
    <row r="312" spans="1:8" s="21" customFormat="1" x14ac:dyDescent="0.25">
      <c r="A312" s="19" t="s">
        <v>49</v>
      </c>
      <c r="B312" s="22" t="s">
        <v>33</v>
      </c>
      <c r="C312" s="22" t="s">
        <v>181</v>
      </c>
      <c r="D312" s="46">
        <v>213</v>
      </c>
      <c r="E312" s="30">
        <v>243</v>
      </c>
      <c r="F312" s="22" t="s">
        <v>328</v>
      </c>
      <c r="G312" s="35">
        <v>44486</v>
      </c>
      <c r="H312" s="43">
        <v>1000000</v>
      </c>
    </row>
    <row r="313" spans="1:8" s="21" customFormat="1" x14ac:dyDescent="0.25">
      <c r="A313" s="19" t="s">
        <v>49</v>
      </c>
      <c r="B313" s="22" t="s">
        <v>33</v>
      </c>
      <c r="C313" s="22" t="s">
        <v>193</v>
      </c>
      <c r="D313" s="46">
        <v>82</v>
      </c>
      <c r="E313" s="30">
        <v>112</v>
      </c>
      <c r="F313" s="22" t="s">
        <v>328</v>
      </c>
      <c r="G313" s="35">
        <v>44617</v>
      </c>
      <c r="H313" s="43">
        <v>1000000</v>
      </c>
    </row>
    <row r="314" spans="1:8" s="21" customFormat="1" x14ac:dyDescent="0.25">
      <c r="A314" s="19" t="s">
        <v>49</v>
      </c>
      <c r="B314" s="22" t="s">
        <v>33</v>
      </c>
      <c r="C314" s="22" t="s">
        <v>194</v>
      </c>
      <c r="D314" s="46">
        <v>82</v>
      </c>
      <c r="E314" s="30">
        <v>112</v>
      </c>
      <c r="F314" s="22" t="s">
        <v>328</v>
      </c>
      <c r="G314" s="35">
        <v>44617</v>
      </c>
      <c r="H314" s="43">
        <v>1000000</v>
      </c>
    </row>
    <row r="315" spans="1:8" s="21" customFormat="1" x14ac:dyDescent="0.25">
      <c r="A315" s="19" t="s">
        <v>49</v>
      </c>
      <c r="B315" s="22" t="s">
        <v>33</v>
      </c>
      <c r="C315" s="22" t="s">
        <v>195</v>
      </c>
      <c r="D315" s="46">
        <v>82</v>
      </c>
      <c r="E315" s="30">
        <v>112</v>
      </c>
      <c r="F315" s="22" t="s">
        <v>328</v>
      </c>
      <c r="G315" s="35">
        <v>44617</v>
      </c>
      <c r="H315" s="43">
        <v>1000000</v>
      </c>
    </row>
    <row r="316" spans="1:8" s="21" customFormat="1" x14ac:dyDescent="0.25">
      <c r="A316" s="19" t="s">
        <v>49</v>
      </c>
      <c r="B316" s="22" t="s">
        <v>33</v>
      </c>
      <c r="C316" s="22" t="s">
        <v>196</v>
      </c>
      <c r="D316" s="46">
        <v>82</v>
      </c>
      <c r="E316" s="30">
        <v>112</v>
      </c>
      <c r="F316" s="22" t="s">
        <v>328</v>
      </c>
      <c r="G316" s="35">
        <v>44617</v>
      </c>
      <c r="H316" s="43">
        <v>1000000</v>
      </c>
    </row>
    <row r="317" spans="1:8" s="21" customFormat="1" x14ac:dyDescent="0.25">
      <c r="A317" s="19" t="s">
        <v>49</v>
      </c>
      <c r="B317" s="22" t="s">
        <v>33</v>
      </c>
      <c r="C317" s="22" t="s">
        <v>267</v>
      </c>
      <c r="D317" s="46">
        <v>111</v>
      </c>
      <c r="E317" s="30">
        <v>141</v>
      </c>
      <c r="F317" s="22" t="s">
        <v>328</v>
      </c>
      <c r="G317" s="35">
        <v>44588</v>
      </c>
      <c r="H317" s="43">
        <v>1000000</v>
      </c>
    </row>
    <row r="318" spans="1:8" s="21" customFormat="1" x14ac:dyDescent="0.25">
      <c r="A318" s="19" t="s">
        <v>49</v>
      </c>
      <c r="B318" s="22" t="s">
        <v>33</v>
      </c>
      <c r="C318" s="22" t="s">
        <v>300</v>
      </c>
      <c r="D318" s="46">
        <v>118</v>
      </c>
      <c r="E318" s="30">
        <v>148</v>
      </c>
      <c r="F318" s="22" t="s">
        <v>328</v>
      </c>
      <c r="G318" s="35">
        <v>44581</v>
      </c>
      <c r="H318" s="43">
        <v>1000000</v>
      </c>
    </row>
    <row r="319" spans="1:8" s="21" customFormat="1" x14ac:dyDescent="0.25">
      <c r="A319" s="19" t="s">
        <v>49</v>
      </c>
      <c r="B319" s="22" t="s">
        <v>33</v>
      </c>
      <c r="C319" s="22" t="s">
        <v>353</v>
      </c>
      <c r="D319" s="46">
        <v>128</v>
      </c>
      <c r="E319" s="30">
        <v>158</v>
      </c>
      <c r="F319" s="22" t="s">
        <v>328</v>
      </c>
      <c r="G319" s="35">
        <v>44571</v>
      </c>
      <c r="H319" s="43">
        <v>1000000</v>
      </c>
    </row>
    <row r="320" spans="1:8" s="21" customFormat="1" x14ac:dyDescent="0.25">
      <c r="A320" s="19" t="s">
        <v>49</v>
      </c>
      <c r="B320" s="22" t="s">
        <v>33</v>
      </c>
      <c r="C320" s="22" t="s">
        <v>532</v>
      </c>
      <c r="D320" s="46">
        <v>54</v>
      </c>
      <c r="E320" s="30">
        <v>84</v>
      </c>
      <c r="F320" s="22" t="s">
        <v>328</v>
      </c>
      <c r="G320" s="35">
        <v>44645</v>
      </c>
      <c r="H320" s="43">
        <v>1000000</v>
      </c>
    </row>
    <row r="321" spans="1:8" s="21" customFormat="1" x14ac:dyDescent="0.25">
      <c r="A321" s="19" t="s">
        <v>49</v>
      </c>
      <c r="B321" s="22" t="s">
        <v>34</v>
      </c>
      <c r="C321" s="22" t="s">
        <v>133</v>
      </c>
      <c r="D321" s="46">
        <v>269</v>
      </c>
      <c r="E321" s="30">
        <v>299</v>
      </c>
      <c r="F321" s="22" t="s">
        <v>328</v>
      </c>
      <c r="G321" s="35">
        <v>44430</v>
      </c>
      <c r="H321" s="43">
        <v>1000000</v>
      </c>
    </row>
    <row r="322" spans="1:8" s="21" customFormat="1" x14ac:dyDescent="0.25">
      <c r="A322" s="19" t="s">
        <v>49</v>
      </c>
      <c r="B322" s="22" t="s">
        <v>34</v>
      </c>
      <c r="C322" s="22" t="s">
        <v>354</v>
      </c>
      <c r="D322" s="46">
        <v>128</v>
      </c>
      <c r="E322" s="30">
        <v>158</v>
      </c>
      <c r="F322" s="22" t="s">
        <v>328</v>
      </c>
      <c r="G322" s="35">
        <v>44571</v>
      </c>
      <c r="H322" s="43">
        <v>1000000</v>
      </c>
    </row>
    <row r="323" spans="1:8" s="21" customFormat="1" x14ac:dyDescent="0.25">
      <c r="A323" s="19" t="s">
        <v>49</v>
      </c>
      <c r="B323" s="22" t="s">
        <v>44</v>
      </c>
      <c r="C323" s="22" t="s">
        <v>136</v>
      </c>
      <c r="D323" s="46">
        <v>269</v>
      </c>
      <c r="E323" s="30">
        <v>299</v>
      </c>
      <c r="F323" s="22" t="s">
        <v>328</v>
      </c>
      <c r="G323" s="35">
        <v>44430</v>
      </c>
      <c r="H323" s="43">
        <v>1000000</v>
      </c>
    </row>
    <row r="324" spans="1:8" s="21" customFormat="1" x14ac:dyDescent="0.25">
      <c r="A324" s="19" t="s">
        <v>49</v>
      </c>
      <c r="B324" s="22" t="s">
        <v>44</v>
      </c>
      <c r="C324" s="22" t="s">
        <v>139</v>
      </c>
      <c r="D324" s="46">
        <v>269</v>
      </c>
      <c r="E324" s="30">
        <v>299</v>
      </c>
      <c r="F324" s="22" t="s">
        <v>328</v>
      </c>
      <c r="G324" s="35">
        <v>44430</v>
      </c>
      <c r="H324" s="43">
        <v>1000000</v>
      </c>
    </row>
    <row r="325" spans="1:8" s="21" customFormat="1" x14ac:dyDescent="0.25">
      <c r="A325" s="19" t="s">
        <v>49</v>
      </c>
      <c r="B325" s="22" t="s">
        <v>44</v>
      </c>
      <c r="C325" s="22" t="s">
        <v>427</v>
      </c>
      <c r="D325" s="46">
        <v>134</v>
      </c>
      <c r="E325" s="30">
        <v>164</v>
      </c>
      <c r="F325" s="22" t="s">
        <v>328</v>
      </c>
      <c r="G325" s="35">
        <v>44565</v>
      </c>
      <c r="H325" s="43">
        <v>1000000</v>
      </c>
    </row>
    <row r="326" spans="1:8" s="21" customFormat="1" x14ac:dyDescent="0.25">
      <c r="A326" s="19" t="s">
        <v>49</v>
      </c>
      <c r="B326" s="22" t="s">
        <v>44</v>
      </c>
      <c r="C326" s="22" t="s">
        <v>428</v>
      </c>
      <c r="D326" s="46">
        <v>134</v>
      </c>
      <c r="E326" s="30">
        <v>164</v>
      </c>
      <c r="F326" s="22" t="s">
        <v>328</v>
      </c>
      <c r="G326" s="35">
        <v>44565</v>
      </c>
      <c r="H326" s="43">
        <v>1000000</v>
      </c>
    </row>
    <row r="327" spans="1:8" s="21" customFormat="1" x14ac:dyDescent="0.25">
      <c r="A327" s="19" t="s">
        <v>49</v>
      </c>
      <c r="B327" s="22" t="s">
        <v>44</v>
      </c>
      <c r="C327" s="22" t="s">
        <v>429</v>
      </c>
      <c r="D327" s="46">
        <v>135</v>
      </c>
      <c r="E327" s="30">
        <v>165</v>
      </c>
      <c r="F327" s="22" t="s">
        <v>328</v>
      </c>
      <c r="G327" s="35">
        <v>44564</v>
      </c>
      <c r="H327" s="43">
        <v>1000000</v>
      </c>
    </row>
    <row r="328" spans="1:8" s="21" customFormat="1" x14ac:dyDescent="0.25">
      <c r="A328" s="19" t="s">
        <v>49</v>
      </c>
      <c r="B328" s="22" t="s">
        <v>66</v>
      </c>
      <c r="C328" s="22" t="s">
        <v>142</v>
      </c>
      <c r="D328" s="46">
        <v>27</v>
      </c>
      <c r="E328" s="30">
        <v>57</v>
      </c>
      <c r="F328" s="22" t="s">
        <v>328</v>
      </c>
      <c r="G328" s="35">
        <v>44672</v>
      </c>
      <c r="H328" s="43">
        <v>1000000</v>
      </c>
    </row>
    <row r="329" spans="1:8" s="21" customFormat="1" x14ac:dyDescent="0.25">
      <c r="A329" s="19" t="s">
        <v>49</v>
      </c>
      <c r="B329" s="22" t="s">
        <v>66</v>
      </c>
      <c r="C329" s="22" t="s">
        <v>533</v>
      </c>
      <c r="D329" s="46">
        <v>201</v>
      </c>
      <c r="E329" s="30">
        <v>231</v>
      </c>
      <c r="F329" s="22" t="s">
        <v>328</v>
      </c>
      <c r="G329" s="35">
        <v>44498</v>
      </c>
      <c r="H329" s="43">
        <v>1000000</v>
      </c>
    </row>
    <row r="330" spans="1:8" s="21" customFormat="1" x14ac:dyDescent="0.25">
      <c r="A330" s="19" t="s">
        <v>49</v>
      </c>
      <c r="B330" s="22" t="s">
        <v>74</v>
      </c>
      <c r="C330" s="22" t="s">
        <v>312</v>
      </c>
      <c r="D330" s="46">
        <v>123</v>
      </c>
      <c r="E330" s="30">
        <v>153</v>
      </c>
      <c r="F330" s="22" t="s">
        <v>328</v>
      </c>
      <c r="G330" s="35">
        <v>44576</v>
      </c>
      <c r="H330" s="43">
        <v>1000000</v>
      </c>
    </row>
    <row r="331" spans="1:8" s="21" customFormat="1" x14ac:dyDescent="0.25">
      <c r="A331" s="19" t="s">
        <v>38</v>
      </c>
      <c r="B331" s="22" t="s">
        <v>37</v>
      </c>
      <c r="C331" s="22" t="s">
        <v>156</v>
      </c>
      <c r="D331" s="46">
        <v>91</v>
      </c>
      <c r="E331" s="30">
        <v>121</v>
      </c>
      <c r="F331" s="22" t="s">
        <v>328</v>
      </c>
      <c r="G331" s="35">
        <v>44608</v>
      </c>
      <c r="H331" s="43">
        <v>1000000</v>
      </c>
    </row>
    <row r="332" spans="1:8" s="21" customFormat="1" x14ac:dyDescent="0.25">
      <c r="A332" s="19" t="s">
        <v>38</v>
      </c>
      <c r="B332" s="22" t="s">
        <v>37</v>
      </c>
      <c r="C332" s="22" t="s">
        <v>159</v>
      </c>
      <c r="D332" s="46">
        <v>142</v>
      </c>
      <c r="E332" s="30">
        <v>172</v>
      </c>
      <c r="F332" s="22" t="s">
        <v>328</v>
      </c>
      <c r="G332" s="35">
        <v>44557</v>
      </c>
      <c r="H332" s="43">
        <v>1000000</v>
      </c>
    </row>
    <row r="333" spans="1:8" s="21" customFormat="1" x14ac:dyDescent="0.25">
      <c r="A333" s="19" t="s">
        <v>38</v>
      </c>
      <c r="B333" s="22" t="s">
        <v>37</v>
      </c>
      <c r="C333" s="22" t="s">
        <v>149</v>
      </c>
      <c r="D333" s="46">
        <v>256</v>
      </c>
      <c r="E333" s="30">
        <v>286</v>
      </c>
      <c r="F333" s="22" t="s">
        <v>328</v>
      </c>
      <c r="G333" s="35">
        <v>44443</v>
      </c>
      <c r="H333" s="43">
        <v>1000000</v>
      </c>
    </row>
    <row r="334" spans="1:8" s="21" customFormat="1" x14ac:dyDescent="0.25">
      <c r="A334" s="19" t="s">
        <v>38</v>
      </c>
      <c r="B334" s="22" t="s">
        <v>37</v>
      </c>
      <c r="C334" s="22" t="s">
        <v>154</v>
      </c>
      <c r="D334" s="46">
        <v>256</v>
      </c>
      <c r="E334" s="30">
        <v>286</v>
      </c>
      <c r="F334" s="22" t="s">
        <v>328</v>
      </c>
      <c r="G334" s="35">
        <v>44443</v>
      </c>
      <c r="H334" s="43">
        <v>1000000</v>
      </c>
    </row>
    <row r="335" spans="1:8" s="21" customFormat="1" x14ac:dyDescent="0.25">
      <c r="A335" s="19" t="s">
        <v>38</v>
      </c>
      <c r="B335" s="22" t="s">
        <v>37</v>
      </c>
      <c r="C335" s="22" t="s">
        <v>151</v>
      </c>
      <c r="D335" s="46">
        <v>260</v>
      </c>
      <c r="E335" s="30">
        <v>290</v>
      </c>
      <c r="F335" s="22" t="s">
        <v>328</v>
      </c>
      <c r="G335" s="35">
        <v>44439</v>
      </c>
      <c r="H335" s="43">
        <v>1000000</v>
      </c>
    </row>
    <row r="336" spans="1:8" s="21" customFormat="1" x14ac:dyDescent="0.25">
      <c r="A336" s="19" t="s">
        <v>38</v>
      </c>
      <c r="B336" s="22" t="s">
        <v>37</v>
      </c>
      <c r="C336" s="22" t="s">
        <v>153</v>
      </c>
      <c r="D336" s="46">
        <v>260</v>
      </c>
      <c r="E336" s="30">
        <v>290</v>
      </c>
      <c r="F336" s="22" t="s">
        <v>328</v>
      </c>
      <c r="G336" s="35">
        <v>44439</v>
      </c>
      <c r="H336" s="43">
        <v>1000000</v>
      </c>
    </row>
    <row r="337" spans="1:8" s="21" customFormat="1" x14ac:dyDescent="0.25">
      <c r="A337" s="19" t="s">
        <v>38</v>
      </c>
      <c r="B337" s="22" t="s">
        <v>37</v>
      </c>
      <c r="C337" s="22" t="s">
        <v>162</v>
      </c>
      <c r="D337" s="46">
        <v>217</v>
      </c>
      <c r="E337" s="30">
        <v>247</v>
      </c>
      <c r="F337" s="22" t="s">
        <v>328</v>
      </c>
      <c r="G337" s="35">
        <v>44482</v>
      </c>
      <c r="H337" s="43">
        <v>1000000</v>
      </c>
    </row>
    <row r="338" spans="1:8" s="21" customFormat="1" x14ac:dyDescent="0.25">
      <c r="A338" s="19" t="s">
        <v>38</v>
      </c>
      <c r="B338" s="22" t="s">
        <v>37</v>
      </c>
      <c r="C338" s="22" t="s">
        <v>165</v>
      </c>
      <c r="D338" s="46">
        <v>91</v>
      </c>
      <c r="E338" s="30">
        <v>121</v>
      </c>
      <c r="F338" s="22" t="s">
        <v>328</v>
      </c>
      <c r="G338" s="35">
        <v>44608</v>
      </c>
      <c r="H338" s="43">
        <v>1000000</v>
      </c>
    </row>
    <row r="339" spans="1:8" s="21" customFormat="1" x14ac:dyDescent="0.25">
      <c r="A339" s="19" t="s">
        <v>38</v>
      </c>
      <c r="B339" s="22" t="s">
        <v>64</v>
      </c>
      <c r="C339" s="22" t="s">
        <v>167</v>
      </c>
      <c r="D339" s="46">
        <v>347</v>
      </c>
      <c r="E339" s="30">
        <v>377</v>
      </c>
      <c r="F339" s="22" t="s">
        <v>328</v>
      </c>
      <c r="G339" s="35">
        <v>44352</v>
      </c>
      <c r="H339" s="43">
        <v>1000000</v>
      </c>
    </row>
    <row r="340" spans="1:8" s="21" customFormat="1" x14ac:dyDescent="0.25">
      <c r="A340" s="19" t="s">
        <v>38</v>
      </c>
      <c r="B340" s="22" t="s">
        <v>64</v>
      </c>
      <c r="C340" s="22" t="s">
        <v>169</v>
      </c>
      <c r="D340" s="46">
        <v>91</v>
      </c>
      <c r="E340" s="30">
        <v>121</v>
      </c>
      <c r="F340" s="22" t="s">
        <v>328</v>
      </c>
      <c r="G340" s="35">
        <v>44608</v>
      </c>
      <c r="H340" s="43">
        <v>1000000</v>
      </c>
    </row>
    <row r="341" spans="1:8" s="21" customFormat="1" x14ac:dyDescent="0.25">
      <c r="A341" s="19" t="s">
        <v>171</v>
      </c>
      <c r="B341" s="22" t="s">
        <v>65</v>
      </c>
      <c r="C341" s="22" t="s">
        <v>123</v>
      </c>
      <c r="D341" s="46">
        <v>359</v>
      </c>
      <c r="E341" s="30">
        <v>389</v>
      </c>
      <c r="F341" s="22" t="s">
        <v>328</v>
      </c>
      <c r="G341" s="35">
        <v>44340</v>
      </c>
      <c r="H341" s="43">
        <v>1000000</v>
      </c>
    </row>
    <row r="342" spans="1:8" s="21" customFormat="1" x14ac:dyDescent="0.25">
      <c r="A342" s="19" t="s">
        <v>171</v>
      </c>
      <c r="B342" s="22" t="s">
        <v>35</v>
      </c>
      <c r="C342" s="22" t="s">
        <v>144</v>
      </c>
      <c r="D342" s="46">
        <v>266</v>
      </c>
      <c r="E342" s="30">
        <v>296</v>
      </c>
      <c r="F342" s="22" t="s">
        <v>328</v>
      </c>
      <c r="G342" s="35">
        <v>44433</v>
      </c>
      <c r="H342" s="43">
        <v>1000000</v>
      </c>
    </row>
    <row r="343" spans="1:8" s="21" customFormat="1" x14ac:dyDescent="0.25">
      <c r="A343" s="19" t="s">
        <v>171</v>
      </c>
      <c r="B343" s="22" t="s">
        <v>35</v>
      </c>
      <c r="C343" s="22" t="s">
        <v>146</v>
      </c>
      <c r="D343" s="46">
        <v>6</v>
      </c>
      <c r="E343" s="30">
        <v>36</v>
      </c>
      <c r="F343" s="22" t="s">
        <v>328</v>
      </c>
      <c r="G343" s="35">
        <v>44693</v>
      </c>
      <c r="H343" s="43">
        <v>1000000</v>
      </c>
    </row>
    <row r="344" spans="1:8" s="21" customFormat="1" x14ac:dyDescent="0.25">
      <c r="A344" s="19" t="s">
        <v>171</v>
      </c>
      <c r="B344" s="22" t="s">
        <v>35</v>
      </c>
      <c r="C344" s="22" t="s">
        <v>534</v>
      </c>
      <c r="D344" s="46">
        <v>231</v>
      </c>
      <c r="E344" s="30">
        <v>261</v>
      </c>
      <c r="F344" s="22" t="s">
        <v>328</v>
      </c>
      <c r="G344" s="35">
        <v>44468</v>
      </c>
      <c r="H344" s="43">
        <v>1000000</v>
      </c>
    </row>
    <row r="345" spans="1:8" s="21" customFormat="1" x14ac:dyDescent="0.25">
      <c r="A345" s="19" t="s">
        <v>171</v>
      </c>
      <c r="B345" s="22" t="s">
        <v>35</v>
      </c>
      <c r="C345" s="22" t="s">
        <v>535</v>
      </c>
      <c r="D345" s="46">
        <v>274</v>
      </c>
      <c r="E345" s="30">
        <v>304</v>
      </c>
      <c r="F345" s="22" t="s">
        <v>328</v>
      </c>
      <c r="G345" s="35">
        <v>44425</v>
      </c>
      <c r="H345" s="43">
        <v>1000000</v>
      </c>
    </row>
    <row r="346" spans="1:8" s="21" customFormat="1" x14ac:dyDescent="0.25">
      <c r="A346" s="19" t="s">
        <v>171</v>
      </c>
      <c r="B346" s="22" t="s">
        <v>55</v>
      </c>
      <c r="C346" s="22" t="s">
        <v>148</v>
      </c>
      <c r="D346" s="46">
        <v>359</v>
      </c>
      <c r="E346" s="30">
        <v>389</v>
      </c>
      <c r="F346" s="22" t="s">
        <v>328</v>
      </c>
      <c r="G346" s="35">
        <v>44340</v>
      </c>
      <c r="H346" s="43">
        <v>1000000</v>
      </c>
    </row>
    <row r="347" spans="1:8" s="21" customFormat="1" x14ac:dyDescent="0.25">
      <c r="A347" s="19" t="s">
        <v>171</v>
      </c>
      <c r="B347" s="22" t="s">
        <v>55</v>
      </c>
      <c r="C347" s="22" t="s">
        <v>536</v>
      </c>
      <c r="D347" s="46">
        <v>307</v>
      </c>
      <c r="E347" s="30">
        <v>337</v>
      </c>
      <c r="F347" s="22" t="s">
        <v>328</v>
      </c>
      <c r="G347" s="35">
        <v>44392</v>
      </c>
      <c r="H347" s="43">
        <v>1000000</v>
      </c>
    </row>
    <row r="348" spans="1:8" s="21" customFormat="1" x14ac:dyDescent="0.25">
      <c r="A348" s="19" t="s">
        <v>171</v>
      </c>
      <c r="B348" s="22" t="s">
        <v>55</v>
      </c>
      <c r="C348" s="22" t="s">
        <v>537</v>
      </c>
      <c r="D348" s="46">
        <v>50</v>
      </c>
      <c r="E348" s="30">
        <v>80</v>
      </c>
      <c r="F348" s="22" t="s">
        <v>328</v>
      </c>
      <c r="G348" s="35">
        <v>44649</v>
      </c>
      <c r="H348" s="43">
        <v>1000000</v>
      </c>
    </row>
    <row r="349" spans="1:8" s="21" customFormat="1" x14ac:dyDescent="0.25">
      <c r="A349" s="19" t="s">
        <v>171</v>
      </c>
      <c r="B349" s="22" t="s">
        <v>55</v>
      </c>
      <c r="C349" s="22" t="s">
        <v>538</v>
      </c>
      <c r="D349" s="46">
        <v>91</v>
      </c>
      <c r="E349" s="30">
        <v>121</v>
      </c>
      <c r="F349" s="22" t="s">
        <v>328</v>
      </c>
      <c r="G349" s="35">
        <v>44608</v>
      </c>
      <c r="H349" s="43">
        <v>1000000</v>
      </c>
    </row>
    <row r="350" spans="1:8" s="21" customFormat="1" x14ac:dyDescent="0.25">
      <c r="A350" s="19" t="s">
        <v>171</v>
      </c>
      <c r="B350" s="22" t="s">
        <v>177</v>
      </c>
      <c r="C350" s="22" t="s">
        <v>456</v>
      </c>
      <c r="D350" s="46">
        <v>268</v>
      </c>
      <c r="E350" s="30">
        <v>298</v>
      </c>
      <c r="F350" s="22" t="s">
        <v>328</v>
      </c>
      <c r="G350" s="35">
        <v>44431</v>
      </c>
      <c r="H350" s="43">
        <v>1000000</v>
      </c>
    </row>
    <row r="351" spans="1:8" s="21" customFormat="1" x14ac:dyDescent="0.25">
      <c r="A351" s="19" t="s">
        <v>171</v>
      </c>
      <c r="B351" s="22" t="s">
        <v>183</v>
      </c>
      <c r="C351" s="22" t="s">
        <v>539</v>
      </c>
      <c r="D351" s="46">
        <v>267</v>
      </c>
      <c r="E351" s="30">
        <v>297</v>
      </c>
      <c r="F351" s="22" t="s">
        <v>328</v>
      </c>
      <c r="G351" s="35">
        <v>44432</v>
      </c>
      <c r="H351" s="43">
        <v>1000000</v>
      </c>
    </row>
    <row r="352" spans="1:8" s="21" customFormat="1" x14ac:dyDescent="0.25">
      <c r="A352" s="19" t="s">
        <v>171</v>
      </c>
      <c r="B352" s="22" t="s">
        <v>60</v>
      </c>
      <c r="C352" s="22" t="s">
        <v>540</v>
      </c>
      <c r="D352" s="46">
        <v>10</v>
      </c>
      <c r="E352" s="30">
        <v>40</v>
      </c>
      <c r="F352" s="22" t="s">
        <v>328</v>
      </c>
      <c r="G352" s="35">
        <v>44689</v>
      </c>
      <c r="H352" s="43">
        <v>1000000</v>
      </c>
    </row>
    <row r="353" spans="1:8" s="21" customFormat="1" x14ac:dyDescent="0.25">
      <c r="A353" s="19" t="s">
        <v>171</v>
      </c>
      <c r="B353" s="22" t="s">
        <v>60</v>
      </c>
      <c r="C353" s="22" t="s">
        <v>541</v>
      </c>
      <c r="D353" s="46">
        <v>62</v>
      </c>
      <c r="E353" s="30">
        <v>92</v>
      </c>
      <c r="F353" s="22" t="s">
        <v>328</v>
      </c>
      <c r="G353" s="35">
        <v>44637</v>
      </c>
      <c r="H353" s="43">
        <v>1000000</v>
      </c>
    </row>
    <row r="354" spans="1:8" s="21" customFormat="1" x14ac:dyDescent="0.25">
      <c r="A354" s="19" t="s">
        <v>171</v>
      </c>
      <c r="B354" s="22" t="s">
        <v>60</v>
      </c>
      <c r="C354" s="22" t="s">
        <v>542</v>
      </c>
      <c r="D354" s="46">
        <v>91</v>
      </c>
      <c r="E354" s="30">
        <v>121</v>
      </c>
      <c r="F354" s="22" t="s">
        <v>328</v>
      </c>
      <c r="G354" s="35">
        <v>44608</v>
      </c>
      <c r="H354" s="43">
        <v>1000000</v>
      </c>
    </row>
    <row r="355" spans="1:8" s="21" customFormat="1" x14ac:dyDescent="0.25">
      <c r="A355" s="19" t="s">
        <v>171</v>
      </c>
      <c r="B355" s="22" t="s">
        <v>63</v>
      </c>
      <c r="C355" s="22" t="s">
        <v>384</v>
      </c>
      <c r="D355" s="46">
        <v>92</v>
      </c>
      <c r="E355" s="30">
        <v>122</v>
      </c>
      <c r="F355" s="22" t="s">
        <v>328</v>
      </c>
      <c r="G355" s="35">
        <v>44607</v>
      </c>
      <c r="H355" s="43">
        <v>1000000</v>
      </c>
    </row>
    <row r="356" spans="1:8" s="21" customFormat="1" x14ac:dyDescent="0.25">
      <c r="A356" s="19" t="s">
        <v>50</v>
      </c>
      <c r="B356" s="22" t="s">
        <v>36</v>
      </c>
      <c r="C356" s="22" t="s">
        <v>397</v>
      </c>
      <c r="D356" s="46">
        <v>31</v>
      </c>
      <c r="E356" s="30">
        <v>61</v>
      </c>
      <c r="F356" s="22" t="s">
        <v>328</v>
      </c>
      <c r="G356" s="35">
        <v>44668</v>
      </c>
      <c r="H356" s="43">
        <v>1000000</v>
      </c>
    </row>
    <row r="357" spans="1:8" s="21" customFormat="1" x14ac:dyDescent="0.25">
      <c r="A357" s="19" t="s">
        <v>50</v>
      </c>
      <c r="B357" s="22" t="s">
        <v>36</v>
      </c>
      <c r="C357" s="22" t="s">
        <v>543</v>
      </c>
      <c r="D357" s="46">
        <v>257</v>
      </c>
      <c r="E357" s="30">
        <v>287</v>
      </c>
      <c r="F357" s="22" t="s">
        <v>328</v>
      </c>
      <c r="G357" s="35">
        <v>44442</v>
      </c>
      <c r="H357" s="43">
        <v>1000000</v>
      </c>
    </row>
    <row r="358" spans="1:8" s="21" customFormat="1" x14ac:dyDescent="0.25">
      <c r="A358" s="18" t="s">
        <v>42</v>
      </c>
      <c r="B358" s="18"/>
      <c r="C358" s="18"/>
      <c r="D358" s="18"/>
      <c r="E358" s="18"/>
      <c r="F358" s="18"/>
      <c r="G358" s="18"/>
      <c r="H358" s="43">
        <v>345000000</v>
      </c>
    </row>
    <row r="359" spans="1:8" s="21" customFormat="1" x14ac:dyDescent="0.25">
      <c r="A359"/>
      <c r="B359"/>
      <c r="C359"/>
      <c r="D359"/>
      <c r="E359"/>
      <c r="F359"/>
      <c r="G359"/>
      <c r="H359"/>
    </row>
    <row r="360" spans="1:8" s="21" customFormat="1" x14ac:dyDescent="0.25">
      <c r="A360"/>
      <c r="B360"/>
      <c r="C360"/>
      <c r="D360"/>
      <c r="E360"/>
      <c r="F360"/>
      <c r="G360"/>
      <c r="H360"/>
    </row>
    <row r="361" spans="1:8" s="21" customFormat="1" x14ac:dyDescent="0.25">
      <c r="A361"/>
      <c r="B361"/>
      <c r="C361"/>
      <c r="D361"/>
      <c r="E361"/>
      <c r="F361"/>
      <c r="G361"/>
      <c r="H361"/>
    </row>
    <row r="362" spans="1:8" s="21" customFormat="1" x14ac:dyDescent="0.25">
      <c r="A362"/>
      <c r="B362"/>
      <c r="C362"/>
      <c r="D362"/>
      <c r="E362"/>
      <c r="F362"/>
      <c r="G362"/>
      <c r="H362"/>
    </row>
    <row r="363" spans="1:8" s="21" customFormat="1" x14ac:dyDescent="0.25">
      <c r="A363"/>
      <c r="B363"/>
      <c r="C363"/>
      <c r="D363"/>
      <c r="E363"/>
      <c r="F363"/>
      <c r="G363"/>
      <c r="H363"/>
    </row>
    <row r="364" spans="1:8" s="21" customFormat="1" x14ac:dyDescent="0.25">
      <c r="A364"/>
      <c r="B364"/>
      <c r="C364"/>
      <c r="D364"/>
      <c r="E364"/>
      <c r="F364"/>
      <c r="G364"/>
      <c r="H364"/>
    </row>
    <row r="365" spans="1:8" s="21" customFormat="1" x14ac:dyDescent="0.25">
      <c r="A365"/>
      <c r="B365"/>
      <c r="C365"/>
      <c r="D365"/>
      <c r="E365"/>
      <c r="F365"/>
      <c r="G365"/>
      <c r="H365"/>
    </row>
    <row r="366" spans="1:8" s="21" customFormat="1" x14ac:dyDescent="0.25">
      <c r="A366"/>
      <c r="B366"/>
      <c r="C366"/>
      <c r="D366"/>
      <c r="E366"/>
      <c r="F366"/>
      <c r="G366"/>
      <c r="H366"/>
    </row>
    <row r="367" spans="1:8" s="21" customFormat="1" x14ac:dyDescent="0.25">
      <c r="A367"/>
      <c r="B367"/>
      <c r="C367"/>
      <c r="D367"/>
      <c r="E367"/>
      <c r="F367"/>
      <c r="G367"/>
      <c r="H367"/>
    </row>
    <row r="368" spans="1:8" s="21" customFormat="1" x14ac:dyDescent="0.25">
      <c r="A368"/>
      <c r="B368"/>
      <c r="C368"/>
      <c r="D368"/>
      <c r="E368"/>
      <c r="F368"/>
      <c r="G368"/>
      <c r="H368"/>
    </row>
    <row r="369" spans="1:8" s="21" customFormat="1" x14ac:dyDescent="0.25">
      <c r="A369"/>
      <c r="B369"/>
      <c r="C369"/>
      <c r="D369"/>
      <c r="E369"/>
      <c r="F369"/>
      <c r="G369"/>
      <c r="H369"/>
    </row>
    <row r="370" spans="1:8" s="21" customFormat="1" x14ac:dyDescent="0.25">
      <c r="A370"/>
      <c r="B370"/>
      <c r="C370"/>
      <c r="D370"/>
      <c r="E370"/>
      <c r="F370"/>
      <c r="G370"/>
      <c r="H370"/>
    </row>
    <row r="371" spans="1:8" s="21" customFormat="1" x14ac:dyDescent="0.25">
      <c r="A371"/>
      <c r="B371"/>
      <c r="C371"/>
      <c r="D371"/>
      <c r="E371"/>
      <c r="F371"/>
      <c r="G371"/>
      <c r="H371"/>
    </row>
    <row r="372" spans="1:8" s="21" customFormat="1" x14ac:dyDescent="0.25">
      <c r="A372"/>
      <c r="B372"/>
      <c r="C372"/>
      <c r="D372"/>
      <c r="E372"/>
      <c r="F372"/>
      <c r="G372"/>
      <c r="H372"/>
    </row>
    <row r="373" spans="1:8" s="21" customFormat="1" x14ac:dyDescent="0.25">
      <c r="A373"/>
      <c r="B373"/>
      <c r="C373"/>
      <c r="D373"/>
      <c r="E373"/>
      <c r="F373"/>
      <c r="G373"/>
      <c r="H373"/>
    </row>
    <row r="374" spans="1:8" s="21" customFormat="1" x14ac:dyDescent="0.25">
      <c r="A374"/>
      <c r="B374"/>
      <c r="C374"/>
      <c r="D374"/>
      <c r="E374"/>
      <c r="F374"/>
      <c r="G374"/>
      <c r="H374"/>
    </row>
    <row r="375" spans="1:8" s="21" customFormat="1" x14ac:dyDescent="0.25">
      <c r="A375"/>
      <c r="B375"/>
      <c r="C375"/>
      <c r="D375"/>
      <c r="E375"/>
      <c r="F375"/>
      <c r="G375"/>
      <c r="H375"/>
    </row>
    <row r="376" spans="1:8" s="21" customFormat="1" x14ac:dyDescent="0.25">
      <c r="A376"/>
      <c r="B376"/>
      <c r="C376"/>
      <c r="D376"/>
      <c r="E376"/>
      <c r="F376"/>
      <c r="G376"/>
      <c r="H376"/>
    </row>
    <row r="377" spans="1:8" s="21" customFormat="1" x14ac:dyDescent="0.25">
      <c r="A377"/>
      <c r="B377"/>
      <c r="C377"/>
      <c r="D377"/>
      <c r="E377"/>
      <c r="F377"/>
      <c r="G377"/>
      <c r="H377"/>
    </row>
    <row r="378" spans="1:8" s="21" customFormat="1" x14ac:dyDescent="0.25">
      <c r="A378"/>
      <c r="B378"/>
      <c r="C378"/>
      <c r="D378"/>
      <c r="E378"/>
      <c r="F378"/>
      <c r="G378"/>
      <c r="H378"/>
    </row>
    <row r="379" spans="1:8" s="21" customFormat="1" x14ac:dyDescent="0.25">
      <c r="A379"/>
      <c r="B379"/>
      <c r="C379"/>
      <c r="D379"/>
      <c r="E379"/>
      <c r="F379"/>
      <c r="G379"/>
      <c r="H379"/>
    </row>
    <row r="380" spans="1:8" s="21" customFormat="1" x14ac:dyDescent="0.25">
      <c r="A380"/>
      <c r="B380"/>
      <c r="C380"/>
      <c r="D380"/>
      <c r="E380"/>
      <c r="F380"/>
      <c r="G380"/>
      <c r="H380"/>
    </row>
    <row r="381" spans="1:8" s="21" customFormat="1" x14ac:dyDescent="0.25">
      <c r="A381"/>
      <c r="B381"/>
      <c r="C381"/>
      <c r="D381"/>
      <c r="E381"/>
      <c r="F381"/>
      <c r="G381"/>
      <c r="H381"/>
    </row>
    <row r="382" spans="1:8" s="21" customFormat="1" x14ac:dyDescent="0.25">
      <c r="A382"/>
      <c r="B382"/>
      <c r="C382"/>
      <c r="D382"/>
      <c r="E382"/>
      <c r="F382"/>
      <c r="G382"/>
      <c r="H382"/>
    </row>
    <row r="383" spans="1:8" s="21" customFormat="1" x14ac:dyDescent="0.25">
      <c r="A383"/>
      <c r="B383"/>
      <c r="C383"/>
      <c r="D383"/>
      <c r="E383"/>
      <c r="F383"/>
      <c r="G383"/>
      <c r="H383"/>
    </row>
    <row r="384" spans="1:8" s="21" customFormat="1" x14ac:dyDescent="0.25">
      <c r="A384"/>
      <c r="B384"/>
      <c r="C384"/>
      <c r="D384"/>
      <c r="E384"/>
      <c r="F384"/>
      <c r="G384"/>
      <c r="H384"/>
    </row>
    <row r="385" spans="1:8" s="21" customFormat="1" x14ac:dyDescent="0.25">
      <c r="A385"/>
      <c r="B385"/>
      <c r="C385"/>
      <c r="D385"/>
      <c r="E385"/>
      <c r="F385"/>
      <c r="G385"/>
      <c r="H385"/>
    </row>
    <row r="386" spans="1:8" s="21" customFormat="1" x14ac:dyDescent="0.25">
      <c r="A386"/>
      <c r="B386"/>
      <c r="C386"/>
      <c r="D386"/>
      <c r="E386"/>
      <c r="F386"/>
      <c r="G386"/>
      <c r="H386"/>
    </row>
    <row r="387" spans="1:8" s="21" customFormat="1" x14ac:dyDescent="0.25">
      <c r="A387"/>
      <c r="B387"/>
      <c r="C387"/>
      <c r="D387"/>
      <c r="E387"/>
      <c r="F387"/>
      <c r="G387"/>
      <c r="H387"/>
    </row>
    <row r="388" spans="1:8" s="21" customFormat="1" x14ac:dyDescent="0.25">
      <c r="A388"/>
      <c r="B388"/>
      <c r="C388"/>
      <c r="D388"/>
      <c r="E388"/>
      <c r="F388"/>
      <c r="G388"/>
      <c r="H388"/>
    </row>
    <row r="389" spans="1:8" s="21" customFormat="1" x14ac:dyDescent="0.25">
      <c r="A389"/>
      <c r="B389"/>
      <c r="C389"/>
      <c r="D389"/>
      <c r="E389"/>
      <c r="F389"/>
      <c r="G389"/>
      <c r="H389"/>
    </row>
    <row r="390" spans="1:8" s="21" customFormat="1" x14ac:dyDescent="0.25">
      <c r="A390"/>
      <c r="B390"/>
      <c r="C390"/>
      <c r="D390"/>
      <c r="E390"/>
      <c r="F390"/>
      <c r="G390"/>
      <c r="H390"/>
    </row>
    <row r="391" spans="1:8" s="21" customFormat="1" x14ac:dyDescent="0.25">
      <c r="A391"/>
      <c r="B391"/>
      <c r="C391"/>
      <c r="D391"/>
      <c r="E391"/>
      <c r="F391"/>
      <c r="G391"/>
      <c r="H391"/>
    </row>
    <row r="392" spans="1:8" s="21" customFormat="1" x14ac:dyDescent="0.25">
      <c r="A392"/>
      <c r="B392"/>
      <c r="C392"/>
      <c r="D392"/>
      <c r="E392"/>
      <c r="F392"/>
      <c r="G392"/>
      <c r="H392"/>
    </row>
    <row r="393" spans="1:8" s="21" customFormat="1" x14ac:dyDescent="0.25">
      <c r="A393"/>
      <c r="B393"/>
      <c r="C393"/>
      <c r="D393"/>
      <c r="E393"/>
      <c r="F393"/>
      <c r="G393"/>
      <c r="H393"/>
    </row>
    <row r="394" spans="1:8" s="21" customFormat="1" x14ac:dyDescent="0.25">
      <c r="A394"/>
      <c r="B394"/>
      <c r="C394"/>
      <c r="D394"/>
      <c r="E394"/>
      <c r="F394"/>
      <c r="G394"/>
      <c r="H394"/>
    </row>
    <row r="395" spans="1:8" s="21" customFormat="1" x14ac:dyDescent="0.25">
      <c r="A395"/>
      <c r="B395"/>
      <c r="C395"/>
      <c r="D395"/>
      <c r="E395"/>
      <c r="F395"/>
      <c r="G395"/>
      <c r="H395"/>
    </row>
    <row r="396" spans="1:8" s="21" customFormat="1" x14ac:dyDescent="0.25">
      <c r="A396"/>
      <c r="B396"/>
      <c r="C396"/>
      <c r="D396"/>
      <c r="E396"/>
      <c r="F396"/>
      <c r="G396"/>
      <c r="H396"/>
    </row>
    <row r="397" spans="1:8" s="21" customFormat="1" x14ac:dyDescent="0.25">
      <c r="A397"/>
      <c r="B397"/>
      <c r="C397"/>
      <c r="D397"/>
      <c r="E397"/>
      <c r="F397"/>
      <c r="G397"/>
      <c r="H397"/>
    </row>
    <row r="398" spans="1:8" s="21" customFormat="1" x14ac:dyDescent="0.25">
      <c r="A398"/>
      <c r="B398"/>
      <c r="C398"/>
      <c r="D398"/>
      <c r="E398"/>
      <c r="F398"/>
      <c r="G398"/>
      <c r="H398"/>
    </row>
    <row r="399" spans="1:8" s="21" customFormat="1" x14ac:dyDescent="0.25">
      <c r="A399"/>
      <c r="B399"/>
      <c r="C399"/>
      <c r="D399"/>
      <c r="E399"/>
      <c r="F399"/>
      <c r="G399"/>
      <c r="H399"/>
    </row>
    <row r="400" spans="1:8" s="21" customFormat="1" x14ac:dyDescent="0.25">
      <c r="A400"/>
      <c r="B400"/>
      <c r="C400"/>
      <c r="D400"/>
      <c r="E400"/>
      <c r="F400"/>
      <c r="G400"/>
      <c r="H400"/>
    </row>
    <row r="401" spans="1:8" s="21" customFormat="1" x14ac:dyDescent="0.25">
      <c r="A401"/>
      <c r="B401"/>
      <c r="C401"/>
      <c r="D401"/>
      <c r="E401"/>
      <c r="F401"/>
      <c r="G401"/>
      <c r="H401"/>
    </row>
    <row r="402" spans="1:8" s="21" customFormat="1" x14ac:dyDescent="0.25">
      <c r="A402"/>
      <c r="B402"/>
      <c r="C402"/>
      <c r="D402"/>
      <c r="E402"/>
      <c r="F402"/>
      <c r="G402"/>
      <c r="H402"/>
    </row>
    <row r="403" spans="1:8" s="21" customFormat="1" x14ac:dyDescent="0.25">
      <c r="A403"/>
      <c r="B403"/>
      <c r="C403"/>
      <c r="D403"/>
      <c r="E403"/>
      <c r="F403"/>
      <c r="G403"/>
      <c r="H403"/>
    </row>
    <row r="404" spans="1:8" s="21" customFormat="1" x14ac:dyDescent="0.25">
      <c r="A404"/>
      <c r="B404"/>
      <c r="C404"/>
      <c r="D404"/>
      <c r="E404"/>
      <c r="F404"/>
      <c r="G404"/>
      <c r="H404"/>
    </row>
    <row r="405" spans="1:8" s="21" customFormat="1" x14ac:dyDescent="0.25">
      <c r="A405"/>
      <c r="B405"/>
      <c r="C405"/>
      <c r="D405"/>
      <c r="E405"/>
      <c r="F405"/>
      <c r="G405"/>
      <c r="H405"/>
    </row>
    <row r="406" spans="1:8" s="21" customFormat="1" x14ac:dyDescent="0.25">
      <c r="A406"/>
      <c r="B406"/>
      <c r="C406"/>
      <c r="D406"/>
      <c r="E406"/>
      <c r="F406"/>
      <c r="G406"/>
      <c r="H406"/>
    </row>
    <row r="407" spans="1:8" s="21" customFormat="1" x14ac:dyDescent="0.25">
      <c r="A407"/>
      <c r="B407"/>
      <c r="C407"/>
      <c r="D407"/>
      <c r="E407"/>
      <c r="F407"/>
      <c r="G407"/>
      <c r="H407"/>
    </row>
    <row r="408" spans="1:8" s="21" customFormat="1" x14ac:dyDescent="0.25">
      <c r="A408"/>
      <c r="B408"/>
      <c r="C408"/>
      <c r="D408"/>
      <c r="E408"/>
      <c r="F408"/>
      <c r="G408"/>
      <c r="H408"/>
    </row>
    <row r="409" spans="1:8" s="21" customFormat="1" x14ac:dyDescent="0.25">
      <c r="A409"/>
      <c r="B409"/>
      <c r="C409"/>
      <c r="D409"/>
      <c r="E409"/>
      <c r="F409"/>
      <c r="G409"/>
      <c r="H409"/>
    </row>
    <row r="410" spans="1:8" s="21" customFormat="1" x14ac:dyDescent="0.25">
      <c r="A410"/>
      <c r="B410"/>
      <c r="C410"/>
      <c r="D410"/>
      <c r="E410"/>
      <c r="F410"/>
      <c r="G410"/>
      <c r="H410"/>
    </row>
    <row r="411" spans="1:8" s="21" customFormat="1" x14ac:dyDescent="0.25">
      <c r="A411"/>
      <c r="B411"/>
      <c r="C411"/>
      <c r="D411"/>
      <c r="E411"/>
      <c r="F411"/>
      <c r="G411"/>
      <c r="H411"/>
    </row>
    <row r="412" spans="1:8" s="21" customFormat="1" x14ac:dyDescent="0.25">
      <c r="A412"/>
      <c r="B412"/>
      <c r="C412"/>
      <c r="D412"/>
      <c r="E412"/>
      <c r="F412"/>
      <c r="G412"/>
      <c r="H412"/>
    </row>
    <row r="413" spans="1:8" s="21" customFormat="1" x14ac:dyDescent="0.25">
      <c r="A413"/>
      <c r="B413"/>
      <c r="C413"/>
      <c r="D413"/>
      <c r="E413"/>
      <c r="F413"/>
      <c r="G413"/>
      <c r="H413"/>
    </row>
    <row r="414" spans="1:8" s="21" customFormat="1" x14ac:dyDescent="0.25">
      <c r="A414"/>
      <c r="B414"/>
      <c r="C414"/>
      <c r="D414"/>
      <c r="E414"/>
      <c r="F414"/>
      <c r="G414"/>
      <c r="H414"/>
    </row>
    <row r="415" spans="1:8" s="21" customFormat="1" x14ac:dyDescent="0.25">
      <c r="A415"/>
      <c r="B415"/>
      <c r="C415"/>
      <c r="D415"/>
      <c r="E415"/>
      <c r="F415"/>
      <c r="G415"/>
      <c r="H415"/>
    </row>
    <row r="416" spans="1:8" s="21" customFormat="1" x14ac:dyDescent="0.25">
      <c r="A416"/>
      <c r="B416"/>
      <c r="C416"/>
      <c r="D416"/>
      <c r="E416"/>
      <c r="F416"/>
      <c r="G416"/>
      <c r="H416"/>
    </row>
    <row r="417" spans="1:8" s="21" customFormat="1" x14ac:dyDescent="0.25">
      <c r="A417"/>
      <c r="B417"/>
      <c r="C417"/>
      <c r="D417"/>
      <c r="E417"/>
      <c r="F417"/>
      <c r="G417"/>
      <c r="H417"/>
    </row>
    <row r="418" spans="1:8" s="21" customFormat="1" x14ac:dyDescent="0.25">
      <c r="A418"/>
      <c r="B418"/>
      <c r="C418"/>
      <c r="D418"/>
      <c r="E418"/>
      <c r="F418"/>
      <c r="G418"/>
      <c r="H418"/>
    </row>
    <row r="419" spans="1:8" s="21" customFormat="1" x14ac:dyDescent="0.25">
      <c r="A419"/>
      <c r="B419"/>
      <c r="C419"/>
      <c r="D419"/>
      <c r="E419"/>
      <c r="F419"/>
      <c r="G419"/>
      <c r="H419"/>
    </row>
    <row r="420" spans="1:8" s="21" customFormat="1" x14ac:dyDescent="0.25">
      <c r="A420"/>
      <c r="B420"/>
      <c r="C420"/>
      <c r="D420"/>
      <c r="E420"/>
      <c r="F420"/>
      <c r="G420"/>
      <c r="H420"/>
    </row>
    <row r="421" spans="1:8" s="21" customFormat="1" x14ac:dyDescent="0.25">
      <c r="A421"/>
      <c r="B421"/>
      <c r="C421"/>
      <c r="D421"/>
      <c r="E421"/>
      <c r="F421"/>
      <c r="G421"/>
      <c r="H421"/>
    </row>
    <row r="422" spans="1:8" s="21" customFormat="1" x14ac:dyDescent="0.25">
      <c r="A422"/>
      <c r="B422"/>
      <c r="C422"/>
      <c r="D422"/>
      <c r="E422"/>
      <c r="F422"/>
      <c r="G422"/>
      <c r="H422"/>
    </row>
    <row r="423" spans="1:8" s="21" customFormat="1" x14ac:dyDescent="0.25">
      <c r="A423"/>
      <c r="B423"/>
      <c r="C423"/>
      <c r="D423"/>
      <c r="E423"/>
      <c r="F423"/>
      <c r="G423"/>
      <c r="H423"/>
    </row>
    <row r="424" spans="1:8" s="21" customFormat="1" x14ac:dyDescent="0.25">
      <c r="A424"/>
      <c r="B424"/>
      <c r="C424"/>
      <c r="D424"/>
      <c r="E424"/>
      <c r="F424"/>
      <c r="G424"/>
      <c r="H424"/>
    </row>
    <row r="425" spans="1:8" s="21" customFormat="1" x14ac:dyDescent="0.25">
      <c r="A425"/>
      <c r="B425"/>
      <c r="C425"/>
      <c r="D425"/>
      <c r="E425"/>
      <c r="F425"/>
      <c r="G425"/>
      <c r="H425"/>
    </row>
    <row r="426" spans="1:8" s="21" customFormat="1" x14ac:dyDescent="0.25">
      <c r="A426"/>
      <c r="B426"/>
      <c r="C426"/>
      <c r="D426"/>
      <c r="E426"/>
      <c r="F426"/>
      <c r="G426"/>
      <c r="H426"/>
    </row>
    <row r="427" spans="1:8" s="21" customFormat="1" x14ac:dyDescent="0.25">
      <c r="A427"/>
      <c r="B427"/>
      <c r="C427"/>
      <c r="D427"/>
      <c r="E427"/>
      <c r="F427"/>
      <c r="G427"/>
      <c r="H427"/>
    </row>
    <row r="428" spans="1:8" s="21" customFormat="1" x14ac:dyDescent="0.25">
      <c r="A428"/>
      <c r="B428"/>
      <c r="C428"/>
      <c r="D428"/>
      <c r="E428"/>
      <c r="F428"/>
      <c r="G428"/>
      <c r="H428"/>
    </row>
    <row r="429" spans="1:8" s="21" customFormat="1" x14ac:dyDescent="0.25">
      <c r="A429"/>
      <c r="B429"/>
      <c r="C429"/>
      <c r="D429"/>
      <c r="E429"/>
      <c r="F429"/>
      <c r="G429"/>
      <c r="H429"/>
    </row>
    <row r="430" spans="1:8" s="21" customFormat="1" x14ac:dyDescent="0.25">
      <c r="A430"/>
      <c r="B430"/>
      <c r="C430"/>
      <c r="D430"/>
      <c r="E430"/>
      <c r="F430"/>
      <c r="G430"/>
      <c r="H430"/>
    </row>
    <row r="431" spans="1:8" s="21" customFormat="1" x14ac:dyDescent="0.25">
      <c r="A431"/>
      <c r="B431"/>
      <c r="C431"/>
      <c r="D431"/>
      <c r="E431"/>
      <c r="F431"/>
      <c r="G431"/>
      <c r="H431"/>
    </row>
    <row r="432" spans="1:8" s="21" customFormat="1" x14ac:dyDescent="0.25">
      <c r="A432"/>
      <c r="B432"/>
      <c r="C432"/>
      <c r="D432"/>
      <c r="E432"/>
      <c r="F432"/>
      <c r="G432"/>
      <c r="H432"/>
    </row>
    <row r="433" spans="1:8" s="21" customFormat="1" x14ac:dyDescent="0.25">
      <c r="A433"/>
      <c r="B433"/>
      <c r="C433"/>
      <c r="D433"/>
      <c r="E433"/>
      <c r="F433"/>
      <c r="G433"/>
      <c r="H433"/>
    </row>
    <row r="434" spans="1:8" s="21" customFormat="1" x14ac:dyDescent="0.25">
      <c r="A434"/>
      <c r="B434"/>
      <c r="C434"/>
      <c r="D434"/>
      <c r="E434"/>
      <c r="F434"/>
      <c r="G434"/>
      <c r="H434"/>
    </row>
    <row r="435" spans="1:8" s="21" customFormat="1" x14ac:dyDescent="0.25">
      <c r="A435"/>
      <c r="B435"/>
      <c r="C435"/>
      <c r="D435"/>
      <c r="E435"/>
      <c r="F435"/>
      <c r="G435"/>
      <c r="H435"/>
    </row>
    <row r="436" spans="1:8" s="21" customFormat="1" x14ac:dyDescent="0.25">
      <c r="A436"/>
      <c r="B436"/>
      <c r="C436"/>
      <c r="D436"/>
      <c r="E436"/>
      <c r="F436"/>
      <c r="G436"/>
      <c r="H436"/>
    </row>
    <row r="437" spans="1:8" s="21" customFormat="1" x14ac:dyDescent="0.25">
      <c r="A437"/>
      <c r="B437"/>
      <c r="C437"/>
      <c r="D437"/>
      <c r="E437"/>
      <c r="F437"/>
      <c r="G437"/>
      <c r="H437"/>
    </row>
    <row r="438" spans="1:8" s="21" customFormat="1" x14ac:dyDescent="0.25">
      <c r="A438"/>
      <c r="B438"/>
      <c r="C438"/>
      <c r="D438"/>
      <c r="E438"/>
      <c r="F438"/>
      <c r="G438"/>
      <c r="H438"/>
    </row>
    <row r="439" spans="1:8" s="21" customFormat="1" x14ac:dyDescent="0.25">
      <c r="A439"/>
      <c r="B439"/>
      <c r="C439"/>
      <c r="D439"/>
      <c r="E439"/>
      <c r="F439"/>
      <c r="G439"/>
      <c r="H439"/>
    </row>
    <row r="440" spans="1:8" s="21" customFormat="1" x14ac:dyDescent="0.25">
      <c r="A440"/>
      <c r="B440"/>
      <c r="C440"/>
      <c r="D440"/>
      <c r="E440"/>
      <c r="F440"/>
      <c r="G440"/>
      <c r="H440"/>
    </row>
    <row r="441" spans="1:8" s="21" customFormat="1" x14ac:dyDescent="0.25">
      <c r="A441"/>
      <c r="B441"/>
      <c r="C441"/>
      <c r="D441"/>
      <c r="E441"/>
      <c r="F441"/>
      <c r="G441"/>
      <c r="H441"/>
    </row>
    <row r="442" spans="1:8" s="21" customFormat="1" x14ac:dyDescent="0.25">
      <c r="A442"/>
      <c r="B442"/>
      <c r="C442"/>
      <c r="D442"/>
      <c r="E442"/>
      <c r="F442"/>
      <c r="G442"/>
      <c r="H442"/>
    </row>
    <row r="443" spans="1:8" s="21" customFormat="1" x14ac:dyDescent="0.25">
      <c r="A443"/>
      <c r="B443"/>
      <c r="C443"/>
      <c r="D443"/>
      <c r="E443"/>
      <c r="F443"/>
      <c r="G443"/>
      <c r="H443"/>
    </row>
    <row r="444" spans="1:8" s="21" customFormat="1" x14ac:dyDescent="0.25">
      <c r="A444"/>
      <c r="B444"/>
      <c r="C444"/>
      <c r="D444"/>
      <c r="E444"/>
      <c r="F444"/>
      <c r="G444"/>
      <c r="H444"/>
    </row>
    <row r="445" spans="1:8" s="21" customFormat="1" x14ac:dyDescent="0.25">
      <c r="A445"/>
      <c r="B445"/>
      <c r="C445"/>
      <c r="D445"/>
      <c r="E445"/>
      <c r="F445"/>
      <c r="G445"/>
      <c r="H445"/>
    </row>
    <row r="446" spans="1:8" s="21" customFormat="1" x14ac:dyDescent="0.25">
      <c r="A446"/>
      <c r="B446"/>
      <c r="C446"/>
      <c r="D446"/>
      <c r="E446"/>
      <c r="F446"/>
      <c r="G446"/>
      <c r="H446"/>
    </row>
    <row r="447" spans="1:8" s="21" customFormat="1" x14ac:dyDescent="0.25">
      <c r="A447"/>
      <c r="B447"/>
      <c r="C447"/>
      <c r="D447"/>
      <c r="E447"/>
      <c r="F447"/>
      <c r="G447"/>
      <c r="H447"/>
    </row>
    <row r="448" spans="1:8" s="21" customFormat="1" x14ac:dyDescent="0.25">
      <c r="A448"/>
      <c r="B448"/>
      <c r="C448"/>
      <c r="D448"/>
      <c r="E448"/>
      <c r="F448"/>
      <c r="G448"/>
      <c r="H448"/>
    </row>
    <row r="449" spans="1:8" s="21" customFormat="1" x14ac:dyDescent="0.25">
      <c r="A449"/>
      <c r="B449"/>
      <c r="C449"/>
      <c r="D449"/>
      <c r="E449"/>
      <c r="F449"/>
      <c r="G449"/>
      <c r="H449"/>
    </row>
    <row r="450" spans="1:8" s="21" customFormat="1" x14ac:dyDescent="0.25">
      <c r="A450"/>
      <c r="B450"/>
      <c r="C450"/>
      <c r="D450"/>
      <c r="E450"/>
      <c r="F450"/>
      <c r="G450"/>
      <c r="H450"/>
    </row>
    <row r="451" spans="1:8" s="21" customFormat="1" x14ac:dyDescent="0.25">
      <c r="A451"/>
      <c r="B451"/>
      <c r="C451"/>
      <c r="D451"/>
      <c r="E451"/>
      <c r="F451"/>
      <c r="G451"/>
      <c r="H451"/>
    </row>
    <row r="452" spans="1:8" s="21" customFormat="1" x14ac:dyDescent="0.25">
      <c r="A452"/>
      <c r="B452"/>
      <c r="C452"/>
      <c r="D452"/>
      <c r="E452"/>
      <c r="F452"/>
      <c r="G452"/>
      <c r="H452"/>
    </row>
    <row r="453" spans="1:8" s="21" customFormat="1" x14ac:dyDescent="0.25">
      <c r="A453"/>
      <c r="B453"/>
      <c r="C453"/>
      <c r="D453"/>
      <c r="E453"/>
      <c r="F453"/>
      <c r="G453"/>
      <c r="H453"/>
    </row>
    <row r="454" spans="1:8" s="21" customFormat="1" x14ac:dyDescent="0.25">
      <c r="A454"/>
      <c r="B454"/>
      <c r="C454"/>
      <c r="D454"/>
      <c r="E454"/>
      <c r="F454"/>
      <c r="G454"/>
      <c r="H454"/>
    </row>
    <row r="455" spans="1:8" s="21" customFormat="1" x14ac:dyDescent="0.25">
      <c r="A455"/>
      <c r="B455"/>
      <c r="C455"/>
      <c r="D455"/>
      <c r="E455"/>
      <c r="F455"/>
      <c r="G455"/>
      <c r="H455"/>
    </row>
    <row r="456" spans="1:8" s="21" customFormat="1" x14ac:dyDescent="0.25">
      <c r="A456"/>
      <c r="B456"/>
      <c r="C456"/>
      <c r="D456"/>
      <c r="E456"/>
      <c r="F456"/>
      <c r="G456"/>
      <c r="H456"/>
    </row>
    <row r="457" spans="1:8" s="21" customFormat="1" x14ac:dyDescent="0.25">
      <c r="A457"/>
      <c r="B457"/>
      <c r="C457"/>
      <c r="D457"/>
      <c r="E457"/>
      <c r="F457"/>
      <c r="G457"/>
      <c r="H457"/>
    </row>
    <row r="458" spans="1:8" s="21" customFormat="1" x14ac:dyDescent="0.25">
      <c r="A458"/>
      <c r="B458"/>
      <c r="C458"/>
      <c r="D458"/>
      <c r="E458"/>
      <c r="F458"/>
      <c r="G458"/>
      <c r="H458"/>
    </row>
    <row r="459" spans="1:8" s="21" customFormat="1" x14ac:dyDescent="0.25">
      <c r="A459"/>
      <c r="B459"/>
      <c r="C459"/>
      <c r="D459"/>
      <c r="E459"/>
      <c r="F459"/>
      <c r="G459"/>
      <c r="H459"/>
    </row>
    <row r="460" spans="1:8" s="21" customFormat="1" x14ac:dyDescent="0.25">
      <c r="A460"/>
      <c r="B460"/>
      <c r="C460"/>
      <c r="D460"/>
      <c r="E460"/>
      <c r="F460"/>
      <c r="G460"/>
      <c r="H460"/>
    </row>
    <row r="461" spans="1:8" s="21" customFormat="1" x14ac:dyDescent="0.25">
      <c r="A461"/>
      <c r="B461"/>
      <c r="C461"/>
      <c r="D461"/>
      <c r="E461"/>
      <c r="F461"/>
      <c r="G461"/>
      <c r="H461"/>
    </row>
    <row r="462" spans="1:8" s="21" customFormat="1" x14ac:dyDescent="0.25">
      <c r="A462"/>
      <c r="B462"/>
      <c r="C462"/>
      <c r="D462"/>
      <c r="E462"/>
      <c r="F462"/>
      <c r="G462"/>
      <c r="H462"/>
    </row>
    <row r="463" spans="1:8" s="21" customFormat="1" x14ac:dyDescent="0.25">
      <c r="A463"/>
      <c r="B463"/>
      <c r="C463"/>
      <c r="D463"/>
      <c r="E463"/>
      <c r="F463"/>
      <c r="G463"/>
      <c r="H463"/>
    </row>
    <row r="464" spans="1:8" x14ac:dyDescent="0.25">
      <c r="G464"/>
    </row>
    <row r="465" spans="7:7" x14ac:dyDescent="0.25">
      <c r="G465"/>
    </row>
    <row r="466" spans="7:7" x14ac:dyDescent="0.25">
      <c r="G466"/>
    </row>
    <row r="467" spans="7:7" x14ac:dyDescent="0.25">
      <c r="G467"/>
    </row>
    <row r="468" spans="7:7" x14ac:dyDescent="0.25">
      <c r="G468"/>
    </row>
    <row r="469" spans="7:7" x14ac:dyDescent="0.25">
      <c r="G469"/>
    </row>
    <row r="470" spans="7:7" x14ac:dyDescent="0.25">
      <c r="G470"/>
    </row>
    <row r="471" spans="7:7" x14ac:dyDescent="0.25">
      <c r="G471"/>
    </row>
    <row r="472" spans="7:7" x14ac:dyDescent="0.25">
      <c r="G472"/>
    </row>
    <row r="473" spans="7:7" x14ac:dyDescent="0.25">
      <c r="G473"/>
    </row>
    <row r="474" spans="7:7" x14ac:dyDescent="0.25">
      <c r="G474"/>
    </row>
    <row r="475" spans="7:7" x14ac:dyDescent="0.25">
      <c r="G475"/>
    </row>
    <row r="476" spans="7:7" x14ac:dyDescent="0.25">
      <c r="G476"/>
    </row>
    <row r="477" spans="7:7" x14ac:dyDescent="0.25">
      <c r="G477"/>
    </row>
    <row r="478" spans="7:7" x14ac:dyDescent="0.25">
      <c r="G478"/>
    </row>
    <row r="479" spans="7:7" x14ac:dyDescent="0.25">
      <c r="G479"/>
    </row>
    <row r="480" spans="7:7" x14ac:dyDescent="0.25">
      <c r="G480"/>
    </row>
    <row r="481" spans="7:7" x14ac:dyDescent="0.25">
      <c r="G481"/>
    </row>
    <row r="482" spans="7:7" x14ac:dyDescent="0.25">
      <c r="G482"/>
    </row>
    <row r="483" spans="7:7" x14ac:dyDescent="0.25">
      <c r="G483"/>
    </row>
    <row r="484" spans="7:7" x14ac:dyDescent="0.25">
      <c r="G484"/>
    </row>
  </sheetData>
  <mergeCells count="1">
    <mergeCell ref="A1:C1"/>
  </mergeCells>
  <pageMargins left="0.7" right="0.7" top="0.75" bottom="0.75" header="0.3" footer="0.3"/>
  <pageSetup paperSize="9" orientation="portrait" r:id="rId2"/>
  <drawing r:id="rId3"/>
  <legacyDrawing r:id="rId4"/>
  <controls>
    <mc:AlternateContent xmlns:mc="http://schemas.openxmlformats.org/markup-compatibility/2006">
      <mc:Choice Requires="x14">
        <control shapeId="5126" r:id="rId5" name="Label1">
          <controlPr defaultSize="0" autoLine="0" r:id="rId6">
            <anchor moveWithCells="1">
              <from>
                <xdr:col>2</xdr:col>
                <xdr:colOff>200025</xdr:colOff>
                <xdr:row>0</xdr:row>
                <xdr:rowOff>19050</xdr:rowOff>
              </from>
              <to>
                <xdr:col>4</xdr:col>
                <xdr:colOff>104775</xdr:colOff>
                <xdr:row>0</xdr:row>
                <xdr:rowOff>228600</xdr:rowOff>
              </to>
            </anchor>
          </controlPr>
        </control>
      </mc:Choice>
      <mc:Fallback>
        <control shapeId="5126" r:id="rId5" name="Label1"/>
      </mc:Fallback>
    </mc:AlternateContent>
    <mc:AlternateContent xmlns:mc="http://schemas.openxmlformats.org/markup-compatibility/2006">
      <mc:Choice Requires="x14">
        <control shapeId="5124" r:id="rId7" name="OSGS">
          <controlPr defaultSize="0" autoLine="0" autoPict="0" r:id="rId8">
            <anchor moveWithCells="1">
              <from>
                <xdr:col>0</xdr:col>
                <xdr:colOff>66675</xdr:colOff>
                <xdr:row>7</xdr:row>
                <xdr:rowOff>161925</xdr:rowOff>
              </from>
              <to>
                <xdr:col>1</xdr:col>
                <xdr:colOff>1038225</xdr:colOff>
                <xdr:row>9</xdr:row>
                <xdr:rowOff>57150</xdr:rowOff>
              </to>
            </anchor>
          </controlPr>
        </control>
      </mc:Choice>
      <mc:Fallback>
        <control shapeId="5124" r:id="rId7" name="OSGS"/>
      </mc:Fallback>
    </mc:AlternateContent>
    <mc:AlternateContent xmlns:mc="http://schemas.openxmlformats.org/markup-compatibility/2006">
      <mc:Choice Requires="x14">
        <control shapeId="5123" r:id="rId9" name="CustomerOS">
          <controlPr defaultSize="0" autoLine="0" r:id="rId10">
            <anchor moveWithCells="1">
              <from>
                <xdr:col>1</xdr:col>
                <xdr:colOff>1047750</xdr:colOff>
                <xdr:row>7</xdr:row>
                <xdr:rowOff>180975</xdr:rowOff>
              </from>
              <to>
                <xdr:col>1</xdr:col>
                <xdr:colOff>2800350</xdr:colOff>
                <xdr:row>9</xdr:row>
                <xdr:rowOff>57150</xdr:rowOff>
              </to>
            </anchor>
          </controlPr>
        </control>
      </mc:Choice>
      <mc:Fallback>
        <control shapeId="5123" r:id="rId9" name="CustomerOS"/>
      </mc:Fallback>
    </mc:AlternateContent>
    <mc:AlternateContent xmlns:mc="http://schemas.openxmlformats.org/markup-compatibility/2006">
      <mc:Choice Requires="x14">
        <control shapeId="5122" r:id="rId11" name="LB1">
          <controlPr autoLine="0" r:id="rId12">
            <anchor moveWithCells="1">
              <from>
                <xdr:col>2</xdr:col>
                <xdr:colOff>123825</xdr:colOff>
                <xdr:row>1</xdr:row>
                <xdr:rowOff>38100</xdr:rowOff>
              </from>
              <to>
                <xdr:col>4</xdr:col>
                <xdr:colOff>47625</xdr:colOff>
                <xdr:row>9</xdr:row>
                <xdr:rowOff>152400</xdr:rowOff>
              </to>
            </anchor>
          </controlPr>
        </control>
      </mc:Choice>
      <mc:Fallback>
        <control shapeId="5122" r:id="rId11" name="LB1"/>
      </mc:Fallback>
    </mc:AlternateContent>
  </controls>
  <extLst>
    <ext xmlns:x14="http://schemas.microsoft.com/office/spreadsheetml/2009/9/main" uri="{A8765BA9-456A-4dab-B4F3-ACF838C121DE}">
      <x14:slicerList>
        <x14:slicer r:id="rId1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O9"/>
  <sheetViews>
    <sheetView zoomScaleNormal="100" workbookViewId="0">
      <selection activeCell="A7" sqref="A7:C7"/>
    </sheetView>
  </sheetViews>
  <sheetFormatPr defaultRowHeight="15" x14ac:dyDescent="0.25"/>
  <cols>
    <col min="1" max="1" width="13.28515625" customWidth="1"/>
    <col min="2" max="7" width="10.7109375" customWidth="1"/>
    <col min="8" max="8" width="15" customWidth="1"/>
    <col min="9" max="10" width="14.85546875" customWidth="1"/>
    <col min="11" max="11" width="11.28515625" customWidth="1"/>
    <col min="12" max="15" width="10.7109375" customWidth="1"/>
  </cols>
  <sheetData>
    <row r="1" spans="1:15" ht="28.5" x14ac:dyDescent="0.25">
      <c r="G1" s="49" t="s">
        <v>62</v>
      </c>
      <c r="H1" s="49"/>
      <c r="I1" s="49"/>
      <c r="J1" s="49"/>
      <c r="K1" s="49"/>
      <c r="L1" s="49"/>
      <c r="M1" s="49"/>
      <c r="N1" s="49"/>
      <c r="O1" s="49"/>
    </row>
    <row r="3" spans="1:15" hidden="1" x14ac:dyDescent="0.25">
      <c r="G3" s="16" t="s">
        <v>0</v>
      </c>
      <c r="H3" s="16" t="s">
        <v>51</v>
      </c>
      <c r="I3" s="16" t="s">
        <v>175</v>
      </c>
      <c r="J3" s="16" t="s">
        <v>42</v>
      </c>
      <c r="K3" s="16" t="s">
        <v>42</v>
      </c>
      <c r="L3" s="16" t="s">
        <v>188</v>
      </c>
      <c r="M3" s="16" t="s">
        <v>42</v>
      </c>
      <c r="N3" s="16" t="s">
        <v>191</v>
      </c>
      <c r="O3" s="16" t="s">
        <v>42</v>
      </c>
    </row>
    <row r="4" spans="1:15" ht="21" hidden="1" customHeight="1" x14ac:dyDescent="0.3">
      <c r="A4" s="3"/>
      <c r="G4" s="13" t="s">
        <v>73</v>
      </c>
      <c r="H4" s="14"/>
      <c r="I4" s="13" t="s">
        <v>58</v>
      </c>
      <c r="J4" s="14"/>
      <c r="K4" s="14"/>
    </row>
    <row r="5" spans="1:15" x14ac:dyDescent="0.25">
      <c r="G5" s="12" t="s">
        <v>0</v>
      </c>
      <c r="H5" s="12" t="s">
        <v>51</v>
      </c>
      <c r="I5" s="7" t="s">
        <v>72</v>
      </c>
      <c r="J5" s="7" t="s">
        <v>191</v>
      </c>
      <c r="K5" s="7" t="s">
        <v>42</v>
      </c>
    </row>
    <row r="6" spans="1:15" x14ac:dyDescent="0.25">
      <c r="G6" s="7" t="s">
        <v>47</v>
      </c>
      <c r="H6" s="7">
        <v>30</v>
      </c>
      <c r="I6" s="25">
        <v>40000000</v>
      </c>
      <c r="J6" s="25"/>
      <c r="K6" s="25">
        <v>40000000</v>
      </c>
    </row>
    <row r="7" spans="1:15" x14ac:dyDescent="0.25">
      <c r="A7" s="31"/>
      <c r="G7" s="7" t="s">
        <v>48</v>
      </c>
      <c r="H7" s="7">
        <v>60</v>
      </c>
      <c r="I7" s="25">
        <v>212000000</v>
      </c>
      <c r="J7" s="25">
        <v>40000000</v>
      </c>
      <c r="K7" s="25">
        <v>252000000</v>
      </c>
    </row>
    <row r="8" spans="1:15" x14ac:dyDescent="0.25">
      <c r="G8" s="7" t="s">
        <v>49</v>
      </c>
      <c r="H8" s="7">
        <v>30</v>
      </c>
      <c r="I8" s="25">
        <v>26000000</v>
      </c>
      <c r="J8" s="25"/>
      <c r="K8" s="25">
        <v>26000000</v>
      </c>
    </row>
    <row r="9" spans="1:15" x14ac:dyDescent="0.25">
      <c r="G9" s="7" t="s">
        <v>42</v>
      </c>
      <c r="H9" s="7"/>
      <c r="I9" s="25">
        <v>278000000</v>
      </c>
      <c r="J9" s="25">
        <v>40000000</v>
      </c>
      <c r="K9" s="25">
        <v>318000000</v>
      </c>
    </row>
  </sheetData>
  <mergeCells count="1">
    <mergeCell ref="G1:O1"/>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H351"/>
  <sheetViews>
    <sheetView zoomScaleNormal="100" workbookViewId="0">
      <selection activeCell="A6" sqref="A6"/>
    </sheetView>
  </sheetViews>
  <sheetFormatPr defaultRowHeight="15" x14ac:dyDescent="0.25"/>
  <cols>
    <col min="15" max="15" width="10.140625" bestFit="1" customWidth="1"/>
    <col min="17" max="17" width="10.140625" bestFit="1" customWidth="1"/>
    <col min="24" max="24" width="10.140625" bestFit="1" customWidth="1"/>
  </cols>
  <sheetData>
    <row r="1" spans="1:34" s="9" customFormat="1" x14ac:dyDescent="0.25"/>
    <row r="2" spans="1:34" s="9" customFormat="1" x14ac:dyDescent="0.25"/>
    <row r="3" spans="1:34" s="9" customFormat="1" x14ac:dyDescent="0.25"/>
    <row r="4" spans="1:34" s="9" customFormat="1" x14ac:dyDescent="0.25"/>
    <row r="5" spans="1:34" s="9" customFormat="1" ht="15.75" thickBot="1" x14ac:dyDescent="0.3">
      <c r="A5" s="17"/>
    </row>
    <row r="6" spans="1:34" s="28" customFormat="1" ht="26.25" thickBot="1" x14ac:dyDescent="0.3">
      <c r="A6" s="29" t="s">
        <v>0</v>
      </c>
      <c r="B6" s="29" t="s">
        <v>80</v>
      </c>
      <c r="C6" s="29" t="s">
        <v>81</v>
      </c>
      <c r="D6" s="29" t="s">
        <v>82</v>
      </c>
      <c r="E6" s="29" t="s">
        <v>83</v>
      </c>
      <c r="F6" s="29" t="s">
        <v>84</v>
      </c>
      <c r="G6" s="29" t="s">
        <v>1</v>
      </c>
      <c r="H6" s="29" t="s">
        <v>2</v>
      </c>
      <c r="I6" s="29" t="s">
        <v>3</v>
      </c>
      <c r="J6" s="29" t="s">
        <v>85</v>
      </c>
      <c r="K6" s="29" t="s">
        <v>86</v>
      </c>
      <c r="L6" s="29" t="s">
        <v>87</v>
      </c>
      <c r="M6" s="29" t="s">
        <v>88</v>
      </c>
      <c r="N6" s="29" t="s">
        <v>89</v>
      </c>
      <c r="O6" s="29" t="s">
        <v>4</v>
      </c>
      <c r="P6" s="29" t="s">
        <v>5</v>
      </c>
      <c r="Q6" s="29" t="s">
        <v>6</v>
      </c>
      <c r="R6" s="29" t="s">
        <v>90</v>
      </c>
      <c r="S6" s="29" t="s">
        <v>91</v>
      </c>
      <c r="T6" s="29" t="s">
        <v>7</v>
      </c>
      <c r="U6" s="29" t="s">
        <v>92</v>
      </c>
      <c r="V6" s="29" t="s">
        <v>93</v>
      </c>
      <c r="W6" s="29" t="s">
        <v>94</v>
      </c>
      <c r="X6" s="29" t="s">
        <v>95</v>
      </c>
      <c r="Y6" s="29" t="s">
        <v>96</v>
      </c>
      <c r="Z6" s="29" t="s">
        <v>343</v>
      </c>
      <c r="AA6" s="29" t="s">
        <v>97</v>
      </c>
      <c r="AB6" s="29" t="s">
        <v>98</v>
      </c>
      <c r="AC6" s="29" t="s">
        <v>99</v>
      </c>
      <c r="AD6" s="29" t="s">
        <v>100</v>
      </c>
      <c r="AE6" s="29" t="s">
        <v>101</v>
      </c>
      <c r="AF6" s="29" t="s">
        <v>102</v>
      </c>
      <c r="AG6" s="29" t="s">
        <v>344</v>
      </c>
      <c r="AH6" s="29"/>
    </row>
    <row r="7" spans="1:34" ht="51" x14ac:dyDescent="0.25">
      <c r="A7" s="4" t="s">
        <v>9</v>
      </c>
      <c r="B7" s="4" t="s">
        <v>103</v>
      </c>
      <c r="C7" s="4" t="s">
        <v>103</v>
      </c>
      <c r="D7" s="4" t="s">
        <v>104</v>
      </c>
      <c r="E7" s="4" t="s">
        <v>111</v>
      </c>
      <c r="F7" s="4" t="s">
        <v>112</v>
      </c>
      <c r="G7" s="4" t="s">
        <v>113</v>
      </c>
      <c r="H7" s="4" t="s">
        <v>110</v>
      </c>
      <c r="I7" s="4" t="s">
        <v>432</v>
      </c>
      <c r="J7" s="5"/>
      <c r="K7" s="5"/>
      <c r="L7" s="4" t="s">
        <v>433</v>
      </c>
      <c r="M7" s="5"/>
      <c r="N7" s="4" t="s">
        <v>107</v>
      </c>
      <c r="O7" s="45">
        <v>54</v>
      </c>
      <c r="P7" s="4" t="s">
        <v>434</v>
      </c>
      <c r="Q7" s="45">
        <v>54</v>
      </c>
      <c r="R7" s="4" t="s">
        <v>8</v>
      </c>
      <c r="S7" s="5">
        <v>1</v>
      </c>
      <c r="T7" s="4" t="s">
        <v>108</v>
      </c>
      <c r="U7" s="5"/>
      <c r="V7" s="5">
        <v>82</v>
      </c>
      <c r="W7" s="4" t="s">
        <v>109</v>
      </c>
      <c r="X7" s="45">
        <v>54</v>
      </c>
      <c r="Y7" s="4" t="s">
        <v>434</v>
      </c>
      <c r="Z7" s="4"/>
      <c r="AA7" s="5">
        <v>1000000</v>
      </c>
      <c r="AB7" s="5">
        <v>1000000</v>
      </c>
      <c r="AC7" s="5">
        <v>0</v>
      </c>
      <c r="AD7" s="5">
        <v>1000000</v>
      </c>
      <c r="AE7" s="5">
        <v>0</v>
      </c>
      <c r="AF7" s="5">
        <v>1000000</v>
      </c>
      <c r="AG7" s="5"/>
    </row>
    <row r="8" spans="1:34" ht="51" x14ac:dyDescent="0.25">
      <c r="A8" s="4" t="s">
        <v>9</v>
      </c>
      <c r="B8" s="4" t="s">
        <v>103</v>
      </c>
      <c r="C8" s="4" t="s">
        <v>103</v>
      </c>
      <c r="D8" s="4" t="s">
        <v>104</v>
      </c>
      <c r="E8" s="4" t="s">
        <v>111</v>
      </c>
      <c r="F8" s="4" t="s">
        <v>112</v>
      </c>
      <c r="G8" s="4" t="s">
        <v>113</v>
      </c>
      <c r="H8" s="4" t="s">
        <v>110</v>
      </c>
      <c r="I8" s="4" t="s">
        <v>432</v>
      </c>
      <c r="J8" s="5"/>
      <c r="K8" s="5"/>
      <c r="L8" s="4" t="s">
        <v>433</v>
      </c>
      <c r="M8" s="5"/>
      <c r="N8" s="4" t="s">
        <v>107</v>
      </c>
      <c r="O8" s="45">
        <v>77</v>
      </c>
      <c r="P8" s="4" t="s">
        <v>435</v>
      </c>
      <c r="Q8" s="45">
        <v>77</v>
      </c>
      <c r="R8" s="4" t="s">
        <v>8</v>
      </c>
      <c r="S8" s="5">
        <v>1</v>
      </c>
      <c r="T8" s="4" t="s">
        <v>108</v>
      </c>
      <c r="U8" s="5"/>
      <c r="V8" s="5">
        <v>60</v>
      </c>
      <c r="W8" s="4" t="s">
        <v>109</v>
      </c>
      <c r="X8" s="45">
        <v>77</v>
      </c>
      <c r="Y8" s="4" t="s">
        <v>435</v>
      </c>
      <c r="Z8" s="4"/>
      <c r="AA8" s="5">
        <v>1000000</v>
      </c>
      <c r="AB8" s="5">
        <v>1000000</v>
      </c>
      <c r="AC8" s="5">
        <v>0</v>
      </c>
      <c r="AD8" s="5">
        <v>1000000</v>
      </c>
      <c r="AE8" s="5">
        <v>0</v>
      </c>
      <c r="AF8" s="5">
        <v>1000000</v>
      </c>
      <c r="AG8" s="5"/>
    </row>
    <row r="9" spans="1:34" ht="51" x14ac:dyDescent="0.25">
      <c r="A9" s="4" t="s">
        <v>9</v>
      </c>
      <c r="B9" s="4" t="s">
        <v>103</v>
      </c>
      <c r="C9" s="4" t="s">
        <v>103</v>
      </c>
      <c r="D9" s="4" t="s">
        <v>104</v>
      </c>
      <c r="E9" s="4" t="s">
        <v>111</v>
      </c>
      <c r="F9" s="4" t="s">
        <v>112</v>
      </c>
      <c r="G9" s="4" t="s">
        <v>113</v>
      </c>
      <c r="H9" s="4" t="s">
        <v>110</v>
      </c>
      <c r="I9" s="4" t="s">
        <v>432</v>
      </c>
      <c r="J9" s="5"/>
      <c r="K9" s="5"/>
      <c r="L9" s="4" t="s">
        <v>433</v>
      </c>
      <c r="M9" s="5"/>
      <c r="N9" s="4" t="s">
        <v>107</v>
      </c>
      <c r="O9" s="45">
        <v>83</v>
      </c>
      <c r="P9" s="4" t="s">
        <v>436</v>
      </c>
      <c r="Q9" s="45">
        <v>83</v>
      </c>
      <c r="R9" s="4" t="s">
        <v>8</v>
      </c>
      <c r="S9" s="5">
        <v>1</v>
      </c>
      <c r="T9" s="4" t="s">
        <v>108</v>
      </c>
      <c r="U9" s="5"/>
      <c r="V9" s="5">
        <v>54</v>
      </c>
      <c r="W9" s="4" t="s">
        <v>109</v>
      </c>
      <c r="X9" s="45">
        <v>83</v>
      </c>
      <c r="Y9" s="4" t="s">
        <v>436</v>
      </c>
      <c r="Z9" s="4"/>
      <c r="AA9" s="5">
        <v>1000000</v>
      </c>
      <c r="AB9" s="5">
        <v>1000000</v>
      </c>
      <c r="AC9" s="5">
        <v>0</v>
      </c>
      <c r="AD9" s="5">
        <v>1000000</v>
      </c>
      <c r="AE9" s="5">
        <v>0</v>
      </c>
      <c r="AF9" s="5">
        <v>1000000</v>
      </c>
      <c r="AG9" s="5"/>
    </row>
    <row r="10" spans="1:34" ht="51" x14ac:dyDescent="0.25">
      <c r="A10" s="4" t="s">
        <v>9</v>
      </c>
      <c r="B10" s="4" t="s">
        <v>103</v>
      </c>
      <c r="C10" s="4" t="s">
        <v>103</v>
      </c>
      <c r="D10" s="4" t="s">
        <v>104</v>
      </c>
      <c r="E10" s="4" t="s">
        <v>111</v>
      </c>
      <c r="F10" s="4" t="s">
        <v>112</v>
      </c>
      <c r="G10" s="4" t="s">
        <v>113</v>
      </c>
      <c r="H10" s="4" t="s">
        <v>110</v>
      </c>
      <c r="I10" s="4" t="s">
        <v>432</v>
      </c>
      <c r="J10" s="5"/>
      <c r="K10" s="5"/>
      <c r="L10" s="4" t="s">
        <v>433</v>
      </c>
      <c r="M10" s="5"/>
      <c r="N10" s="4" t="s">
        <v>107</v>
      </c>
      <c r="O10" s="45">
        <v>89</v>
      </c>
      <c r="P10" s="4" t="s">
        <v>437</v>
      </c>
      <c r="Q10" s="45">
        <v>89</v>
      </c>
      <c r="R10" s="4" t="s">
        <v>8</v>
      </c>
      <c r="S10" s="5">
        <v>1</v>
      </c>
      <c r="T10" s="4" t="s">
        <v>108</v>
      </c>
      <c r="U10" s="5"/>
      <c r="V10" s="5">
        <v>48</v>
      </c>
      <c r="W10" s="4" t="s">
        <v>109</v>
      </c>
      <c r="X10" s="45">
        <v>89</v>
      </c>
      <c r="Y10" s="4" t="s">
        <v>437</v>
      </c>
      <c r="Z10" s="4"/>
      <c r="AA10" s="5">
        <v>1000000</v>
      </c>
      <c r="AB10" s="5">
        <v>1000000</v>
      </c>
      <c r="AC10" s="5">
        <v>0</v>
      </c>
      <c r="AD10" s="5">
        <v>1000000</v>
      </c>
      <c r="AE10" s="5">
        <v>0</v>
      </c>
      <c r="AF10" s="5">
        <v>1000000</v>
      </c>
      <c r="AG10" s="5"/>
    </row>
    <row r="11" spans="1:34" ht="51" x14ac:dyDescent="0.25">
      <c r="A11" s="4" t="s">
        <v>9</v>
      </c>
      <c r="B11" s="4" t="s">
        <v>103</v>
      </c>
      <c r="C11" s="4" t="s">
        <v>103</v>
      </c>
      <c r="D11" s="4" t="s">
        <v>104</v>
      </c>
      <c r="E11" s="4" t="s">
        <v>111</v>
      </c>
      <c r="F11" s="4" t="s">
        <v>112</v>
      </c>
      <c r="G11" s="4" t="s">
        <v>113</v>
      </c>
      <c r="H11" s="4" t="s">
        <v>110</v>
      </c>
      <c r="I11" s="4" t="s">
        <v>432</v>
      </c>
      <c r="J11" s="5"/>
      <c r="K11" s="5"/>
      <c r="L11" s="4" t="s">
        <v>433</v>
      </c>
      <c r="M11" s="5"/>
      <c r="N11" s="4" t="s">
        <v>107</v>
      </c>
      <c r="O11" s="45">
        <v>89</v>
      </c>
      <c r="P11" s="4" t="s">
        <v>438</v>
      </c>
      <c r="Q11" s="45">
        <v>89</v>
      </c>
      <c r="R11" s="4" t="s">
        <v>8</v>
      </c>
      <c r="S11" s="5">
        <v>1</v>
      </c>
      <c r="T11" s="4" t="s">
        <v>108</v>
      </c>
      <c r="U11" s="5"/>
      <c r="V11" s="5">
        <v>48</v>
      </c>
      <c r="W11" s="4" t="s">
        <v>109</v>
      </c>
      <c r="X11" s="45">
        <v>89</v>
      </c>
      <c r="Y11" s="4" t="s">
        <v>438</v>
      </c>
      <c r="Z11" s="4"/>
      <c r="AA11" s="5">
        <v>1000000</v>
      </c>
      <c r="AB11" s="5">
        <v>1000000</v>
      </c>
      <c r="AC11" s="5">
        <v>0</v>
      </c>
      <c r="AD11" s="5">
        <v>1000000</v>
      </c>
      <c r="AE11" s="5">
        <v>0</v>
      </c>
      <c r="AF11" s="5">
        <v>1000000</v>
      </c>
      <c r="AG11" s="5"/>
    </row>
    <row r="12" spans="1:34" ht="51" x14ac:dyDescent="0.25">
      <c r="A12" s="4" t="s">
        <v>9</v>
      </c>
      <c r="B12" s="4" t="s">
        <v>103</v>
      </c>
      <c r="C12" s="4" t="s">
        <v>103</v>
      </c>
      <c r="D12" s="4" t="s">
        <v>104</v>
      </c>
      <c r="E12" s="4" t="s">
        <v>111</v>
      </c>
      <c r="F12" s="4" t="s">
        <v>112</v>
      </c>
      <c r="G12" s="4" t="s">
        <v>113</v>
      </c>
      <c r="H12" s="4" t="s">
        <v>110</v>
      </c>
      <c r="I12" s="4" t="s">
        <v>432</v>
      </c>
      <c r="J12" s="5"/>
      <c r="K12" s="5"/>
      <c r="L12" s="4" t="s">
        <v>433</v>
      </c>
      <c r="M12" s="5"/>
      <c r="N12" s="4" t="s">
        <v>107</v>
      </c>
      <c r="O12" s="45">
        <v>102</v>
      </c>
      <c r="P12" s="4" t="s">
        <v>228</v>
      </c>
      <c r="Q12" s="45">
        <v>102</v>
      </c>
      <c r="R12" s="4" t="s">
        <v>8</v>
      </c>
      <c r="S12" s="5">
        <v>1</v>
      </c>
      <c r="T12" s="4" t="s">
        <v>108</v>
      </c>
      <c r="U12" s="5"/>
      <c r="V12" s="5">
        <v>35</v>
      </c>
      <c r="W12" s="4" t="s">
        <v>109</v>
      </c>
      <c r="X12" s="45">
        <v>102</v>
      </c>
      <c r="Y12" s="4" t="s">
        <v>228</v>
      </c>
      <c r="Z12" s="4"/>
      <c r="AA12" s="5">
        <v>1000000</v>
      </c>
      <c r="AB12" s="5">
        <v>1000000</v>
      </c>
      <c r="AC12" s="5">
        <v>0</v>
      </c>
      <c r="AD12" s="5">
        <v>1000000</v>
      </c>
      <c r="AE12" s="5">
        <v>0</v>
      </c>
      <c r="AF12" s="5">
        <v>1000000</v>
      </c>
      <c r="AG12" s="5"/>
    </row>
    <row r="13" spans="1:34" ht="51" x14ac:dyDescent="0.25">
      <c r="A13" s="4" t="s">
        <v>9</v>
      </c>
      <c r="B13" s="4" t="s">
        <v>103</v>
      </c>
      <c r="C13" s="4" t="s">
        <v>103</v>
      </c>
      <c r="D13" s="4" t="s">
        <v>104</v>
      </c>
      <c r="E13" s="4" t="s">
        <v>111</v>
      </c>
      <c r="F13" s="4" t="s">
        <v>112</v>
      </c>
      <c r="G13" s="4" t="s">
        <v>113</v>
      </c>
      <c r="H13" s="4" t="s">
        <v>110</v>
      </c>
      <c r="I13" s="4" t="s">
        <v>432</v>
      </c>
      <c r="J13" s="5"/>
      <c r="K13" s="5"/>
      <c r="L13" s="4" t="s">
        <v>433</v>
      </c>
      <c r="M13" s="5"/>
      <c r="N13" s="4" t="s">
        <v>107</v>
      </c>
      <c r="O13" s="45">
        <v>111</v>
      </c>
      <c r="P13" s="4" t="s">
        <v>268</v>
      </c>
      <c r="Q13" s="45">
        <v>111</v>
      </c>
      <c r="R13" s="4" t="s">
        <v>8</v>
      </c>
      <c r="S13" s="5">
        <v>1</v>
      </c>
      <c r="T13" s="4" t="s">
        <v>108</v>
      </c>
      <c r="U13" s="5"/>
      <c r="V13" s="5">
        <v>26</v>
      </c>
      <c r="W13" s="4" t="s">
        <v>109</v>
      </c>
      <c r="X13" s="45">
        <v>111</v>
      </c>
      <c r="Y13" s="4" t="s">
        <v>268</v>
      </c>
      <c r="Z13" s="4"/>
      <c r="AA13" s="5">
        <v>1000000</v>
      </c>
      <c r="AB13" s="5">
        <v>1000000</v>
      </c>
      <c r="AC13" s="5">
        <v>0</v>
      </c>
      <c r="AD13" s="5">
        <v>1000000</v>
      </c>
      <c r="AE13" s="5">
        <v>0</v>
      </c>
      <c r="AF13" s="5">
        <v>1000000</v>
      </c>
      <c r="AG13" s="5"/>
    </row>
    <row r="14" spans="1:34" ht="51" x14ac:dyDescent="0.25">
      <c r="A14" s="4" t="s">
        <v>9</v>
      </c>
      <c r="B14" s="4" t="s">
        <v>103</v>
      </c>
      <c r="C14" s="4" t="s">
        <v>103</v>
      </c>
      <c r="D14" s="4" t="s">
        <v>104</v>
      </c>
      <c r="E14" s="4" t="s">
        <v>111</v>
      </c>
      <c r="F14" s="4" t="s">
        <v>112</v>
      </c>
      <c r="G14" s="4" t="s">
        <v>113</v>
      </c>
      <c r="H14" s="4" t="s">
        <v>110</v>
      </c>
      <c r="I14" s="4" t="s">
        <v>432</v>
      </c>
      <c r="J14" s="5"/>
      <c r="K14" s="5"/>
      <c r="L14" s="4" t="s">
        <v>433</v>
      </c>
      <c r="M14" s="5"/>
      <c r="N14" s="4" t="s">
        <v>107</v>
      </c>
      <c r="O14" s="45">
        <v>118</v>
      </c>
      <c r="P14" s="4" t="s">
        <v>291</v>
      </c>
      <c r="Q14" s="45">
        <v>118</v>
      </c>
      <c r="R14" s="4" t="s">
        <v>8</v>
      </c>
      <c r="S14" s="5">
        <v>1</v>
      </c>
      <c r="T14" s="4" t="s">
        <v>108</v>
      </c>
      <c r="U14" s="5"/>
      <c r="V14" s="5">
        <v>19</v>
      </c>
      <c r="W14" s="4" t="s">
        <v>109</v>
      </c>
      <c r="X14" s="45">
        <v>118</v>
      </c>
      <c r="Y14" s="4" t="s">
        <v>291</v>
      </c>
      <c r="Z14" s="4"/>
      <c r="AA14" s="5">
        <v>1000000</v>
      </c>
      <c r="AB14" s="5">
        <v>1000000</v>
      </c>
      <c r="AC14" s="5">
        <v>0</v>
      </c>
      <c r="AD14" s="5">
        <v>1000000</v>
      </c>
      <c r="AE14" s="5">
        <v>0</v>
      </c>
      <c r="AF14" s="5">
        <v>1000000</v>
      </c>
      <c r="AG14" s="5"/>
    </row>
    <row r="15" spans="1:34" ht="51" x14ac:dyDescent="0.25">
      <c r="A15" s="4" t="s">
        <v>9</v>
      </c>
      <c r="B15" s="4" t="s">
        <v>103</v>
      </c>
      <c r="C15" s="4" t="s">
        <v>103</v>
      </c>
      <c r="D15" s="4" t="s">
        <v>104</v>
      </c>
      <c r="E15" s="4" t="s">
        <v>111</v>
      </c>
      <c r="F15" s="4" t="s">
        <v>112</v>
      </c>
      <c r="G15" s="4" t="s">
        <v>113</v>
      </c>
      <c r="H15" s="4" t="s">
        <v>110</v>
      </c>
      <c r="I15" s="4" t="s">
        <v>432</v>
      </c>
      <c r="J15" s="5"/>
      <c r="K15" s="5"/>
      <c r="L15" s="4" t="s">
        <v>433</v>
      </c>
      <c r="M15" s="5"/>
      <c r="N15" s="4" t="s">
        <v>107</v>
      </c>
      <c r="O15" s="45">
        <v>124</v>
      </c>
      <c r="P15" s="4" t="s">
        <v>317</v>
      </c>
      <c r="Q15" s="45">
        <v>124</v>
      </c>
      <c r="R15" s="4" t="s">
        <v>8</v>
      </c>
      <c r="S15" s="5">
        <v>1</v>
      </c>
      <c r="T15" s="4" t="s">
        <v>108</v>
      </c>
      <c r="U15" s="5"/>
      <c r="V15" s="5">
        <v>13</v>
      </c>
      <c r="W15" s="4" t="s">
        <v>109</v>
      </c>
      <c r="X15" s="45">
        <v>124</v>
      </c>
      <c r="Y15" s="4" t="s">
        <v>317</v>
      </c>
      <c r="Z15" s="5"/>
      <c r="AA15" s="5">
        <v>1000000</v>
      </c>
      <c r="AB15" s="5">
        <v>1000000</v>
      </c>
      <c r="AC15" s="5">
        <v>0</v>
      </c>
      <c r="AD15" s="5">
        <v>1000000</v>
      </c>
      <c r="AE15" s="5">
        <v>0</v>
      </c>
      <c r="AF15" s="5">
        <v>1000000</v>
      </c>
      <c r="AG15" s="5"/>
    </row>
    <row r="16" spans="1:34" ht="51" x14ac:dyDescent="0.25">
      <c r="A16" s="4" t="s">
        <v>176</v>
      </c>
      <c r="B16" s="4" t="s">
        <v>103</v>
      </c>
      <c r="C16" s="4" t="s">
        <v>103</v>
      </c>
      <c r="D16" s="4" t="s">
        <v>104</v>
      </c>
      <c r="E16" s="4" t="s">
        <v>111</v>
      </c>
      <c r="F16" s="4" t="s">
        <v>112</v>
      </c>
      <c r="G16" s="4" t="s">
        <v>113</v>
      </c>
      <c r="H16" s="4" t="s">
        <v>103</v>
      </c>
      <c r="I16" s="4" t="s">
        <v>432</v>
      </c>
      <c r="J16" s="5"/>
      <c r="K16" s="5"/>
      <c r="L16" s="4" t="s">
        <v>433</v>
      </c>
      <c r="M16" s="5"/>
      <c r="N16" s="4" t="s">
        <v>107</v>
      </c>
      <c r="O16" s="45">
        <v>363</v>
      </c>
      <c r="P16" s="4" t="s">
        <v>439</v>
      </c>
      <c r="Q16" s="45">
        <v>363</v>
      </c>
      <c r="R16" s="4" t="s">
        <v>8</v>
      </c>
      <c r="S16" s="5">
        <v>1</v>
      </c>
      <c r="T16" s="4" t="s">
        <v>108</v>
      </c>
      <c r="U16" s="5"/>
      <c r="V16" s="5">
        <v>139</v>
      </c>
      <c r="W16" s="4" t="s">
        <v>109</v>
      </c>
      <c r="X16" s="45">
        <v>363</v>
      </c>
      <c r="Y16" s="4" t="s">
        <v>439</v>
      </c>
      <c r="Z16" s="5"/>
      <c r="AA16" s="5">
        <v>1000000</v>
      </c>
      <c r="AB16" s="5">
        <v>1000000</v>
      </c>
      <c r="AC16" s="5">
        <v>0</v>
      </c>
      <c r="AD16" s="5">
        <v>1000000</v>
      </c>
      <c r="AE16" s="5">
        <v>0</v>
      </c>
      <c r="AF16" s="5">
        <v>1000000</v>
      </c>
      <c r="AG16" s="5"/>
    </row>
    <row r="17" spans="1:33" ht="51" x14ac:dyDescent="0.25">
      <c r="A17" s="4" t="s">
        <v>176</v>
      </c>
      <c r="B17" s="4" t="s">
        <v>103</v>
      </c>
      <c r="C17" s="4" t="s">
        <v>103</v>
      </c>
      <c r="D17" s="4" t="s">
        <v>104</v>
      </c>
      <c r="E17" s="4" t="s">
        <v>111</v>
      </c>
      <c r="F17" s="4" t="s">
        <v>112</v>
      </c>
      <c r="G17" s="4" t="s">
        <v>113</v>
      </c>
      <c r="H17" s="4" t="s">
        <v>103</v>
      </c>
      <c r="I17" s="4" t="s">
        <v>432</v>
      </c>
      <c r="J17" s="5"/>
      <c r="K17" s="5"/>
      <c r="L17" s="4" t="s">
        <v>433</v>
      </c>
      <c r="M17" s="5"/>
      <c r="N17" s="4" t="s">
        <v>107</v>
      </c>
      <c r="O17" s="45">
        <v>3</v>
      </c>
      <c r="P17" s="4" t="s">
        <v>440</v>
      </c>
      <c r="Q17" s="45">
        <v>3</v>
      </c>
      <c r="R17" s="4" t="s">
        <v>8</v>
      </c>
      <c r="S17" s="5">
        <v>1</v>
      </c>
      <c r="T17" s="4" t="s">
        <v>108</v>
      </c>
      <c r="U17" s="5"/>
      <c r="V17" s="5">
        <v>133</v>
      </c>
      <c r="W17" s="4" t="s">
        <v>109</v>
      </c>
      <c r="X17" s="45">
        <v>3</v>
      </c>
      <c r="Y17" s="4" t="s">
        <v>440</v>
      </c>
      <c r="Z17" s="5"/>
      <c r="AA17" s="5">
        <v>1000000</v>
      </c>
      <c r="AB17" s="5">
        <v>1000000</v>
      </c>
      <c r="AC17" s="5">
        <v>0</v>
      </c>
      <c r="AD17" s="5">
        <v>1000000</v>
      </c>
      <c r="AE17" s="5">
        <v>0</v>
      </c>
      <c r="AF17" s="5">
        <v>1000000</v>
      </c>
      <c r="AG17" s="5"/>
    </row>
    <row r="18" spans="1:33" ht="51" x14ac:dyDescent="0.25">
      <c r="A18" s="4" t="s">
        <v>176</v>
      </c>
      <c r="B18" s="4" t="s">
        <v>103</v>
      </c>
      <c r="C18" s="4" t="s">
        <v>103</v>
      </c>
      <c r="D18" s="4" t="s">
        <v>104</v>
      </c>
      <c r="E18" s="4" t="s">
        <v>111</v>
      </c>
      <c r="F18" s="4" t="s">
        <v>112</v>
      </c>
      <c r="G18" s="4" t="s">
        <v>113</v>
      </c>
      <c r="H18" s="4" t="s">
        <v>103</v>
      </c>
      <c r="I18" s="4" t="s">
        <v>432</v>
      </c>
      <c r="J18" s="5"/>
      <c r="K18" s="5"/>
      <c r="L18" s="4" t="s">
        <v>433</v>
      </c>
      <c r="M18" s="5"/>
      <c r="N18" s="4" t="s">
        <v>107</v>
      </c>
      <c r="O18" s="45">
        <v>8</v>
      </c>
      <c r="P18" s="4" t="s">
        <v>441</v>
      </c>
      <c r="Q18" s="45">
        <v>8</v>
      </c>
      <c r="R18" s="4" t="s">
        <v>8</v>
      </c>
      <c r="S18" s="5">
        <v>1</v>
      </c>
      <c r="T18" s="4" t="s">
        <v>108</v>
      </c>
      <c r="U18" s="5"/>
      <c r="V18" s="5">
        <v>128</v>
      </c>
      <c r="W18" s="4" t="s">
        <v>109</v>
      </c>
      <c r="X18" s="45">
        <v>8</v>
      </c>
      <c r="Y18" s="4" t="s">
        <v>441</v>
      </c>
      <c r="Z18" s="5"/>
      <c r="AA18" s="5">
        <v>1000000</v>
      </c>
      <c r="AB18" s="5">
        <v>1000000</v>
      </c>
      <c r="AC18" s="5">
        <v>0</v>
      </c>
      <c r="AD18" s="5">
        <v>1000000</v>
      </c>
      <c r="AE18" s="5">
        <v>0</v>
      </c>
      <c r="AF18" s="5">
        <v>1000000</v>
      </c>
      <c r="AG18" s="5"/>
    </row>
    <row r="19" spans="1:33" ht="51" x14ac:dyDescent="0.25">
      <c r="A19" s="4" t="s">
        <v>176</v>
      </c>
      <c r="B19" s="4" t="s">
        <v>103</v>
      </c>
      <c r="C19" s="4" t="s">
        <v>103</v>
      </c>
      <c r="D19" s="4" t="s">
        <v>104</v>
      </c>
      <c r="E19" s="4" t="s">
        <v>111</v>
      </c>
      <c r="F19" s="4" t="s">
        <v>112</v>
      </c>
      <c r="G19" s="4" t="s">
        <v>113</v>
      </c>
      <c r="H19" s="4" t="s">
        <v>103</v>
      </c>
      <c r="I19" s="4" t="s">
        <v>432</v>
      </c>
      <c r="J19" s="5"/>
      <c r="K19" s="5"/>
      <c r="L19" s="4" t="s">
        <v>433</v>
      </c>
      <c r="M19" s="5"/>
      <c r="N19" s="4" t="s">
        <v>107</v>
      </c>
      <c r="O19" s="45">
        <v>8</v>
      </c>
      <c r="P19" s="4" t="s">
        <v>442</v>
      </c>
      <c r="Q19" s="45">
        <v>8</v>
      </c>
      <c r="R19" s="4" t="s">
        <v>8</v>
      </c>
      <c r="S19" s="5">
        <v>1</v>
      </c>
      <c r="T19" s="4" t="s">
        <v>108</v>
      </c>
      <c r="U19" s="5"/>
      <c r="V19" s="5">
        <v>128</v>
      </c>
      <c r="W19" s="4" t="s">
        <v>109</v>
      </c>
      <c r="X19" s="45">
        <v>8</v>
      </c>
      <c r="Y19" s="4" t="s">
        <v>442</v>
      </c>
      <c r="Z19" s="5"/>
      <c r="AA19" s="5">
        <v>1000000</v>
      </c>
      <c r="AB19" s="5">
        <v>1000000</v>
      </c>
      <c r="AC19" s="5">
        <v>0</v>
      </c>
      <c r="AD19" s="5">
        <v>1000000</v>
      </c>
      <c r="AE19" s="5">
        <v>0</v>
      </c>
      <c r="AF19" s="5">
        <v>1000000</v>
      </c>
      <c r="AG19" s="5"/>
    </row>
    <row r="20" spans="1:33" ht="51" x14ac:dyDescent="0.25">
      <c r="A20" s="4" t="s">
        <v>176</v>
      </c>
      <c r="B20" s="4" t="s">
        <v>103</v>
      </c>
      <c r="C20" s="4" t="s">
        <v>103</v>
      </c>
      <c r="D20" s="4" t="s">
        <v>104</v>
      </c>
      <c r="E20" s="4" t="s">
        <v>111</v>
      </c>
      <c r="F20" s="4" t="s">
        <v>112</v>
      </c>
      <c r="G20" s="4" t="s">
        <v>113</v>
      </c>
      <c r="H20" s="4" t="s">
        <v>103</v>
      </c>
      <c r="I20" s="4" t="s">
        <v>432</v>
      </c>
      <c r="J20" s="5"/>
      <c r="K20" s="5"/>
      <c r="L20" s="4" t="s">
        <v>433</v>
      </c>
      <c r="M20" s="5"/>
      <c r="N20" s="4" t="s">
        <v>107</v>
      </c>
      <c r="O20" s="45">
        <v>28</v>
      </c>
      <c r="P20" s="4" t="s">
        <v>443</v>
      </c>
      <c r="Q20" s="45">
        <v>28</v>
      </c>
      <c r="R20" s="4" t="s">
        <v>8</v>
      </c>
      <c r="S20" s="5">
        <v>1</v>
      </c>
      <c r="T20" s="4" t="s">
        <v>108</v>
      </c>
      <c r="U20" s="5"/>
      <c r="V20" s="5">
        <v>108</v>
      </c>
      <c r="W20" s="4" t="s">
        <v>109</v>
      </c>
      <c r="X20" s="45">
        <v>28</v>
      </c>
      <c r="Y20" s="4" t="s">
        <v>443</v>
      </c>
      <c r="Z20" s="5"/>
      <c r="AA20" s="5">
        <v>1000000</v>
      </c>
      <c r="AB20" s="5">
        <v>1000000</v>
      </c>
      <c r="AC20" s="5">
        <v>0</v>
      </c>
      <c r="AD20" s="5">
        <v>1000000</v>
      </c>
      <c r="AE20" s="5">
        <v>0</v>
      </c>
      <c r="AF20" s="5">
        <v>1000000</v>
      </c>
      <c r="AG20" s="5"/>
    </row>
    <row r="21" spans="1:33" ht="51" x14ac:dyDescent="0.25">
      <c r="A21" s="4" t="s">
        <v>10</v>
      </c>
      <c r="B21" s="4" t="s">
        <v>103</v>
      </c>
      <c r="C21" s="4" t="s">
        <v>103</v>
      </c>
      <c r="D21" s="4" t="s">
        <v>104</v>
      </c>
      <c r="E21" s="4" t="s">
        <v>111</v>
      </c>
      <c r="F21" s="4" t="s">
        <v>112</v>
      </c>
      <c r="G21" s="4" t="s">
        <v>113</v>
      </c>
      <c r="H21" s="4" t="s">
        <v>103</v>
      </c>
      <c r="I21" s="4" t="s">
        <v>432</v>
      </c>
      <c r="J21" s="5"/>
      <c r="K21" s="5"/>
      <c r="L21" s="4" t="s">
        <v>433</v>
      </c>
      <c r="M21" s="5"/>
      <c r="N21" s="4" t="s">
        <v>107</v>
      </c>
      <c r="O21" s="45">
        <v>74</v>
      </c>
      <c r="P21" s="4" t="s">
        <v>444</v>
      </c>
      <c r="Q21" s="45">
        <v>74</v>
      </c>
      <c r="R21" s="4" t="s">
        <v>8</v>
      </c>
      <c r="S21" s="5">
        <v>1</v>
      </c>
      <c r="T21" s="4" t="s">
        <v>108</v>
      </c>
      <c r="U21" s="5"/>
      <c r="V21" s="5">
        <v>63</v>
      </c>
      <c r="W21" s="4" t="s">
        <v>109</v>
      </c>
      <c r="X21" s="45">
        <v>74</v>
      </c>
      <c r="Y21" s="4" t="s">
        <v>444</v>
      </c>
      <c r="Z21" s="4"/>
      <c r="AA21" s="5">
        <v>1000000</v>
      </c>
      <c r="AB21" s="5">
        <v>1000000</v>
      </c>
      <c r="AC21" s="5">
        <v>0</v>
      </c>
      <c r="AD21" s="5">
        <v>1000000</v>
      </c>
      <c r="AE21" s="5">
        <v>0</v>
      </c>
      <c r="AF21" s="5">
        <v>1000000</v>
      </c>
      <c r="AG21" s="5"/>
    </row>
    <row r="22" spans="1:33" ht="51" x14ac:dyDescent="0.25">
      <c r="A22" s="4" t="s">
        <v>10</v>
      </c>
      <c r="B22" s="4" t="s">
        <v>103</v>
      </c>
      <c r="C22" s="4" t="s">
        <v>103</v>
      </c>
      <c r="D22" s="4" t="s">
        <v>104</v>
      </c>
      <c r="E22" s="4" t="s">
        <v>111</v>
      </c>
      <c r="F22" s="4" t="s">
        <v>112</v>
      </c>
      <c r="G22" s="4" t="s">
        <v>113</v>
      </c>
      <c r="H22" s="4" t="s">
        <v>103</v>
      </c>
      <c r="I22" s="4" t="s">
        <v>432</v>
      </c>
      <c r="J22" s="5"/>
      <c r="K22" s="5"/>
      <c r="L22" s="4" t="s">
        <v>433</v>
      </c>
      <c r="M22" s="5"/>
      <c r="N22" s="4" t="s">
        <v>107</v>
      </c>
      <c r="O22" s="45">
        <v>77</v>
      </c>
      <c r="P22" s="4" t="s">
        <v>445</v>
      </c>
      <c r="Q22" s="45">
        <v>77</v>
      </c>
      <c r="R22" s="4" t="s">
        <v>8</v>
      </c>
      <c r="S22" s="5">
        <v>1</v>
      </c>
      <c r="T22" s="4" t="s">
        <v>108</v>
      </c>
      <c r="U22" s="5"/>
      <c r="V22" s="5">
        <v>60</v>
      </c>
      <c r="W22" s="4" t="s">
        <v>109</v>
      </c>
      <c r="X22" s="45">
        <v>77</v>
      </c>
      <c r="Y22" s="4" t="s">
        <v>445</v>
      </c>
      <c r="Z22" s="4"/>
      <c r="AA22" s="5">
        <v>1000000</v>
      </c>
      <c r="AB22" s="5">
        <v>1000000</v>
      </c>
      <c r="AC22" s="5">
        <v>0</v>
      </c>
      <c r="AD22" s="5">
        <v>1000000</v>
      </c>
      <c r="AE22" s="5">
        <v>0</v>
      </c>
      <c r="AF22" s="5">
        <v>1000000</v>
      </c>
      <c r="AG22" s="5"/>
    </row>
    <row r="23" spans="1:33" ht="51" x14ac:dyDescent="0.25">
      <c r="A23" s="4" t="s">
        <v>10</v>
      </c>
      <c r="B23" s="4" t="s">
        <v>103</v>
      </c>
      <c r="C23" s="4" t="s">
        <v>103</v>
      </c>
      <c r="D23" s="4" t="s">
        <v>104</v>
      </c>
      <c r="E23" s="4" t="s">
        <v>111</v>
      </c>
      <c r="F23" s="4" t="s">
        <v>112</v>
      </c>
      <c r="G23" s="4" t="s">
        <v>113</v>
      </c>
      <c r="H23" s="4" t="s">
        <v>103</v>
      </c>
      <c r="I23" s="4" t="s">
        <v>432</v>
      </c>
      <c r="J23" s="5"/>
      <c r="K23" s="5"/>
      <c r="L23" s="4" t="s">
        <v>433</v>
      </c>
      <c r="M23" s="5"/>
      <c r="N23" s="4" t="s">
        <v>107</v>
      </c>
      <c r="O23" s="45">
        <v>83</v>
      </c>
      <c r="P23" s="4" t="s">
        <v>446</v>
      </c>
      <c r="Q23" s="45">
        <v>83</v>
      </c>
      <c r="R23" s="4" t="s">
        <v>8</v>
      </c>
      <c r="S23" s="5">
        <v>1</v>
      </c>
      <c r="T23" s="4" t="s">
        <v>108</v>
      </c>
      <c r="U23" s="5"/>
      <c r="V23" s="5">
        <v>54</v>
      </c>
      <c r="W23" s="4" t="s">
        <v>109</v>
      </c>
      <c r="X23" s="45">
        <v>83</v>
      </c>
      <c r="Y23" s="4" t="s">
        <v>446</v>
      </c>
      <c r="Z23" s="4"/>
      <c r="AA23" s="5">
        <v>1000000</v>
      </c>
      <c r="AB23" s="5">
        <v>1000000</v>
      </c>
      <c r="AC23" s="5">
        <v>0</v>
      </c>
      <c r="AD23" s="5">
        <v>1000000</v>
      </c>
      <c r="AE23" s="5">
        <v>0</v>
      </c>
      <c r="AF23" s="5">
        <v>1000000</v>
      </c>
      <c r="AG23" s="5"/>
    </row>
    <row r="24" spans="1:33" ht="51" x14ac:dyDescent="0.25">
      <c r="A24" s="4" t="s">
        <v>10</v>
      </c>
      <c r="B24" s="4" t="s">
        <v>103</v>
      </c>
      <c r="C24" s="4" t="s">
        <v>103</v>
      </c>
      <c r="D24" s="4" t="s">
        <v>104</v>
      </c>
      <c r="E24" s="4" t="s">
        <v>111</v>
      </c>
      <c r="F24" s="4" t="s">
        <v>112</v>
      </c>
      <c r="G24" s="4" t="s">
        <v>113</v>
      </c>
      <c r="H24" s="4" t="s">
        <v>103</v>
      </c>
      <c r="I24" s="4" t="s">
        <v>432</v>
      </c>
      <c r="J24" s="5"/>
      <c r="K24" s="5"/>
      <c r="L24" s="4" t="s">
        <v>433</v>
      </c>
      <c r="M24" s="5"/>
      <c r="N24" s="4" t="s">
        <v>107</v>
      </c>
      <c r="O24" s="45">
        <v>88</v>
      </c>
      <c r="P24" s="4" t="s">
        <v>447</v>
      </c>
      <c r="Q24" s="45">
        <v>88</v>
      </c>
      <c r="R24" s="4" t="s">
        <v>8</v>
      </c>
      <c r="S24" s="5">
        <v>1</v>
      </c>
      <c r="T24" s="4" t="s">
        <v>108</v>
      </c>
      <c r="U24" s="5"/>
      <c r="V24" s="5">
        <v>49</v>
      </c>
      <c r="W24" s="4" t="s">
        <v>109</v>
      </c>
      <c r="X24" s="45">
        <v>88</v>
      </c>
      <c r="Y24" s="4" t="s">
        <v>447</v>
      </c>
      <c r="Z24" s="4"/>
      <c r="AA24" s="5">
        <v>1000000</v>
      </c>
      <c r="AB24" s="5">
        <v>1000000</v>
      </c>
      <c r="AC24" s="5">
        <v>0</v>
      </c>
      <c r="AD24" s="5">
        <v>1000000</v>
      </c>
      <c r="AE24" s="5">
        <v>0</v>
      </c>
      <c r="AF24" s="5">
        <v>1000000</v>
      </c>
      <c r="AG24" s="5"/>
    </row>
    <row r="25" spans="1:33" ht="51" x14ac:dyDescent="0.25">
      <c r="A25" s="4" t="s">
        <v>10</v>
      </c>
      <c r="B25" s="4" t="s">
        <v>103</v>
      </c>
      <c r="C25" s="4" t="s">
        <v>103</v>
      </c>
      <c r="D25" s="4" t="s">
        <v>104</v>
      </c>
      <c r="E25" s="4" t="s">
        <v>111</v>
      </c>
      <c r="F25" s="4" t="s">
        <v>112</v>
      </c>
      <c r="G25" s="4" t="s">
        <v>113</v>
      </c>
      <c r="H25" s="4" t="s">
        <v>103</v>
      </c>
      <c r="I25" s="4" t="s">
        <v>432</v>
      </c>
      <c r="J25" s="5"/>
      <c r="K25" s="5"/>
      <c r="L25" s="4" t="s">
        <v>433</v>
      </c>
      <c r="M25" s="5"/>
      <c r="N25" s="4" t="s">
        <v>107</v>
      </c>
      <c r="O25" s="45">
        <v>89</v>
      </c>
      <c r="P25" s="4" t="s">
        <v>448</v>
      </c>
      <c r="Q25" s="45">
        <v>89</v>
      </c>
      <c r="R25" s="4" t="s">
        <v>8</v>
      </c>
      <c r="S25" s="5">
        <v>1</v>
      </c>
      <c r="T25" s="4" t="s">
        <v>108</v>
      </c>
      <c r="U25" s="5"/>
      <c r="V25" s="5">
        <v>48</v>
      </c>
      <c r="W25" s="4" t="s">
        <v>109</v>
      </c>
      <c r="X25" s="45">
        <v>89</v>
      </c>
      <c r="Y25" s="4" t="s">
        <v>448</v>
      </c>
      <c r="Z25" s="4"/>
      <c r="AA25" s="5">
        <v>1000000</v>
      </c>
      <c r="AB25" s="5">
        <v>1000000</v>
      </c>
      <c r="AC25" s="5">
        <v>0</v>
      </c>
      <c r="AD25" s="5">
        <v>1000000</v>
      </c>
      <c r="AE25" s="5">
        <v>0</v>
      </c>
      <c r="AF25" s="5">
        <v>1000000</v>
      </c>
      <c r="AG25" s="5"/>
    </row>
    <row r="26" spans="1:33" ht="51" x14ac:dyDescent="0.25">
      <c r="A26" s="4" t="s">
        <v>10</v>
      </c>
      <c r="B26" s="4" t="s">
        <v>103</v>
      </c>
      <c r="C26" s="4" t="s">
        <v>103</v>
      </c>
      <c r="D26" s="4" t="s">
        <v>104</v>
      </c>
      <c r="E26" s="4" t="s">
        <v>111</v>
      </c>
      <c r="F26" s="4" t="s">
        <v>112</v>
      </c>
      <c r="G26" s="4" t="s">
        <v>113</v>
      </c>
      <c r="H26" s="4" t="s">
        <v>103</v>
      </c>
      <c r="I26" s="4" t="s">
        <v>432</v>
      </c>
      <c r="J26" s="5"/>
      <c r="K26" s="5"/>
      <c r="L26" s="4" t="s">
        <v>433</v>
      </c>
      <c r="M26" s="5"/>
      <c r="N26" s="4" t="s">
        <v>107</v>
      </c>
      <c r="O26" s="45">
        <v>102</v>
      </c>
      <c r="P26" s="4" t="s">
        <v>229</v>
      </c>
      <c r="Q26" s="45">
        <v>102</v>
      </c>
      <c r="R26" s="4" t="s">
        <v>8</v>
      </c>
      <c r="S26" s="5">
        <v>1</v>
      </c>
      <c r="T26" s="4" t="s">
        <v>108</v>
      </c>
      <c r="U26" s="5"/>
      <c r="V26" s="5">
        <v>35</v>
      </c>
      <c r="W26" s="4" t="s">
        <v>109</v>
      </c>
      <c r="X26" s="45">
        <v>102</v>
      </c>
      <c r="Y26" s="4" t="s">
        <v>229</v>
      </c>
      <c r="Z26" s="4"/>
      <c r="AA26" s="5">
        <v>1000000</v>
      </c>
      <c r="AB26" s="5">
        <v>1000000</v>
      </c>
      <c r="AC26" s="5">
        <v>0</v>
      </c>
      <c r="AD26" s="5">
        <v>1000000</v>
      </c>
      <c r="AE26" s="5">
        <v>0</v>
      </c>
      <c r="AF26" s="5">
        <v>1000000</v>
      </c>
      <c r="AG26" s="5"/>
    </row>
    <row r="27" spans="1:33" ht="51" x14ac:dyDescent="0.25">
      <c r="A27" s="4" t="s">
        <v>10</v>
      </c>
      <c r="B27" s="4" t="s">
        <v>103</v>
      </c>
      <c r="C27" s="4" t="s">
        <v>103</v>
      </c>
      <c r="D27" s="4" t="s">
        <v>104</v>
      </c>
      <c r="E27" s="4" t="s">
        <v>111</v>
      </c>
      <c r="F27" s="4" t="s">
        <v>112</v>
      </c>
      <c r="G27" s="4" t="s">
        <v>113</v>
      </c>
      <c r="H27" s="4" t="s">
        <v>103</v>
      </c>
      <c r="I27" s="4" t="s">
        <v>432</v>
      </c>
      <c r="J27" s="5"/>
      <c r="K27" s="5"/>
      <c r="L27" s="4" t="s">
        <v>433</v>
      </c>
      <c r="M27" s="5"/>
      <c r="N27" s="4" t="s">
        <v>107</v>
      </c>
      <c r="O27" s="45">
        <v>111</v>
      </c>
      <c r="P27" s="4" t="s">
        <v>261</v>
      </c>
      <c r="Q27" s="45">
        <v>111</v>
      </c>
      <c r="R27" s="4" t="s">
        <v>8</v>
      </c>
      <c r="S27" s="5">
        <v>1</v>
      </c>
      <c r="T27" s="4" t="s">
        <v>108</v>
      </c>
      <c r="U27" s="5"/>
      <c r="V27" s="5">
        <v>26</v>
      </c>
      <c r="W27" s="4" t="s">
        <v>109</v>
      </c>
      <c r="X27" s="45">
        <v>111</v>
      </c>
      <c r="Y27" s="4" t="s">
        <v>261</v>
      </c>
      <c r="Z27" s="4"/>
      <c r="AA27" s="5">
        <v>1000000</v>
      </c>
      <c r="AB27" s="5">
        <v>1000000</v>
      </c>
      <c r="AC27" s="5">
        <v>0</v>
      </c>
      <c r="AD27" s="5">
        <v>1000000</v>
      </c>
      <c r="AE27" s="5">
        <v>0</v>
      </c>
      <c r="AF27" s="5">
        <v>1000000</v>
      </c>
      <c r="AG27" s="5"/>
    </row>
    <row r="28" spans="1:33" ht="51" x14ac:dyDescent="0.25">
      <c r="A28" s="4" t="s">
        <v>10</v>
      </c>
      <c r="B28" s="4" t="s">
        <v>103</v>
      </c>
      <c r="C28" s="4" t="s">
        <v>103</v>
      </c>
      <c r="D28" s="4" t="s">
        <v>104</v>
      </c>
      <c r="E28" s="4" t="s">
        <v>111</v>
      </c>
      <c r="F28" s="4" t="s">
        <v>112</v>
      </c>
      <c r="G28" s="4" t="s">
        <v>113</v>
      </c>
      <c r="H28" s="4" t="s">
        <v>103</v>
      </c>
      <c r="I28" s="4" t="s">
        <v>432</v>
      </c>
      <c r="J28" s="5"/>
      <c r="K28" s="5"/>
      <c r="L28" s="4" t="s">
        <v>433</v>
      </c>
      <c r="M28" s="5"/>
      <c r="N28" s="4" t="s">
        <v>107</v>
      </c>
      <c r="O28" s="45">
        <v>118</v>
      </c>
      <c r="P28" s="4" t="s">
        <v>292</v>
      </c>
      <c r="Q28" s="45">
        <v>118</v>
      </c>
      <c r="R28" s="4" t="s">
        <v>8</v>
      </c>
      <c r="S28" s="5">
        <v>1</v>
      </c>
      <c r="T28" s="4" t="s">
        <v>108</v>
      </c>
      <c r="U28" s="5"/>
      <c r="V28" s="5">
        <v>19</v>
      </c>
      <c r="W28" s="4" t="s">
        <v>109</v>
      </c>
      <c r="X28" s="45">
        <v>118</v>
      </c>
      <c r="Y28" s="4" t="s">
        <v>292</v>
      </c>
      <c r="Z28" s="4"/>
      <c r="AA28" s="5">
        <v>1000000</v>
      </c>
      <c r="AB28" s="5">
        <v>1000000</v>
      </c>
      <c r="AC28" s="5">
        <v>0</v>
      </c>
      <c r="AD28" s="5">
        <v>1000000</v>
      </c>
      <c r="AE28" s="5">
        <v>0</v>
      </c>
      <c r="AF28" s="5">
        <v>1000000</v>
      </c>
      <c r="AG28" s="5"/>
    </row>
    <row r="29" spans="1:33" ht="51" x14ac:dyDescent="0.25">
      <c r="A29" s="4" t="s">
        <v>10</v>
      </c>
      <c r="B29" s="4" t="s">
        <v>103</v>
      </c>
      <c r="C29" s="4" t="s">
        <v>103</v>
      </c>
      <c r="D29" s="4" t="s">
        <v>104</v>
      </c>
      <c r="E29" s="4" t="s">
        <v>111</v>
      </c>
      <c r="F29" s="4" t="s">
        <v>112</v>
      </c>
      <c r="G29" s="4" t="s">
        <v>113</v>
      </c>
      <c r="H29" s="4" t="s">
        <v>103</v>
      </c>
      <c r="I29" s="4" t="s">
        <v>432</v>
      </c>
      <c r="J29" s="5"/>
      <c r="K29" s="5"/>
      <c r="L29" s="4" t="s">
        <v>433</v>
      </c>
      <c r="M29" s="5"/>
      <c r="N29" s="4" t="s">
        <v>107</v>
      </c>
      <c r="O29" s="45">
        <v>125</v>
      </c>
      <c r="P29" s="4" t="s">
        <v>318</v>
      </c>
      <c r="Q29" s="45">
        <v>125</v>
      </c>
      <c r="R29" s="4" t="s">
        <v>8</v>
      </c>
      <c r="S29" s="5">
        <v>1</v>
      </c>
      <c r="T29" s="4" t="s">
        <v>108</v>
      </c>
      <c r="U29" s="5"/>
      <c r="V29" s="5">
        <v>12</v>
      </c>
      <c r="W29" s="4" t="s">
        <v>109</v>
      </c>
      <c r="X29" s="45">
        <v>125</v>
      </c>
      <c r="Y29" s="4" t="s">
        <v>318</v>
      </c>
      <c r="Z29" s="5"/>
      <c r="AA29" s="5">
        <v>1000000</v>
      </c>
      <c r="AB29" s="5">
        <v>1000000</v>
      </c>
      <c r="AC29" s="5">
        <v>0</v>
      </c>
      <c r="AD29" s="5">
        <v>1000000</v>
      </c>
      <c r="AE29" s="5">
        <v>0</v>
      </c>
      <c r="AF29" s="5">
        <v>1000000</v>
      </c>
      <c r="AG29" s="5"/>
    </row>
    <row r="30" spans="1:33" ht="140.25" x14ac:dyDescent="0.25">
      <c r="A30" s="4" t="s">
        <v>11</v>
      </c>
      <c r="B30" s="4" t="s">
        <v>103</v>
      </c>
      <c r="C30" s="4" t="s">
        <v>103</v>
      </c>
      <c r="D30" s="4" t="s">
        <v>104</v>
      </c>
      <c r="E30" s="4" t="s">
        <v>111</v>
      </c>
      <c r="F30" s="4" t="s">
        <v>112</v>
      </c>
      <c r="G30" s="4" t="s">
        <v>113</v>
      </c>
      <c r="H30" s="4" t="s">
        <v>103</v>
      </c>
      <c r="I30" s="4" t="s">
        <v>432</v>
      </c>
      <c r="J30" s="5"/>
      <c r="K30" s="5"/>
      <c r="L30" s="4" t="s">
        <v>433</v>
      </c>
      <c r="M30" s="5"/>
      <c r="N30" s="4" t="s">
        <v>107</v>
      </c>
      <c r="O30" s="45">
        <v>84</v>
      </c>
      <c r="P30" s="4" t="s">
        <v>197</v>
      </c>
      <c r="Q30" s="45">
        <v>84</v>
      </c>
      <c r="R30" s="4" t="s">
        <v>8</v>
      </c>
      <c r="S30" s="5">
        <v>1</v>
      </c>
      <c r="T30" s="4" t="s">
        <v>355</v>
      </c>
      <c r="U30" s="5"/>
      <c r="V30" s="5">
        <v>53</v>
      </c>
      <c r="W30" s="4" t="s">
        <v>109</v>
      </c>
      <c r="X30" s="45">
        <v>84</v>
      </c>
      <c r="Y30" s="4" t="s">
        <v>197</v>
      </c>
      <c r="Z30" s="5"/>
      <c r="AA30" s="5">
        <v>1000000</v>
      </c>
      <c r="AB30" s="5">
        <v>1000000</v>
      </c>
      <c r="AC30" s="5">
        <v>0</v>
      </c>
      <c r="AD30" s="5">
        <v>1000000</v>
      </c>
      <c r="AE30" s="5">
        <v>0</v>
      </c>
      <c r="AF30" s="5">
        <v>1000000</v>
      </c>
      <c r="AG30" s="5"/>
    </row>
    <row r="31" spans="1:33" ht="127.5" x14ac:dyDescent="0.25">
      <c r="A31" s="4" t="s">
        <v>11</v>
      </c>
      <c r="B31" s="4" t="s">
        <v>103</v>
      </c>
      <c r="C31" s="4" t="s">
        <v>103</v>
      </c>
      <c r="D31" s="4" t="s">
        <v>104</v>
      </c>
      <c r="E31" s="4" t="s">
        <v>111</v>
      </c>
      <c r="F31" s="4" t="s">
        <v>112</v>
      </c>
      <c r="G31" s="4" t="s">
        <v>113</v>
      </c>
      <c r="H31" s="4" t="s">
        <v>103</v>
      </c>
      <c r="I31" s="4" t="s">
        <v>432</v>
      </c>
      <c r="J31" s="5"/>
      <c r="K31" s="5"/>
      <c r="L31" s="4" t="s">
        <v>433</v>
      </c>
      <c r="M31" s="5"/>
      <c r="N31" s="4" t="s">
        <v>107</v>
      </c>
      <c r="O31" s="45">
        <v>105</v>
      </c>
      <c r="P31" s="4" t="s">
        <v>233</v>
      </c>
      <c r="Q31" s="45">
        <v>105</v>
      </c>
      <c r="R31" s="4" t="s">
        <v>8</v>
      </c>
      <c r="S31" s="5">
        <v>1</v>
      </c>
      <c r="T31" s="4" t="s">
        <v>356</v>
      </c>
      <c r="U31" s="5"/>
      <c r="V31" s="5">
        <v>32</v>
      </c>
      <c r="W31" s="4" t="s">
        <v>109</v>
      </c>
      <c r="X31" s="45">
        <v>105</v>
      </c>
      <c r="Y31" s="4" t="s">
        <v>233</v>
      </c>
      <c r="Z31" s="5"/>
      <c r="AA31" s="5">
        <v>1000000</v>
      </c>
      <c r="AB31" s="5">
        <v>1000000</v>
      </c>
      <c r="AC31" s="5">
        <v>0</v>
      </c>
      <c r="AD31" s="5">
        <v>1000000</v>
      </c>
      <c r="AE31" s="5">
        <v>0</v>
      </c>
      <c r="AF31" s="5">
        <v>1000000</v>
      </c>
      <c r="AG31" s="5"/>
    </row>
    <row r="32" spans="1:33" ht="153" x14ac:dyDescent="0.25">
      <c r="A32" s="4" t="s">
        <v>11</v>
      </c>
      <c r="B32" s="4" t="s">
        <v>103</v>
      </c>
      <c r="C32" s="4" t="s">
        <v>103</v>
      </c>
      <c r="D32" s="4" t="s">
        <v>104</v>
      </c>
      <c r="E32" s="4" t="s">
        <v>111</v>
      </c>
      <c r="F32" s="4" t="s">
        <v>112</v>
      </c>
      <c r="G32" s="4" t="s">
        <v>113</v>
      </c>
      <c r="H32" s="4" t="s">
        <v>103</v>
      </c>
      <c r="I32" s="4" t="s">
        <v>432</v>
      </c>
      <c r="J32" s="5"/>
      <c r="K32" s="5"/>
      <c r="L32" s="4" t="s">
        <v>433</v>
      </c>
      <c r="M32" s="5"/>
      <c r="N32" s="4" t="s">
        <v>107</v>
      </c>
      <c r="O32" s="45">
        <v>337</v>
      </c>
      <c r="P32" s="4" t="s">
        <v>186</v>
      </c>
      <c r="Q32" s="45">
        <v>337</v>
      </c>
      <c r="R32" s="4" t="s">
        <v>8</v>
      </c>
      <c r="S32" s="5">
        <v>1</v>
      </c>
      <c r="T32" s="4" t="s">
        <v>357</v>
      </c>
      <c r="U32" s="5"/>
      <c r="V32" s="5">
        <v>165</v>
      </c>
      <c r="W32" s="4" t="s">
        <v>109</v>
      </c>
      <c r="X32" s="45">
        <v>337</v>
      </c>
      <c r="Y32" s="4" t="s">
        <v>186</v>
      </c>
      <c r="Z32" s="5"/>
      <c r="AA32" s="5">
        <v>1000000</v>
      </c>
      <c r="AB32" s="5">
        <v>1000000</v>
      </c>
      <c r="AC32" s="5">
        <v>0</v>
      </c>
      <c r="AD32" s="5">
        <v>1000000</v>
      </c>
      <c r="AE32" s="5">
        <v>0</v>
      </c>
      <c r="AF32" s="5">
        <v>1000000</v>
      </c>
      <c r="AG32" s="5"/>
    </row>
    <row r="33" spans="1:33" ht="140.25" x14ac:dyDescent="0.25">
      <c r="A33" s="4" t="s">
        <v>11</v>
      </c>
      <c r="B33" s="4" t="s">
        <v>103</v>
      </c>
      <c r="C33" s="4" t="s">
        <v>103</v>
      </c>
      <c r="D33" s="4" t="s">
        <v>104</v>
      </c>
      <c r="E33" s="4" t="s">
        <v>111</v>
      </c>
      <c r="F33" s="4" t="s">
        <v>112</v>
      </c>
      <c r="G33" s="4" t="s">
        <v>113</v>
      </c>
      <c r="H33" s="4" t="s">
        <v>103</v>
      </c>
      <c r="I33" s="4" t="s">
        <v>432</v>
      </c>
      <c r="J33" s="5"/>
      <c r="K33" s="5"/>
      <c r="L33" s="4" t="s">
        <v>433</v>
      </c>
      <c r="M33" s="5"/>
      <c r="N33" s="4" t="s">
        <v>107</v>
      </c>
      <c r="O33" s="45">
        <v>84</v>
      </c>
      <c r="P33" s="4" t="s">
        <v>198</v>
      </c>
      <c r="Q33" s="45">
        <v>84</v>
      </c>
      <c r="R33" s="4" t="s">
        <v>8</v>
      </c>
      <c r="S33" s="5">
        <v>1</v>
      </c>
      <c r="T33" s="4" t="s">
        <v>358</v>
      </c>
      <c r="U33" s="5"/>
      <c r="V33" s="5">
        <v>53</v>
      </c>
      <c r="W33" s="4" t="s">
        <v>109</v>
      </c>
      <c r="X33" s="45">
        <v>84</v>
      </c>
      <c r="Y33" s="4" t="s">
        <v>198</v>
      </c>
      <c r="Z33" s="5"/>
      <c r="AA33" s="5">
        <v>1000000</v>
      </c>
      <c r="AB33" s="5">
        <v>1000000</v>
      </c>
      <c r="AC33" s="5">
        <v>0</v>
      </c>
      <c r="AD33" s="5">
        <v>1000000</v>
      </c>
      <c r="AE33" s="5">
        <v>0</v>
      </c>
      <c r="AF33" s="5">
        <v>1000000</v>
      </c>
      <c r="AG33" s="5"/>
    </row>
    <row r="34" spans="1:33" ht="153" x14ac:dyDescent="0.25">
      <c r="A34" s="4" t="s">
        <v>11</v>
      </c>
      <c r="B34" s="4" t="s">
        <v>103</v>
      </c>
      <c r="C34" s="4" t="s">
        <v>103</v>
      </c>
      <c r="D34" s="4" t="s">
        <v>104</v>
      </c>
      <c r="E34" s="4" t="s">
        <v>111</v>
      </c>
      <c r="F34" s="4" t="s">
        <v>112</v>
      </c>
      <c r="G34" s="4" t="s">
        <v>113</v>
      </c>
      <c r="H34" s="4" t="s">
        <v>103</v>
      </c>
      <c r="I34" s="4" t="s">
        <v>432</v>
      </c>
      <c r="J34" s="5"/>
      <c r="K34" s="5"/>
      <c r="L34" s="4" t="s">
        <v>433</v>
      </c>
      <c r="M34" s="5"/>
      <c r="N34" s="4" t="s">
        <v>107</v>
      </c>
      <c r="O34" s="45">
        <v>105</v>
      </c>
      <c r="P34" s="4" t="s">
        <v>234</v>
      </c>
      <c r="Q34" s="45">
        <v>105</v>
      </c>
      <c r="R34" s="4" t="s">
        <v>8</v>
      </c>
      <c r="S34" s="5">
        <v>1</v>
      </c>
      <c r="T34" s="4" t="s">
        <v>359</v>
      </c>
      <c r="U34" s="5"/>
      <c r="V34" s="5">
        <v>32</v>
      </c>
      <c r="W34" s="4" t="s">
        <v>109</v>
      </c>
      <c r="X34" s="45">
        <v>105</v>
      </c>
      <c r="Y34" s="4" t="s">
        <v>234</v>
      </c>
      <c r="Z34" s="5"/>
      <c r="AA34" s="5">
        <v>1000000</v>
      </c>
      <c r="AB34" s="5">
        <v>1000000</v>
      </c>
      <c r="AC34" s="5">
        <v>0</v>
      </c>
      <c r="AD34" s="5">
        <v>1000000</v>
      </c>
      <c r="AE34" s="5">
        <v>0</v>
      </c>
      <c r="AF34" s="5">
        <v>1000000</v>
      </c>
      <c r="AG34" s="5"/>
    </row>
    <row r="35" spans="1:33" ht="51" x14ac:dyDescent="0.25">
      <c r="A35" s="4" t="s">
        <v>11</v>
      </c>
      <c r="B35" s="4" t="s">
        <v>103</v>
      </c>
      <c r="C35" s="4" t="s">
        <v>103</v>
      </c>
      <c r="D35" s="4" t="s">
        <v>104</v>
      </c>
      <c r="E35" s="4" t="s">
        <v>111</v>
      </c>
      <c r="F35" s="4" t="s">
        <v>112</v>
      </c>
      <c r="G35" s="4" t="s">
        <v>113</v>
      </c>
      <c r="H35" s="4" t="s">
        <v>103</v>
      </c>
      <c r="I35" s="4" t="s">
        <v>432</v>
      </c>
      <c r="J35" s="5"/>
      <c r="K35" s="5"/>
      <c r="L35" s="4" t="s">
        <v>433</v>
      </c>
      <c r="M35" s="5"/>
      <c r="N35" s="4" t="s">
        <v>107</v>
      </c>
      <c r="O35" s="45">
        <v>63</v>
      </c>
      <c r="P35" s="4" t="s">
        <v>449</v>
      </c>
      <c r="Q35" s="45">
        <v>63</v>
      </c>
      <c r="R35" s="4" t="s">
        <v>8</v>
      </c>
      <c r="S35" s="5">
        <v>1</v>
      </c>
      <c r="T35" s="4" t="s">
        <v>108</v>
      </c>
      <c r="U35" s="5"/>
      <c r="V35" s="5">
        <v>74</v>
      </c>
      <c r="W35" s="4" t="s">
        <v>109</v>
      </c>
      <c r="X35" s="45">
        <v>63</v>
      </c>
      <c r="Y35" s="4" t="s">
        <v>449</v>
      </c>
      <c r="Z35" s="4"/>
      <c r="AA35" s="5">
        <v>1000000</v>
      </c>
      <c r="AB35" s="5">
        <v>1000000</v>
      </c>
      <c r="AC35" s="5">
        <v>0</v>
      </c>
      <c r="AD35" s="5">
        <v>1000000</v>
      </c>
      <c r="AE35" s="5">
        <v>0</v>
      </c>
      <c r="AF35" s="5">
        <v>1000000</v>
      </c>
      <c r="AG35" s="5"/>
    </row>
    <row r="36" spans="1:33" ht="51" x14ac:dyDescent="0.25">
      <c r="A36" s="4" t="s">
        <v>11</v>
      </c>
      <c r="B36" s="4" t="s">
        <v>103</v>
      </c>
      <c r="C36" s="4" t="s">
        <v>103</v>
      </c>
      <c r="D36" s="4" t="s">
        <v>104</v>
      </c>
      <c r="E36" s="4" t="s">
        <v>111</v>
      </c>
      <c r="F36" s="4" t="s">
        <v>112</v>
      </c>
      <c r="G36" s="4" t="s">
        <v>113</v>
      </c>
      <c r="H36" s="4" t="s">
        <v>103</v>
      </c>
      <c r="I36" s="4" t="s">
        <v>432</v>
      </c>
      <c r="J36" s="5"/>
      <c r="K36" s="5"/>
      <c r="L36" s="4" t="s">
        <v>433</v>
      </c>
      <c r="M36" s="5"/>
      <c r="N36" s="4" t="s">
        <v>107</v>
      </c>
      <c r="O36" s="45">
        <v>74</v>
      </c>
      <c r="P36" s="4" t="s">
        <v>450</v>
      </c>
      <c r="Q36" s="45">
        <v>74</v>
      </c>
      <c r="R36" s="4" t="s">
        <v>8</v>
      </c>
      <c r="S36" s="5">
        <v>1</v>
      </c>
      <c r="T36" s="4" t="s">
        <v>108</v>
      </c>
      <c r="U36" s="5"/>
      <c r="V36" s="5">
        <v>63</v>
      </c>
      <c r="W36" s="4" t="s">
        <v>109</v>
      </c>
      <c r="X36" s="45">
        <v>74</v>
      </c>
      <c r="Y36" s="4" t="s">
        <v>450</v>
      </c>
      <c r="Z36" s="4"/>
      <c r="AA36" s="5">
        <v>1000000</v>
      </c>
      <c r="AB36" s="5">
        <v>1000000</v>
      </c>
      <c r="AC36" s="5">
        <v>0</v>
      </c>
      <c r="AD36" s="5">
        <v>1000000</v>
      </c>
      <c r="AE36" s="5">
        <v>0</v>
      </c>
      <c r="AF36" s="5">
        <v>1000000</v>
      </c>
      <c r="AG36" s="5"/>
    </row>
    <row r="37" spans="1:33" ht="51" x14ac:dyDescent="0.25">
      <c r="A37" s="4" t="s">
        <v>11</v>
      </c>
      <c r="B37" s="4" t="s">
        <v>103</v>
      </c>
      <c r="C37" s="4" t="s">
        <v>103</v>
      </c>
      <c r="D37" s="4" t="s">
        <v>104</v>
      </c>
      <c r="E37" s="4" t="s">
        <v>111</v>
      </c>
      <c r="F37" s="4" t="s">
        <v>112</v>
      </c>
      <c r="G37" s="4" t="s">
        <v>113</v>
      </c>
      <c r="H37" s="4" t="s">
        <v>103</v>
      </c>
      <c r="I37" s="4" t="s">
        <v>432</v>
      </c>
      <c r="J37" s="5"/>
      <c r="K37" s="5"/>
      <c r="L37" s="4" t="s">
        <v>433</v>
      </c>
      <c r="M37" s="5"/>
      <c r="N37" s="4" t="s">
        <v>107</v>
      </c>
      <c r="O37" s="45">
        <v>81</v>
      </c>
      <c r="P37" s="4" t="s">
        <v>451</v>
      </c>
      <c r="Q37" s="45">
        <v>81</v>
      </c>
      <c r="R37" s="4" t="s">
        <v>8</v>
      </c>
      <c r="S37" s="5">
        <v>1</v>
      </c>
      <c r="T37" s="4" t="s">
        <v>108</v>
      </c>
      <c r="U37" s="5"/>
      <c r="V37" s="5">
        <v>56</v>
      </c>
      <c r="W37" s="4" t="s">
        <v>109</v>
      </c>
      <c r="X37" s="45">
        <v>81</v>
      </c>
      <c r="Y37" s="4" t="s">
        <v>451</v>
      </c>
      <c r="Z37" s="5"/>
      <c r="AA37" s="5">
        <v>1000000</v>
      </c>
      <c r="AB37" s="5">
        <v>1000000</v>
      </c>
      <c r="AC37" s="5">
        <v>0</v>
      </c>
      <c r="AD37" s="5">
        <v>1000000</v>
      </c>
      <c r="AE37" s="5">
        <v>0</v>
      </c>
      <c r="AF37" s="5">
        <v>1000000</v>
      </c>
      <c r="AG37" s="5"/>
    </row>
    <row r="38" spans="1:33" ht="51" x14ac:dyDescent="0.25">
      <c r="A38" s="4" t="s">
        <v>11</v>
      </c>
      <c r="B38" s="4" t="s">
        <v>103</v>
      </c>
      <c r="C38" s="4" t="s">
        <v>103</v>
      </c>
      <c r="D38" s="4" t="s">
        <v>104</v>
      </c>
      <c r="E38" s="4" t="s">
        <v>111</v>
      </c>
      <c r="F38" s="4" t="s">
        <v>112</v>
      </c>
      <c r="G38" s="4" t="s">
        <v>113</v>
      </c>
      <c r="H38" s="4" t="s">
        <v>103</v>
      </c>
      <c r="I38" s="4" t="s">
        <v>432</v>
      </c>
      <c r="J38" s="5"/>
      <c r="K38" s="5"/>
      <c r="L38" s="4" t="s">
        <v>433</v>
      </c>
      <c r="M38" s="5"/>
      <c r="N38" s="4" t="s">
        <v>107</v>
      </c>
      <c r="O38" s="45">
        <v>82</v>
      </c>
      <c r="P38" s="4" t="s">
        <v>452</v>
      </c>
      <c r="Q38" s="45">
        <v>82</v>
      </c>
      <c r="R38" s="4" t="s">
        <v>8</v>
      </c>
      <c r="S38" s="5">
        <v>1</v>
      </c>
      <c r="T38" s="4" t="s">
        <v>108</v>
      </c>
      <c r="U38" s="5"/>
      <c r="V38" s="5">
        <v>55</v>
      </c>
      <c r="W38" s="4" t="s">
        <v>109</v>
      </c>
      <c r="X38" s="45">
        <v>82</v>
      </c>
      <c r="Y38" s="4" t="s">
        <v>452</v>
      </c>
      <c r="Z38" s="5"/>
      <c r="AA38" s="5">
        <v>1000000</v>
      </c>
      <c r="AB38" s="5">
        <v>1000000</v>
      </c>
      <c r="AC38" s="5">
        <v>0</v>
      </c>
      <c r="AD38" s="5">
        <v>1000000</v>
      </c>
      <c r="AE38" s="5">
        <v>0</v>
      </c>
      <c r="AF38" s="5">
        <v>1000000</v>
      </c>
      <c r="AG38" s="5"/>
    </row>
    <row r="39" spans="1:33" ht="51" x14ac:dyDescent="0.25">
      <c r="A39" s="4" t="s">
        <v>11</v>
      </c>
      <c r="B39" s="4" t="s">
        <v>103</v>
      </c>
      <c r="C39" s="4" t="s">
        <v>103</v>
      </c>
      <c r="D39" s="4" t="s">
        <v>104</v>
      </c>
      <c r="E39" s="4" t="s">
        <v>111</v>
      </c>
      <c r="F39" s="4" t="s">
        <v>112</v>
      </c>
      <c r="G39" s="4" t="s">
        <v>113</v>
      </c>
      <c r="H39" s="4" t="s">
        <v>103</v>
      </c>
      <c r="I39" s="4" t="s">
        <v>432</v>
      </c>
      <c r="J39" s="5"/>
      <c r="K39" s="5"/>
      <c r="L39" s="4" t="s">
        <v>433</v>
      </c>
      <c r="M39" s="5"/>
      <c r="N39" s="4" t="s">
        <v>107</v>
      </c>
      <c r="O39" s="45">
        <v>84</v>
      </c>
      <c r="P39" s="4" t="s">
        <v>453</v>
      </c>
      <c r="Q39" s="45">
        <v>84</v>
      </c>
      <c r="R39" s="4" t="s">
        <v>8</v>
      </c>
      <c r="S39" s="5">
        <v>1</v>
      </c>
      <c r="T39" s="4" t="s">
        <v>108</v>
      </c>
      <c r="U39" s="5"/>
      <c r="V39" s="5">
        <v>53</v>
      </c>
      <c r="W39" s="4" t="s">
        <v>109</v>
      </c>
      <c r="X39" s="45">
        <v>84</v>
      </c>
      <c r="Y39" s="4" t="s">
        <v>453</v>
      </c>
      <c r="Z39" s="4"/>
      <c r="AA39" s="5">
        <v>1000000</v>
      </c>
      <c r="AB39" s="5">
        <v>1000000</v>
      </c>
      <c r="AC39" s="5">
        <v>0</v>
      </c>
      <c r="AD39" s="5">
        <v>1000000</v>
      </c>
      <c r="AE39" s="5">
        <v>0</v>
      </c>
      <c r="AF39" s="5">
        <v>1000000</v>
      </c>
      <c r="AG39" s="5"/>
    </row>
    <row r="40" spans="1:33" ht="51" x14ac:dyDescent="0.25">
      <c r="A40" s="4" t="s">
        <v>11</v>
      </c>
      <c r="B40" s="4" t="s">
        <v>103</v>
      </c>
      <c r="C40" s="4" t="s">
        <v>103</v>
      </c>
      <c r="D40" s="4" t="s">
        <v>104</v>
      </c>
      <c r="E40" s="4" t="s">
        <v>111</v>
      </c>
      <c r="F40" s="4" t="s">
        <v>112</v>
      </c>
      <c r="G40" s="4" t="s">
        <v>113</v>
      </c>
      <c r="H40" s="4" t="s">
        <v>103</v>
      </c>
      <c r="I40" s="4" t="s">
        <v>432</v>
      </c>
      <c r="J40" s="5"/>
      <c r="K40" s="5"/>
      <c r="L40" s="4" t="s">
        <v>433</v>
      </c>
      <c r="M40" s="5"/>
      <c r="N40" s="4" t="s">
        <v>107</v>
      </c>
      <c r="O40" s="45">
        <v>88</v>
      </c>
      <c r="P40" s="4" t="s">
        <v>454</v>
      </c>
      <c r="Q40" s="45">
        <v>88</v>
      </c>
      <c r="R40" s="4" t="s">
        <v>8</v>
      </c>
      <c r="S40" s="5">
        <v>1</v>
      </c>
      <c r="T40" s="4" t="s">
        <v>108</v>
      </c>
      <c r="U40" s="5"/>
      <c r="V40" s="5">
        <v>49</v>
      </c>
      <c r="W40" s="4" t="s">
        <v>109</v>
      </c>
      <c r="X40" s="45">
        <v>88</v>
      </c>
      <c r="Y40" s="4" t="s">
        <v>454</v>
      </c>
      <c r="Z40" s="4"/>
      <c r="AA40" s="5">
        <v>1000000</v>
      </c>
      <c r="AB40" s="5">
        <v>1000000</v>
      </c>
      <c r="AC40" s="5">
        <v>0</v>
      </c>
      <c r="AD40" s="5">
        <v>1000000</v>
      </c>
      <c r="AE40" s="5">
        <v>0</v>
      </c>
      <c r="AF40" s="5">
        <v>1000000</v>
      </c>
      <c r="AG40" s="5"/>
    </row>
    <row r="41" spans="1:33" ht="51" x14ac:dyDescent="0.25">
      <c r="A41" s="4" t="s">
        <v>11</v>
      </c>
      <c r="B41" s="4" t="s">
        <v>103</v>
      </c>
      <c r="C41" s="4" t="s">
        <v>103</v>
      </c>
      <c r="D41" s="4" t="s">
        <v>104</v>
      </c>
      <c r="E41" s="4" t="s">
        <v>111</v>
      </c>
      <c r="F41" s="4" t="s">
        <v>112</v>
      </c>
      <c r="G41" s="4" t="s">
        <v>113</v>
      </c>
      <c r="H41" s="4" t="s">
        <v>103</v>
      </c>
      <c r="I41" s="4" t="s">
        <v>432</v>
      </c>
      <c r="J41" s="5"/>
      <c r="K41" s="5"/>
      <c r="L41" s="4" t="s">
        <v>433</v>
      </c>
      <c r="M41" s="5"/>
      <c r="N41" s="4" t="s">
        <v>107</v>
      </c>
      <c r="O41" s="45">
        <v>91</v>
      </c>
      <c r="P41" s="4" t="s">
        <v>455</v>
      </c>
      <c r="Q41" s="45">
        <v>91</v>
      </c>
      <c r="R41" s="4" t="s">
        <v>8</v>
      </c>
      <c r="S41" s="5">
        <v>1</v>
      </c>
      <c r="T41" s="4" t="s">
        <v>108</v>
      </c>
      <c r="U41" s="5"/>
      <c r="V41" s="5">
        <v>46</v>
      </c>
      <c r="W41" s="4" t="s">
        <v>109</v>
      </c>
      <c r="X41" s="45">
        <v>91</v>
      </c>
      <c r="Y41" s="4" t="s">
        <v>455</v>
      </c>
      <c r="Z41" s="4"/>
      <c r="AA41" s="5">
        <v>1000000</v>
      </c>
      <c r="AB41" s="5">
        <v>1000000</v>
      </c>
      <c r="AC41" s="5">
        <v>0</v>
      </c>
      <c r="AD41" s="5">
        <v>1000000</v>
      </c>
      <c r="AE41" s="5">
        <v>0</v>
      </c>
      <c r="AF41" s="5">
        <v>1000000</v>
      </c>
      <c r="AG41" s="5"/>
    </row>
    <row r="42" spans="1:33" ht="51" x14ac:dyDescent="0.25">
      <c r="A42" s="4" t="s">
        <v>11</v>
      </c>
      <c r="B42" s="4" t="s">
        <v>103</v>
      </c>
      <c r="C42" s="4" t="s">
        <v>103</v>
      </c>
      <c r="D42" s="4" t="s">
        <v>104</v>
      </c>
      <c r="E42" s="4" t="s">
        <v>111</v>
      </c>
      <c r="F42" s="4" t="s">
        <v>112</v>
      </c>
      <c r="G42" s="4" t="s">
        <v>113</v>
      </c>
      <c r="H42" s="4" t="s">
        <v>103</v>
      </c>
      <c r="I42" s="4" t="s">
        <v>432</v>
      </c>
      <c r="J42" s="5"/>
      <c r="K42" s="5"/>
      <c r="L42" s="4" t="s">
        <v>433</v>
      </c>
      <c r="M42" s="5"/>
      <c r="N42" s="4" t="s">
        <v>107</v>
      </c>
      <c r="O42" s="45">
        <v>102</v>
      </c>
      <c r="P42" s="4" t="s">
        <v>230</v>
      </c>
      <c r="Q42" s="45">
        <v>102</v>
      </c>
      <c r="R42" s="4" t="s">
        <v>8</v>
      </c>
      <c r="S42" s="5">
        <v>1</v>
      </c>
      <c r="T42" s="4" t="s">
        <v>108</v>
      </c>
      <c r="U42" s="5"/>
      <c r="V42" s="5">
        <v>35</v>
      </c>
      <c r="W42" s="4" t="s">
        <v>109</v>
      </c>
      <c r="X42" s="45">
        <v>102</v>
      </c>
      <c r="Y42" s="4" t="s">
        <v>230</v>
      </c>
      <c r="Z42" s="4"/>
      <c r="AA42" s="5">
        <v>1000000</v>
      </c>
      <c r="AB42" s="5">
        <v>1000000</v>
      </c>
      <c r="AC42" s="5">
        <v>0</v>
      </c>
      <c r="AD42" s="5">
        <v>1000000</v>
      </c>
      <c r="AE42" s="5">
        <v>0</v>
      </c>
      <c r="AF42" s="5">
        <v>1000000</v>
      </c>
      <c r="AG42" s="5"/>
    </row>
    <row r="43" spans="1:33" ht="51" x14ac:dyDescent="0.25">
      <c r="A43" s="4" t="s">
        <v>11</v>
      </c>
      <c r="B43" s="4" t="s">
        <v>103</v>
      </c>
      <c r="C43" s="4" t="s">
        <v>103</v>
      </c>
      <c r="D43" s="4" t="s">
        <v>104</v>
      </c>
      <c r="E43" s="4" t="s">
        <v>111</v>
      </c>
      <c r="F43" s="4" t="s">
        <v>112</v>
      </c>
      <c r="G43" s="4" t="s">
        <v>113</v>
      </c>
      <c r="H43" s="4" t="s">
        <v>103</v>
      </c>
      <c r="I43" s="4" t="s">
        <v>432</v>
      </c>
      <c r="J43" s="5"/>
      <c r="K43" s="5"/>
      <c r="L43" s="4" t="s">
        <v>433</v>
      </c>
      <c r="M43" s="5"/>
      <c r="N43" s="4" t="s">
        <v>107</v>
      </c>
      <c r="O43" s="45">
        <v>111</v>
      </c>
      <c r="P43" s="4" t="s">
        <v>269</v>
      </c>
      <c r="Q43" s="45">
        <v>111</v>
      </c>
      <c r="R43" s="4" t="s">
        <v>8</v>
      </c>
      <c r="S43" s="5">
        <v>1</v>
      </c>
      <c r="T43" s="4" t="s">
        <v>108</v>
      </c>
      <c r="U43" s="5"/>
      <c r="V43" s="5">
        <v>26</v>
      </c>
      <c r="W43" s="4" t="s">
        <v>109</v>
      </c>
      <c r="X43" s="45">
        <v>111</v>
      </c>
      <c r="Y43" s="4" t="s">
        <v>269</v>
      </c>
      <c r="Z43" s="4"/>
      <c r="AA43" s="5">
        <v>1000000</v>
      </c>
      <c r="AB43" s="5">
        <v>1000000</v>
      </c>
      <c r="AC43" s="5">
        <v>0</v>
      </c>
      <c r="AD43" s="5">
        <v>1000000</v>
      </c>
      <c r="AE43" s="5">
        <v>0</v>
      </c>
      <c r="AF43" s="5">
        <v>1000000</v>
      </c>
      <c r="AG43" s="5"/>
    </row>
    <row r="44" spans="1:33" ht="51" x14ac:dyDescent="0.25">
      <c r="A44" s="4" t="s">
        <v>11</v>
      </c>
      <c r="B44" s="4" t="s">
        <v>103</v>
      </c>
      <c r="C44" s="4" t="s">
        <v>103</v>
      </c>
      <c r="D44" s="4" t="s">
        <v>104</v>
      </c>
      <c r="E44" s="4" t="s">
        <v>111</v>
      </c>
      <c r="F44" s="4" t="s">
        <v>112</v>
      </c>
      <c r="G44" s="4" t="s">
        <v>113</v>
      </c>
      <c r="H44" s="4" t="s">
        <v>103</v>
      </c>
      <c r="I44" s="4" t="s">
        <v>432</v>
      </c>
      <c r="J44" s="5"/>
      <c r="K44" s="5"/>
      <c r="L44" s="4" t="s">
        <v>433</v>
      </c>
      <c r="M44" s="5"/>
      <c r="N44" s="4" t="s">
        <v>107</v>
      </c>
      <c r="O44" s="45">
        <v>118</v>
      </c>
      <c r="P44" s="4" t="s">
        <v>293</v>
      </c>
      <c r="Q44" s="45">
        <v>118</v>
      </c>
      <c r="R44" s="4" t="s">
        <v>8</v>
      </c>
      <c r="S44" s="5">
        <v>1</v>
      </c>
      <c r="T44" s="4" t="s">
        <v>108</v>
      </c>
      <c r="U44" s="5"/>
      <c r="V44" s="5">
        <v>19</v>
      </c>
      <c r="W44" s="4" t="s">
        <v>109</v>
      </c>
      <c r="X44" s="45">
        <v>118</v>
      </c>
      <c r="Y44" s="4" t="s">
        <v>293</v>
      </c>
      <c r="Z44" s="4"/>
      <c r="AA44" s="5">
        <v>1000000</v>
      </c>
      <c r="AB44" s="5">
        <v>1000000</v>
      </c>
      <c r="AC44" s="5">
        <v>0</v>
      </c>
      <c r="AD44" s="5">
        <v>1000000</v>
      </c>
      <c r="AE44" s="5">
        <v>0</v>
      </c>
      <c r="AF44" s="5">
        <v>1000000</v>
      </c>
      <c r="AG44" s="5"/>
    </row>
    <row r="45" spans="1:33" ht="51" x14ac:dyDescent="0.25">
      <c r="A45" s="4" t="s">
        <v>11</v>
      </c>
      <c r="B45" s="4" t="s">
        <v>103</v>
      </c>
      <c r="C45" s="4" t="s">
        <v>103</v>
      </c>
      <c r="D45" s="4" t="s">
        <v>104</v>
      </c>
      <c r="E45" s="4" t="s">
        <v>111</v>
      </c>
      <c r="F45" s="4" t="s">
        <v>112</v>
      </c>
      <c r="G45" s="4" t="s">
        <v>113</v>
      </c>
      <c r="H45" s="4" t="s">
        <v>103</v>
      </c>
      <c r="I45" s="4" t="s">
        <v>432</v>
      </c>
      <c r="J45" s="5"/>
      <c r="K45" s="5"/>
      <c r="L45" s="4" t="s">
        <v>433</v>
      </c>
      <c r="M45" s="5"/>
      <c r="N45" s="4" t="s">
        <v>107</v>
      </c>
      <c r="O45" s="45">
        <v>118</v>
      </c>
      <c r="P45" s="4" t="s">
        <v>294</v>
      </c>
      <c r="Q45" s="45">
        <v>118</v>
      </c>
      <c r="R45" s="4" t="s">
        <v>8</v>
      </c>
      <c r="S45" s="5">
        <v>1</v>
      </c>
      <c r="T45" s="4" t="s">
        <v>108</v>
      </c>
      <c r="U45" s="5"/>
      <c r="V45" s="5">
        <v>19</v>
      </c>
      <c r="W45" s="4" t="s">
        <v>109</v>
      </c>
      <c r="X45" s="45">
        <v>118</v>
      </c>
      <c r="Y45" s="4" t="s">
        <v>294</v>
      </c>
      <c r="Z45" s="4"/>
      <c r="AA45" s="5">
        <v>1000000</v>
      </c>
      <c r="AB45" s="5">
        <v>1000000</v>
      </c>
      <c r="AC45" s="5">
        <v>0</v>
      </c>
      <c r="AD45" s="5">
        <v>1000000</v>
      </c>
      <c r="AE45" s="5">
        <v>0</v>
      </c>
      <c r="AF45" s="5">
        <v>1000000</v>
      </c>
      <c r="AG45" s="5"/>
    </row>
    <row r="46" spans="1:33" ht="51" x14ac:dyDescent="0.25">
      <c r="A46" s="4" t="s">
        <v>11</v>
      </c>
      <c r="B46" s="4" t="s">
        <v>103</v>
      </c>
      <c r="C46" s="4" t="s">
        <v>103</v>
      </c>
      <c r="D46" s="4" t="s">
        <v>104</v>
      </c>
      <c r="E46" s="4" t="s">
        <v>111</v>
      </c>
      <c r="F46" s="4" t="s">
        <v>112</v>
      </c>
      <c r="G46" s="4" t="s">
        <v>113</v>
      </c>
      <c r="H46" s="4" t="s">
        <v>103</v>
      </c>
      <c r="I46" s="4" t="s">
        <v>432</v>
      </c>
      <c r="J46" s="5"/>
      <c r="K46" s="5"/>
      <c r="L46" s="4" t="s">
        <v>433</v>
      </c>
      <c r="M46" s="5"/>
      <c r="N46" s="4" t="s">
        <v>107</v>
      </c>
      <c r="O46" s="45">
        <v>123</v>
      </c>
      <c r="P46" s="4" t="s">
        <v>313</v>
      </c>
      <c r="Q46" s="45">
        <v>123</v>
      </c>
      <c r="R46" s="4" t="s">
        <v>8</v>
      </c>
      <c r="S46" s="5">
        <v>1</v>
      </c>
      <c r="T46" s="4" t="s">
        <v>108</v>
      </c>
      <c r="U46" s="5"/>
      <c r="V46" s="5">
        <v>14</v>
      </c>
      <c r="W46" s="4" t="s">
        <v>109</v>
      </c>
      <c r="X46" s="45">
        <v>123</v>
      </c>
      <c r="Y46" s="4" t="s">
        <v>313</v>
      </c>
      <c r="Z46" s="4"/>
      <c r="AA46" s="5">
        <v>1000000</v>
      </c>
      <c r="AB46" s="5">
        <v>1000000</v>
      </c>
      <c r="AC46" s="5">
        <v>0</v>
      </c>
      <c r="AD46" s="5">
        <v>1000000</v>
      </c>
      <c r="AE46" s="5">
        <v>0</v>
      </c>
      <c r="AF46" s="5">
        <v>1000000</v>
      </c>
      <c r="AG46" s="5"/>
    </row>
    <row r="47" spans="1:33" ht="38.25" x14ac:dyDescent="0.25">
      <c r="A47" s="4" t="s">
        <v>177</v>
      </c>
      <c r="B47" s="4" t="s">
        <v>103</v>
      </c>
      <c r="C47" s="4" t="s">
        <v>103</v>
      </c>
      <c r="D47" s="4" t="s">
        <v>104</v>
      </c>
      <c r="E47" s="4" t="s">
        <v>111</v>
      </c>
      <c r="F47" s="4" t="s">
        <v>112</v>
      </c>
      <c r="G47" s="4" t="s">
        <v>113</v>
      </c>
      <c r="H47" s="4" t="s">
        <v>106</v>
      </c>
      <c r="I47" s="4" t="s">
        <v>432</v>
      </c>
      <c r="J47" s="5"/>
      <c r="K47" s="5"/>
      <c r="L47" s="4" t="s">
        <v>433</v>
      </c>
      <c r="M47" s="5"/>
      <c r="N47" s="4" t="s">
        <v>107</v>
      </c>
      <c r="O47" s="45">
        <v>268</v>
      </c>
      <c r="P47" s="4" t="s">
        <v>456</v>
      </c>
      <c r="Q47" s="45">
        <v>268</v>
      </c>
      <c r="R47" s="4" t="s">
        <v>8</v>
      </c>
      <c r="S47" s="5">
        <v>1</v>
      </c>
      <c r="T47" s="4" t="s">
        <v>108</v>
      </c>
      <c r="U47" s="5"/>
      <c r="V47" s="5">
        <v>234</v>
      </c>
      <c r="W47" s="4" t="s">
        <v>109</v>
      </c>
      <c r="X47" s="45">
        <v>268</v>
      </c>
      <c r="Y47" s="4" t="s">
        <v>456</v>
      </c>
      <c r="Z47" s="5"/>
      <c r="AA47" s="5">
        <v>1000000</v>
      </c>
      <c r="AB47" s="5">
        <v>1000000</v>
      </c>
      <c r="AC47" s="5">
        <v>0</v>
      </c>
      <c r="AD47" s="5">
        <v>1000000</v>
      </c>
      <c r="AE47" s="5">
        <v>0</v>
      </c>
      <c r="AF47" s="5">
        <v>1000000</v>
      </c>
      <c r="AG47" s="5"/>
    </row>
    <row r="48" spans="1:33" ht="38.25" x14ac:dyDescent="0.25">
      <c r="A48" s="4" t="s">
        <v>12</v>
      </c>
      <c r="B48" s="5"/>
      <c r="C48" s="4" t="s">
        <v>103</v>
      </c>
      <c r="D48" s="4" t="s">
        <v>104</v>
      </c>
      <c r="E48" s="4" t="s">
        <v>111</v>
      </c>
      <c r="F48" s="4" t="s">
        <v>112</v>
      </c>
      <c r="G48" s="4" t="s">
        <v>113</v>
      </c>
      <c r="H48" s="4" t="s">
        <v>103</v>
      </c>
      <c r="I48" s="4" t="s">
        <v>432</v>
      </c>
      <c r="J48" s="5"/>
      <c r="K48" s="5"/>
      <c r="L48" s="4" t="s">
        <v>433</v>
      </c>
      <c r="M48" s="5"/>
      <c r="N48" s="4" t="s">
        <v>107</v>
      </c>
      <c r="O48" s="45">
        <v>226</v>
      </c>
      <c r="P48" s="4" t="s">
        <v>13</v>
      </c>
      <c r="Q48" s="45">
        <v>226</v>
      </c>
      <c r="R48" s="4" t="s">
        <v>8</v>
      </c>
      <c r="S48" s="5">
        <v>1</v>
      </c>
      <c r="T48" s="4" t="s">
        <v>114</v>
      </c>
      <c r="U48" s="5"/>
      <c r="V48" s="5">
        <v>641</v>
      </c>
      <c r="W48" s="4" t="s">
        <v>109</v>
      </c>
      <c r="X48" s="45">
        <v>226</v>
      </c>
      <c r="Y48" s="4" t="s">
        <v>13</v>
      </c>
      <c r="Z48" s="5"/>
      <c r="AA48" s="5">
        <v>1000000</v>
      </c>
      <c r="AB48" s="5">
        <v>1000000</v>
      </c>
      <c r="AC48" s="5">
        <v>0</v>
      </c>
      <c r="AD48" s="5">
        <v>1000000</v>
      </c>
      <c r="AE48" s="5">
        <v>0</v>
      </c>
      <c r="AF48" s="5">
        <v>1000000</v>
      </c>
      <c r="AG48" s="5"/>
    </row>
    <row r="49" spans="1:33" ht="63.75" x14ac:dyDescent="0.25">
      <c r="A49" s="4" t="s">
        <v>14</v>
      </c>
      <c r="B49" s="4" t="s">
        <v>103</v>
      </c>
      <c r="C49" s="4" t="s">
        <v>103</v>
      </c>
      <c r="D49" s="4" t="s">
        <v>104</v>
      </c>
      <c r="E49" s="4" t="s">
        <v>111</v>
      </c>
      <c r="F49" s="4" t="s">
        <v>112</v>
      </c>
      <c r="G49" s="4" t="s">
        <v>113</v>
      </c>
      <c r="H49" s="4" t="s">
        <v>103</v>
      </c>
      <c r="I49" s="4" t="s">
        <v>432</v>
      </c>
      <c r="J49" s="5"/>
      <c r="K49" s="5"/>
      <c r="L49" s="4" t="s">
        <v>433</v>
      </c>
      <c r="M49" s="5"/>
      <c r="N49" s="4" t="s">
        <v>107</v>
      </c>
      <c r="O49" s="45">
        <v>44699</v>
      </c>
      <c r="P49" s="4" t="s">
        <v>457</v>
      </c>
      <c r="Q49" s="45">
        <v>44699</v>
      </c>
      <c r="R49" s="4" t="s">
        <v>8</v>
      </c>
      <c r="S49" s="5">
        <v>1</v>
      </c>
      <c r="T49" s="4" t="s">
        <v>108</v>
      </c>
      <c r="U49" s="5"/>
      <c r="V49" s="5">
        <v>219</v>
      </c>
      <c r="W49" s="4" t="s">
        <v>109</v>
      </c>
      <c r="X49" s="45">
        <v>44699</v>
      </c>
      <c r="Y49" s="4" t="s">
        <v>457</v>
      </c>
      <c r="Z49" s="4"/>
      <c r="AA49" s="5">
        <v>1000000</v>
      </c>
      <c r="AB49" s="5">
        <v>1000000</v>
      </c>
      <c r="AC49" s="5">
        <v>0</v>
      </c>
      <c r="AD49" s="5">
        <v>1000000</v>
      </c>
      <c r="AE49" s="5">
        <v>0</v>
      </c>
      <c r="AF49" s="5">
        <v>1000000</v>
      </c>
      <c r="AG49" s="5"/>
    </row>
    <row r="50" spans="1:33" ht="63.75" x14ac:dyDescent="0.25">
      <c r="A50" s="4" t="s">
        <v>14</v>
      </c>
      <c r="B50" s="4" t="s">
        <v>103</v>
      </c>
      <c r="C50" s="4" t="s">
        <v>103</v>
      </c>
      <c r="D50" s="4" t="s">
        <v>104</v>
      </c>
      <c r="E50" s="4" t="s">
        <v>111</v>
      </c>
      <c r="F50" s="4" t="s">
        <v>112</v>
      </c>
      <c r="G50" s="4" t="s">
        <v>113</v>
      </c>
      <c r="H50" s="4" t="s">
        <v>103</v>
      </c>
      <c r="I50" s="4" t="s">
        <v>432</v>
      </c>
      <c r="J50" s="5"/>
      <c r="K50" s="5"/>
      <c r="L50" s="4" t="s">
        <v>433</v>
      </c>
      <c r="M50" s="5"/>
      <c r="N50" s="4" t="s">
        <v>107</v>
      </c>
      <c r="O50" s="45">
        <v>44699</v>
      </c>
      <c r="P50" s="4" t="s">
        <v>458</v>
      </c>
      <c r="Q50" s="45">
        <v>44699</v>
      </c>
      <c r="R50" s="4" t="s">
        <v>8</v>
      </c>
      <c r="S50" s="5">
        <v>1</v>
      </c>
      <c r="T50" s="4" t="s">
        <v>108</v>
      </c>
      <c r="U50" s="5"/>
      <c r="V50" s="5">
        <v>57</v>
      </c>
      <c r="W50" s="4" t="s">
        <v>109</v>
      </c>
      <c r="X50" s="45">
        <v>44699</v>
      </c>
      <c r="Y50" s="4" t="s">
        <v>458</v>
      </c>
      <c r="Z50" s="4"/>
      <c r="AA50" s="5">
        <v>1000000</v>
      </c>
      <c r="AB50" s="5">
        <v>1000000</v>
      </c>
      <c r="AC50" s="5">
        <v>0</v>
      </c>
      <c r="AD50" s="5">
        <v>1000000</v>
      </c>
      <c r="AE50" s="5">
        <v>0</v>
      </c>
      <c r="AF50" s="5">
        <v>1000000</v>
      </c>
      <c r="AG50" s="5"/>
    </row>
    <row r="51" spans="1:33" ht="63.75" x14ac:dyDescent="0.25">
      <c r="A51" s="4" t="s">
        <v>14</v>
      </c>
      <c r="B51" s="4" t="s">
        <v>103</v>
      </c>
      <c r="C51" s="4" t="s">
        <v>103</v>
      </c>
      <c r="D51" s="4" t="s">
        <v>104</v>
      </c>
      <c r="E51" s="4" t="s">
        <v>111</v>
      </c>
      <c r="F51" s="4" t="s">
        <v>112</v>
      </c>
      <c r="G51" s="4" t="s">
        <v>113</v>
      </c>
      <c r="H51" s="4" t="s">
        <v>103</v>
      </c>
      <c r="I51" s="4" t="s">
        <v>432</v>
      </c>
      <c r="J51" s="5"/>
      <c r="K51" s="5"/>
      <c r="L51" s="4" t="s">
        <v>433</v>
      </c>
      <c r="M51" s="5"/>
      <c r="N51" s="4" t="s">
        <v>107</v>
      </c>
      <c r="O51" s="45">
        <v>44699</v>
      </c>
      <c r="P51" s="4" t="s">
        <v>459</v>
      </c>
      <c r="Q51" s="45">
        <v>44699</v>
      </c>
      <c r="R51" s="4" t="s">
        <v>8</v>
      </c>
      <c r="S51" s="5">
        <v>1</v>
      </c>
      <c r="T51" s="4" t="s">
        <v>108</v>
      </c>
      <c r="U51" s="5"/>
      <c r="V51" s="5">
        <v>55</v>
      </c>
      <c r="W51" s="4" t="s">
        <v>109</v>
      </c>
      <c r="X51" s="45">
        <v>44699</v>
      </c>
      <c r="Y51" s="4" t="s">
        <v>459</v>
      </c>
      <c r="Z51" s="4"/>
      <c r="AA51" s="5">
        <v>1000000</v>
      </c>
      <c r="AB51" s="5">
        <v>1000000</v>
      </c>
      <c r="AC51" s="5">
        <v>0</v>
      </c>
      <c r="AD51" s="5">
        <v>1000000</v>
      </c>
      <c r="AE51" s="5">
        <v>0</v>
      </c>
      <c r="AF51" s="5">
        <v>1000000</v>
      </c>
      <c r="AG51" s="5"/>
    </row>
    <row r="52" spans="1:33" ht="63.75" x14ac:dyDescent="0.25">
      <c r="A52" s="4" t="s">
        <v>14</v>
      </c>
      <c r="B52" s="4" t="s">
        <v>103</v>
      </c>
      <c r="C52" s="4" t="s">
        <v>103</v>
      </c>
      <c r="D52" s="4" t="s">
        <v>104</v>
      </c>
      <c r="E52" s="4" t="s">
        <v>111</v>
      </c>
      <c r="F52" s="4" t="s">
        <v>112</v>
      </c>
      <c r="G52" s="4" t="s">
        <v>113</v>
      </c>
      <c r="H52" s="4" t="s">
        <v>103</v>
      </c>
      <c r="I52" s="4" t="s">
        <v>432</v>
      </c>
      <c r="J52" s="5"/>
      <c r="K52" s="5"/>
      <c r="L52" s="4" t="s">
        <v>433</v>
      </c>
      <c r="M52" s="5"/>
      <c r="N52" s="4" t="s">
        <v>107</v>
      </c>
      <c r="O52" s="45">
        <v>44699</v>
      </c>
      <c r="P52" s="4" t="s">
        <v>460</v>
      </c>
      <c r="Q52" s="45">
        <v>44699</v>
      </c>
      <c r="R52" s="4" t="s">
        <v>8</v>
      </c>
      <c r="S52" s="5">
        <v>1</v>
      </c>
      <c r="T52" s="4" t="s">
        <v>108</v>
      </c>
      <c r="U52" s="5"/>
      <c r="V52" s="5">
        <v>55</v>
      </c>
      <c r="W52" s="4" t="s">
        <v>109</v>
      </c>
      <c r="X52" s="45">
        <v>44699</v>
      </c>
      <c r="Y52" s="4" t="s">
        <v>460</v>
      </c>
      <c r="Z52" s="4"/>
      <c r="AA52" s="5">
        <v>1000000</v>
      </c>
      <c r="AB52" s="5">
        <v>1000000</v>
      </c>
      <c r="AC52" s="5">
        <v>0</v>
      </c>
      <c r="AD52" s="5">
        <v>1000000</v>
      </c>
      <c r="AE52" s="5">
        <v>0</v>
      </c>
      <c r="AF52" s="5">
        <v>1000000</v>
      </c>
      <c r="AG52" s="5"/>
    </row>
    <row r="53" spans="1:33" ht="63.75" x14ac:dyDescent="0.25">
      <c r="A53" s="4" t="s">
        <v>14</v>
      </c>
      <c r="B53" s="4" t="s">
        <v>103</v>
      </c>
      <c r="C53" s="4" t="s">
        <v>103</v>
      </c>
      <c r="D53" s="4" t="s">
        <v>104</v>
      </c>
      <c r="E53" s="4" t="s">
        <v>111</v>
      </c>
      <c r="F53" s="4" t="s">
        <v>112</v>
      </c>
      <c r="G53" s="4" t="s">
        <v>113</v>
      </c>
      <c r="H53" s="4" t="s">
        <v>103</v>
      </c>
      <c r="I53" s="4" t="s">
        <v>432</v>
      </c>
      <c r="J53" s="5"/>
      <c r="K53" s="5"/>
      <c r="L53" s="4" t="s">
        <v>433</v>
      </c>
      <c r="M53" s="5"/>
      <c r="N53" s="4" t="s">
        <v>107</v>
      </c>
      <c r="O53" s="45">
        <v>44699</v>
      </c>
      <c r="P53" s="4" t="s">
        <v>461</v>
      </c>
      <c r="Q53" s="45">
        <v>44699</v>
      </c>
      <c r="R53" s="4" t="s">
        <v>8</v>
      </c>
      <c r="S53" s="5">
        <v>1</v>
      </c>
      <c r="T53" s="4" t="s">
        <v>108</v>
      </c>
      <c r="U53" s="5"/>
      <c r="V53" s="5">
        <v>53</v>
      </c>
      <c r="W53" s="4" t="s">
        <v>109</v>
      </c>
      <c r="X53" s="45">
        <v>44699</v>
      </c>
      <c r="Y53" s="4" t="s">
        <v>461</v>
      </c>
      <c r="Z53" s="4"/>
      <c r="AA53" s="5">
        <v>1000000</v>
      </c>
      <c r="AB53" s="5">
        <v>1000000</v>
      </c>
      <c r="AC53" s="5">
        <v>0</v>
      </c>
      <c r="AD53" s="5">
        <v>1000000</v>
      </c>
      <c r="AE53" s="5">
        <v>0</v>
      </c>
      <c r="AF53" s="5">
        <v>1000000</v>
      </c>
      <c r="AG53" s="5"/>
    </row>
    <row r="54" spans="1:33" ht="63.75" x14ac:dyDescent="0.25">
      <c r="A54" s="4" t="s">
        <v>14</v>
      </c>
      <c r="B54" s="4" t="s">
        <v>103</v>
      </c>
      <c r="C54" s="4" t="s">
        <v>103</v>
      </c>
      <c r="D54" s="4" t="s">
        <v>104</v>
      </c>
      <c r="E54" s="4" t="s">
        <v>111</v>
      </c>
      <c r="F54" s="4" t="s">
        <v>112</v>
      </c>
      <c r="G54" s="4" t="s">
        <v>113</v>
      </c>
      <c r="H54" s="4" t="s">
        <v>103</v>
      </c>
      <c r="I54" s="4" t="s">
        <v>432</v>
      </c>
      <c r="J54" s="5"/>
      <c r="K54" s="5"/>
      <c r="L54" s="4" t="s">
        <v>433</v>
      </c>
      <c r="M54" s="5"/>
      <c r="N54" s="4" t="s">
        <v>107</v>
      </c>
      <c r="O54" s="45">
        <v>44699</v>
      </c>
      <c r="P54" s="4" t="s">
        <v>462</v>
      </c>
      <c r="Q54" s="45">
        <v>44699</v>
      </c>
      <c r="R54" s="4" t="s">
        <v>8</v>
      </c>
      <c r="S54" s="5">
        <v>1</v>
      </c>
      <c r="T54" s="4" t="s">
        <v>108</v>
      </c>
      <c r="U54" s="5"/>
      <c r="V54" s="5">
        <v>52</v>
      </c>
      <c r="W54" s="4" t="s">
        <v>109</v>
      </c>
      <c r="X54" s="45">
        <v>44699</v>
      </c>
      <c r="Y54" s="4" t="s">
        <v>462</v>
      </c>
      <c r="Z54" s="4"/>
      <c r="AA54" s="5">
        <v>1000000</v>
      </c>
      <c r="AB54" s="5">
        <v>1000000</v>
      </c>
      <c r="AC54" s="5">
        <v>0</v>
      </c>
      <c r="AD54" s="5">
        <v>1000000</v>
      </c>
      <c r="AE54" s="5">
        <v>0</v>
      </c>
      <c r="AF54" s="5">
        <v>1000000</v>
      </c>
      <c r="AG54" s="5"/>
    </row>
    <row r="55" spans="1:33" ht="63.75" x14ac:dyDescent="0.25">
      <c r="A55" s="4" t="s">
        <v>14</v>
      </c>
      <c r="B55" s="4" t="s">
        <v>103</v>
      </c>
      <c r="C55" s="4" t="s">
        <v>103</v>
      </c>
      <c r="D55" s="4" t="s">
        <v>104</v>
      </c>
      <c r="E55" s="4" t="s">
        <v>111</v>
      </c>
      <c r="F55" s="4" t="s">
        <v>112</v>
      </c>
      <c r="G55" s="4" t="s">
        <v>113</v>
      </c>
      <c r="H55" s="4" t="s">
        <v>103</v>
      </c>
      <c r="I55" s="4" t="s">
        <v>432</v>
      </c>
      <c r="J55" s="5"/>
      <c r="K55" s="5"/>
      <c r="L55" s="4" t="s">
        <v>433</v>
      </c>
      <c r="M55" s="5"/>
      <c r="N55" s="4" t="s">
        <v>107</v>
      </c>
      <c r="O55" s="45">
        <v>44699</v>
      </c>
      <c r="P55" s="4" t="s">
        <v>463</v>
      </c>
      <c r="Q55" s="45">
        <v>44699</v>
      </c>
      <c r="R55" s="4" t="s">
        <v>8</v>
      </c>
      <c r="S55" s="5">
        <v>1</v>
      </c>
      <c r="T55" s="4" t="s">
        <v>108</v>
      </c>
      <c r="U55" s="5"/>
      <c r="V55" s="5">
        <v>51</v>
      </c>
      <c r="W55" s="4" t="s">
        <v>109</v>
      </c>
      <c r="X55" s="45">
        <v>44699</v>
      </c>
      <c r="Y55" s="4" t="s">
        <v>463</v>
      </c>
      <c r="Z55" s="4"/>
      <c r="AA55" s="5">
        <v>1000000</v>
      </c>
      <c r="AB55" s="5">
        <v>1000000</v>
      </c>
      <c r="AC55" s="5">
        <v>0</v>
      </c>
      <c r="AD55" s="5">
        <v>1000000</v>
      </c>
      <c r="AE55" s="5">
        <v>0</v>
      </c>
      <c r="AF55" s="5">
        <v>1000000</v>
      </c>
      <c r="AG55" s="5"/>
    </row>
    <row r="56" spans="1:33" ht="63.75" x14ac:dyDescent="0.25">
      <c r="A56" s="4" t="s">
        <v>14</v>
      </c>
      <c r="B56" s="4" t="s">
        <v>103</v>
      </c>
      <c r="C56" s="4" t="s">
        <v>103</v>
      </c>
      <c r="D56" s="4" t="s">
        <v>104</v>
      </c>
      <c r="E56" s="4" t="s">
        <v>111</v>
      </c>
      <c r="F56" s="4" t="s">
        <v>112</v>
      </c>
      <c r="G56" s="4" t="s">
        <v>113</v>
      </c>
      <c r="H56" s="4" t="s">
        <v>103</v>
      </c>
      <c r="I56" s="4" t="s">
        <v>432</v>
      </c>
      <c r="J56" s="5"/>
      <c r="K56" s="5"/>
      <c r="L56" s="4" t="s">
        <v>433</v>
      </c>
      <c r="M56" s="5"/>
      <c r="N56" s="4" t="s">
        <v>107</v>
      </c>
      <c r="O56" s="45">
        <v>44699</v>
      </c>
      <c r="P56" s="4" t="s">
        <v>464</v>
      </c>
      <c r="Q56" s="45">
        <v>44699</v>
      </c>
      <c r="R56" s="4" t="s">
        <v>8</v>
      </c>
      <c r="S56" s="5">
        <v>1</v>
      </c>
      <c r="T56" s="4" t="s">
        <v>108</v>
      </c>
      <c r="U56" s="5"/>
      <c r="V56" s="5">
        <v>50</v>
      </c>
      <c r="W56" s="4" t="s">
        <v>109</v>
      </c>
      <c r="X56" s="45">
        <v>44699</v>
      </c>
      <c r="Y56" s="4" t="s">
        <v>464</v>
      </c>
      <c r="Z56" s="4"/>
      <c r="AA56" s="5">
        <v>1000000</v>
      </c>
      <c r="AB56" s="5">
        <v>1000000</v>
      </c>
      <c r="AC56" s="5">
        <v>0</v>
      </c>
      <c r="AD56" s="5">
        <v>1000000</v>
      </c>
      <c r="AE56" s="5">
        <v>0</v>
      </c>
      <c r="AF56" s="5">
        <v>1000000</v>
      </c>
      <c r="AG56" s="5"/>
    </row>
    <row r="57" spans="1:33" ht="63.75" x14ac:dyDescent="0.25">
      <c r="A57" s="4" t="s">
        <v>14</v>
      </c>
      <c r="B57" s="4" t="s">
        <v>103</v>
      </c>
      <c r="C57" s="4" t="s">
        <v>103</v>
      </c>
      <c r="D57" s="4" t="s">
        <v>104</v>
      </c>
      <c r="E57" s="4" t="s">
        <v>111</v>
      </c>
      <c r="F57" s="4" t="s">
        <v>112</v>
      </c>
      <c r="G57" s="4" t="s">
        <v>113</v>
      </c>
      <c r="H57" s="4" t="s">
        <v>103</v>
      </c>
      <c r="I57" s="4" t="s">
        <v>432</v>
      </c>
      <c r="J57" s="5"/>
      <c r="K57" s="5"/>
      <c r="L57" s="4" t="s">
        <v>433</v>
      </c>
      <c r="M57" s="5"/>
      <c r="N57" s="4" t="s">
        <v>107</v>
      </c>
      <c r="O57" s="45">
        <v>44699</v>
      </c>
      <c r="P57" s="4" t="s">
        <v>465</v>
      </c>
      <c r="Q57" s="45">
        <v>44699</v>
      </c>
      <c r="R57" s="4" t="s">
        <v>8</v>
      </c>
      <c r="S57" s="5">
        <v>1</v>
      </c>
      <c r="T57" s="4" t="s">
        <v>108</v>
      </c>
      <c r="U57" s="5"/>
      <c r="V57" s="5">
        <v>49</v>
      </c>
      <c r="W57" s="4" t="s">
        <v>109</v>
      </c>
      <c r="X57" s="45">
        <v>44699</v>
      </c>
      <c r="Y57" s="4" t="s">
        <v>465</v>
      </c>
      <c r="Z57" s="4"/>
      <c r="AA57" s="5">
        <v>1000000</v>
      </c>
      <c r="AB57" s="5">
        <v>1000000</v>
      </c>
      <c r="AC57" s="5">
        <v>0</v>
      </c>
      <c r="AD57" s="5">
        <v>1000000</v>
      </c>
      <c r="AE57" s="5">
        <v>0</v>
      </c>
      <c r="AF57" s="5">
        <v>1000000</v>
      </c>
      <c r="AG57" s="5"/>
    </row>
    <row r="58" spans="1:33" ht="63.75" x14ac:dyDescent="0.25">
      <c r="A58" s="4" t="s">
        <v>14</v>
      </c>
      <c r="B58" s="4" t="s">
        <v>103</v>
      </c>
      <c r="C58" s="4" t="s">
        <v>103</v>
      </c>
      <c r="D58" s="4" t="s">
        <v>104</v>
      </c>
      <c r="E58" s="4" t="s">
        <v>111</v>
      </c>
      <c r="F58" s="4" t="s">
        <v>112</v>
      </c>
      <c r="G58" s="4" t="s">
        <v>113</v>
      </c>
      <c r="H58" s="4" t="s">
        <v>103</v>
      </c>
      <c r="I58" s="4" t="s">
        <v>432</v>
      </c>
      <c r="J58" s="5"/>
      <c r="K58" s="5"/>
      <c r="L58" s="4" t="s">
        <v>433</v>
      </c>
      <c r="M58" s="5"/>
      <c r="N58" s="4" t="s">
        <v>107</v>
      </c>
      <c r="O58" s="45">
        <v>44699</v>
      </c>
      <c r="P58" s="4" t="s">
        <v>466</v>
      </c>
      <c r="Q58" s="45">
        <v>44699</v>
      </c>
      <c r="R58" s="4" t="s">
        <v>8</v>
      </c>
      <c r="S58" s="5">
        <v>1</v>
      </c>
      <c r="T58" s="4" t="s">
        <v>108</v>
      </c>
      <c r="U58" s="5"/>
      <c r="V58" s="5">
        <v>48</v>
      </c>
      <c r="W58" s="4" t="s">
        <v>109</v>
      </c>
      <c r="X58" s="45">
        <v>44699</v>
      </c>
      <c r="Y58" s="4" t="s">
        <v>466</v>
      </c>
      <c r="Z58" s="4"/>
      <c r="AA58" s="5">
        <v>1000000</v>
      </c>
      <c r="AB58" s="5">
        <v>1000000</v>
      </c>
      <c r="AC58" s="5">
        <v>0</v>
      </c>
      <c r="AD58" s="5">
        <v>1000000</v>
      </c>
      <c r="AE58" s="5">
        <v>0</v>
      </c>
      <c r="AF58" s="5">
        <v>1000000</v>
      </c>
      <c r="AG58" s="5"/>
    </row>
    <row r="59" spans="1:33" ht="63.75" x14ac:dyDescent="0.25">
      <c r="A59" s="4" t="s">
        <v>14</v>
      </c>
      <c r="B59" s="4" t="s">
        <v>103</v>
      </c>
      <c r="C59" s="4" t="s">
        <v>103</v>
      </c>
      <c r="D59" s="4" t="s">
        <v>104</v>
      </c>
      <c r="E59" s="4" t="s">
        <v>111</v>
      </c>
      <c r="F59" s="4" t="s">
        <v>112</v>
      </c>
      <c r="G59" s="4" t="s">
        <v>113</v>
      </c>
      <c r="H59" s="4" t="s">
        <v>103</v>
      </c>
      <c r="I59" s="4" t="s">
        <v>432</v>
      </c>
      <c r="J59" s="5"/>
      <c r="K59" s="5"/>
      <c r="L59" s="4" t="s">
        <v>433</v>
      </c>
      <c r="M59" s="5"/>
      <c r="N59" s="4" t="s">
        <v>107</v>
      </c>
      <c r="O59" s="45">
        <v>44699</v>
      </c>
      <c r="P59" s="4" t="s">
        <v>467</v>
      </c>
      <c r="Q59" s="45">
        <v>44699</v>
      </c>
      <c r="R59" s="4" t="s">
        <v>8</v>
      </c>
      <c r="S59" s="5">
        <v>1</v>
      </c>
      <c r="T59" s="4" t="s">
        <v>108</v>
      </c>
      <c r="U59" s="5"/>
      <c r="V59" s="5">
        <v>48</v>
      </c>
      <c r="W59" s="4" t="s">
        <v>109</v>
      </c>
      <c r="X59" s="45">
        <v>44699</v>
      </c>
      <c r="Y59" s="4" t="s">
        <v>467</v>
      </c>
      <c r="Z59" s="4"/>
      <c r="AA59" s="5">
        <v>1000000</v>
      </c>
      <c r="AB59" s="5">
        <v>1000000</v>
      </c>
      <c r="AC59" s="5">
        <v>0</v>
      </c>
      <c r="AD59" s="5">
        <v>1000000</v>
      </c>
      <c r="AE59" s="5">
        <v>0</v>
      </c>
      <c r="AF59" s="5">
        <v>1000000</v>
      </c>
      <c r="AG59" s="5"/>
    </row>
    <row r="60" spans="1:33" ht="63.75" x14ac:dyDescent="0.25">
      <c r="A60" s="4" t="s">
        <v>14</v>
      </c>
      <c r="B60" s="4" t="s">
        <v>103</v>
      </c>
      <c r="C60" s="4" t="s">
        <v>103</v>
      </c>
      <c r="D60" s="4" t="s">
        <v>104</v>
      </c>
      <c r="E60" s="4" t="s">
        <v>111</v>
      </c>
      <c r="F60" s="4" t="s">
        <v>112</v>
      </c>
      <c r="G60" s="4" t="s">
        <v>113</v>
      </c>
      <c r="H60" s="4" t="s">
        <v>103</v>
      </c>
      <c r="I60" s="4" t="s">
        <v>432</v>
      </c>
      <c r="J60" s="5"/>
      <c r="K60" s="5"/>
      <c r="L60" s="4" t="s">
        <v>433</v>
      </c>
      <c r="M60" s="5"/>
      <c r="N60" s="4" t="s">
        <v>107</v>
      </c>
      <c r="O60" s="45">
        <v>44699</v>
      </c>
      <c r="P60" s="4" t="s">
        <v>468</v>
      </c>
      <c r="Q60" s="45">
        <v>44699</v>
      </c>
      <c r="R60" s="4" t="s">
        <v>8</v>
      </c>
      <c r="S60" s="5">
        <v>1</v>
      </c>
      <c r="T60" s="4" t="s">
        <v>108</v>
      </c>
      <c r="U60" s="5"/>
      <c r="V60" s="5">
        <v>48</v>
      </c>
      <c r="W60" s="4" t="s">
        <v>109</v>
      </c>
      <c r="X60" s="45">
        <v>44699</v>
      </c>
      <c r="Y60" s="4" t="s">
        <v>468</v>
      </c>
      <c r="Z60" s="4"/>
      <c r="AA60" s="5">
        <v>1000000</v>
      </c>
      <c r="AB60" s="5">
        <v>1000000</v>
      </c>
      <c r="AC60" s="5">
        <v>0</v>
      </c>
      <c r="AD60" s="5">
        <v>1000000</v>
      </c>
      <c r="AE60" s="5">
        <v>0</v>
      </c>
      <c r="AF60" s="5">
        <v>1000000</v>
      </c>
      <c r="AG60" s="5"/>
    </row>
    <row r="61" spans="1:33" ht="63.75" x14ac:dyDescent="0.25">
      <c r="A61" s="4" t="s">
        <v>14</v>
      </c>
      <c r="B61" s="4" t="s">
        <v>103</v>
      </c>
      <c r="C61" s="4" t="s">
        <v>103</v>
      </c>
      <c r="D61" s="4" t="s">
        <v>104</v>
      </c>
      <c r="E61" s="4" t="s">
        <v>111</v>
      </c>
      <c r="F61" s="4" t="s">
        <v>112</v>
      </c>
      <c r="G61" s="4" t="s">
        <v>113</v>
      </c>
      <c r="H61" s="4" t="s">
        <v>103</v>
      </c>
      <c r="I61" s="4" t="s">
        <v>432</v>
      </c>
      <c r="J61" s="5"/>
      <c r="K61" s="5"/>
      <c r="L61" s="4" t="s">
        <v>433</v>
      </c>
      <c r="M61" s="5"/>
      <c r="N61" s="4" t="s">
        <v>107</v>
      </c>
      <c r="O61" s="45">
        <v>44699</v>
      </c>
      <c r="P61" s="4" t="s">
        <v>469</v>
      </c>
      <c r="Q61" s="45">
        <v>44699</v>
      </c>
      <c r="R61" s="4" t="s">
        <v>8</v>
      </c>
      <c r="S61" s="5">
        <v>1</v>
      </c>
      <c r="T61" s="4" t="s">
        <v>108</v>
      </c>
      <c r="U61" s="5"/>
      <c r="V61" s="5">
        <v>47</v>
      </c>
      <c r="W61" s="4" t="s">
        <v>109</v>
      </c>
      <c r="X61" s="45">
        <v>44699</v>
      </c>
      <c r="Y61" s="4" t="s">
        <v>469</v>
      </c>
      <c r="Z61" s="4"/>
      <c r="AA61" s="5">
        <v>1000000</v>
      </c>
      <c r="AB61" s="5">
        <v>1000000</v>
      </c>
      <c r="AC61" s="5">
        <v>0</v>
      </c>
      <c r="AD61" s="5">
        <v>1000000</v>
      </c>
      <c r="AE61" s="5">
        <v>0</v>
      </c>
      <c r="AF61" s="5">
        <v>1000000</v>
      </c>
      <c r="AG61" s="5"/>
    </row>
    <row r="62" spans="1:33" ht="63.75" x14ac:dyDescent="0.25">
      <c r="A62" s="4" t="s">
        <v>14</v>
      </c>
      <c r="B62" s="4" t="s">
        <v>103</v>
      </c>
      <c r="C62" s="4" t="s">
        <v>103</v>
      </c>
      <c r="D62" s="4" t="s">
        <v>104</v>
      </c>
      <c r="E62" s="4" t="s">
        <v>111</v>
      </c>
      <c r="F62" s="4" t="s">
        <v>112</v>
      </c>
      <c r="G62" s="4" t="s">
        <v>113</v>
      </c>
      <c r="H62" s="4" t="s">
        <v>103</v>
      </c>
      <c r="I62" s="4" t="s">
        <v>432</v>
      </c>
      <c r="J62" s="5"/>
      <c r="K62" s="5"/>
      <c r="L62" s="4" t="s">
        <v>433</v>
      </c>
      <c r="M62" s="5"/>
      <c r="N62" s="4" t="s">
        <v>107</v>
      </c>
      <c r="O62" s="45">
        <v>44699</v>
      </c>
      <c r="P62" s="4" t="s">
        <v>209</v>
      </c>
      <c r="Q62" s="45">
        <v>44699</v>
      </c>
      <c r="R62" s="4" t="s">
        <v>8</v>
      </c>
      <c r="S62" s="5">
        <v>1</v>
      </c>
      <c r="T62" s="4" t="s">
        <v>108</v>
      </c>
      <c r="U62" s="5"/>
      <c r="V62" s="5">
        <v>42</v>
      </c>
      <c r="W62" s="4" t="s">
        <v>109</v>
      </c>
      <c r="X62" s="45">
        <v>44699</v>
      </c>
      <c r="Y62" s="4" t="s">
        <v>209</v>
      </c>
      <c r="Z62" s="4"/>
      <c r="AA62" s="5">
        <v>1000000</v>
      </c>
      <c r="AB62" s="5">
        <v>1000000</v>
      </c>
      <c r="AC62" s="5">
        <v>0</v>
      </c>
      <c r="AD62" s="5">
        <v>1000000</v>
      </c>
      <c r="AE62" s="5">
        <v>0</v>
      </c>
      <c r="AF62" s="5">
        <v>1000000</v>
      </c>
      <c r="AG62" s="5"/>
    </row>
    <row r="63" spans="1:33" ht="63.75" x14ac:dyDescent="0.25">
      <c r="A63" s="4" t="s">
        <v>14</v>
      </c>
      <c r="B63" s="4" t="s">
        <v>103</v>
      </c>
      <c r="C63" s="4" t="s">
        <v>103</v>
      </c>
      <c r="D63" s="4" t="s">
        <v>104</v>
      </c>
      <c r="E63" s="4" t="s">
        <v>111</v>
      </c>
      <c r="F63" s="4" t="s">
        <v>112</v>
      </c>
      <c r="G63" s="4" t="s">
        <v>113</v>
      </c>
      <c r="H63" s="4" t="s">
        <v>103</v>
      </c>
      <c r="I63" s="4" t="s">
        <v>432</v>
      </c>
      <c r="J63" s="5"/>
      <c r="K63" s="5"/>
      <c r="L63" s="4" t="s">
        <v>433</v>
      </c>
      <c r="M63" s="5"/>
      <c r="N63" s="4" t="s">
        <v>107</v>
      </c>
      <c r="O63" s="45">
        <v>44699</v>
      </c>
      <c r="P63" s="4" t="s">
        <v>211</v>
      </c>
      <c r="Q63" s="45">
        <v>44699</v>
      </c>
      <c r="R63" s="4" t="s">
        <v>8</v>
      </c>
      <c r="S63" s="5">
        <v>1</v>
      </c>
      <c r="T63" s="4" t="s">
        <v>108</v>
      </c>
      <c r="U63" s="5"/>
      <c r="V63" s="5">
        <v>41</v>
      </c>
      <c r="W63" s="4" t="s">
        <v>109</v>
      </c>
      <c r="X63" s="45">
        <v>44699</v>
      </c>
      <c r="Y63" s="4" t="s">
        <v>211</v>
      </c>
      <c r="Z63" s="4"/>
      <c r="AA63" s="5">
        <v>1000000</v>
      </c>
      <c r="AB63" s="5">
        <v>1000000</v>
      </c>
      <c r="AC63" s="5">
        <v>0</v>
      </c>
      <c r="AD63" s="5">
        <v>1000000</v>
      </c>
      <c r="AE63" s="5">
        <v>0</v>
      </c>
      <c r="AF63" s="5">
        <v>1000000</v>
      </c>
      <c r="AG63" s="5"/>
    </row>
    <row r="64" spans="1:33" ht="63.75" x14ac:dyDescent="0.25">
      <c r="A64" s="4" t="s">
        <v>14</v>
      </c>
      <c r="B64" s="4" t="s">
        <v>103</v>
      </c>
      <c r="C64" s="4" t="s">
        <v>103</v>
      </c>
      <c r="D64" s="4" t="s">
        <v>104</v>
      </c>
      <c r="E64" s="4" t="s">
        <v>111</v>
      </c>
      <c r="F64" s="4" t="s">
        <v>112</v>
      </c>
      <c r="G64" s="4" t="s">
        <v>113</v>
      </c>
      <c r="H64" s="4" t="s">
        <v>103</v>
      </c>
      <c r="I64" s="4" t="s">
        <v>432</v>
      </c>
      <c r="J64" s="5"/>
      <c r="K64" s="5"/>
      <c r="L64" s="4" t="s">
        <v>433</v>
      </c>
      <c r="M64" s="5"/>
      <c r="N64" s="4" t="s">
        <v>107</v>
      </c>
      <c r="O64" s="45">
        <v>44699</v>
      </c>
      <c r="P64" s="4" t="s">
        <v>212</v>
      </c>
      <c r="Q64" s="45">
        <v>44699</v>
      </c>
      <c r="R64" s="4" t="s">
        <v>8</v>
      </c>
      <c r="S64" s="5">
        <v>1</v>
      </c>
      <c r="T64" s="4" t="s">
        <v>108</v>
      </c>
      <c r="U64" s="5"/>
      <c r="V64" s="5">
        <v>41</v>
      </c>
      <c r="W64" s="4" t="s">
        <v>109</v>
      </c>
      <c r="X64" s="45">
        <v>44699</v>
      </c>
      <c r="Y64" s="4" t="s">
        <v>212</v>
      </c>
      <c r="Z64" s="4"/>
      <c r="AA64" s="5">
        <v>1000000</v>
      </c>
      <c r="AB64" s="5">
        <v>1000000</v>
      </c>
      <c r="AC64" s="5">
        <v>0</v>
      </c>
      <c r="AD64" s="5">
        <v>1000000</v>
      </c>
      <c r="AE64" s="5">
        <v>0</v>
      </c>
      <c r="AF64" s="5">
        <v>1000000</v>
      </c>
      <c r="AG64" s="5"/>
    </row>
    <row r="65" spans="1:33" ht="63.75" x14ac:dyDescent="0.25">
      <c r="A65" s="4" t="s">
        <v>14</v>
      </c>
      <c r="B65" s="4" t="s">
        <v>103</v>
      </c>
      <c r="C65" s="4" t="s">
        <v>103</v>
      </c>
      <c r="D65" s="4" t="s">
        <v>104</v>
      </c>
      <c r="E65" s="4" t="s">
        <v>111</v>
      </c>
      <c r="F65" s="4" t="s">
        <v>112</v>
      </c>
      <c r="G65" s="4" t="s">
        <v>113</v>
      </c>
      <c r="H65" s="4" t="s">
        <v>103</v>
      </c>
      <c r="I65" s="4" t="s">
        <v>432</v>
      </c>
      <c r="J65" s="5"/>
      <c r="K65" s="5"/>
      <c r="L65" s="4" t="s">
        <v>433</v>
      </c>
      <c r="M65" s="5"/>
      <c r="N65" s="4" t="s">
        <v>107</v>
      </c>
      <c r="O65" s="45">
        <v>44699</v>
      </c>
      <c r="P65" s="4" t="s">
        <v>215</v>
      </c>
      <c r="Q65" s="45">
        <v>44699</v>
      </c>
      <c r="R65" s="4" t="s">
        <v>8</v>
      </c>
      <c r="S65" s="5">
        <v>1</v>
      </c>
      <c r="T65" s="4" t="s">
        <v>108</v>
      </c>
      <c r="U65" s="5"/>
      <c r="V65" s="5">
        <v>40</v>
      </c>
      <c r="W65" s="4" t="s">
        <v>109</v>
      </c>
      <c r="X65" s="45">
        <v>44699</v>
      </c>
      <c r="Y65" s="4" t="s">
        <v>215</v>
      </c>
      <c r="Z65" s="4"/>
      <c r="AA65" s="5">
        <v>1000000</v>
      </c>
      <c r="AB65" s="5">
        <v>1000000</v>
      </c>
      <c r="AC65" s="5">
        <v>0</v>
      </c>
      <c r="AD65" s="5">
        <v>1000000</v>
      </c>
      <c r="AE65" s="5">
        <v>0</v>
      </c>
      <c r="AF65" s="5">
        <v>1000000</v>
      </c>
      <c r="AG65" s="5"/>
    </row>
    <row r="66" spans="1:33" ht="63.75" x14ac:dyDescent="0.25">
      <c r="A66" s="4" t="s">
        <v>14</v>
      </c>
      <c r="B66" s="4" t="s">
        <v>103</v>
      </c>
      <c r="C66" s="4" t="s">
        <v>103</v>
      </c>
      <c r="D66" s="4" t="s">
        <v>104</v>
      </c>
      <c r="E66" s="4" t="s">
        <v>111</v>
      </c>
      <c r="F66" s="4" t="s">
        <v>112</v>
      </c>
      <c r="G66" s="4" t="s">
        <v>113</v>
      </c>
      <c r="H66" s="4" t="s">
        <v>103</v>
      </c>
      <c r="I66" s="4" t="s">
        <v>432</v>
      </c>
      <c r="J66" s="5"/>
      <c r="K66" s="5"/>
      <c r="L66" s="4" t="s">
        <v>433</v>
      </c>
      <c r="M66" s="5"/>
      <c r="N66" s="4" t="s">
        <v>107</v>
      </c>
      <c r="O66" s="45">
        <v>44699</v>
      </c>
      <c r="P66" s="4" t="s">
        <v>219</v>
      </c>
      <c r="Q66" s="45">
        <v>44699</v>
      </c>
      <c r="R66" s="4" t="s">
        <v>8</v>
      </c>
      <c r="S66" s="5">
        <v>1</v>
      </c>
      <c r="T66" s="4" t="s">
        <v>108</v>
      </c>
      <c r="U66" s="5"/>
      <c r="V66" s="5">
        <v>38</v>
      </c>
      <c r="W66" s="4" t="s">
        <v>109</v>
      </c>
      <c r="X66" s="45">
        <v>44699</v>
      </c>
      <c r="Y66" s="4" t="s">
        <v>219</v>
      </c>
      <c r="Z66" s="4"/>
      <c r="AA66" s="5">
        <v>1000000</v>
      </c>
      <c r="AB66" s="5">
        <v>1000000</v>
      </c>
      <c r="AC66" s="5">
        <v>0</v>
      </c>
      <c r="AD66" s="5">
        <v>1000000</v>
      </c>
      <c r="AE66" s="5">
        <v>0</v>
      </c>
      <c r="AF66" s="5">
        <v>1000000</v>
      </c>
      <c r="AG66" s="5"/>
    </row>
    <row r="67" spans="1:33" ht="63.75" x14ac:dyDescent="0.25">
      <c r="A67" s="4" t="s">
        <v>14</v>
      </c>
      <c r="B67" s="4" t="s">
        <v>103</v>
      </c>
      <c r="C67" s="4" t="s">
        <v>103</v>
      </c>
      <c r="D67" s="4" t="s">
        <v>104</v>
      </c>
      <c r="E67" s="4" t="s">
        <v>111</v>
      </c>
      <c r="F67" s="4" t="s">
        <v>112</v>
      </c>
      <c r="G67" s="4" t="s">
        <v>113</v>
      </c>
      <c r="H67" s="4" t="s">
        <v>103</v>
      </c>
      <c r="I67" s="4" t="s">
        <v>432</v>
      </c>
      <c r="J67" s="5"/>
      <c r="K67" s="5"/>
      <c r="L67" s="4" t="s">
        <v>433</v>
      </c>
      <c r="M67" s="5"/>
      <c r="N67" s="4" t="s">
        <v>107</v>
      </c>
      <c r="O67" s="45">
        <v>44699</v>
      </c>
      <c r="P67" s="4" t="s">
        <v>220</v>
      </c>
      <c r="Q67" s="45">
        <v>44699</v>
      </c>
      <c r="R67" s="4" t="s">
        <v>8</v>
      </c>
      <c r="S67" s="5">
        <v>1</v>
      </c>
      <c r="T67" s="4" t="s">
        <v>108</v>
      </c>
      <c r="U67" s="5"/>
      <c r="V67" s="5">
        <v>37</v>
      </c>
      <c r="W67" s="4" t="s">
        <v>109</v>
      </c>
      <c r="X67" s="45">
        <v>44699</v>
      </c>
      <c r="Y67" s="4" t="s">
        <v>220</v>
      </c>
      <c r="Z67" s="4"/>
      <c r="AA67" s="5">
        <v>1000000</v>
      </c>
      <c r="AB67" s="5">
        <v>1000000</v>
      </c>
      <c r="AC67" s="5">
        <v>0</v>
      </c>
      <c r="AD67" s="5">
        <v>1000000</v>
      </c>
      <c r="AE67" s="5">
        <v>0</v>
      </c>
      <c r="AF67" s="5">
        <v>1000000</v>
      </c>
      <c r="AG67" s="5"/>
    </row>
    <row r="68" spans="1:33" ht="63.75" x14ac:dyDescent="0.25">
      <c r="A68" s="4" t="s">
        <v>14</v>
      </c>
      <c r="B68" s="4" t="s">
        <v>103</v>
      </c>
      <c r="C68" s="4" t="s">
        <v>103</v>
      </c>
      <c r="D68" s="4" t="s">
        <v>104</v>
      </c>
      <c r="E68" s="4" t="s">
        <v>111</v>
      </c>
      <c r="F68" s="4" t="s">
        <v>112</v>
      </c>
      <c r="G68" s="4" t="s">
        <v>113</v>
      </c>
      <c r="H68" s="4" t="s">
        <v>103</v>
      </c>
      <c r="I68" s="4" t="s">
        <v>432</v>
      </c>
      <c r="J68" s="5"/>
      <c r="K68" s="5"/>
      <c r="L68" s="4" t="s">
        <v>433</v>
      </c>
      <c r="M68" s="5"/>
      <c r="N68" s="4" t="s">
        <v>107</v>
      </c>
      <c r="O68" s="45">
        <v>44699</v>
      </c>
      <c r="P68" s="4" t="s">
        <v>221</v>
      </c>
      <c r="Q68" s="45">
        <v>44699</v>
      </c>
      <c r="R68" s="4" t="s">
        <v>8</v>
      </c>
      <c r="S68" s="5">
        <v>1</v>
      </c>
      <c r="T68" s="4" t="s">
        <v>108</v>
      </c>
      <c r="U68" s="5"/>
      <c r="V68" s="5">
        <v>37</v>
      </c>
      <c r="W68" s="4" t="s">
        <v>109</v>
      </c>
      <c r="X68" s="45">
        <v>44699</v>
      </c>
      <c r="Y68" s="4" t="s">
        <v>221</v>
      </c>
      <c r="Z68" s="4"/>
      <c r="AA68" s="5">
        <v>1000000</v>
      </c>
      <c r="AB68" s="5">
        <v>1000000</v>
      </c>
      <c r="AC68" s="5">
        <v>0</v>
      </c>
      <c r="AD68" s="5">
        <v>1000000</v>
      </c>
      <c r="AE68" s="5">
        <v>0</v>
      </c>
      <c r="AF68" s="5">
        <v>1000000</v>
      </c>
      <c r="AG68" s="5"/>
    </row>
    <row r="69" spans="1:33" ht="63.75" x14ac:dyDescent="0.25">
      <c r="A69" s="4" t="s">
        <v>14</v>
      </c>
      <c r="B69" s="4" t="s">
        <v>103</v>
      </c>
      <c r="C69" s="4" t="s">
        <v>103</v>
      </c>
      <c r="D69" s="4" t="s">
        <v>104</v>
      </c>
      <c r="E69" s="4" t="s">
        <v>111</v>
      </c>
      <c r="F69" s="4" t="s">
        <v>112</v>
      </c>
      <c r="G69" s="4" t="s">
        <v>113</v>
      </c>
      <c r="H69" s="4" t="s">
        <v>103</v>
      </c>
      <c r="I69" s="4" t="s">
        <v>432</v>
      </c>
      <c r="J69" s="5"/>
      <c r="K69" s="5"/>
      <c r="L69" s="4" t="s">
        <v>433</v>
      </c>
      <c r="M69" s="5"/>
      <c r="N69" s="4" t="s">
        <v>107</v>
      </c>
      <c r="O69" s="45">
        <v>44699</v>
      </c>
      <c r="P69" s="4" t="s">
        <v>235</v>
      </c>
      <c r="Q69" s="45">
        <v>44699</v>
      </c>
      <c r="R69" s="4" t="s">
        <v>8</v>
      </c>
      <c r="S69" s="5">
        <v>1</v>
      </c>
      <c r="T69" s="4" t="s">
        <v>108</v>
      </c>
      <c r="U69" s="5"/>
      <c r="V69" s="5">
        <v>34</v>
      </c>
      <c r="W69" s="4" t="s">
        <v>109</v>
      </c>
      <c r="X69" s="45">
        <v>44699</v>
      </c>
      <c r="Y69" s="4" t="s">
        <v>235</v>
      </c>
      <c r="Z69" s="4"/>
      <c r="AA69" s="5">
        <v>1000000</v>
      </c>
      <c r="AB69" s="5">
        <v>1000000</v>
      </c>
      <c r="AC69" s="5">
        <v>0</v>
      </c>
      <c r="AD69" s="5">
        <v>1000000</v>
      </c>
      <c r="AE69" s="5">
        <v>0</v>
      </c>
      <c r="AF69" s="5">
        <v>1000000</v>
      </c>
      <c r="AG69" s="5"/>
    </row>
    <row r="70" spans="1:33" ht="63.75" x14ac:dyDescent="0.25">
      <c r="A70" s="4" t="s">
        <v>14</v>
      </c>
      <c r="B70" s="4" t="s">
        <v>103</v>
      </c>
      <c r="C70" s="4" t="s">
        <v>103</v>
      </c>
      <c r="D70" s="4" t="s">
        <v>104</v>
      </c>
      <c r="E70" s="4" t="s">
        <v>111</v>
      </c>
      <c r="F70" s="4" t="s">
        <v>112</v>
      </c>
      <c r="G70" s="4" t="s">
        <v>113</v>
      </c>
      <c r="H70" s="4" t="s">
        <v>103</v>
      </c>
      <c r="I70" s="4" t="s">
        <v>432</v>
      </c>
      <c r="J70" s="5"/>
      <c r="K70" s="5"/>
      <c r="L70" s="4" t="s">
        <v>433</v>
      </c>
      <c r="M70" s="5"/>
      <c r="N70" s="4" t="s">
        <v>107</v>
      </c>
      <c r="O70" s="45">
        <v>44699</v>
      </c>
      <c r="P70" s="4" t="s">
        <v>236</v>
      </c>
      <c r="Q70" s="45">
        <v>44699</v>
      </c>
      <c r="R70" s="4" t="s">
        <v>8</v>
      </c>
      <c r="S70" s="5">
        <v>1</v>
      </c>
      <c r="T70" s="4" t="s">
        <v>108</v>
      </c>
      <c r="U70" s="5"/>
      <c r="V70" s="5">
        <v>34</v>
      </c>
      <c r="W70" s="4" t="s">
        <v>109</v>
      </c>
      <c r="X70" s="45">
        <v>44699</v>
      </c>
      <c r="Y70" s="4" t="s">
        <v>236</v>
      </c>
      <c r="Z70" s="4"/>
      <c r="AA70" s="5">
        <v>1000000</v>
      </c>
      <c r="AB70" s="5">
        <v>1000000</v>
      </c>
      <c r="AC70" s="5">
        <v>0</v>
      </c>
      <c r="AD70" s="5">
        <v>1000000</v>
      </c>
      <c r="AE70" s="5">
        <v>0</v>
      </c>
      <c r="AF70" s="5">
        <v>1000000</v>
      </c>
      <c r="AG70" s="5"/>
    </row>
    <row r="71" spans="1:33" ht="63.75" x14ac:dyDescent="0.25">
      <c r="A71" s="4" t="s">
        <v>14</v>
      </c>
      <c r="B71" s="4" t="s">
        <v>103</v>
      </c>
      <c r="C71" s="4" t="s">
        <v>103</v>
      </c>
      <c r="D71" s="4" t="s">
        <v>104</v>
      </c>
      <c r="E71" s="4" t="s">
        <v>111</v>
      </c>
      <c r="F71" s="4" t="s">
        <v>112</v>
      </c>
      <c r="G71" s="4" t="s">
        <v>113</v>
      </c>
      <c r="H71" s="4" t="s">
        <v>103</v>
      </c>
      <c r="I71" s="4" t="s">
        <v>432</v>
      </c>
      <c r="J71" s="5"/>
      <c r="K71" s="5"/>
      <c r="L71" s="4" t="s">
        <v>433</v>
      </c>
      <c r="M71" s="5"/>
      <c r="N71" s="4" t="s">
        <v>107</v>
      </c>
      <c r="O71" s="45">
        <v>44699</v>
      </c>
      <c r="P71" s="4" t="s">
        <v>237</v>
      </c>
      <c r="Q71" s="45">
        <v>44699</v>
      </c>
      <c r="R71" s="4" t="s">
        <v>8</v>
      </c>
      <c r="S71" s="5">
        <v>1</v>
      </c>
      <c r="T71" s="4" t="s">
        <v>108</v>
      </c>
      <c r="U71" s="5"/>
      <c r="V71" s="5">
        <v>33</v>
      </c>
      <c r="W71" s="4" t="s">
        <v>109</v>
      </c>
      <c r="X71" s="45">
        <v>44699</v>
      </c>
      <c r="Y71" s="4" t="s">
        <v>237</v>
      </c>
      <c r="Z71" s="4"/>
      <c r="AA71" s="5">
        <v>1000000</v>
      </c>
      <c r="AB71" s="5">
        <v>1000000</v>
      </c>
      <c r="AC71" s="5">
        <v>0</v>
      </c>
      <c r="AD71" s="5">
        <v>1000000</v>
      </c>
      <c r="AE71" s="5">
        <v>0</v>
      </c>
      <c r="AF71" s="5">
        <v>1000000</v>
      </c>
      <c r="AG71" s="5"/>
    </row>
    <row r="72" spans="1:33" ht="63.75" x14ac:dyDescent="0.25">
      <c r="A72" s="4" t="s">
        <v>14</v>
      </c>
      <c r="B72" s="4" t="s">
        <v>103</v>
      </c>
      <c r="C72" s="4" t="s">
        <v>103</v>
      </c>
      <c r="D72" s="4" t="s">
        <v>104</v>
      </c>
      <c r="E72" s="4" t="s">
        <v>111</v>
      </c>
      <c r="F72" s="4" t="s">
        <v>112</v>
      </c>
      <c r="G72" s="4" t="s">
        <v>113</v>
      </c>
      <c r="H72" s="4" t="s">
        <v>103</v>
      </c>
      <c r="I72" s="4" t="s">
        <v>432</v>
      </c>
      <c r="J72" s="5"/>
      <c r="K72" s="5"/>
      <c r="L72" s="4" t="s">
        <v>433</v>
      </c>
      <c r="M72" s="5"/>
      <c r="N72" s="4" t="s">
        <v>107</v>
      </c>
      <c r="O72" s="45">
        <v>44699</v>
      </c>
      <c r="P72" s="4" t="s">
        <v>238</v>
      </c>
      <c r="Q72" s="45">
        <v>44699</v>
      </c>
      <c r="R72" s="4" t="s">
        <v>8</v>
      </c>
      <c r="S72" s="5">
        <v>1</v>
      </c>
      <c r="T72" s="4" t="s">
        <v>108</v>
      </c>
      <c r="U72" s="5"/>
      <c r="V72" s="5">
        <v>32</v>
      </c>
      <c r="W72" s="4" t="s">
        <v>109</v>
      </c>
      <c r="X72" s="45">
        <v>44699</v>
      </c>
      <c r="Y72" s="4" t="s">
        <v>238</v>
      </c>
      <c r="Z72" s="4"/>
      <c r="AA72" s="5">
        <v>1000000</v>
      </c>
      <c r="AB72" s="5">
        <v>1000000</v>
      </c>
      <c r="AC72" s="5">
        <v>0</v>
      </c>
      <c r="AD72" s="5">
        <v>1000000</v>
      </c>
      <c r="AE72" s="5">
        <v>0</v>
      </c>
      <c r="AF72" s="5">
        <v>1000000</v>
      </c>
      <c r="AG72" s="5"/>
    </row>
    <row r="73" spans="1:33" ht="63.75" x14ac:dyDescent="0.25">
      <c r="A73" s="4" t="s">
        <v>14</v>
      </c>
      <c r="B73" s="4" t="s">
        <v>103</v>
      </c>
      <c r="C73" s="4" t="s">
        <v>103</v>
      </c>
      <c r="D73" s="4" t="s">
        <v>104</v>
      </c>
      <c r="E73" s="4" t="s">
        <v>111</v>
      </c>
      <c r="F73" s="4" t="s">
        <v>112</v>
      </c>
      <c r="G73" s="4" t="s">
        <v>113</v>
      </c>
      <c r="H73" s="4" t="s">
        <v>103</v>
      </c>
      <c r="I73" s="4" t="s">
        <v>432</v>
      </c>
      <c r="J73" s="5"/>
      <c r="K73" s="5"/>
      <c r="L73" s="4" t="s">
        <v>433</v>
      </c>
      <c r="M73" s="5"/>
      <c r="N73" s="4" t="s">
        <v>107</v>
      </c>
      <c r="O73" s="45">
        <v>44699</v>
      </c>
      <c r="P73" s="4" t="s">
        <v>239</v>
      </c>
      <c r="Q73" s="45">
        <v>44699</v>
      </c>
      <c r="R73" s="4" t="s">
        <v>8</v>
      </c>
      <c r="S73" s="5">
        <v>1</v>
      </c>
      <c r="T73" s="4" t="s">
        <v>108</v>
      </c>
      <c r="U73" s="5"/>
      <c r="V73" s="5">
        <v>31</v>
      </c>
      <c r="W73" s="4" t="s">
        <v>109</v>
      </c>
      <c r="X73" s="45">
        <v>44699</v>
      </c>
      <c r="Y73" s="4" t="s">
        <v>239</v>
      </c>
      <c r="Z73" s="4"/>
      <c r="AA73" s="5">
        <v>1000000</v>
      </c>
      <c r="AB73" s="5">
        <v>1000000</v>
      </c>
      <c r="AC73" s="5">
        <v>0</v>
      </c>
      <c r="AD73" s="5">
        <v>1000000</v>
      </c>
      <c r="AE73" s="5">
        <v>0</v>
      </c>
      <c r="AF73" s="5">
        <v>1000000</v>
      </c>
      <c r="AG73" s="5"/>
    </row>
    <row r="74" spans="1:33" ht="63.75" x14ac:dyDescent="0.25">
      <c r="A74" s="4" t="s">
        <v>14</v>
      </c>
      <c r="B74" s="4" t="s">
        <v>103</v>
      </c>
      <c r="C74" s="4" t="s">
        <v>103</v>
      </c>
      <c r="D74" s="4" t="s">
        <v>104</v>
      </c>
      <c r="E74" s="4" t="s">
        <v>111</v>
      </c>
      <c r="F74" s="4" t="s">
        <v>112</v>
      </c>
      <c r="G74" s="4" t="s">
        <v>113</v>
      </c>
      <c r="H74" s="4" t="s">
        <v>103</v>
      </c>
      <c r="I74" s="4" t="s">
        <v>432</v>
      </c>
      <c r="J74" s="5"/>
      <c r="K74" s="5"/>
      <c r="L74" s="4" t="s">
        <v>433</v>
      </c>
      <c r="M74" s="5"/>
      <c r="N74" s="4" t="s">
        <v>107</v>
      </c>
      <c r="O74" s="45">
        <v>44699</v>
      </c>
      <c r="P74" s="4" t="s">
        <v>252</v>
      </c>
      <c r="Q74" s="45">
        <v>44699</v>
      </c>
      <c r="R74" s="4" t="s">
        <v>8</v>
      </c>
      <c r="S74" s="5">
        <v>1</v>
      </c>
      <c r="T74" s="4" t="s">
        <v>108</v>
      </c>
      <c r="U74" s="5"/>
      <c r="V74" s="5">
        <v>30</v>
      </c>
      <c r="W74" s="4" t="s">
        <v>109</v>
      </c>
      <c r="X74" s="45">
        <v>44699</v>
      </c>
      <c r="Y74" s="4" t="s">
        <v>252</v>
      </c>
      <c r="Z74" s="4"/>
      <c r="AA74" s="5">
        <v>1000000</v>
      </c>
      <c r="AB74" s="5">
        <v>1000000</v>
      </c>
      <c r="AC74" s="5">
        <v>0</v>
      </c>
      <c r="AD74" s="5">
        <v>1000000</v>
      </c>
      <c r="AE74" s="5">
        <v>0</v>
      </c>
      <c r="AF74" s="5">
        <v>1000000</v>
      </c>
      <c r="AG74" s="5"/>
    </row>
    <row r="75" spans="1:33" ht="63.75" x14ac:dyDescent="0.25">
      <c r="A75" s="4" t="s">
        <v>14</v>
      </c>
      <c r="B75" s="4" t="s">
        <v>103</v>
      </c>
      <c r="C75" s="4" t="s">
        <v>103</v>
      </c>
      <c r="D75" s="4" t="s">
        <v>104</v>
      </c>
      <c r="E75" s="4" t="s">
        <v>111</v>
      </c>
      <c r="F75" s="4" t="s">
        <v>112</v>
      </c>
      <c r="G75" s="4" t="s">
        <v>113</v>
      </c>
      <c r="H75" s="4" t="s">
        <v>103</v>
      </c>
      <c r="I75" s="4" t="s">
        <v>432</v>
      </c>
      <c r="J75" s="5"/>
      <c r="K75" s="5"/>
      <c r="L75" s="4" t="s">
        <v>433</v>
      </c>
      <c r="M75" s="5"/>
      <c r="N75" s="4" t="s">
        <v>107</v>
      </c>
      <c r="O75" s="45">
        <v>44699</v>
      </c>
      <c r="P75" s="4" t="s">
        <v>253</v>
      </c>
      <c r="Q75" s="45">
        <v>44699</v>
      </c>
      <c r="R75" s="4" t="s">
        <v>8</v>
      </c>
      <c r="S75" s="5">
        <v>1</v>
      </c>
      <c r="T75" s="4" t="s">
        <v>108</v>
      </c>
      <c r="U75" s="5"/>
      <c r="V75" s="5">
        <v>28</v>
      </c>
      <c r="W75" s="4" t="s">
        <v>109</v>
      </c>
      <c r="X75" s="45">
        <v>44699</v>
      </c>
      <c r="Y75" s="4" t="s">
        <v>253</v>
      </c>
      <c r="Z75" s="4"/>
      <c r="AA75" s="5">
        <v>1000000</v>
      </c>
      <c r="AB75" s="5">
        <v>1000000</v>
      </c>
      <c r="AC75" s="5">
        <v>0</v>
      </c>
      <c r="AD75" s="5">
        <v>1000000</v>
      </c>
      <c r="AE75" s="5">
        <v>0</v>
      </c>
      <c r="AF75" s="5">
        <v>1000000</v>
      </c>
      <c r="AG75" s="5"/>
    </row>
    <row r="76" spans="1:33" ht="63.75" x14ac:dyDescent="0.25">
      <c r="A76" s="4" t="s">
        <v>14</v>
      </c>
      <c r="B76" s="4" t="s">
        <v>103</v>
      </c>
      <c r="C76" s="4" t="s">
        <v>103</v>
      </c>
      <c r="D76" s="4" t="s">
        <v>104</v>
      </c>
      <c r="E76" s="4" t="s">
        <v>111</v>
      </c>
      <c r="F76" s="4" t="s">
        <v>112</v>
      </c>
      <c r="G76" s="4" t="s">
        <v>113</v>
      </c>
      <c r="H76" s="4" t="s">
        <v>103</v>
      </c>
      <c r="I76" s="4" t="s">
        <v>432</v>
      </c>
      <c r="J76" s="5"/>
      <c r="K76" s="5"/>
      <c r="L76" s="4" t="s">
        <v>433</v>
      </c>
      <c r="M76" s="5"/>
      <c r="N76" s="4" t="s">
        <v>107</v>
      </c>
      <c r="O76" s="45">
        <v>44699</v>
      </c>
      <c r="P76" s="4" t="s">
        <v>262</v>
      </c>
      <c r="Q76" s="45">
        <v>44699</v>
      </c>
      <c r="R76" s="4" t="s">
        <v>8</v>
      </c>
      <c r="S76" s="5">
        <v>1</v>
      </c>
      <c r="T76" s="4" t="s">
        <v>108</v>
      </c>
      <c r="U76" s="5"/>
      <c r="V76" s="5">
        <v>27</v>
      </c>
      <c r="W76" s="4" t="s">
        <v>109</v>
      </c>
      <c r="X76" s="45">
        <v>44699</v>
      </c>
      <c r="Y76" s="4" t="s">
        <v>262</v>
      </c>
      <c r="Z76" s="4"/>
      <c r="AA76" s="5">
        <v>1000000</v>
      </c>
      <c r="AB76" s="5">
        <v>1000000</v>
      </c>
      <c r="AC76" s="5">
        <v>0</v>
      </c>
      <c r="AD76" s="5">
        <v>1000000</v>
      </c>
      <c r="AE76" s="5">
        <v>0</v>
      </c>
      <c r="AF76" s="5">
        <v>1000000</v>
      </c>
      <c r="AG76" s="5"/>
    </row>
    <row r="77" spans="1:33" ht="63.75" x14ac:dyDescent="0.25">
      <c r="A77" s="4" t="s">
        <v>14</v>
      </c>
      <c r="B77" s="4" t="s">
        <v>103</v>
      </c>
      <c r="C77" s="4" t="s">
        <v>103</v>
      </c>
      <c r="D77" s="4" t="s">
        <v>104</v>
      </c>
      <c r="E77" s="4" t="s">
        <v>111</v>
      </c>
      <c r="F77" s="4" t="s">
        <v>112</v>
      </c>
      <c r="G77" s="4" t="s">
        <v>113</v>
      </c>
      <c r="H77" s="4" t="s">
        <v>103</v>
      </c>
      <c r="I77" s="4" t="s">
        <v>432</v>
      </c>
      <c r="J77" s="5"/>
      <c r="K77" s="5"/>
      <c r="L77" s="4" t="s">
        <v>433</v>
      </c>
      <c r="M77" s="5"/>
      <c r="N77" s="4" t="s">
        <v>107</v>
      </c>
      <c r="O77" s="45">
        <v>44699</v>
      </c>
      <c r="P77" s="4" t="s">
        <v>263</v>
      </c>
      <c r="Q77" s="45">
        <v>44699</v>
      </c>
      <c r="R77" s="4" t="s">
        <v>8</v>
      </c>
      <c r="S77" s="5">
        <v>1</v>
      </c>
      <c r="T77" s="4" t="s">
        <v>108</v>
      </c>
      <c r="U77" s="5"/>
      <c r="V77" s="5">
        <v>27</v>
      </c>
      <c r="W77" s="4" t="s">
        <v>109</v>
      </c>
      <c r="X77" s="45">
        <v>44699</v>
      </c>
      <c r="Y77" s="4" t="s">
        <v>263</v>
      </c>
      <c r="Z77" s="4"/>
      <c r="AA77" s="5">
        <v>1000000</v>
      </c>
      <c r="AB77" s="5">
        <v>1000000</v>
      </c>
      <c r="AC77" s="5">
        <v>0</v>
      </c>
      <c r="AD77" s="5">
        <v>1000000</v>
      </c>
      <c r="AE77" s="5">
        <v>0</v>
      </c>
      <c r="AF77" s="5">
        <v>1000000</v>
      </c>
      <c r="AG77" s="5"/>
    </row>
    <row r="78" spans="1:33" ht="63.75" x14ac:dyDescent="0.25">
      <c r="A78" s="4" t="s">
        <v>14</v>
      </c>
      <c r="B78" s="4" t="s">
        <v>103</v>
      </c>
      <c r="C78" s="4" t="s">
        <v>103</v>
      </c>
      <c r="D78" s="4" t="s">
        <v>104</v>
      </c>
      <c r="E78" s="4" t="s">
        <v>111</v>
      </c>
      <c r="F78" s="4" t="s">
        <v>112</v>
      </c>
      <c r="G78" s="4" t="s">
        <v>113</v>
      </c>
      <c r="H78" s="4" t="s">
        <v>103</v>
      </c>
      <c r="I78" s="4" t="s">
        <v>432</v>
      </c>
      <c r="J78" s="5"/>
      <c r="K78" s="5"/>
      <c r="L78" s="4" t="s">
        <v>433</v>
      </c>
      <c r="M78" s="5"/>
      <c r="N78" s="4" t="s">
        <v>107</v>
      </c>
      <c r="O78" s="45">
        <v>44699</v>
      </c>
      <c r="P78" s="4" t="s">
        <v>270</v>
      </c>
      <c r="Q78" s="45">
        <v>44699</v>
      </c>
      <c r="R78" s="4" t="s">
        <v>8</v>
      </c>
      <c r="S78" s="5">
        <v>1</v>
      </c>
      <c r="T78" s="4" t="s">
        <v>108</v>
      </c>
      <c r="U78" s="5"/>
      <c r="V78" s="5">
        <v>26</v>
      </c>
      <c r="W78" s="4" t="s">
        <v>109</v>
      </c>
      <c r="X78" s="45">
        <v>44699</v>
      </c>
      <c r="Y78" s="4" t="s">
        <v>270</v>
      </c>
      <c r="Z78" s="4"/>
      <c r="AA78" s="5">
        <v>1000000</v>
      </c>
      <c r="AB78" s="5">
        <v>1000000</v>
      </c>
      <c r="AC78" s="5">
        <v>0</v>
      </c>
      <c r="AD78" s="5">
        <v>1000000</v>
      </c>
      <c r="AE78" s="5">
        <v>0</v>
      </c>
      <c r="AF78" s="5">
        <v>1000000</v>
      </c>
      <c r="AG78" s="5"/>
    </row>
    <row r="79" spans="1:33" ht="63.75" x14ac:dyDescent="0.25">
      <c r="A79" s="4" t="s">
        <v>14</v>
      </c>
      <c r="B79" s="4" t="s">
        <v>103</v>
      </c>
      <c r="C79" s="4" t="s">
        <v>103</v>
      </c>
      <c r="D79" s="4" t="s">
        <v>104</v>
      </c>
      <c r="E79" s="4" t="s">
        <v>111</v>
      </c>
      <c r="F79" s="4" t="s">
        <v>112</v>
      </c>
      <c r="G79" s="4" t="s">
        <v>113</v>
      </c>
      <c r="H79" s="4" t="s">
        <v>103</v>
      </c>
      <c r="I79" s="4" t="s">
        <v>432</v>
      </c>
      <c r="J79" s="5"/>
      <c r="K79" s="5"/>
      <c r="L79" s="4" t="s">
        <v>433</v>
      </c>
      <c r="M79" s="5"/>
      <c r="N79" s="4" t="s">
        <v>107</v>
      </c>
      <c r="O79" s="45">
        <v>44699</v>
      </c>
      <c r="P79" s="4" t="s">
        <v>286</v>
      </c>
      <c r="Q79" s="45">
        <v>44699</v>
      </c>
      <c r="R79" s="4" t="s">
        <v>8</v>
      </c>
      <c r="S79" s="5">
        <v>1</v>
      </c>
      <c r="T79" s="4" t="s">
        <v>108</v>
      </c>
      <c r="U79" s="5"/>
      <c r="V79" s="5">
        <v>21</v>
      </c>
      <c r="W79" s="4" t="s">
        <v>109</v>
      </c>
      <c r="X79" s="45">
        <v>44699</v>
      </c>
      <c r="Y79" s="4" t="s">
        <v>286</v>
      </c>
      <c r="Z79" s="4"/>
      <c r="AA79" s="5">
        <v>1000000</v>
      </c>
      <c r="AB79" s="5">
        <v>1000000</v>
      </c>
      <c r="AC79" s="5">
        <v>0</v>
      </c>
      <c r="AD79" s="5">
        <v>1000000</v>
      </c>
      <c r="AE79" s="5">
        <v>0</v>
      </c>
      <c r="AF79" s="5">
        <v>1000000</v>
      </c>
      <c r="AG79" s="5"/>
    </row>
    <row r="80" spans="1:33" ht="63.75" x14ac:dyDescent="0.25">
      <c r="A80" s="4" t="s">
        <v>14</v>
      </c>
      <c r="B80" s="4" t="s">
        <v>103</v>
      </c>
      <c r="C80" s="4" t="s">
        <v>103</v>
      </c>
      <c r="D80" s="4" t="s">
        <v>104</v>
      </c>
      <c r="E80" s="4" t="s">
        <v>111</v>
      </c>
      <c r="F80" s="4" t="s">
        <v>112</v>
      </c>
      <c r="G80" s="4" t="s">
        <v>113</v>
      </c>
      <c r="H80" s="4" t="s">
        <v>103</v>
      </c>
      <c r="I80" s="4" t="s">
        <v>432</v>
      </c>
      <c r="J80" s="5"/>
      <c r="K80" s="5"/>
      <c r="L80" s="4" t="s">
        <v>433</v>
      </c>
      <c r="M80" s="5"/>
      <c r="N80" s="4" t="s">
        <v>107</v>
      </c>
      <c r="O80" s="45">
        <v>44699</v>
      </c>
      <c r="P80" s="4" t="s">
        <v>295</v>
      </c>
      <c r="Q80" s="45">
        <v>44699</v>
      </c>
      <c r="R80" s="4" t="s">
        <v>8</v>
      </c>
      <c r="S80" s="5">
        <v>1</v>
      </c>
      <c r="T80" s="4" t="s">
        <v>108</v>
      </c>
      <c r="U80" s="5"/>
      <c r="V80" s="5">
        <v>19</v>
      </c>
      <c r="W80" s="4" t="s">
        <v>109</v>
      </c>
      <c r="X80" s="45">
        <v>44699</v>
      </c>
      <c r="Y80" s="4" t="s">
        <v>295</v>
      </c>
      <c r="Z80" s="4"/>
      <c r="AA80" s="5">
        <v>1000000</v>
      </c>
      <c r="AB80" s="5">
        <v>1000000</v>
      </c>
      <c r="AC80" s="5">
        <v>0</v>
      </c>
      <c r="AD80" s="5">
        <v>1000000</v>
      </c>
      <c r="AE80" s="5">
        <v>0</v>
      </c>
      <c r="AF80" s="5">
        <v>1000000</v>
      </c>
      <c r="AG80" s="5"/>
    </row>
    <row r="81" spans="1:33" ht="63.75" x14ac:dyDescent="0.25">
      <c r="A81" s="4" t="s">
        <v>14</v>
      </c>
      <c r="B81" s="4" t="s">
        <v>103</v>
      </c>
      <c r="C81" s="4" t="s">
        <v>103</v>
      </c>
      <c r="D81" s="4" t="s">
        <v>104</v>
      </c>
      <c r="E81" s="4" t="s">
        <v>111</v>
      </c>
      <c r="F81" s="4" t="s">
        <v>112</v>
      </c>
      <c r="G81" s="4" t="s">
        <v>113</v>
      </c>
      <c r="H81" s="4" t="s">
        <v>103</v>
      </c>
      <c r="I81" s="4" t="s">
        <v>432</v>
      </c>
      <c r="J81" s="5"/>
      <c r="K81" s="5"/>
      <c r="L81" s="4" t="s">
        <v>433</v>
      </c>
      <c r="M81" s="5"/>
      <c r="N81" s="4" t="s">
        <v>107</v>
      </c>
      <c r="O81" s="45">
        <v>44699</v>
      </c>
      <c r="P81" s="4" t="s">
        <v>296</v>
      </c>
      <c r="Q81" s="45">
        <v>44699</v>
      </c>
      <c r="R81" s="4" t="s">
        <v>8</v>
      </c>
      <c r="S81" s="5">
        <v>1</v>
      </c>
      <c r="T81" s="4" t="s">
        <v>108</v>
      </c>
      <c r="U81" s="5"/>
      <c r="V81" s="5">
        <v>17</v>
      </c>
      <c r="W81" s="4" t="s">
        <v>109</v>
      </c>
      <c r="X81" s="45">
        <v>44699</v>
      </c>
      <c r="Y81" s="4" t="s">
        <v>296</v>
      </c>
      <c r="Z81" s="4"/>
      <c r="AA81" s="5">
        <v>1000000</v>
      </c>
      <c r="AB81" s="5">
        <v>1000000</v>
      </c>
      <c r="AC81" s="5">
        <v>0</v>
      </c>
      <c r="AD81" s="5">
        <v>1000000</v>
      </c>
      <c r="AE81" s="5">
        <v>0</v>
      </c>
      <c r="AF81" s="5">
        <v>1000000</v>
      </c>
      <c r="AG81" s="5"/>
    </row>
    <row r="82" spans="1:33" ht="63.75" x14ac:dyDescent="0.25">
      <c r="A82" s="4" t="s">
        <v>14</v>
      </c>
      <c r="B82" s="4" t="s">
        <v>103</v>
      </c>
      <c r="C82" s="4" t="s">
        <v>103</v>
      </c>
      <c r="D82" s="4" t="s">
        <v>104</v>
      </c>
      <c r="E82" s="4" t="s">
        <v>111</v>
      </c>
      <c r="F82" s="4" t="s">
        <v>112</v>
      </c>
      <c r="G82" s="4" t="s">
        <v>113</v>
      </c>
      <c r="H82" s="4" t="s">
        <v>103</v>
      </c>
      <c r="I82" s="4" t="s">
        <v>432</v>
      </c>
      <c r="J82" s="5"/>
      <c r="K82" s="5"/>
      <c r="L82" s="4" t="s">
        <v>433</v>
      </c>
      <c r="M82" s="5"/>
      <c r="N82" s="4" t="s">
        <v>107</v>
      </c>
      <c r="O82" s="45">
        <v>44699</v>
      </c>
      <c r="P82" s="4" t="s">
        <v>304</v>
      </c>
      <c r="Q82" s="45">
        <v>44699</v>
      </c>
      <c r="R82" s="4" t="s">
        <v>8</v>
      </c>
      <c r="S82" s="5">
        <v>1</v>
      </c>
      <c r="T82" s="4" t="s">
        <v>108</v>
      </c>
      <c r="U82" s="5"/>
      <c r="V82" s="5">
        <v>16</v>
      </c>
      <c r="W82" s="4" t="s">
        <v>109</v>
      </c>
      <c r="X82" s="45">
        <v>44699</v>
      </c>
      <c r="Y82" s="4" t="s">
        <v>304</v>
      </c>
      <c r="Z82" s="4"/>
      <c r="AA82" s="5">
        <v>1000000</v>
      </c>
      <c r="AB82" s="5">
        <v>1000000</v>
      </c>
      <c r="AC82" s="5">
        <v>0</v>
      </c>
      <c r="AD82" s="5">
        <v>1000000</v>
      </c>
      <c r="AE82" s="5">
        <v>0</v>
      </c>
      <c r="AF82" s="5">
        <v>1000000</v>
      </c>
      <c r="AG82" s="5"/>
    </row>
    <row r="83" spans="1:33" ht="63.75" x14ac:dyDescent="0.25">
      <c r="A83" s="4" t="s">
        <v>14</v>
      </c>
      <c r="B83" s="4" t="s">
        <v>103</v>
      </c>
      <c r="C83" s="4" t="s">
        <v>103</v>
      </c>
      <c r="D83" s="4" t="s">
        <v>104</v>
      </c>
      <c r="E83" s="4" t="s">
        <v>111</v>
      </c>
      <c r="F83" s="4" t="s">
        <v>112</v>
      </c>
      <c r="G83" s="4" t="s">
        <v>113</v>
      </c>
      <c r="H83" s="4" t="s">
        <v>103</v>
      </c>
      <c r="I83" s="4" t="s">
        <v>432</v>
      </c>
      <c r="J83" s="5"/>
      <c r="K83" s="5"/>
      <c r="L83" s="4" t="s">
        <v>433</v>
      </c>
      <c r="M83" s="5"/>
      <c r="N83" s="4" t="s">
        <v>107</v>
      </c>
      <c r="O83" s="45">
        <v>44699</v>
      </c>
      <c r="P83" s="4" t="s">
        <v>314</v>
      </c>
      <c r="Q83" s="45">
        <v>44699</v>
      </c>
      <c r="R83" s="4" t="s">
        <v>8</v>
      </c>
      <c r="S83" s="5">
        <v>1</v>
      </c>
      <c r="T83" s="4" t="s">
        <v>108</v>
      </c>
      <c r="U83" s="5"/>
      <c r="V83" s="5">
        <v>14</v>
      </c>
      <c r="W83" s="4" t="s">
        <v>109</v>
      </c>
      <c r="X83" s="45">
        <v>44699</v>
      </c>
      <c r="Y83" s="4" t="s">
        <v>314</v>
      </c>
      <c r="Z83" s="4"/>
      <c r="AA83" s="5">
        <v>1000000</v>
      </c>
      <c r="AB83" s="5">
        <v>1000000</v>
      </c>
      <c r="AC83" s="5">
        <v>0</v>
      </c>
      <c r="AD83" s="5">
        <v>1000000</v>
      </c>
      <c r="AE83" s="5">
        <v>0</v>
      </c>
      <c r="AF83" s="5">
        <v>1000000</v>
      </c>
      <c r="AG83" s="5"/>
    </row>
    <row r="84" spans="1:33" ht="63.75" x14ac:dyDescent="0.25">
      <c r="A84" s="4" t="s">
        <v>14</v>
      </c>
      <c r="B84" s="4" t="s">
        <v>103</v>
      </c>
      <c r="C84" s="4" t="s">
        <v>103</v>
      </c>
      <c r="D84" s="4" t="s">
        <v>104</v>
      </c>
      <c r="E84" s="4" t="s">
        <v>111</v>
      </c>
      <c r="F84" s="4" t="s">
        <v>112</v>
      </c>
      <c r="G84" s="4" t="s">
        <v>113</v>
      </c>
      <c r="H84" s="4" t="s">
        <v>103</v>
      </c>
      <c r="I84" s="4" t="s">
        <v>432</v>
      </c>
      <c r="J84" s="5"/>
      <c r="K84" s="5"/>
      <c r="L84" s="4" t="s">
        <v>433</v>
      </c>
      <c r="M84" s="5"/>
      <c r="N84" s="4" t="s">
        <v>107</v>
      </c>
      <c r="O84" s="45">
        <v>44699</v>
      </c>
      <c r="P84" s="4" t="s">
        <v>319</v>
      </c>
      <c r="Q84" s="45">
        <v>44699</v>
      </c>
      <c r="R84" s="4" t="s">
        <v>8</v>
      </c>
      <c r="S84" s="5">
        <v>1</v>
      </c>
      <c r="T84" s="4" t="s">
        <v>108</v>
      </c>
      <c r="U84" s="5"/>
      <c r="V84" s="5">
        <v>13</v>
      </c>
      <c r="W84" s="4" t="s">
        <v>109</v>
      </c>
      <c r="X84" s="45">
        <v>44699</v>
      </c>
      <c r="Y84" s="4" t="s">
        <v>319</v>
      </c>
      <c r="Z84" s="4"/>
      <c r="AA84" s="5">
        <v>1000000</v>
      </c>
      <c r="AB84" s="5">
        <v>1000000</v>
      </c>
      <c r="AC84" s="5">
        <v>0</v>
      </c>
      <c r="AD84" s="5">
        <v>1000000</v>
      </c>
      <c r="AE84" s="5">
        <v>0</v>
      </c>
      <c r="AF84" s="5">
        <v>1000000</v>
      </c>
      <c r="AG84" s="5"/>
    </row>
    <row r="85" spans="1:33" ht="63.75" x14ac:dyDescent="0.25">
      <c r="A85" s="4" t="s">
        <v>14</v>
      </c>
      <c r="B85" s="4" t="s">
        <v>103</v>
      </c>
      <c r="C85" s="4" t="s">
        <v>103</v>
      </c>
      <c r="D85" s="4" t="s">
        <v>104</v>
      </c>
      <c r="E85" s="4" t="s">
        <v>111</v>
      </c>
      <c r="F85" s="4" t="s">
        <v>112</v>
      </c>
      <c r="G85" s="4" t="s">
        <v>113</v>
      </c>
      <c r="H85" s="4" t="s">
        <v>103</v>
      </c>
      <c r="I85" s="4" t="s">
        <v>432</v>
      </c>
      <c r="J85" s="5"/>
      <c r="K85" s="5"/>
      <c r="L85" s="4" t="s">
        <v>433</v>
      </c>
      <c r="M85" s="5"/>
      <c r="N85" s="4" t="s">
        <v>107</v>
      </c>
      <c r="O85" s="45">
        <v>44699</v>
      </c>
      <c r="P85" s="4" t="s">
        <v>329</v>
      </c>
      <c r="Q85" s="45">
        <v>44699</v>
      </c>
      <c r="R85" s="4" t="s">
        <v>8</v>
      </c>
      <c r="S85" s="5">
        <v>1</v>
      </c>
      <c r="T85" s="4" t="s">
        <v>108</v>
      </c>
      <c r="U85" s="5"/>
      <c r="V85" s="5">
        <v>11</v>
      </c>
      <c r="W85" s="4" t="s">
        <v>109</v>
      </c>
      <c r="X85" s="45">
        <v>44699</v>
      </c>
      <c r="Y85" s="4" t="s">
        <v>329</v>
      </c>
      <c r="Z85" s="4"/>
      <c r="AA85" s="5">
        <v>1000000</v>
      </c>
      <c r="AB85" s="5">
        <v>1000000</v>
      </c>
      <c r="AC85" s="5">
        <v>0</v>
      </c>
      <c r="AD85" s="5">
        <v>1000000</v>
      </c>
      <c r="AE85" s="5">
        <v>0</v>
      </c>
      <c r="AF85" s="5">
        <v>1000000</v>
      </c>
      <c r="AG85" s="5"/>
    </row>
    <row r="86" spans="1:33" ht="63.75" x14ac:dyDescent="0.25">
      <c r="A86" s="4" t="s">
        <v>14</v>
      </c>
      <c r="B86" s="4" t="s">
        <v>103</v>
      </c>
      <c r="C86" s="4" t="s">
        <v>103</v>
      </c>
      <c r="D86" s="4" t="s">
        <v>104</v>
      </c>
      <c r="E86" s="4" t="s">
        <v>111</v>
      </c>
      <c r="F86" s="4" t="s">
        <v>112</v>
      </c>
      <c r="G86" s="4" t="s">
        <v>113</v>
      </c>
      <c r="H86" s="4" t="s">
        <v>103</v>
      </c>
      <c r="I86" s="4" t="s">
        <v>432</v>
      </c>
      <c r="J86" s="5"/>
      <c r="K86" s="5"/>
      <c r="L86" s="4" t="s">
        <v>433</v>
      </c>
      <c r="M86" s="5"/>
      <c r="N86" s="4" t="s">
        <v>107</v>
      </c>
      <c r="O86" s="45">
        <v>44699</v>
      </c>
      <c r="P86" s="4" t="s">
        <v>345</v>
      </c>
      <c r="Q86" s="45">
        <v>44699</v>
      </c>
      <c r="R86" s="4" t="s">
        <v>8</v>
      </c>
      <c r="S86" s="5">
        <v>1</v>
      </c>
      <c r="T86" s="4" t="s">
        <v>108</v>
      </c>
      <c r="U86" s="5"/>
      <c r="V86" s="5">
        <v>9</v>
      </c>
      <c r="W86" s="4" t="s">
        <v>109</v>
      </c>
      <c r="X86" s="45">
        <v>44699</v>
      </c>
      <c r="Y86" s="4" t="s">
        <v>345</v>
      </c>
      <c r="Z86" s="4"/>
      <c r="AA86" s="5">
        <v>1000000</v>
      </c>
      <c r="AB86" s="5">
        <v>1000000</v>
      </c>
      <c r="AC86" s="5">
        <v>0</v>
      </c>
      <c r="AD86" s="5">
        <v>1000000</v>
      </c>
      <c r="AE86" s="5">
        <v>0</v>
      </c>
      <c r="AF86" s="5">
        <v>1000000</v>
      </c>
      <c r="AG86" s="5"/>
    </row>
    <row r="87" spans="1:33" ht="63.75" x14ac:dyDescent="0.25">
      <c r="A87" s="4" t="s">
        <v>14</v>
      </c>
      <c r="B87" s="4" t="s">
        <v>103</v>
      </c>
      <c r="C87" s="4" t="s">
        <v>103</v>
      </c>
      <c r="D87" s="4" t="s">
        <v>104</v>
      </c>
      <c r="E87" s="4" t="s">
        <v>111</v>
      </c>
      <c r="F87" s="4" t="s">
        <v>112</v>
      </c>
      <c r="G87" s="4" t="s">
        <v>113</v>
      </c>
      <c r="H87" s="4" t="s">
        <v>103</v>
      </c>
      <c r="I87" s="4" t="s">
        <v>432</v>
      </c>
      <c r="J87" s="5"/>
      <c r="K87" s="5"/>
      <c r="L87" s="4" t="s">
        <v>433</v>
      </c>
      <c r="M87" s="5"/>
      <c r="N87" s="4" t="s">
        <v>107</v>
      </c>
      <c r="O87" s="45">
        <v>44699</v>
      </c>
      <c r="P87" s="4" t="s">
        <v>346</v>
      </c>
      <c r="Q87" s="45">
        <v>44699</v>
      </c>
      <c r="R87" s="4" t="s">
        <v>8</v>
      </c>
      <c r="S87" s="5">
        <v>1</v>
      </c>
      <c r="T87" s="4" t="s">
        <v>108</v>
      </c>
      <c r="U87" s="5"/>
      <c r="V87" s="5">
        <v>7</v>
      </c>
      <c r="W87" s="4" t="s">
        <v>109</v>
      </c>
      <c r="X87" s="45">
        <v>44699</v>
      </c>
      <c r="Y87" s="4" t="s">
        <v>346</v>
      </c>
      <c r="Z87" s="4"/>
      <c r="AA87" s="5">
        <v>1000000</v>
      </c>
      <c r="AB87" s="5">
        <v>1000000</v>
      </c>
      <c r="AC87" s="5">
        <v>0</v>
      </c>
      <c r="AD87" s="5">
        <v>1000000</v>
      </c>
      <c r="AE87" s="5">
        <v>0</v>
      </c>
      <c r="AF87" s="5">
        <v>1000000</v>
      </c>
      <c r="AG87" s="5"/>
    </row>
    <row r="88" spans="1:33" ht="63.75" x14ac:dyDescent="0.25">
      <c r="A88" s="4" t="s">
        <v>14</v>
      </c>
      <c r="B88" s="4" t="s">
        <v>103</v>
      </c>
      <c r="C88" s="4" t="s">
        <v>103</v>
      </c>
      <c r="D88" s="4" t="s">
        <v>104</v>
      </c>
      <c r="E88" s="4" t="s">
        <v>111</v>
      </c>
      <c r="F88" s="4" t="s">
        <v>112</v>
      </c>
      <c r="G88" s="4" t="s">
        <v>113</v>
      </c>
      <c r="H88" s="4" t="s">
        <v>103</v>
      </c>
      <c r="I88" s="4" t="s">
        <v>432</v>
      </c>
      <c r="J88" s="5"/>
      <c r="K88" s="5"/>
      <c r="L88" s="4" t="s">
        <v>433</v>
      </c>
      <c r="M88" s="5"/>
      <c r="N88" s="4" t="s">
        <v>107</v>
      </c>
      <c r="O88" s="45">
        <v>44699</v>
      </c>
      <c r="P88" s="4" t="s">
        <v>411</v>
      </c>
      <c r="Q88" s="45">
        <v>44699</v>
      </c>
      <c r="R88" s="4" t="s">
        <v>8</v>
      </c>
      <c r="S88" s="5">
        <v>1</v>
      </c>
      <c r="T88" s="4" t="s">
        <v>108</v>
      </c>
      <c r="U88" s="5"/>
      <c r="V88" s="5">
        <v>0</v>
      </c>
      <c r="W88" s="4" t="s">
        <v>109</v>
      </c>
      <c r="X88" s="45">
        <v>44699</v>
      </c>
      <c r="Y88" s="4" t="s">
        <v>411</v>
      </c>
      <c r="Z88" s="4"/>
      <c r="AA88" s="5">
        <v>1000000</v>
      </c>
      <c r="AB88" s="5">
        <v>1000000</v>
      </c>
      <c r="AC88" s="5">
        <v>733680</v>
      </c>
      <c r="AD88" s="5">
        <v>1000000</v>
      </c>
      <c r="AE88" s="5">
        <v>0</v>
      </c>
      <c r="AF88" s="5">
        <v>1000000</v>
      </c>
      <c r="AG88" s="5"/>
    </row>
    <row r="89" spans="1:33" ht="63.75" x14ac:dyDescent="0.25">
      <c r="A89" s="4" t="s">
        <v>15</v>
      </c>
      <c r="B89" s="4" t="s">
        <v>103</v>
      </c>
      <c r="C89" s="4" t="s">
        <v>103</v>
      </c>
      <c r="D89" s="4" t="s">
        <v>104</v>
      </c>
      <c r="E89" s="4" t="s">
        <v>111</v>
      </c>
      <c r="F89" s="4" t="s">
        <v>112</v>
      </c>
      <c r="G89" s="4" t="s">
        <v>113</v>
      </c>
      <c r="H89" s="4" t="s">
        <v>103</v>
      </c>
      <c r="I89" s="4" t="s">
        <v>432</v>
      </c>
      <c r="J89" s="5"/>
      <c r="K89" s="5"/>
      <c r="L89" s="4" t="s">
        <v>433</v>
      </c>
      <c r="M89" s="5"/>
      <c r="N89" s="4" t="s">
        <v>107</v>
      </c>
      <c r="O89" s="45">
        <v>279</v>
      </c>
      <c r="P89" s="4" t="s">
        <v>470</v>
      </c>
      <c r="Q89" s="45">
        <v>279</v>
      </c>
      <c r="R89" s="4" t="s">
        <v>8</v>
      </c>
      <c r="S89" s="5">
        <v>1</v>
      </c>
      <c r="T89" s="4" t="s">
        <v>108</v>
      </c>
      <c r="U89" s="5"/>
      <c r="V89" s="5">
        <v>223</v>
      </c>
      <c r="W89" s="4" t="s">
        <v>109</v>
      </c>
      <c r="X89" s="45">
        <v>279</v>
      </c>
      <c r="Y89" s="4" t="s">
        <v>470</v>
      </c>
      <c r="Z89" s="4"/>
      <c r="AA89" s="5">
        <v>1000000</v>
      </c>
      <c r="AB89" s="5">
        <v>1000000</v>
      </c>
      <c r="AC89" s="5">
        <v>0</v>
      </c>
      <c r="AD89" s="5">
        <v>1000000</v>
      </c>
      <c r="AE89" s="5">
        <v>0</v>
      </c>
      <c r="AF89" s="5">
        <v>1000000</v>
      </c>
      <c r="AG89" s="5"/>
    </row>
    <row r="90" spans="1:33" ht="63.75" x14ac:dyDescent="0.25">
      <c r="A90" s="4" t="s">
        <v>15</v>
      </c>
      <c r="B90" s="4" t="s">
        <v>103</v>
      </c>
      <c r="C90" s="4" t="s">
        <v>103</v>
      </c>
      <c r="D90" s="4" t="s">
        <v>104</v>
      </c>
      <c r="E90" s="4" t="s">
        <v>111</v>
      </c>
      <c r="F90" s="4" t="s">
        <v>112</v>
      </c>
      <c r="G90" s="4" t="s">
        <v>113</v>
      </c>
      <c r="H90" s="4" t="s">
        <v>103</v>
      </c>
      <c r="I90" s="4" t="s">
        <v>432</v>
      </c>
      <c r="J90" s="5"/>
      <c r="K90" s="5"/>
      <c r="L90" s="4" t="s">
        <v>433</v>
      </c>
      <c r="M90" s="5"/>
      <c r="N90" s="4" t="s">
        <v>107</v>
      </c>
      <c r="O90" s="45">
        <v>287</v>
      </c>
      <c r="P90" s="4" t="s">
        <v>471</v>
      </c>
      <c r="Q90" s="45">
        <v>287</v>
      </c>
      <c r="R90" s="4" t="s">
        <v>8</v>
      </c>
      <c r="S90" s="5">
        <v>1</v>
      </c>
      <c r="T90" s="4" t="s">
        <v>108</v>
      </c>
      <c r="U90" s="5"/>
      <c r="V90" s="5">
        <v>215</v>
      </c>
      <c r="W90" s="4" t="s">
        <v>109</v>
      </c>
      <c r="X90" s="45">
        <v>287</v>
      </c>
      <c r="Y90" s="4" t="s">
        <v>471</v>
      </c>
      <c r="Z90" s="4"/>
      <c r="AA90" s="5">
        <v>1000000</v>
      </c>
      <c r="AB90" s="5">
        <v>1000000</v>
      </c>
      <c r="AC90" s="5">
        <v>0</v>
      </c>
      <c r="AD90" s="5">
        <v>1000000</v>
      </c>
      <c r="AE90" s="5">
        <v>0</v>
      </c>
      <c r="AF90" s="5">
        <v>1000000</v>
      </c>
      <c r="AG90" s="5"/>
    </row>
    <row r="91" spans="1:33" ht="63.75" x14ac:dyDescent="0.25">
      <c r="A91" s="4" t="s">
        <v>15</v>
      </c>
      <c r="B91" s="4" t="s">
        <v>103</v>
      </c>
      <c r="C91" s="4" t="s">
        <v>103</v>
      </c>
      <c r="D91" s="4" t="s">
        <v>104</v>
      </c>
      <c r="E91" s="4" t="s">
        <v>111</v>
      </c>
      <c r="F91" s="4" t="s">
        <v>112</v>
      </c>
      <c r="G91" s="4" t="s">
        <v>113</v>
      </c>
      <c r="H91" s="4" t="s">
        <v>103</v>
      </c>
      <c r="I91" s="4" t="s">
        <v>432</v>
      </c>
      <c r="J91" s="5"/>
      <c r="K91" s="5"/>
      <c r="L91" s="4" t="s">
        <v>433</v>
      </c>
      <c r="M91" s="5"/>
      <c r="N91" s="4" t="s">
        <v>107</v>
      </c>
      <c r="O91" s="45">
        <v>107</v>
      </c>
      <c r="P91" s="4" t="s">
        <v>254</v>
      </c>
      <c r="Q91" s="45">
        <v>107</v>
      </c>
      <c r="R91" s="4" t="s">
        <v>8</v>
      </c>
      <c r="S91" s="5">
        <v>1</v>
      </c>
      <c r="T91" s="4" t="s">
        <v>108</v>
      </c>
      <c r="U91" s="5"/>
      <c r="V91" s="5">
        <v>30</v>
      </c>
      <c r="W91" s="4" t="s">
        <v>109</v>
      </c>
      <c r="X91" s="45">
        <v>107</v>
      </c>
      <c r="Y91" s="4" t="s">
        <v>254</v>
      </c>
      <c r="Z91" s="4"/>
      <c r="AA91" s="5">
        <v>1000000</v>
      </c>
      <c r="AB91" s="5">
        <v>1000000</v>
      </c>
      <c r="AC91" s="5">
        <v>0</v>
      </c>
      <c r="AD91" s="5">
        <v>1000000</v>
      </c>
      <c r="AE91" s="5">
        <v>0</v>
      </c>
      <c r="AF91" s="5">
        <v>1000000</v>
      </c>
      <c r="AG91" s="5"/>
    </row>
    <row r="92" spans="1:33" ht="63.75" x14ac:dyDescent="0.25">
      <c r="A92" s="4" t="s">
        <v>15</v>
      </c>
      <c r="B92" s="4" t="s">
        <v>103</v>
      </c>
      <c r="C92" s="4" t="s">
        <v>103</v>
      </c>
      <c r="D92" s="4" t="s">
        <v>104</v>
      </c>
      <c r="E92" s="4" t="s">
        <v>111</v>
      </c>
      <c r="F92" s="4" t="s">
        <v>112</v>
      </c>
      <c r="G92" s="4" t="s">
        <v>113</v>
      </c>
      <c r="H92" s="4" t="s">
        <v>103</v>
      </c>
      <c r="I92" s="4" t="s">
        <v>432</v>
      </c>
      <c r="J92" s="5"/>
      <c r="K92" s="5"/>
      <c r="L92" s="4" t="s">
        <v>433</v>
      </c>
      <c r="M92" s="5"/>
      <c r="N92" s="4" t="s">
        <v>107</v>
      </c>
      <c r="O92" s="45">
        <v>125</v>
      </c>
      <c r="P92" s="4" t="s">
        <v>320</v>
      </c>
      <c r="Q92" s="45">
        <v>125</v>
      </c>
      <c r="R92" s="4" t="s">
        <v>8</v>
      </c>
      <c r="S92" s="5">
        <v>1</v>
      </c>
      <c r="T92" s="4" t="s">
        <v>108</v>
      </c>
      <c r="U92" s="5"/>
      <c r="V92" s="5">
        <v>12</v>
      </c>
      <c r="W92" s="4" t="s">
        <v>109</v>
      </c>
      <c r="X92" s="45">
        <v>125</v>
      </c>
      <c r="Y92" s="4" t="s">
        <v>320</v>
      </c>
      <c r="Z92" s="5"/>
      <c r="AA92" s="5">
        <v>1000000</v>
      </c>
      <c r="AB92" s="5">
        <v>1000000</v>
      </c>
      <c r="AC92" s="5">
        <v>0</v>
      </c>
      <c r="AD92" s="5">
        <v>1000000</v>
      </c>
      <c r="AE92" s="5">
        <v>0</v>
      </c>
      <c r="AF92" s="5">
        <v>1000000</v>
      </c>
      <c r="AG92" s="5"/>
    </row>
    <row r="93" spans="1:33" ht="63.75" x14ac:dyDescent="0.25">
      <c r="A93" s="4" t="s">
        <v>15</v>
      </c>
      <c r="B93" s="4" t="s">
        <v>103</v>
      </c>
      <c r="C93" s="4" t="s">
        <v>103</v>
      </c>
      <c r="D93" s="4" t="s">
        <v>104</v>
      </c>
      <c r="E93" s="4" t="s">
        <v>111</v>
      </c>
      <c r="F93" s="4" t="s">
        <v>112</v>
      </c>
      <c r="G93" s="4" t="s">
        <v>113</v>
      </c>
      <c r="H93" s="4" t="s">
        <v>103</v>
      </c>
      <c r="I93" s="4" t="s">
        <v>432</v>
      </c>
      <c r="J93" s="5"/>
      <c r="K93" s="5"/>
      <c r="L93" s="4" t="s">
        <v>433</v>
      </c>
      <c r="M93" s="5"/>
      <c r="N93" s="4" t="s">
        <v>107</v>
      </c>
      <c r="O93" s="45">
        <v>125</v>
      </c>
      <c r="P93" s="4" t="s">
        <v>321</v>
      </c>
      <c r="Q93" s="45">
        <v>125</v>
      </c>
      <c r="R93" s="4" t="s">
        <v>8</v>
      </c>
      <c r="S93" s="5">
        <v>1</v>
      </c>
      <c r="T93" s="4" t="s">
        <v>108</v>
      </c>
      <c r="U93" s="5"/>
      <c r="V93" s="5">
        <v>12</v>
      </c>
      <c r="W93" s="4" t="s">
        <v>109</v>
      </c>
      <c r="X93" s="45">
        <v>125</v>
      </c>
      <c r="Y93" s="4" t="s">
        <v>321</v>
      </c>
      <c r="Z93" s="4"/>
      <c r="AA93" s="5">
        <v>1000000</v>
      </c>
      <c r="AB93" s="5">
        <v>1000000</v>
      </c>
      <c r="AC93" s="5">
        <v>0</v>
      </c>
      <c r="AD93" s="5">
        <v>1000000</v>
      </c>
      <c r="AE93" s="5">
        <v>0</v>
      </c>
      <c r="AF93" s="5">
        <v>1000000</v>
      </c>
      <c r="AG93" s="5"/>
    </row>
    <row r="94" spans="1:33" ht="63.75" x14ac:dyDescent="0.25">
      <c r="A94" s="4" t="s">
        <v>15</v>
      </c>
      <c r="B94" s="4" t="s">
        <v>103</v>
      </c>
      <c r="C94" s="4" t="s">
        <v>103</v>
      </c>
      <c r="D94" s="4" t="s">
        <v>104</v>
      </c>
      <c r="E94" s="4" t="s">
        <v>111</v>
      </c>
      <c r="F94" s="4" t="s">
        <v>112</v>
      </c>
      <c r="G94" s="4" t="s">
        <v>113</v>
      </c>
      <c r="H94" s="4" t="s">
        <v>103</v>
      </c>
      <c r="I94" s="4" t="s">
        <v>432</v>
      </c>
      <c r="J94" s="5"/>
      <c r="K94" s="5"/>
      <c r="L94" s="4" t="s">
        <v>433</v>
      </c>
      <c r="M94" s="5"/>
      <c r="N94" s="4" t="s">
        <v>107</v>
      </c>
      <c r="O94" s="45">
        <v>125</v>
      </c>
      <c r="P94" s="4" t="s">
        <v>322</v>
      </c>
      <c r="Q94" s="45">
        <v>125</v>
      </c>
      <c r="R94" s="4" t="s">
        <v>8</v>
      </c>
      <c r="S94" s="5">
        <v>1</v>
      </c>
      <c r="T94" s="4" t="s">
        <v>108</v>
      </c>
      <c r="U94" s="5"/>
      <c r="V94" s="5">
        <v>12</v>
      </c>
      <c r="W94" s="4" t="s">
        <v>109</v>
      </c>
      <c r="X94" s="45">
        <v>125</v>
      </c>
      <c r="Y94" s="4" t="s">
        <v>322</v>
      </c>
      <c r="Z94" s="4"/>
      <c r="AA94" s="5">
        <v>1000000</v>
      </c>
      <c r="AB94" s="5">
        <v>1000000</v>
      </c>
      <c r="AC94" s="5">
        <v>0</v>
      </c>
      <c r="AD94" s="5">
        <v>1000000</v>
      </c>
      <c r="AE94" s="5">
        <v>0</v>
      </c>
      <c r="AF94" s="5">
        <v>1000000</v>
      </c>
      <c r="AG94" s="5"/>
    </row>
    <row r="95" spans="1:33" ht="63.75" x14ac:dyDescent="0.25">
      <c r="A95" s="4" t="s">
        <v>15</v>
      </c>
      <c r="B95" s="4" t="s">
        <v>103</v>
      </c>
      <c r="C95" s="4" t="s">
        <v>103</v>
      </c>
      <c r="D95" s="4" t="s">
        <v>104</v>
      </c>
      <c r="E95" s="4" t="s">
        <v>111</v>
      </c>
      <c r="F95" s="4" t="s">
        <v>112</v>
      </c>
      <c r="G95" s="4" t="s">
        <v>113</v>
      </c>
      <c r="H95" s="4" t="s">
        <v>103</v>
      </c>
      <c r="I95" s="4" t="s">
        <v>432</v>
      </c>
      <c r="J95" s="5"/>
      <c r="K95" s="5"/>
      <c r="L95" s="4" t="s">
        <v>433</v>
      </c>
      <c r="M95" s="5"/>
      <c r="N95" s="4" t="s">
        <v>107</v>
      </c>
      <c r="O95" s="45">
        <v>127</v>
      </c>
      <c r="P95" s="4" t="s">
        <v>333</v>
      </c>
      <c r="Q95" s="45">
        <v>127</v>
      </c>
      <c r="R95" s="4" t="s">
        <v>8</v>
      </c>
      <c r="S95" s="5">
        <v>1</v>
      </c>
      <c r="T95" s="4" t="s">
        <v>108</v>
      </c>
      <c r="U95" s="5"/>
      <c r="V95" s="5">
        <v>10</v>
      </c>
      <c r="W95" s="4" t="s">
        <v>109</v>
      </c>
      <c r="X95" s="45">
        <v>127</v>
      </c>
      <c r="Y95" s="4" t="s">
        <v>333</v>
      </c>
      <c r="Z95" s="5"/>
      <c r="AA95" s="5">
        <v>1000000</v>
      </c>
      <c r="AB95" s="5">
        <v>1000000</v>
      </c>
      <c r="AC95" s="5">
        <v>0</v>
      </c>
      <c r="AD95" s="5">
        <v>1000000</v>
      </c>
      <c r="AE95" s="5">
        <v>0</v>
      </c>
      <c r="AF95" s="5">
        <v>1000000</v>
      </c>
      <c r="AG95" s="5"/>
    </row>
    <row r="96" spans="1:33" ht="63.75" x14ac:dyDescent="0.25">
      <c r="A96" s="4" t="s">
        <v>15</v>
      </c>
      <c r="B96" s="4" t="s">
        <v>103</v>
      </c>
      <c r="C96" s="4" t="s">
        <v>103</v>
      </c>
      <c r="D96" s="4" t="s">
        <v>104</v>
      </c>
      <c r="E96" s="4" t="s">
        <v>111</v>
      </c>
      <c r="F96" s="4" t="s">
        <v>112</v>
      </c>
      <c r="G96" s="4" t="s">
        <v>113</v>
      </c>
      <c r="H96" s="4" t="s">
        <v>103</v>
      </c>
      <c r="I96" s="4" t="s">
        <v>432</v>
      </c>
      <c r="J96" s="5"/>
      <c r="K96" s="5"/>
      <c r="L96" s="4" t="s">
        <v>433</v>
      </c>
      <c r="M96" s="5"/>
      <c r="N96" s="4" t="s">
        <v>107</v>
      </c>
      <c r="O96" s="45">
        <v>127</v>
      </c>
      <c r="P96" s="4" t="s">
        <v>334</v>
      </c>
      <c r="Q96" s="45">
        <v>127</v>
      </c>
      <c r="R96" s="4" t="s">
        <v>8</v>
      </c>
      <c r="S96" s="5">
        <v>1</v>
      </c>
      <c r="T96" s="4" t="s">
        <v>108</v>
      </c>
      <c r="U96" s="5"/>
      <c r="V96" s="5">
        <v>10</v>
      </c>
      <c r="W96" s="4" t="s">
        <v>109</v>
      </c>
      <c r="X96" s="45">
        <v>127</v>
      </c>
      <c r="Y96" s="4" t="s">
        <v>334</v>
      </c>
      <c r="Z96" s="5"/>
      <c r="AA96" s="5">
        <v>1000000</v>
      </c>
      <c r="AB96" s="5">
        <v>1000000</v>
      </c>
      <c r="AC96" s="5">
        <v>0</v>
      </c>
      <c r="AD96" s="5">
        <v>1000000</v>
      </c>
      <c r="AE96" s="5">
        <v>0</v>
      </c>
      <c r="AF96" s="5">
        <v>1000000</v>
      </c>
      <c r="AG96" s="5"/>
    </row>
    <row r="97" spans="1:33" ht="63.75" x14ac:dyDescent="0.25">
      <c r="A97" s="4" t="s">
        <v>15</v>
      </c>
      <c r="B97" s="4" t="s">
        <v>103</v>
      </c>
      <c r="C97" s="4" t="s">
        <v>103</v>
      </c>
      <c r="D97" s="4" t="s">
        <v>104</v>
      </c>
      <c r="E97" s="4" t="s">
        <v>111</v>
      </c>
      <c r="F97" s="4" t="s">
        <v>112</v>
      </c>
      <c r="G97" s="4" t="s">
        <v>113</v>
      </c>
      <c r="H97" s="4" t="s">
        <v>103</v>
      </c>
      <c r="I97" s="4" t="s">
        <v>432</v>
      </c>
      <c r="J97" s="5"/>
      <c r="K97" s="5"/>
      <c r="L97" s="4" t="s">
        <v>433</v>
      </c>
      <c r="M97" s="5"/>
      <c r="N97" s="4" t="s">
        <v>107</v>
      </c>
      <c r="O97" s="45">
        <v>127</v>
      </c>
      <c r="P97" s="4" t="s">
        <v>335</v>
      </c>
      <c r="Q97" s="45">
        <v>127</v>
      </c>
      <c r="R97" s="4" t="s">
        <v>8</v>
      </c>
      <c r="S97" s="5">
        <v>1</v>
      </c>
      <c r="T97" s="4" t="s">
        <v>108</v>
      </c>
      <c r="U97" s="5"/>
      <c r="V97" s="5">
        <v>10</v>
      </c>
      <c r="W97" s="4" t="s">
        <v>109</v>
      </c>
      <c r="X97" s="45">
        <v>127</v>
      </c>
      <c r="Y97" s="4" t="s">
        <v>335</v>
      </c>
      <c r="Z97" s="4"/>
      <c r="AA97" s="5">
        <v>1000000</v>
      </c>
      <c r="AB97" s="5">
        <v>1000000</v>
      </c>
      <c r="AC97" s="5">
        <v>0</v>
      </c>
      <c r="AD97" s="5">
        <v>1000000</v>
      </c>
      <c r="AE97" s="5">
        <v>0</v>
      </c>
      <c r="AF97" s="5">
        <v>1000000</v>
      </c>
      <c r="AG97" s="5"/>
    </row>
    <row r="98" spans="1:33" ht="63.75" x14ac:dyDescent="0.25">
      <c r="A98" s="4" t="s">
        <v>15</v>
      </c>
      <c r="B98" s="4" t="s">
        <v>103</v>
      </c>
      <c r="C98" s="4" t="s">
        <v>103</v>
      </c>
      <c r="D98" s="4" t="s">
        <v>104</v>
      </c>
      <c r="E98" s="4" t="s">
        <v>111</v>
      </c>
      <c r="F98" s="4" t="s">
        <v>112</v>
      </c>
      <c r="G98" s="4" t="s">
        <v>113</v>
      </c>
      <c r="H98" s="4" t="s">
        <v>103</v>
      </c>
      <c r="I98" s="4" t="s">
        <v>432</v>
      </c>
      <c r="J98" s="5"/>
      <c r="K98" s="5"/>
      <c r="L98" s="4" t="s">
        <v>433</v>
      </c>
      <c r="M98" s="5"/>
      <c r="N98" s="4" t="s">
        <v>107</v>
      </c>
      <c r="O98" s="45">
        <v>129</v>
      </c>
      <c r="P98" s="4" t="s">
        <v>347</v>
      </c>
      <c r="Q98" s="45">
        <v>129</v>
      </c>
      <c r="R98" s="4" t="s">
        <v>8</v>
      </c>
      <c r="S98" s="5">
        <v>1</v>
      </c>
      <c r="T98" s="4" t="s">
        <v>108</v>
      </c>
      <c r="U98" s="5"/>
      <c r="V98" s="5">
        <v>8</v>
      </c>
      <c r="W98" s="4" t="s">
        <v>109</v>
      </c>
      <c r="X98" s="45">
        <v>129</v>
      </c>
      <c r="Y98" s="4" t="s">
        <v>347</v>
      </c>
      <c r="Z98" s="4"/>
      <c r="AA98" s="5">
        <v>1000000</v>
      </c>
      <c r="AB98" s="5">
        <v>1000000</v>
      </c>
      <c r="AC98" s="5">
        <v>0</v>
      </c>
      <c r="AD98" s="5">
        <v>1000000</v>
      </c>
      <c r="AE98" s="5">
        <v>0</v>
      </c>
      <c r="AF98" s="5">
        <v>1000000</v>
      </c>
      <c r="AG98" s="5"/>
    </row>
    <row r="99" spans="1:33" ht="63.75" x14ac:dyDescent="0.25">
      <c r="A99" s="4" t="s">
        <v>15</v>
      </c>
      <c r="B99" s="4" t="s">
        <v>103</v>
      </c>
      <c r="C99" s="4" t="s">
        <v>103</v>
      </c>
      <c r="D99" s="4" t="s">
        <v>104</v>
      </c>
      <c r="E99" s="4" t="s">
        <v>111</v>
      </c>
      <c r="F99" s="4" t="s">
        <v>112</v>
      </c>
      <c r="G99" s="4" t="s">
        <v>113</v>
      </c>
      <c r="H99" s="4" t="s">
        <v>103</v>
      </c>
      <c r="I99" s="4" t="s">
        <v>432</v>
      </c>
      <c r="J99" s="5"/>
      <c r="K99" s="5"/>
      <c r="L99" s="4" t="s">
        <v>433</v>
      </c>
      <c r="M99" s="5"/>
      <c r="N99" s="4" t="s">
        <v>107</v>
      </c>
      <c r="O99" s="45">
        <v>131</v>
      </c>
      <c r="P99" s="4" t="s">
        <v>360</v>
      </c>
      <c r="Q99" s="45">
        <v>131</v>
      </c>
      <c r="R99" s="4" t="s">
        <v>8</v>
      </c>
      <c r="S99" s="5">
        <v>1</v>
      </c>
      <c r="T99" s="4" t="s">
        <v>108</v>
      </c>
      <c r="U99" s="5"/>
      <c r="V99" s="5">
        <v>6</v>
      </c>
      <c r="W99" s="4" t="s">
        <v>109</v>
      </c>
      <c r="X99" s="45">
        <v>131</v>
      </c>
      <c r="Y99" s="4" t="s">
        <v>360</v>
      </c>
      <c r="Z99" s="4"/>
      <c r="AA99" s="5">
        <v>1000000</v>
      </c>
      <c r="AB99" s="5">
        <v>1000000</v>
      </c>
      <c r="AC99" s="5">
        <v>0</v>
      </c>
      <c r="AD99" s="5">
        <v>1000000</v>
      </c>
      <c r="AE99" s="5">
        <v>0</v>
      </c>
      <c r="AF99" s="5">
        <v>1000000</v>
      </c>
      <c r="AG99" s="5"/>
    </row>
    <row r="100" spans="1:33" ht="63.75" x14ac:dyDescent="0.25">
      <c r="A100" s="4" t="s">
        <v>15</v>
      </c>
      <c r="B100" s="4" t="s">
        <v>103</v>
      </c>
      <c r="C100" s="4" t="s">
        <v>103</v>
      </c>
      <c r="D100" s="4" t="s">
        <v>104</v>
      </c>
      <c r="E100" s="4" t="s">
        <v>111</v>
      </c>
      <c r="F100" s="4" t="s">
        <v>112</v>
      </c>
      <c r="G100" s="4" t="s">
        <v>113</v>
      </c>
      <c r="H100" s="4" t="s">
        <v>103</v>
      </c>
      <c r="I100" s="4" t="s">
        <v>432</v>
      </c>
      <c r="J100" s="5"/>
      <c r="K100" s="5"/>
      <c r="L100" s="4" t="s">
        <v>433</v>
      </c>
      <c r="M100" s="5"/>
      <c r="N100" s="4" t="s">
        <v>107</v>
      </c>
      <c r="O100" s="45">
        <v>132</v>
      </c>
      <c r="P100" s="4" t="s">
        <v>403</v>
      </c>
      <c r="Q100" s="45">
        <v>132</v>
      </c>
      <c r="R100" s="4" t="s">
        <v>8</v>
      </c>
      <c r="S100" s="5">
        <v>1</v>
      </c>
      <c r="T100" s="4" t="s">
        <v>108</v>
      </c>
      <c r="U100" s="5"/>
      <c r="V100" s="5">
        <v>5</v>
      </c>
      <c r="W100" s="4" t="s">
        <v>109</v>
      </c>
      <c r="X100" s="45">
        <v>132</v>
      </c>
      <c r="Y100" s="4" t="s">
        <v>403</v>
      </c>
      <c r="Z100" s="4"/>
      <c r="AA100" s="5">
        <v>1000000</v>
      </c>
      <c r="AB100" s="5">
        <v>1000000</v>
      </c>
      <c r="AC100" s="5">
        <v>0</v>
      </c>
      <c r="AD100" s="5">
        <v>1000000</v>
      </c>
      <c r="AE100" s="5">
        <v>0</v>
      </c>
      <c r="AF100" s="5">
        <v>1000000</v>
      </c>
      <c r="AG100" s="5"/>
    </row>
    <row r="101" spans="1:33" ht="63.75" x14ac:dyDescent="0.25">
      <c r="A101" s="4" t="s">
        <v>15</v>
      </c>
      <c r="B101" s="4" t="s">
        <v>103</v>
      </c>
      <c r="C101" s="4" t="s">
        <v>103</v>
      </c>
      <c r="D101" s="4" t="s">
        <v>104</v>
      </c>
      <c r="E101" s="4" t="s">
        <v>111</v>
      </c>
      <c r="F101" s="4" t="s">
        <v>112</v>
      </c>
      <c r="G101" s="4" t="s">
        <v>113</v>
      </c>
      <c r="H101" s="4" t="s">
        <v>103</v>
      </c>
      <c r="I101" s="4" t="s">
        <v>432</v>
      </c>
      <c r="J101" s="5"/>
      <c r="K101" s="5"/>
      <c r="L101" s="4" t="s">
        <v>433</v>
      </c>
      <c r="M101" s="5"/>
      <c r="N101" s="4" t="s">
        <v>107</v>
      </c>
      <c r="O101" s="45">
        <v>134</v>
      </c>
      <c r="P101" s="4" t="s">
        <v>413</v>
      </c>
      <c r="Q101" s="45">
        <v>134</v>
      </c>
      <c r="R101" s="4" t="s">
        <v>8</v>
      </c>
      <c r="S101" s="5">
        <v>1</v>
      </c>
      <c r="T101" s="4" t="s">
        <v>108</v>
      </c>
      <c r="U101" s="5"/>
      <c r="V101" s="5">
        <v>3</v>
      </c>
      <c r="W101" s="4" t="s">
        <v>109</v>
      </c>
      <c r="X101" s="45">
        <v>134</v>
      </c>
      <c r="Y101" s="4" t="s">
        <v>413</v>
      </c>
      <c r="Z101" s="4"/>
      <c r="AA101" s="5">
        <v>1000000</v>
      </c>
      <c r="AB101" s="5">
        <v>1000000</v>
      </c>
      <c r="AC101" s="5">
        <v>0</v>
      </c>
      <c r="AD101" s="5">
        <v>1000000</v>
      </c>
      <c r="AE101" s="5">
        <v>0</v>
      </c>
      <c r="AF101" s="5">
        <v>1000000</v>
      </c>
      <c r="AG101" s="5"/>
    </row>
    <row r="102" spans="1:33" ht="63.75" x14ac:dyDescent="0.25">
      <c r="A102" s="4" t="s">
        <v>15</v>
      </c>
      <c r="B102" s="4" t="s">
        <v>103</v>
      </c>
      <c r="C102" s="4" t="s">
        <v>103</v>
      </c>
      <c r="D102" s="4" t="s">
        <v>104</v>
      </c>
      <c r="E102" s="4" t="s">
        <v>111</v>
      </c>
      <c r="F102" s="4" t="s">
        <v>112</v>
      </c>
      <c r="G102" s="4" t="s">
        <v>113</v>
      </c>
      <c r="H102" s="4" t="s">
        <v>103</v>
      </c>
      <c r="I102" s="4" t="s">
        <v>432</v>
      </c>
      <c r="J102" s="5"/>
      <c r="K102" s="5"/>
      <c r="L102" s="4" t="s">
        <v>433</v>
      </c>
      <c r="M102" s="5"/>
      <c r="N102" s="4" t="s">
        <v>107</v>
      </c>
      <c r="O102" s="45">
        <v>134</v>
      </c>
      <c r="P102" s="4" t="s">
        <v>414</v>
      </c>
      <c r="Q102" s="45">
        <v>134</v>
      </c>
      <c r="R102" s="4" t="s">
        <v>8</v>
      </c>
      <c r="S102" s="5">
        <v>1</v>
      </c>
      <c r="T102" s="4" t="s">
        <v>108</v>
      </c>
      <c r="U102" s="5"/>
      <c r="V102" s="5">
        <v>3</v>
      </c>
      <c r="W102" s="4" t="s">
        <v>109</v>
      </c>
      <c r="X102" s="45">
        <v>134</v>
      </c>
      <c r="Y102" s="4" t="s">
        <v>414</v>
      </c>
      <c r="Z102" s="4"/>
      <c r="AA102" s="5">
        <v>1000000</v>
      </c>
      <c r="AB102" s="5">
        <v>1000000</v>
      </c>
      <c r="AC102" s="5">
        <v>0</v>
      </c>
      <c r="AD102" s="5">
        <v>1000000</v>
      </c>
      <c r="AE102" s="5">
        <v>0</v>
      </c>
      <c r="AF102" s="5">
        <v>1000000</v>
      </c>
      <c r="AG102" s="5"/>
    </row>
    <row r="103" spans="1:33" ht="63.75" x14ac:dyDescent="0.25">
      <c r="A103" s="4" t="s">
        <v>15</v>
      </c>
      <c r="B103" s="4" t="s">
        <v>103</v>
      </c>
      <c r="C103" s="4" t="s">
        <v>103</v>
      </c>
      <c r="D103" s="4" t="s">
        <v>104</v>
      </c>
      <c r="E103" s="4" t="s">
        <v>111</v>
      </c>
      <c r="F103" s="4" t="s">
        <v>112</v>
      </c>
      <c r="G103" s="4" t="s">
        <v>113</v>
      </c>
      <c r="H103" s="4" t="s">
        <v>103</v>
      </c>
      <c r="I103" s="4" t="s">
        <v>432</v>
      </c>
      <c r="J103" s="5"/>
      <c r="K103" s="5"/>
      <c r="L103" s="4" t="s">
        <v>433</v>
      </c>
      <c r="M103" s="5"/>
      <c r="N103" s="4" t="s">
        <v>107</v>
      </c>
      <c r="O103" s="45">
        <v>135</v>
      </c>
      <c r="P103" s="4" t="s">
        <v>416</v>
      </c>
      <c r="Q103" s="45">
        <v>135</v>
      </c>
      <c r="R103" s="4" t="s">
        <v>8</v>
      </c>
      <c r="S103" s="5">
        <v>1</v>
      </c>
      <c r="T103" s="4" t="s">
        <v>108</v>
      </c>
      <c r="U103" s="5"/>
      <c r="V103" s="5">
        <v>2</v>
      </c>
      <c r="W103" s="4" t="s">
        <v>109</v>
      </c>
      <c r="X103" s="45">
        <v>135</v>
      </c>
      <c r="Y103" s="4" t="s">
        <v>416</v>
      </c>
      <c r="Z103" s="4"/>
      <c r="AA103" s="5">
        <v>1000000</v>
      </c>
      <c r="AB103" s="5">
        <v>1000000</v>
      </c>
      <c r="AC103" s="5">
        <v>0</v>
      </c>
      <c r="AD103" s="5">
        <v>1000000</v>
      </c>
      <c r="AE103" s="5">
        <v>0</v>
      </c>
      <c r="AF103" s="5">
        <v>1000000</v>
      </c>
      <c r="AG103" s="5"/>
    </row>
    <row r="104" spans="1:33" ht="51" x14ac:dyDescent="0.25">
      <c r="A104" s="4" t="s">
        <v>16</v>
      </c>
      <c r="B104" s="4" t="s">
        <v>103</v>
      </c>
      <c r="C104" s="4" t="s">
        <v>103</v>
      </c>
      <c r="D104" s="4" t="s">
        <v>104</v>
      </c>
      <c r="E104" s="4" t="s">
        <v>111</v>
      </c>
      <c r="F104" s="4" t="s">
        <v>112</v>
      </c>
      <c r="G104" s="4" t="s">
        <v>113</v>
      </c>
      <c r="H104" s="4" t="s">
        <v>103</v>
      </c>
      <c r="I104" s="4" t="s">
        <v>432</v>
      </c>
      <c r="J104" s="5"/>
      <c r="K104" s="5"/>
      <c r="L104" s="4" t="s">
        <v>433</v>
      </c>
      <c r="M104" s="5"/>
      <c r="N104" s="4" t="s">
        <v>107</v>
      </c>
      <c r="O104" s="45">
        <v>283</v>
      </c>
      <c r="P104" s="4" t="s">
        <v>472</v>
      </c>
      <c r="Q104" s="45">
        <v>283</v>
      </c>
      <c r="R104" s="4" t="s">
        <v>8</v>
      </c>
      <c r="S104" s="5">
        <v>1</v>
      </c>
      <c r="T104" s="4" t="s">
        <v>108</v>
      </c>
      <c r="U104" s="5"/>
      <c r="V104" s="5">
        <v>219</v>
      </c>
      <c r="W104" s="4" t="s">
        <v>109</v>
      </c>
      <c r="X104" s="45">
        <v>283</v>
      </c>
      <c r="Y104" s="4" t="s">
        <v>472</v>
      </c>
      <c r="Z104" s="4"/>
      <c r="AA104" s="5">
        <v>1000000</v>
      </c>
      <c r="AB104" s="5">
        <v>1000000</v>
      </c>
      <c r="AC104" s="5">
        <v>0</v>
      </c>
      <c r="AD104" s="5">
        <v>1000000</v>
      </c>
      <c r="AE104" s="5">
        <v>0</v>
      </c>
      <c r="AF104" s="5">
        <v>1000000</v>
      </c>
      <c r="AG104" s="5"/>
    </row>
    <row r="105" spans="1:33" ht="51" x14ac:dyDescent="0.25">
      <c r="A105" s="4" t="s">
        <v>16</v>
      </c>
      <c r="B105" s="4" t="s">
        <v>103</v>
      </c>
      <c r="C105" s="4" t="s">
        <v>103</v>
      </c>
      <c r="D105" s="4" t="s">
        <v>104</v>
      </c>
      <c r="E105" s="4" t="s">
        <v>111</v>
      </c>
      <c r="F105" s="4" t="s">
        <v>112</v>
      </c>
      <c r="G105" s="4" t="s">
        <v>113</v>
      </c>
      <c r="H105" s="4" t="s">
        <v>103</v>
      </c>
      <c r="I105" s="4" t="s">
        <v>432</v>
      </c>
      <c r="J105" s="5"/>
      <c r="K105" s="5"/>
      <c r="L105" s="4" t="s">
        <v>433</v>
      </c>
      <c r="M105" s="5"/>
      <c r="N105" s="4" t="s">
        <v>107</v>
      </c>
      <c r="O105" s="45">
        <v>324</v>
      </c>
      <c r="P105" s="4" t="s">
        <v>473</v>
      </c>
      <c r="Q105" s="45">
        <v>324</v>
      </c>
      <c r="R105" s="4" t="s">
        <v>8</v>
      </c>
      <c r="S105" s="5">
        <v>1</v>
      </c>
      <c r="T105" s="4" t="s">
        <v>108</v>
      </c>
      <c r="U105" s="5"/>
      <c r="V105" s="5">
        <v>178</v>
      </c>
      <c r="W105" s="4" t="s">
        <v>109</v>
      </c>
      <c r="X105" s="45">
        <v>324</v>
      </c>
      <c r="Y105" s="4" t="s">
        <v>473</v>
      </c>
      <c r="Z105" s="4"/>
      <c r="AA105" s="5">
        <v>1000000</v>
      </c>
      <c r="AB105" s="5">
        <v>1000000</v>
      </c>
      <c r="AC105" s="5">
        <v>0</v>
      </c>
      <c r="AD105" s="5">
        <v>1000000</v>
      </c>
      <c r="AE105" s="5">
        <v>0</v>
      </c>
      <c r="AF105" s="5">
        <v>1000000</v>
      </c>
      <c r="AG105" s="5"/>
    </row>
    <row r="106" spans="1:33" ht="51" x14ac:dyDescent="0.25">
      <c r="A106" s="4" t="s">
        <v>16</v>
      </c>
      <c r="B106" s="4" t="s">
        <v>103</v>
      </c>
      <c r="C106" s="4" t="s">
        <v>103</v>
      </c>
      <c r="D106" s="4" t="s">
        <v>104</v>
      </c>
      <c r="E106" s="4" t="s">
        <v>111</v>
      </c>
      <c r="F106" s="4" t="s">
        <v>112</v>
      </c>
      <c r="G106" s="4" t="s">
        <v>113</v>
      </c>
      <c r="H106" s="4" t="s">
        <v>103</v>
      </c>
      <c r="I106" s="4" t="s">
        <v>432</v>
      </c>
      <c r="J106" s="5"/>
      <c r="K106" s="5"/>
      <c r="L106" s="4" t="s">
        <v>433</v>
      </c>
      <c r="M106" s="5"/>
      <c r="N106" s="4" t="s">
        <v>107</v>
      </c>
      <c r="O106" s="45">
        <v>80</v>
      </c>
      <c r="P106" s="4" t="s">
        <v>474</v>
      </c>
      <c r="Q106" s="45">
        <v>80</v>
      </c>
      <c r="R106" s="4" t="s">
        <v>8</v>
      </c>
      <c r="S106" s="5">
        <v>1</v>
      </c>
      <c r="T106" s="4" t="s">
        <v>108</v>
      </c>
      <c r="U106" s="5"/>
      <c r="V106" s="5">
        <v>57</v>
      </c>
      <c r="W106" s="4" t="s">
        <v>109</v>
      </c>
      <c r="X106" s="45">
        <v>80</v>
      </c>
      <c r="Y106" s="4" t="s">
        <v>474</v>
      </c>
      <c r="Z106" s="4"/>
      <c r="AA106" s="5">
        <v>1000000</v>
      </c>
      <c r="AB106" s="5">
        <v>1000000</v>
      </c>
      <c r="AC106" s="5">
        <v>0</v>
      </c>
      <c r="AD106" s="5">
        <v>1000000</v>
      </c>
      <c r="AE106" s="5">
        <v>0</v>
      </c>
      <c r="AF106" s="5">
        <v>1000000</v>
      </c>
      <c r="AG106" s="5"/>
    </row>
    <row r="107" spans="1:33" ht="51" x14ac:dyDescent="0.25">
      <c r="A107" s="4" t="s">
        <v>16</v>
      </c>
      <c r="B107" s="4" t="s">
        <v>103</v>
      </c>
      <c r="C107" s="4" t="s">
        <v>103</v>
      </c>
      <c r="D107" s="4" t="s">
        <v>104</v>
      </c>
      <c r="E107" s="4" t="s">
        <v>111</v>
      </c>
      <c r="F107" s="4" t="s">
        <v>112</v>
      </c>
      <c r="G107" s="4" t="s">
        <v>113</v>
      </c>
      <c r="H107" s="4" t="s">
        <v>103</v>
      </c>
      <c r="I107" s="4" t="s">
        <v>432</v>
      </c>
      <c r="J107" s="5"/>
      <c r="K107" s="5"/>
      <c r="L107" s="4" t="s">
        <v>433</v>
      </c>
      <c r="M107" s="5"/>
      <c r="N107" s="4" t="s">
        <v>107</v>
      </c>
      <c r="O107" s="45">
        <v>81</v>
      </c>
      <c r="P107" s="4" t="s">
        <v>475</v>
      </c>
      <c r="Q107" s="45">
        <v>81</v>
      </c>
      <c r="R107" s="4" t="s">
        <v>8</v>
      </c>
      <c r="S107" s="5">
        <v>1</v>
      </c>
      <c r="T107" s="4" t="s">
        <v>108</v>
      </c>
      <c r="U107" s="5"/>
      <c r="V107" s="5">
        <v>56</v>
      </c>
      <c r="W107" s="4" t="s">
        <v>109</v>
      </c>
      <c r="X107" s="45">
        <v>81</v>
      </c>
      <c r="Y107" s="4" t="s">
        <v>475</v>
      </c>
      <c r="Z107" s="4"/>
      <c r="AA107" s="5">
        <v>1000000</v>
      </c>
      <c r="AB107" s="5">
        <v>1000000</v>
      </c>
      <c r="AC107" s="5">
        <v>0</v>
      </c>
      <c r="AD107" s="5">
        <v>1000000</v>
      </c>
      <c r="AE107" s="5">
        <v>0</v>
      </c>
      <c r="AF107" s="5">
        <v>1000000</v>
      </c>
      <c r="AG107" s="5"/>
    </row>
    <row r="108" spans="1:33" ht="51" x14ac:dyDescent="0.25">
      <c r="A108" s="4" t="s">
        <v>16</v>
      </c>
      <c r="B108" s="4" t="s">
        <v>103</v>
      </c>
      <c r="C108" s="4" t="s">
        <v>103</v>
      </c>
      <c r="D108" s="4" t="s">
        <v>104</v>
      </c>
      <c r="E108" s="4" t="s">
        <v>111</v>
      </c>
      <c r="F108" s="4" t="s">
        <v>112</v>
      </c>
      <c r="G108" s="4" t="s">
        <v>113</v>
      </c>
      <c r="H108" s="4" t="s">
        <v>103</v>
      </c>
      <c r="I108" s="4" t="s">
        <v>432</v>
      </c>
      <c r="J108" s="5"/>
      <c r="K108" s="5"/>
      <c r="L108" s="4" t="s">
        <v>433</v>
      </c>
      <c r="M108" s="5"/>
      <c r="N108" s="4" t="s">
        <v>107</v>
      </c>
      <c r="O108" s="45">
        <v>84</v>
      </c>
      <c r="P108" s="4" t="s">
        <v>476</v>
      </c>
      <c r="Q108" s="45">
        <v>84</v>
      </c>
      <c r="R108" s="4" t="s">
        <v>8</v>
      </c>
      <c r="S108" s="5">
        <v>1</v>
      </c>
      <c r="T108" s="4" t="s">
        <v>108</v>
      </c>
      <c r="U108" s="5"/>
      <c r="V108" s="5">
        <v>53</v>
      </c>
      <c r="W108" s="4" t="s">
        <v>109</v>
      </c>
      <c r="X108" s="45">
        <v>84</v>
      </c>
      <c r="Y108" s="4" t="s">
        <v>476</v>
      </c>
      <c r="Z108" s="4"/>
      <c r="AA108" s="5">
        <v>1000000</v>
      </c>
      <c r="AB108" s="5">
        <v>1000000</v>
      </c>
      <c r="AC108" s="5">
        <v>0</v>
      </c>
      <c r="AD108" s="5">
        <v>1000000</v>
      </c>
      <c r="AE108" s="5">
        <v>0</v>
      </c>
      <c r="AF108" s="5">
        <v>1000000</v>
      </c>
      <c r="AG108" s="5"/>
    </row>
    <row r="109" spans="1:33" ht="51" x14ac:dyDescent="0.25">
      <c r="A109" s="4" t="s">
        <v>16</v>
      </c>
      <c r="B109" s="4" t="s">
        <v>103</v>
      </c>
      <c r="C109" s="4" t="s">
        <v>103</v>
      </c>
      <c r="D109" s="4" t="s">
        <v>104</v>
      </c>
      <c r="E109" s="4" t="s">
        <v>111</v>
      </c>
      <c r="F109" s="4" t="s">
        <v>112</v>
      </c>
      <c r="G109" s="4" t="s">
        <v>113</v>
      </c>
      <c r="H109" s="4" t="s">
        <v>103</v>
      </c>
      <c r="I109" s="4" t="s">
        <v>432</v>
      </c>
      <c r="J109" s="5"/>
      <c r="K109" s="5"/>
      <c r="L109" s="4" t="s">
        <v>433</v>
      </c>
      <c r="M109" s="5"/>
      <c r="N109" s="4" t="s">
        <v>107</v>
      </c>
      <c r="O109" s="45">
        <v>86</v>
      </c>
      <c r="P109" s="4" t="s">
        <v>477</v>
      </c>
      <c r="Q109" s="45">
        <v>86</v>
      </c>
      <c r="R109" s="4" t="s">
        <v>8</v>
      </c>
      <c r="S109" s="5">
        <v>1</v>
      </c>
      <c r="T109" s="4" t="s">
        <v>108</v>
      </c>
      <c r="U109" s="5"/>
      <c r="V109" s="5">
        <v>51</v>
      </c>
      <c r="W109" s="4" t="s">
        <v>109</v>
      </c>
      <c r="X109" s="45">
        <v>86</v>
      </c>
      <c r="Y109" s="4" t="s">
        <v>477</v>
      </c>
      <c r="Z109" s="4"/>
      <c r="AA109" s="5">
        <v>1000000</v>
      </c>
      <c r="AB109" s="5">
        <v>1000000</v>
      </c>
      <c r="AC109" s="5">
        <v>0</v>
      </c>
      <c r="AD109" s="5">
        <v>1000000</v>
      </c>
      <c r="AE109" s="5">
        <v>0</v>
      </c>
      <c r="AF109" s="5">
        <v>1000000</v>
      </c>
      <c r="AG109" s="5"/>
    </row>
    <row r="110" spans="1:33" ht="51" x14ac:dyDescent="0.25">
      <c r="A110" s="4" t="s">
        <v>16</v>
      </c>
      <c r="B110" s="4" t="s">
        <v>103</v>
      </c>
      <c r="C110" s="4" t="s">
        <v>103</v>
      </c>
      <c r="D110" s="4" t="s">
        <v>104</v>
      </c>
      <c r="E110" s="4" t="s">
        <v>111</v>
      </c>
      <c r="F110" s="4" t="s">
        <v>112</v>
      </c>
      <c r="G110" s="4" t="s">
        <v>113</v>
      </c>
      <c r="H110" s="4" t="s">
        <v>103</v>
      </c>
      <c r="I110" s="4" t="s">
        <v>432</v>
      </c>
      <c r="J110" s="5"/>
      <c r="K110" s="5"/>
      <c r="L110" s="4" t="s">
        <v>433</v>
      </c>
      <c r="M110" s="5"/>
      <c r="N110" s="4" t="s">
        <v>107</v>
      </c>
      <c r="O110" s="45">
        <v>87</v>
      </c>
      <c r="P110" s="4" t="s">
        <v>478</v>
      </c>
      <c r="Q110" s="45">
        <v>87</v>
      </c>
      <c r="R110" s="4" t="s">
        <v>8</v>
      </c>
      <c r="S110" s="5">
        <v>1</v>
      </c>
      <c r="T110" s="4" t="s">
        <v>108</v>
      </c>
      <c r="U110" s="5"/>
      <c r="V110" s="5">
        <v>50</v>
      </c>
      <c r="W110" s="4" t="s">
        <v>109</v>
      </c>
      <c r="X110" s="45">
        <v>87</v>
      </c>
      <c r="Y110" s="4" t="s">
        <v>478</v>
      </c>
      <c r="Z110" s="4"/>
      <c r="AA110" s="5">
        <v>1000000</v>
      </c>
      <c r="AB110" s="5">
        <v>1000000</v>
      </c>
      <c r="AC110" s="5">
        <v>0</v>
      </c>
      <c r="AD110" s="5">
        <v>1000000</v>
      </c>
      <c r="AE110" s="5">
        <v>0</v>
      </c>
      <c r="AF110" s="5">
        <v>1000000</v>
      </c>
      <c r="AG110" s="5"/>
    </row>
    <row r="111" spans="1:33" ht="51" x14ac:dyDescent="0.25">
      <c r="A111" s="4" t="s">
        <v>16</v>
      </c>
      <c r="B111" s="4" t="s">
        <v>103</v>
      </c>
      <c r="C111" s="4" t="s">
        <v>103</v>
      </c>
      <c r="D111" s="4" t="s">
        <v>104</v>
      </c>
      <c r="E111" s="4" t="s">
        <v>111</v>
      </c>
      <c r="F111" s="4" t="s">
        <v>112</v>
      </c>
      <c r="G111" s="4" t="s">
        <v>113</v>
      </c>
      <c r="H111" s="4" t="s">
        <v>103</v>
      </c>
      <c r="I111" s="4" t="s">
        <v>432</v>
      </c>
      <c r="J111" s="5"/>
      <c r="K111" s="5"/>
      <c r="L111" s="4" t="s">
        <v>433</v>
      </c>
      <c r="M111" s="5"/>
      <c r="N111" s="4" t="s">
        <v>107</v>
      </c>
      <c r="O111" s="45">
        <v>88</v>
      </c>
      <c r="P111" s="4" t="s">
        <v>479</v>
      </c>
      <c r="Q111" s="45">
        <v>88</v>
      </c>
      <c r="R111" s="4" t="s">
        <v>8</v>
      </c>
      <c r="S111" s="5">
        <v>1</v>
      </c>
      <c r="T111" s="4" t="s">
        <v>108</v>
      </c>
      <c r="U111" s="5"/>
      <c r="V111" s="5">
        <v>49</v>
      </c>
      <c r="W111" s="4" t="s">
        <v>109</v>
      </c>
      <c r="X111" s="45">
        <v>88</v>
      </c>
      <c r="Y111" s="4" t="s">
        <v>479</v>
      </c>
      <c r="Z111" s="4"/>
      <c r="AA111" s="5">
        <v>1000000</v>
      </c>
      <c r="AB111" s="5">
        <v>1000000</v>
      </c>
      <c r="AC111" s="5">
        <v>0</v>
      </c>
      <c r="AD111" s="5">
        <v>1000000</v>
      </c>
      <c r="AE111" s="5">
        <v>0</v>
      </c>
      <c r="AF111" s="5">
        <v>1000000</v>
      </c>
      <c r="AG111" s="5"/>
    </row>
    <row r="112" spans="1:33" ht="51" x14ac:dyDescent="0.25">
      <c r="A112" s="4" t="s">
        <v>16</v>
      </c>
      <c r="B112" s="4" t="s">
        <v>103</v>
      </c>
      <c r="C112" s="4" t="s">
        <v>103</v>
      </c>
      <c r="D112" s="4" t="s">
        <v>104</v>
      </c>
      <c r="E112" s="4" t="s">
        <v>111</v>
      </c>
      <c r="F112" s="4" t="s">
        <v>112</v>
      </c>
      <c r="G112" s="4" t="s">
        <v>113</v>
      </c>
      <c r="H112" s="4" t="s">
        <v>103</v>
      </c>
      <c r="I112" s="4" t="s">
        <v>432</v>
      </c>
      <c r="J112" s="5"/>
      <c r="K112" s="5"/>
      <c r="L112" s="4" t="s">
        <v>433</v>
      </c>
      <c r="M112" s="5"/>
      <c r="N112" s="4" t="s">
        <v>107</v>
      </c>
      <c r="O112" s="45">
        <v>89</v>
      </c>
      <c r="P112" s="4" t="s">
        <v>480</v>
      </c>
      <c r="Q112" s="45">
        <v>89</v>
      </c>
      <c r="R112" s="4" t="s">
        <v>8</v>
      </c>
      <c r="S112" s="5">
        <v>1</v>
      </c>
      <c r="T112" s="4" t="s">
        <v>108</v>
      </c>
      <c r="U112" s="5"/>
      <c r="V112" s="5">
        <v>48</v>
      </c>
      <c r="W112" s="4" t="s">
        <v>109</v>
      </c>
      <c r="X112" s="45">
        <v>89</v>
      </c>
      <c r="Y112" s="4" t="s">
        <v>480</v>
      </c>
      <c r="Z112" s="4"/>
      <c r="AA112" s="5">
        <v>1000000</v>
      </c>
      <c r="AB112" s="5">
        <v>1000000</v>
      </c>
      <c r="AC112" s="5">
        <v>0</v>
      </c>
      <c r="AD112" s="5">
        <v>1000000</v>
      </c>
      <c r="AE112" s="5">
        <v>0</v>
      </c>
      <c r="AF112" s="5">
        <v>1000000</v>
      </c>
      <c r="AG112" s="5"/>
    </row>
    <row r="113" spans="1:33" ht="51" x14ac:dyDescent="0.25">
      <c r="A113" s="4" t="s">
        <v>16</v>
      </c>
      <c r="B113" s="4" t="s">
        <v>103</v>
      </c>
      <c r="C113" s="4" t="s">
        <v>103</v>
      </c>
      <c r="D113" s="4" t="s">
        <v>104</v>
      </c>
      <c r="E113" s="4" t="s">
        <v>111</v>
      </c>
      <c r="F113" s="4" t="s">
        <v>112</v>
      </c>
      <c r="G113" s="4" t="s">
        <v>113</v>
      </c>
      <c r="H113" s="4" t="s">
        <v>103</v>
      </c>
      <c r="I113" s="4" t="s">
        <v>432</v>
      </c>
      <c r="J113" s="5"/>
      <c r="K113" s="5"/>
      <c r="L113" s="4" t="s">
        <v>433</v>
      </c>
      <c r="M113" s="5"/>
      <c r="N113" s="4" t="s">
        <v>107</v>
      </c>
      <c r="O113" s="45">
        <v>94</v>
      </c>
      <c r="P113" s="4" t="s">
        <v>201</v>
      </c>
      <c r="Q113" s="45">
        <v>94</v>
      </c>
      <c r="R113" s="4" t="s">
        <v>8</v>
      </c>
      <c r="S113" s="5">
        <v>1</v>
      </c>
      <c r="T113" s="4" t="s">
        <v>108</v>
      </c>
      <c r="U113" s="5"/>
      <c r="V113" s="5">
        <v>43</v>
      </c>
      <c r="W113" s="4" t="s">
        <v>109</v>
      </c>
      <c r="X113" s="45">
        <v>94</v>
      </c>
      <c r="Y113" s="4" t="s">
        <v>201</v>
      </c>
      <c r="Z113" s="5"/>
      <c r="AA113" s="5">
        <v>1000000</v>
      </c>
      <c r="AB113" s="5">
        <v>1000000</v>
      </c>
      <c r="AC113" s="5">
        <v>0</v>
      </c>
      <c r="AD113" s="5">
        <v>1000000</v>
      </c>
      <c r="AE113" s="5">
        <v>0</v>
      </c>
      <c r="AF113" s="5">
        <v>1000000</v>
      </c>
      <c r="AG113" s="5"/>
    </row>
    <row r="114" spans="1:33" ht="51" x14ac:dyDescent="0.25">
      <c r="A114" s="4" t="s">
        <v>16</v>
      </c>
      <c r="B114" s="4" t="s">
        <v>103</v>
      </c>
      <c r="C114" s="4" t="s">
        <v>103</v>
      </c>
      <c r="D114" s="4" t="s">
        <v>104</v>
      </c>
      <c r="E114" s="4" t="s">
        <v>111</v>
      </c>
      <c r="F114" s="4" t="s">
        <v>112</v>
      </c>
      <c r="G114" s="4" t="s">
        <v>113</v>
      </c>
      <c r="H114" s="4" t="s">
        <v>103</v>
      </c>
      <c r="I114" s="4" t="s">
        <v>432</v>
      </c>
      <c r="J114" s="5"/>
      <c r="K114" s="5"/>
      <c r="L114" s="4" t="s">
        <v>433</v>
      </c>
      <c r="M114" s="5"/>
      <c r="N114" s="4" t="s">
        <v>107</v>
      </c>
      <c r="O114" s="45">
        <v>95</v>
      </c>
      <c r="P114" s="4" t="s">
        <v>210</v>
      </c>
      <c r="Q114" s="45">
        <v>95</v>
      </c>
      <c r="R114" s="4" t="s">
        <v>8</v>
      </c>
      <c r="S114" s="5">
        <v>1</v>
      </c>
      <c r="T114" s="4" t="s">
        <v>108</v>
      </c>
      <c r="U114" s="5"/>
      <c r="V114" s="5">
        <v>42</v>
      </c>
      <c r="W114" s="4" t="s">
        <v>109</v>
      </c>
      <c r="X114" s="45">
        <v>95</v>
      </c>
      <c r="Y114" s="4" t="s">
        <v>210</v>
      </c>
      <c r="Z114" s="4"/>
      <c r="AA114" s="5">
        <v>1000000</v>
      </c>
      <c r="AB114" s="5">
        <v>1000000</v>
      </c>
      <c r="AC114" s="5">
        <v>0</v>
      </c>
      <c r="AD114" s="5">
        <v>1000000</v>
      </c>
      <c r="AE114" s="5">
        <v>0</v>
      </c>
      <c r="AF114" s="5">
        <v>1000000</v>
      </c>
      <c r="AG114" s="5"/>
    </row>
    <row r="115" spans="1:33" ht="51" x14ac:dyDescent="0.25">
      <c r="A115" s="4" t="s">
        <v>16</v>
      </c>
      <c r="B115" s="4" t="s">
        <v>103</v>
      </c>
      <c r="C115" s="4" t="s">
        <v>103</v>
      </c>
      <c r="D115" s="4" t="s">
        <v>104</v>
      </c>
      <c r="E115" s="4" t="s">
        <v>111</v>
      </c>
      <c r="F115" s="4" t="s">
        <v>112</v>
      </c>
      <c r="G115" s="4" t="s">
        <v>113</v>
      </c>
      <c r="H115" s="4" t="s">
        <v>103</v>
      </c>
      <c r="I115" s="4" t="s">
        <v>432</v>
      </c>
      <c r="J115" s="5"/>
      <c r="K115" s="5"/>
      <c r="L115" s="4" t="s">
        <v>433</v>
      </c>
      <c r="M115" s="5"/>
      <c r="N115" s="4" t="s">
        <v>107</v>
      </c>
      <c r="O115" s="45">
        <v>96</v>
      </c>
      <c r="P115" s="4" t="s">
        <v>213</v>
      </c>
      <c r="Q115" s="45">
        <v>96</v>
      </c>
      <c r="R115" s="4" t="s">
        <v>8</v>
      </c>
      <c r="S115" s="5">
        <v>1</v>
      </c>
      <c r="T115" s="4" t="s">
        <v>108</v>
      </c>
      <c r="U115" s="5"/>
      <c r="V115" s="5">
        <v>41</v>
      </c>
      <c r="W115" s="4" t="s">
        <v>109</v>
      </c>
      <c r="X115" s="45">
        <v>96</v>
      </c>
      <c r="Y115" s="4" t="s">
        <v>213</v>
      </c>
      <c r="Z115" s="4"/>
      <c r="AA115" s="5">
        <v>1000000</v>
      </c>
      <c r="AB115" s="5">
        <v>1000000</v>
      </c>
      <c r="AC115" s="5">
        <v>0</v>
      </c>
      <c r="AD115" s="5">
        <v>1000000</v>
      </c>
      <c r="AE115" s="5">
        <v>0</v>
      </c>
      <c r="AF115" s="5">
        <v>1000000</v>
      </c>
      <c r="AG115" s="5"/>
    </row>
    <row r="116" spans="1:33" ht="51" x14ac:dyDescent="0.25">
      <c r="A116" s="4" t="s">
        <v>16</v>
      </c>
      <c r="B116" s="4" t="s">
        <v>103</v>
      </c>
      <c r="C116" s="4" t="s">
        <v>103</v>
      </c>
      <c r="D116" s="4" t="s">
        <v>104</v>
      </c>
      <c r="E116" s="4" t="s">
        <v>111</v>
      </c>
      <c r="F116" s="4" t="s">
        <v>112</v>
      </c>
      <c r="G116" s="4" t="s">
        <v>113</v>
      </c>
      <c r="H116" s="4" t="s">
        <v>103</v>
      </c>
      <c r="I116" s="4" t="s">
        <v>432</v>
      </c>
      <c r="J116" s="5"/>
      <c r="K116" s="5"/>
      <c r="L116" s="4" t="s">
        <v>433</v>
      </c>
      <c r="M116" s="5"/>
      <c r="N116" s="4" t="s">
        <v>107</v>
      </c>
      <c r="O116" s="45">
        <v>97</v>
      </c>
      <c r="P116" s="4" t="s">
        <v>216</v>
      </c>
      <c r="Q116" s="45">
        <v>97</v>
      </c>
      <c r="R116" s="4" t="s">
        <v>8</v>
      </c>
      <c r="S116" s="5">
        <v>1</v>
      </c>
      <c r="T116" s="4" t="s">
        <v>108</v>
      </c>
      <c r="U116" s="5"/>
      <c r="V116" s="5">
        <v>40</v>
      </c>
      <c r="W116" s="4" t="s">
        <v>109</v>
      </c>
      <c r="X116" s="45">
        <v>97</v>
      </c>
      <c r="Y116" s="4" t="s">
        <v>216</v>
      </c>
      <c r="Z116" s="4"/>
      <c r="AA116" s="5">
        <v>1000000</v>
      </c>
      <c r="AB116" s="5">
        <v>1000000</v>
      </c>
      <c r="AC116" s="5">
        <v>0</v>
      </c>
      <c r="AD116" s="5">
        <v>1000000</v>
      </c>
      <c r="AE116" s="5">
        <v>0</v>
      </c>
      <c r="AF116" s="5">
        <v>1000000</v>
      </c>
      <c r="AG116" s="5"/>
    </row>
    <row r="117" spans="1:33" ht="51" x14ac:dyDescent="0.25">
      <c r="A117" s="4" t="s">
        <v>16</v>
      </c>
      <c r="B117" s="4" t="s">
        <v>103</v>
      </c>
      <c r="C117" s="4" t="s">
        <v>103</v>
      </c>
      <c r="D117" s="4" t="s">
        <v>104</v>
      </c>
      <c r="E117" s="4" t="s">
        <v>111</v>
      </c>
      <c r="F117" s="4" t="s">
        <v>112</v>
      </c>
      <c r="G117" s="4" t="s">
        <v>113</v>
      </c>
      <c r="H117" s="4" t="s">
        <v>103</v>
      </c>
      <c r="I117" s="4" t="s">
        <v>432</v>
      </c>
      <c r="J117" s="5"/>
      <c r="K117" s="5"/>
      <c r="L117" s="4" t="s">
        <v>433</v>
      </c>
      <c r="M117" s="5"/>
      <c r="N117" s="4" t="s">
        <v>107</v>
      </c>
      <c r="O117" s="45">
        <v>99</v>
      </c>
      <c r="P117" s="4" t="s">
        <v>222</v>
      </c>
      <c r="Q117" s="45">
        <v>99</v>
      </c>
      <c r="R117" s="4" t="s">
        <v>8</v>
      </c>
      <c r="S117" s="5">
        <v>1</v>
      </c>
      <c r="T117" s="4" t="s">
        <v>108</v>
      </c>
      <c r="U117" s="5"/>
      <c r="V117" s="5">
        <v>38</v>
      </c>
      <c r="W117" s="4" t="s">
        <v>109</v>
      </c>
      <c r="X117" s="45">
        <v>99</v>
      </c>
      <c r="Y117" s="4" t="s">
        <v>222</v>
      </c>
      <c r="Z117" s="4"/>
      <c r="AA117" s="5">
        <v>1000000</v>
      </c>
      <c r="AB117" s="5">
        <v>1000000</v>
      </c>
      <c r="AC117" s="5">
        <v>0</v>
      </c>
      <c r="AD117" s="5">
        <v>1000000</v>
      </c>
      <c r="AE117" s="5">
        <v>0</v>
      </c>
      <c r="AF117" s="5">
        <v>1000000</v>
      </c>
      <c r="AG117" s="5"/>
    </row>
    <row r="118" spans="1:33" ht="51" x14ac:dyDescent="0.25">
      <c r="A118" s="4" t="s">
        <v>16</v>
      </c>
      <c r="B118" s="4" t="s">
        <v>103</v>
      </c>
      <c r="C118" s="4" t="s">
        <v>103</v>
      </c>
      <c r="D118" s="4" t="s">
        <v>104</v>
      </c>
      <c r="E118" s="4" t="s">
        <v>111</v>
      </c>
      <c r="F118" s="4" t="s">
        <v>112</v>
      </c>
      <c r="G118" s="4" t="s">
        <v>113</v>
      </c>
      <c r="H118" s="4" t="s">
        <v>103</v>
      </c>
      <c r="I118" s="4" t="s">
        <v>432</v>
      </c>
      <c r="J118" s="5"/>
      <c r="K118" s="5"/>
      <c r="L118" s="4" t="s">
        <v>433</v>
      </c>
      <c r="M118" s="5"/>
      <c r="N118" s="4" t="s">
        <v>107</v>
      </c>
      <c r="O118" s="45">
        <v>100</v>
      </c>
      <c r="P118" s="4" t="s">
        <v>223</v>
      </c>
      <c r="Q118" s="45">
        <v>100</v>
      </c>
      <c r="R118" s="4" t="s">
        <v>8</v>
      </c>
      <c r="S118" s="5">
        <v>1</v>
      </c>
      <c r="T118" s="4" t="s">
        <v>108</v>
      </c>
      <c r="U118" s="5"/>
      <c r="V118" s="5">
        <v>37</v>
      </c>
      <c r="W118" s="4" t="s">
        <v>109</v>
      </c>
      <c r="X118" s="45">
        <v>100</v>
      </c>
      <c r="Y118" s="4" t="s">
        <v>223</v>
      </c>
      <c r="Z118" s="4"/>
      <c r="AA118" s="5">
        <v>1000000</v>
      </c>
      <c r="AB118" s="5">
        <v>1000000</v>
      </c>
      <c r="AC118" s="5">
        <v>0</v>
      </c>
      <c r="AD118" s="5">
        <v>1000000</v>
      </c>
      <c r="AE118" s="5">
        <v>0</v>
      </c>
      <c r="AF118" s="5">
        <v>1000000</v>
      </c>
      <c r="AG118" s="5"/>
    </row>
    <row r="119" spans="1:33" ht="51" x14ac:dyDescent="0.25">
      <c r="A119" s="4" t="s">
        <v>16</v>
      </c>
      <c r="B119" s="4" t="s">
        <v>103</v>
      </c>
      <c r="C119" s="4" t="s">
        <v>103</v>
      </c>
      <c r="D119" s="4" t="s">
        <v>104</v>
      </c>
      <c r="E119" s="4" t="s">
        <v>111</v>
      </c>
      <c r="F119" s="4" t="s">
        <v>112</v>
      </c>
      <c r="G119" s="4" t="s">
        <v>113</v>
      </c>
      <c r="H119" s="4" t="s">
        <v>103</v>
      </c>
      <c r="I119" s="4" t="s">
        <v>432</v>
      </c>
      <c r="J119" s="5"/>
      <c r="K119" s="5"/>
      <c r="L119" s="4" t="s">
        <v>433</v>
      </c>
      <c r="M119" s="5"/>
      <c r="N119" s="4" t="s">
        <v>107</v>
      </c>
      <c r="O119" s="45">
        <v>102</v>
      </c>
      <c r="P119" s="4" t="s">
        <v>231</v>
      </c>
      <c r="Q119" s="45">
        <v>102</v>
      </c>
      <c r="R119" s="4" t="s">
        <v>8</v>
      </c>
      <c r="S119" s="5">
        <v>1</v>
      </c>
      <c r="T119" s="4" t="s">
        <v>108</v>
      </c>
      <c r="U119" s="5"/>
      <c r="V119" s="5">
        <v>35</v>
      </c>
      <c r="W119" s="4" t="s">
        <v>109</v>
      </c>
      <c r="X119" s="45">
        <v>102</v>
      </c>
      <c r="Y119" s="4" t="s">
        <v>231</v>
      </c>
      <c r="Z119" s="4"/>
      <c r="AA119" s="5">
        <v>1000000</v>
      </c>
      <c r="AB119" s="5">
        <v>1000000</v>
      </c>
      <c r="AC119" s="5">
        <v>0</v>
      </c>
      <c r="AD119" s="5">
        <v>1000000</v>
      </c>
      <c r="AE119" s="5">
        <v>0</v>
      </c>
      <c r="AF119" s="5">
        <v>1000000</v>
      </c>
      <c r="AG119" s="5"/>
    </row>
    <row r="120" spans="1:33" ht="51" x14ac:dyDescent="0.25">
      <c r="A120" s="4" t="s">
        <v>16</v>
      </c>
      <c r="B120" s="4" t="s">
        <v>103</v>
      </c>
      <c r="C120" s="4" t="s">
        <v>103</v>
      </c>
      <c r="D120" s="4" t="s">
        <v>104</v>
      </c>
      <c r="E120" s="4" t="s">
        <v>111</v>
      </c>
      <c r="F120" s="4" t="s">
        <v>112</v>
      </c>
      <c r="G120" s="4" t="s">
        <v>113</v>
      </c>
      <c r="H120" s="4" t="s">
        <v>103</v>
      </c>
      <c r="I120" s="4" t="s">
        <v>432</v>
      </c>
      <c r="J120" s="5"/>
      <c r="K120" s="5"/>
      <c r="L120" s="4" t="s">
        <v>433</v>
      </c>
      <c r="M120" s="5"/>
      <c r="N120" s="4" t="s">
        <v>107</v>
      </c>
      <c r="O120" s="45">
        <v>103</v>
      </c>
      <c r="P120" s="4" t="s">
        <v>240</v>
      </c>
      <c r="Q120" s="45">
        <v>103</v>
      </c>
      <c r="R120" s="4" t="s">
        <v>8</v>
      </c>
      <c r="S120" s="5">
        <v>1</v>
      </c>
      <c r="T120" s="4" t="s">
        <v>108</v>
      </c>
      <c r="U120" s="5"/>
      <c r="V120" s="5">
        <v>34</v>
      </c>
      <c r="W120" s="4" t="s">
        <v>109</v>
      </c>
      <c r="X120" s="45">
        <v>103</v>
      </c>
      <c r="Y120" s="4" t="s">
        <v>240</v>
      </c>
      <c r="Z120" s="4"/>
      <c r="AA120" s="5">
        <v>1000000</v>
      </c>
      <c r="AB120" s="5">
        <v>1000000</v>
      </c>
      <c r="AC120" s="5">
        <v>0</v>
      </c>
      <c r="AD120" s="5">
        <v>1000000</v>
      </c>
      <c r="AE120" s="5">
        <v>0</v>
      </c>
      <c r="AF120" s="5">
        <v>1000000</v>
      </c>
      <c r="AG120" s="5"/>
    </row>
    <row r="121" spans="1:33" ht="51" x14ac:dyDescent="0.25">
      <c r="A121" s="4" t="s">
        <v>16</v>
      </c>
      <c r="B121" s="4" t="s">
        <v>103</v>
      </c>
      <c r="C121" s="4" t="s">
        <v>103</v>
      </c>
      <c r="D121" s="4" t="s">
        <v>104</v>
      </c>
      <c r="E121" s="4" t="s">
        <v>111</v>
      </c>
      <c r="F121" s="4" t="s">
        <v>112</v>
      </c>
      <c r="G121" s="4" t="s">
        <v>113</v>
      </c>
      <c r="H121" s="4" t="s">
        <v>103</v>
      </c>
      <c r="I121" s="4" t="s">
        <v>432</v>
      </c>
      <c r="J121" s="5"/>
      <c r="K121" s="5"/>
      <c r="L121" s="4" t="s">
        <v>433</v>
      </c>
      <c r="M121" s="5"/>
      <c r="N121" s="4" t="s">
        <v>107</v>
      </c>
      <c r="O121" s="45">
        <v>105</v>
      </c>
      <c r="P121" s="4" t="s">
        <v>241</v>
      </c>
      <c r="Q121" s="45">
        <v>105</v>
      </c>
      <c r="R121" s="4" t="s">
        <v>8</v>
      </c>
      <c r="S121" s="5">
        <v>1</v>
      </c>
      <c r="T121" s="4" t="s">
        <v>108</v>
      </c>
      <c r="U121" s="5"/>
      <c r="V121" s="5">
        <v>32</v>
      </c>
      <c r="W121" s="4" t="s">
        <v>109</v>
      </c>
      <c r="X121" s="45">
        <v>105</v>
      </c>
      <c r="Y121" s="4" t="s">
        <v>241</v>
      </c>
      <c r="Z121" s="4"/>
      <c r="AA121" s="5">
        <v>1000000</v>
      </c>
      <c r="AB121" s="5">
        <v>1000000</v>
      </c>
      <c r="AC121" s="5">
        <v>0</v>
      </c>
      <c r="AD121" s="5">
        <v>1000000</v>
      </c>
      <c r="AE121" s="5">
        <v>0</v>
      </c>
      <c r="AF121" s="5">
        <v>1000000</v>
      </c>
      <c r="AG121" s="5"/>
    </row>
    <row r="122" spans="1:33" ht="51" x14ac:dyDescent="0.25">
      <c r="A122" s="4" t="s">
        <v>16</v>
      </c>
      <c r="B122" s="4" t="s">
        <v>103</v>
      </c>
      <c r="C122" s="4" t="s">
        <v>103</v>
      </c>
      <c r="D122" s="4" t="s">
        <v>104</v>
      </c>
      <c r="E122" s="4" t="s">
        <v>111</v>
      </c>
      <c r="F122" s="4" t="s">
        <v>112</v>
      </c>
      <c r="G122" s="4" t="s">
        <v>113</v>
      </c>
      <c r="H122" s="4" t="s">
        <v>103</v>
      </c>
      <c r="I122" s="4" t="s">
        <v>432</v>
      </c>
      <c r="J122" s="5"/>
      <c r="K122" s="5"/>
      <c r="L122" s="4" t="s">
        <v>433</v>
      </c>
      <c r="M122" s="5"/>
      <c r="N122" s="4" t="s">
        <v>107</v>
      </c>
      <c r="O122" s="45">
        <v>106</v>
      </c>
      <c r="P122" s="4" t="s">
        <v>242</v>
      </c>
      <c r="Q122" s="45">
        <v>106</v>
      </c>
      <c r="R122" s="4" t="s">
        <v>8</v>
      </c>
      <c r="S122" s="5">
        <v>1</v>
      </c>
      <c r="T122" s="4" t="s">
        <v>108</v>
      </c>
      <c r="U122" s="5"/>
      <c r="V122" s="5">
        <v>31</v>
      </c>
      <c r="W122" s="4" t="s">
        <v>109</v>
      </c>
      <c r="X122" s="45">
        <v>106</v>
      </c>
      <c r="Y122" s="4" t="s">
        <v>242</v>
      </c>
      <c r="Z122" s="4"/>
      <c r="AA122" s="5">
        <v>1000000</v>
      </c>
      <c r="AB122" s="5">
        <v>1000000</v>
      </c>
      <c r="AC122" s="5">
        <v>0</v>
      </c>
      <c r="AD122" s="5">
        <v>1000000</v>
      </c>
      <c r="AE122" s="5">
        <v>0</v>
      </c>
      <c r="AF122" s="5">
        <v>1000000</v>
      </c>
      <c r="AG122" s="5"/>
    </row>
    <row r="123" spans="1:33" ht="51" x14ac:dyDescent="0.25">
      <c r="A123" s="4" t="s">
        <v>16</v>
      </c>
      <c r="B123" s="4" t="s">
        <v>103</v>
      </c>
      <c r="C123" s="4" t="s">
        <v>103</v>
      </c>
      <c r="D123" s="4" t="s">
        <v>104</v>
      </c>
      <c r="E123" s="4" t="s">
        <v>111</v>
      </c>
      <c r="F123" s="4" t="s">
        <v>112</v>
      </c>
      <c r="G123" s="4" t="s">
        <v>113</v>
      </c>
      <c r="H123" s="4" t="s">
        <v>103</v>
      </c>
      <c r="I123" s="4" t="s">
        <v>432</v>
      </c>
      <c r="J123" s="5"/>
      <c r="K123" s="5"/>
      <c r="L123" s="4" t="s">
        <v>433</v>
      </c>
      <c r="M123" s="5"/>
      <c r="N123" s="4" t="s">
        <v>107</v>
      </c>
      <c r="O123" s="45">
        <v>107</v>
      </c>
      <c r="P123" s="4" t="s">
        <v>255</v>
      </c>
      <c r="Q123" s="45">
        <v>107</v>
      </c>
      <c r="R123" s="4" t="s">
        <v>8</v>
      </c>
      <c r="S123" s="5">
        <v>1</v>
      </c>
      <c r="T123" s="4" t="s">
        <v>108</v>
      </c>
      <c r="U123" s="5"/>
      <c r="V123" s="5">
        <v>30</v>
      </c>
      <c r="W123" s="4" t="s">
        <v>109</v>
      </c>
      <c r="X123" s="45">
        <v>107</v>
      </c>
      <c r="Y123" s="4" t="s">
        <v>255</v>
      </c>
      <c r="Z123" s="4"/>
      <c r="AA123" s="5">
        <v>1000000</v>
      </c>
      <c r="AB123" s="5">
        <v>1000000</v>
      </c>
      <c r="AC123" s="5">
        <v>0</v>
      </c>
      <c r="AD123" s="5">
        <v>1000000</v>
      </c>
      <c r="AE123" s="5">
        <v>0</v>
      </c>
      <c r="AF123" s="5">
        <v>1000000</v>
      </c>
      <c r="AG123" s="5"/>
    </row>
    <row r="124" spans="1:33" ht="51" x14ac:dyDescent="0.25">
      <c r="A124" s="4" t="s">
        <v>16</v>
      </c>
      <c r="B124" s="4" t="s">
        <v>103</v>
      </c>
      <c r="C124" s="4" t="s">
        <v>103</v>
      </c>
      <c r="D124" s="4" t="s">
        <v>104</v>
      </c>
      <c r="E124" s="4" t="s">
        <v>111</v>
      </c>
      <c r="F124" s="4" t="s">
        <v>112</v>
      </c>
      <c r="G124" s="4" t="s">
        <v>113</v>
      </c>
      <c r="H124" s="4" t="s">
        <v>103</v>
      </c>
      <c r="I124" s="4" t="s">
        <v>432</v>
      </c>
      <c r="J124" s="5"/>
      <c r="K124" s="5"/>
      <c r="L124" s="4" t="s">
        <v>433</v>
      </c>
      <c r="M124" s="5"/>
      <c r="N124" s="4" t="s">
        <v>107</v>
      </c>
      <c r="O124" s="45">
        <v>109</v>
      </c>
      <c r="P124" s="4" t="s">
        <v>256</v>
      </c>
      <c r="Q124" s="45">
        <v>109</v>
      </c>
      <c r="R124" s="4" t="s">
        <v>8</v>
      </c>
      <c r="S124" s="5">
        <v>1</v>
      </c>
      <c r="T124" s="4" t="s">
        <v>108</v>
      </c>
      <c r="U124" s="5"/>
      <c r="V124" s="5">
        <v>28</v>
      </c>
      <c r="W124" s="4" t="s">
        <v>109</v>
      </c>
      <c r="X124" s="45">
        <v>109</v>
      </c>
      <c r="Y124" s="4" t="s">
        <v>256</v>
      </c>
      <c r="Z124" s="4"/>
      <c r="AA124" s="5">
        <v>1000000</v>
      </c>
      <c r="AB124" s="5">
        <v>1000000</v>
      </c>
      <c r="AC124" s="5">
        <v>0</v>
      </c>
      <c r="AD124" s="5">
        <v>1000000</v>
      </c>
      <c r="AE124" s="5">
        <v>0</v>
      </c>
      <c r="AF124" s="5">
        <v>1000000</v>
      </c>
      <c r="AG124" s="5"/>
    </row>
    <row r="125" spans="1:33" ht="51" x14ac:dyDescent="0.25">
      <c r="A125" s="4" t="s">
        <v>16</v>
      </c>
      <c r="B125" s="4" t="s">
        <v>103</v>
      </c>
      <c r="C125" s="4" t="s">
        <v>103</v>
      </c>
      <c r="D125" s="4" t="s">
        <v>104</v>
      </c>
      <c r="E125" s="4" t="s">
        <v>111</v>
      </c>
      <c r="F125" s="4" t="s">
        <v>112</v>
      </c>
      <c r="G125" s="4" t="s">
        <v>113</v>
      </c>
      <c r="H125" s="4" t="s">
        <v>103</v>
      </c>
      <c r="I125" s="4" t="s">
        <v>432</v>
      </c>
      <c r="J125" s="5"/>
      <c r="K125" s="5"/>
      <c r="L125" s="4" t="s">
        <v>433</v>
      </c>
      <c r="M125" s="5"/>
      <c r="N125" s="4" t="s">
        <v>107</v>
      </c>
      <c r="O125" s="45">
        <v>110</v>
      </c>
      <c r="P125" s="4" t="s">
        <v>264</v>
      </c>
      <c r="Q125" s="45">
        <v>110</v>
      </c>
      <c r="R125" s="4" t="s">
        <v>8</v>
      </c>
      <c r="S125" s="5">
        <v>1</v>
      </c>
      <c r="T125" s="4" t="s">
        <v>108</v>
      </c>
      <c r="U125" s="5"/>
      <c r="V125" s="5">
        <v>27</v>
      </c>
      <c r="W125" s="4" t="s">
        <v>109</v>
      </c>
      <c r="X125" s="45">
        <v>110</v>
      </c>
      <c r="Y125" s="4" t="s">
        <v>264</v>
      </c>
      <c r="Z125" s="4"/>
      <c r="AA125" s="5">
        <v>1000000</v>
      </c>
      <c r="AB125" s="5">
        <v>1000000</v>
      </c>
      <c r="AC125" s="5">
        <v>0</v>
      </c>
      <c r="AD125" s="5">
        <v>1000000</v>
      </c>
      <c r="AE125" s="5">
        <v>0</v>
      </c>
      <c r="AF125" s="5">
        <v>1000000</v>
      </c>
      <c r="AG125" s="5"/>
    </row>
    <row r="126" spans="1:33" ht="51" x14ac:dyDescent="0.25">
      <c r="A126" s="4" t="s">
        <v>16</v>
      </c>
      <c r="B126" s="4" t="s">
        <v>103</v>
      </c>
      <c r="C126" s="4" t="s">
        <v>103</v>
      </c>
      <c r="D126" s="4" t="s">
        <v>104</v>
      </c>
      <c r="E126" s="4" t="s">
        <v>111</v>
      </c>
      <c r="F126" s="4" t="s">
        <v>112</v>
      </c>
      <c r="G126" s="4" t="s">
        <v>113</v>
      </c>
      <c r="H126" s="4" t="s">
        <v>103</v>
      </c>
      <c r="I126" s="4" t="s">
        <v>432</v>
      </c>
      <c r="J126" s="5"/>
      <c r="K126" s="5"/>
      <c r="L126" s="4" t="s">
        <v>433</v>
      </c>
      <c r="M126" s="5"/>
      <c r="N126" s="4" t="s">
        <v>107</v>
      </c>
      <c r="O126" s="45">
        <v>112</v>
      </c>
      <c r="P126" s="4" t="s">
        <v>271</v>
      </c>
      <c r="Q126" s="45">
        <v>112</v>
      </c>
      <c r="R126" s="4" t="s">
        <v>8</v>
      </c>
      <c r="S126" s="5">
        <v>1</v>
      </c>
      <c r="T126" s="4" t="s">
        <v>108</v>
      </c>
      <c r="U126" s="5"/>
      <c r="V126" s="5">
        <v>25</v>
      </c>
      <c r="W126" s="4" t="s">
        <v>109</v>
      </c>
      <c r="X126" s="45">
        <v>112</v>
      </c>
      <c r="Y126" s="4" t="s">
        <v>271</v>
      </c>
      <c r="Z126" s="4"/>
      <c r="AA126" s="5">
        <v>1000000</v>
      </c>
      <c r="AB126" s="5">
        <v>1000000</v>
      </c>
      <c r="AC126" s="5">
        <v>0</v>
      </c>
      <c r="AD126" s="5">
        <v>1000000</v>
      </c>
      <c r="AE126" s="5">
        <v>0</v>
      </c>
      <c r="AF126" s="5">
        <v>1000000</v>
      </c>
      <c r="AG126" s="5"/>
    </row>
    <row r="127" spans="1:33" ht="51" x14ac:dyDescent="0.25">
      <c r="A127" s="4" t="s">
        <v>16</v>
      </c>
      <c r="B127" s="4" t="s">
        <v>103</v>
      </c>
      <c r="C127" s="4" t="s">
        <v>103</v>
      </c>
      <c r="D127" s="4" t="s">
        <v>104</v>
      </c>
      <c r="E127" s="4" t="s">
        <v>111</v>
      </c>
      <c r="F127" s="4" t="s">
        <v>112</v>
      </c>
      <c r="G127" s="4" t="s">
        <v>113</v>
      </c>
      <c r="H127" s="4" t="s">
        <v>103</v>
      </c>
      <c r="I127" s="4" t="s">
        <v>432</v>
      </c>
      <c r="J127" s="5"/>
      <c r="K127" s="5"/>
      <c r="L127" s="4" t="s">
        <v>433</v>
      </c>
      <c r="M127" s="5"/>
      <c r="N127" s="4" t="s">
        <v>107</v>
      </c>
      <c r="O127" s="45">
        <v>113</v>
      </c>
      <c r="P127" s="4" t="s">
        <v>278</v>
      </c>
      <c r="Q127" s="45">
        <v>113</v>
      </c>
      <c r="R127" s="4" t="s">
        <v>8</v>
      </c>
      <c r="S127" s="5">
        <v>1</v>
      </c>
      <c r="T127" s="4" t="s">
        <v>108</v>
      </c>
      <c r="U127" s="5"/>
      <c r="V127" s="5">
        <v>24</v>
      </c>
      <c r="W127" s="4" t="s">
        <v>109</v>
      </c>
      <c r="X127" s="45">
        <v>113</v>
      </c>
      <c r="Y127" s="4" t="s">
        <v>278</v>
      </c>
      <c r="Z127" s="4"/>
      <c r="AA127" s="5">
        <v>1000000</v>
      </c>
      <c r="AB127" s="5">
        <v>1000000</v>
      </c>
      <c r="AC127" s="5">
        <v>0</v>
      </c>
      <c r="AD127" s="5">
        <v>1000000</v>
      </c>
      <c r="AE127" s="5">
        <v>0</v>
      </c>
      <c r="AF127" s="5">
        <v>1000000</v>
      </c>
      <c r="AG127" s="5"/>
    </row>
    <row r="128" spans="1:33" ht="51" x14ac:dyDescent="0.25">
      <c r="A128" s="4" t="s">
        <v>16</v>
      </c>
      <c r="B128" s="4" t="s">
        <v>103</v>
      </c>
      <c r="C128" s="4" t="s">
        <v>103</v>
      </c>
      <c r="D128" s="4" t="s">
        <v>104</v>
      </c>
      <c r="E128" s="4" t="s">
        <v>111</v>
      </c>
      <c r="F128" s="4" t="s">
        <v>112</v>
      </c>
      <c r="G128" s="4" t="s">
        <v>113</v>
      </c>
      <c r="H128" s="4" t="s">
        <v>103</v>
      </c>
      <c r="I128" s="4" t="s">
        <v>432</v>
      </c>
      <c r="J128" s="5"/>
      <c r="K128" s="5"/>
      <c r="L128" s="4" t="s">
        <v>433</v>
      </c>
      <c r="M128" s="5"/>
      <c r="N128" s="4" t="s">
        <v>107</v>
      </c>
      <c r="O128" s="45">
        <v>116</v>
      </c>
      <c r="P128" s="4" t="s">
        <v>279</v>
      </c>
      <c r="Q128" s="45">
        <v>116</v>
      </c>
      <c r="R128" s="4" t="s">
        <v>8</v>
      </c>
      <c r="S128" s="5">
        <v>1</v>
      </c>
      <c r="T128" s="4" t="s">
        <v>108</v>
      </c>
      <c r="U128" s="5"/>
      <c r="V128" s="5">
        <v>21</v>
      </c>
      <c r="W128" s="4" t="s">
        <v>109</v>
      </c>
      <c r="X128" s="45">
        <v>116</v>
      </c>
      <c r="Y128" s="4" t="s">
        <v>279</v>
      </c>
      <c r="Z128" s="4"/>
      <c r="AA128" s="5">
        <v>1000000</v>
      </c>
      <c r="AB128" s="5">
        <v>1000000</v>
      </c>
      <c r="AC128" s="5">
        <v>0</v>
      </c>
      <c r="AD128" s="5">
        <v>1000000</v>
      </c>
      <c r="AE128" s="5">
        <v>0</v>
      </c>
      <c r="AF128" s="5">
        <v>1000000</v>
      </c>
      <c r="AG128" s="5"/>
    </row>
    <row r="129" spans="1:33" ht="51" x14ac:dyDescent="0.25">
      <c r="A129" s="4" t="s">
        <v>16</v>
      </c>
      <c r="B129" s="4" t="s">
        <v>103</v>
      </c>
      <c r="C129" s="4" t="s">
        <v>103</v>
      </c>
      <c r="D129" s="4" t="s">
        <v>104</v>
      </c>
      <c r="E129" s="4" t="s">
        <v>111</v>
      </c>
      <c r="F129" s="4" t="s">
        <v>112</v>
      </c>
      <c r="G129" s="4" t="s">
        <v>113</v>
      </c>
      <c r="H129" s="4" t="s">
        <v>103</v>
      </c>
      <c r="I129" s="4" t="s">
        <v>432</v>
      </c>
      <c r="J129" s="5"/>
      <c r="K129" s="5"/>
      <c r="L129" s="4" t="s">
        <v>433</v>
      </c>
      <c r="M129" s="5"/>
      <c r="N129" s="4" t="s">
        <v>107</v>
      </c>
      <c r="O129" s="45">
        <v>117</v>
      </c>
      <c r="P129" s="4" t="s">
        <v>289</v>
      </c>
      <c r="Q129" s="45">
        <v>117</v>
      </c>
      <c r="R129" s="4" t="s">
        <v>8</v>
      </c>
      <c r="S129" s="5">
        <v>1</v>
      </c>
      <c r="T129" s="4" t="s">
        <v>108</v>
      </c>
      <c r="U129" s="5"/>
      <c r="V129" s="5">
        <v>20</v>
      </c>
      <c r="W129" s="4" t="s">
        <v>109</v>
      </c>
      <c r="X129" s="45">
        <v>117</v>
      </c>
      <c r="Y129" s="4" t="s">
        <v>289</v>
      </c>
      <c r="Z129" s="4"/>
      <c r="AA129" s="5">
        <v>1000000</v>
      </c>
      <c r="AB129" s="5">
        <v>1000000</v>
      </c>
      <c r="AC129" s="5">
        <v>0</v>
      </c>
      <c r="AD129" s="5">
        <v>1000000</v>
      </c>
      <c r="AE129" s="5">
        <v>0</v>
      </c>
      <c r="AF129" s="5">
        <v>1000000</v>
      </c>
      <c r="AG129" s="5"/>
    </row>
    <row r="130" spans="1:33" ht="51" x14ac:dyDescent="0.25">
      <c r="A130" s="4" t="s">
        <v>16</v>
      </c>
      <c r="B130" s="4" t="s">
        <v>103</v>
      </c>
      <c r="C130" s="4" t="s">
        <v>103</v>
      </c>
      <c r="D130" s="4" t="s">
        <v>104</v>
      </c>
      <c r="E130" s="4" t="s">
        <v>111</v>
      </c>
      <c r="F130" s="4" t="s">
        <v>112</v>
      </c>
      <c r="G130" s="4" t="s">
        <v>113</v>
      </c>
      <c r="H130" s="4" t="s">
        <v>103</v>
      </c>
      <c r="I130" s="4" t="s">
        <v>432</v>
      </c>
      <c r="J130" s="5"/>
      <c r="K130" s="5"/>
      <c r="L130" s="4" t="s">
        <v>433</v>
      </c>
      <c r="M130" s="5"/>
      <c r="N130" s="4" t="s">
        <v>107</v>
      </c>
      <c r="O130" s="45">
        <v>118</v>
      </c>
      <c r="P130" s="4" t="s">
        <v>297</v>
      </c>
      <c r="Q130" s="45">
        <v>118</v>
      </c>
      <c r="R130" s="4" t="s">
        <v>8</v>
      </c>
      <c r="S130" s="5">
        <v>1</v>
      </c>
      <c r="T130" s="4" t="s">
        <v>108</v>
      </c>
      <c r="U130" s="5"/>
      <c r="V130" s="5">
        <v>19</v>
      </c>
      <c r="W130" s="4" t="s">
        <v>109</v>
      </c>
      <c r="X130" s="45">
        <v>118</v>
      </c>
      <c r="Y130" s="4" t="s">
        <v>297</v>
      </c>
      <c r="Z130" s="4"/>
      <c r="AA130" s="5">
        <v>1000000</v>
      </c>
      <c r="AB130" s="5">
        <v>1000000</v>
      </c>
      <c r="AC130" s="5">
        <v>0</v>
      </c>
      <c r="AD130" s="5">
        <v>1000000</v>
      </c>
      <c r="AE130" s="5">
        <v>0</v>
      </c>
      <c r="AF130" s="5">
        <v>1000000</v>
      </c>
      <c r="AG130" s="5"/>
    </row>
    <row r="131" spans="1:33" ht="51" x14ac:dyDescent="0.25">
      <c r="A131" s="4" t="s">
        <v>16</v>
      </c>
      <c r="B131" s="4" t="s">
        <v>103</v>
      </c>
      <c r="C131" s="4" t="s">
        <v>103</v>
      </c>
      <c r="D131" s="4" t="s">
        <v>104</v>
      </c>
      <c r="E131" s="4" t="s">
        <v>111</v>
      </c>
      <c r="F131" s="4" t="s">
        <v>112</v>
      </c>
      <c r="G131" s="4" t="s">
        <v>113</v>
      </c>
      <c r="H131" s="4" t="s">
        <v>103</v>
      </c>
      <c r="I131" s="4" t="s">
        <v>432</v>
      </c>
      <c r="J131" s="5"/>
      <c r="K131" s="5"/>
      <c r="L131" s="4" t="s">
        <v>433</v>
      </c>
      <c r="M131" s="5"/>
      <c r="N131" s="4" t="s">
        <v>107</v>
      </c>
      <c r="O131" s="45">
        <v>120</v>
      </c>
      <c r="P131" s="4" t="s">
        <v>301</v>
      </c>
      <c r="Q131" s="45">
        <v>120</v>
      </c>
      <c r="R131" s="4" t="s">
        <v>8</v>
      </c>
      <c r="S131" s="5">
        <v>1</v>
      </c>
      <c r="T131" s="4" t="s">
        <v>108</v>
      </c>
      <c r="U131" s="5"/>
      <c r="V131" s="5">
        <v>17</v>
      </c>
      <c r="W131" s="4" t="s">
        <v>109</v>
      </c>
      <c r="X131" s="45">
        <v>120</v>
      </c>
      <c r="Y131" s="4" t="s">
        <v>301</v>
      </c>
      <c r="Z131" s="4"/>
      <c r="AA131" s="5">
        <v>1000000</v>
      </c>
      <c r="AB131" s="5">
        <v>1000000</v>
      </c>
      <c r="AC131" s="5">
        <v>0</v>
      </c>
      <c r="AD131" s="5">
        <v>1000000</v>
      </c>
      <c r="AE131" s="5">
        <v>0</v>
      </c>
      <c r="AF131" s="5">
        <v>1000000</v>
      </c>
      <c r="AG131" s="5"/>
    </row>
    <row r="132" spans="1:33" ht="51" x14ac:dyDescent="0.25">
      <c r="A132" s="4" t="s">
        <v>16</v>
      </c>
      <c r="B132" s="4" t="s">
        <v>103</v>
      </c>
      <c r="C132" s="4" t="s">
        <v>103</v>
      </c>
      <c r="D132" s="4" t="s">
        <v>104</v>
      </c>
      <c r="E132" s="4" t="s">
        <v>111</v>
      </c>
      <c r="F132" s="4" t="s">
        <v>112</v>
      </c>
      <c r="G132" s="4" t="s">
        <v>113</v>
      </c>
      <c r="H132" s="4" t="s">
        <v>103</v>
      </c>
      <c r="I132" s="4" t="s">
        <v>432</v>
      </c>
      <c r="J132" s="5"/>
      <c r="K132" s="5"/>
      <c r="L132" s="4" t="s">
        <v>433</v>
      </c>
      <c r="M132" s="5"/>
      <c r="N132" s="4" t="s">
        <v>107</v>
      </c>
      <c r="O132" s="45">
        <v>121</v>
      </c>
      <c r="P132" s="4" t="s">
        <v>305</v>
      </c>
      <c r="Q132" s="45">
        <v>121</v>
      </c>
      <c r="R132" s="4" t="s">
        <v>8</v>
      </c>
      <c r="S132" s="5">
        <v>1</v>
      </c>
      <c r="T132" s="4" t="s">
        <v>108</v>
      </c>
      <c r="U132" s="5"/>
      <c r="V132" s="5">
        <v>16</v>
      </c>
      <c r="W132" s="4" t="s">
        <v>109</v>
      </c>
      <c r="X132" s="45">
        <v>121</v>
      </c>
      <c r="Y132" s="4" t="s">
        <v>305</v>
      </c>
      <c r="Z132" s="4"/>
      <c r="AA132" s="5">
        <v>1000000</v>
      </c>
      <c r="AB132" s="5">
        <v>1000000</v>
      </c>
      <c r="AC132" s="5">
        <v>0</v>
      </c>
      <c r="AD132" s="5">
        <v>1000000</v>
      </c>
      <c r="AE132" s="5">
        <v>0</v>
      </c>
      <c r="AF132" s="5">
        <v>1000000</v>
      </c>
      <c r="AG132" s="5"/>
    </row>
    <row r="133" spans="1:33" ht="51" x14ac:dyDescent="0.25">
      <c r="A133" s="4" t="s">
        <v>16</v>
      </c>
      <c r="B133" s="4" t="s">
        <v>103</v>
      </c>
      <c r="C133" s="4" t="s">
        <v>103</v>
      </c>
      <c r="D133" s="4" t="s">
        <v>104</v>
      </c>
      <c r="E133" s="4" t="s">
        <v>111</v>
      </c>
      <c r="F133" s="4" t="s">
        <v>112</v>
      </c>
      <c r="G133" s="4" t="s">
        <v>113</v>
      </c>
      <c r="H133" s="4" t="s">
        <v>103</v>
      </c>
      <c r="I133" s="4" t="s">
        <v>432</v>
      </c>
      <c r="J133" s="5"/>
      <c r="K133" s="5"/>
      <c r="L133" s="4" t="s">
        <v>433</v>
      </c>
      <c r="M133" s="5"/>
      <c r="N133" s="4" t="s">
        <v>107</v>
      </c>
      <c r="O133" s="45">
        <v>123</v>
      </c>
      <c r="P133" s="4" t="s">
        <v>315</v>
      </c>
      <c r="Q133" s="45">
        <v>123</v>
      </c>
      <c r="R133" s="4" t="s">
        <v>8</v>
      </c>
      <c r="S133" s="5">
        <v>1</v>
      </c>
      <c r="T133" s="4" t="s">
        <v>108</v>
      </c>
      <c r="U133" s="5"/>
      <c r="V133" s="5">
        <v>14</v>
      </c>
      <c r="W133" s="4" t="s">
        <v>109</v>
      </c>
      <c r="X133" s="45">
        <v>123</v>
      </c>
      <c r="Y133" s="4" t="s">
        <v>315</v>
      </c>
      <c r="Z133" s="4"/>
      <c r="AA133" s="5">
        <v>1000000</v>
      </c>
      <c r="AB133" s="5">
        <v>1000000</v>
      </c>
      <c r="AC133" s="5">
        <v>0</v>
      </c>
      <c r="AD133" s="5">
        <v>1000000</v>
      </c>
      <c r="AE133" s="5">
        <v>0</v>
      </c>
      <c r="AF133" s="5">
        <v>1000000</v>
      </c>
      <c r="AG133" s="5"/>
    </row>
    <row r="134" spans="1:33" ht="51" x14ac:dyDescent="0.25">
      <c r="A134" s="4" t="s">
        <v>16</v>
      </c>
      <c r="B134" s="4" t="s">
        <v>103</v>
      </c>
      <c r="C134" s="4" t="s">
        <v>103</v>
      </c>
      <c r="D134" s="4" t="s">
        <v>104</v>
      </c>
      <c r="E134" s="4" t="s">
        <v>111</v>
      </c>
      <c r="F134" s="4" t="s">
        <v>112</v>
      </c>
      <c r="G134" s="4" t="s">
        <v>113</v>
      </c>
      <c r="H134" s="4" t="s">
        <v>103</v>
      </c>
      <c r="I134" s="4" t="s">
        <v>432</v>
      </c>
      <c r="J134" s="5"/>
      <c r="K134" s="5"/>
      <c r="L134" s="4" t="s">
        <v>433</v>
      </c>
      <c r="M134" s="5"/>
      <c r="N134" s="4" t="s">
        <v>107</v>
      </c>
      <c r="O134" s="45">
        <v>124</v>
      </c>
      <c r="P134" s="4" t="s">
        <v>323</v>
      </c>
      <c r="Q134" s="45">
        <v>124</v>
      </c>
      <c r="R134" s="4" t="s">
        <v>8</v>
      </c>
      <c r="S134" s="5">
        <v>1</v>
      </c>
      <c r="T134" s="4" t="s">
        <v>108</v>
      </c>
      <c r="U134" s="5"/>
      <c r="V134" s="5">
        <v>13</v>
      </c>
      <c r="W134" s="4" t="s">
        <v>109</v>
      </c>
      <c r="X134" s="45">
        <v>124</v>
      </c>
      <c r="Y134" s="4" t="s">
        <v>323</v>
      </c>
      <c r="Z134" s="4"/>
      <c r="AA134" s="5">
        <v>1000000</v>
      </c>
      <c r="AB134" s="5">
        <v>1000000</v>
      </c>
      <c r="AC134" s="5">
        <v>0</v>
      </c>
      <c r="AD134" s="5">
        <v>1000000</v>
      </c>
      <c r="AE134" s="5">
        <v>0</v>
      </c>
      <c r="AF134" s="5">
        <v>1000000</v>
      </c>
      <c r="AG134" s="5"/>
    </row>
    <row r="135" spans="1:33" ht="51" x14ac:dyDescent="0.25">
      <c r="A135" s="4" t="s">
        <v>16</v>
      </c>
      <c r="B135" s="4" t="s">
        <v>103</v>
      </c>
      <c r="C135" s="4" t="s">
        <v>103</v>
      </c>
      <c r="D135" s="4" t="s">
        <v>104</v>
      </c>
      <c r="E135" s="4" t="s">
        <v>111</v>
      </c>
      <c r="F135" s="4" t="s">
        <v>112</v>
      </c>
      <c r="G135" s="4" t="s">
        <v>113</v>
      </c>
      <c r="H135" s="4" t="s">
        <v>103</v>
      </c>
      <c r="I135" s="4" t="s">
        <v>432</v>
      </c>
      <c r="J135" s="5"/>
      <c r="K135" s="5"/>
      <c r="L135" s="4" t="s">
        <v>433</v>
      </c>
      <c r="M135" s="5"/>
      <c r="N135" s="4" t="s">
        <v>107</v>
      </c>
      <c r="O135" s="45">
        <v>126</v>
      </c>
      <c r="P135" s="4" t="s">
        <v>330</v>
      </c>
      <c r="Q135" s="45">
        <v>126</v>
      </c>
      <c r="R135" s="4" t="s">
        <v>8</v>
      </c>
      <c r="S135" s="5">
        <v>1</v>
      </c>
      <c r="T135" s="4" t="s">
        <v>108</v>
      </c>
      <c r="U135" s="5"/>
      <c r="V135" s="5">
        <v>11</v>
      </c>
      <c r="W135" s="4" t="s">
        <v>109</v>
      </c>
      <c r="X135" s="45">
        <v>126</v>
      </c>
      <c r="Y135" s="4" t="s">
        <v>330</v>
      </c>
      <c r="Z135" s="4"/>
      <c r="AA135" s="5">
        <v>1000000</v>
      </c>
      <c r="AB135" s="5">
        <v>1000000</v>
      </c>
      <c r="AC135" s="5">
        <v>0</v>
      </c>
      <c r="AD135" s="5">
        <v>1000000</v>
      </c>
      <c r="AE135" s="5">
        <v>0</v>
      </c>
      <c r="AF135" s="5">
        <v>1000000</v>
      </c>
      <c r="AG135" s="5"/>
    </row>
    <row r="136" spans="1:33" ht="51" x14ac:dyDescent="0.25">
      <c r="A136" s="4" t="s">
        <v>16</v>
      </c>
      <c r="B136" s="4" t="s">
        <v>103</v>
      </c>
      <c r="C136" s="4" t="s">
        <v>103</v>
      </c>
      <c r="D136" s="4" t="s">
        <v>104</v>
      </c>
      <c r="E136" s="4" t="s">
        <v>111</v>
      </c>
      <c r="F136" s="4" t="s">
        <v>112</v>
      </c>
      <c r="G136" s="4" t="s">
        <v>113</v>
      </c>
      <c r="H136" s="4" t="s">
        <v>103</v>
      </c>
      <c r="I136" s="4" t="s">
        <v>432</v>
      </c>
      <c r="J136" s="5"/>
      <c r="K136" s="5"/>
      <c r="L136" s="4" t="s">
        <v>433</v>
      </c>
      <c r="M136" s="5"/>
      <c r="N136" s="4" t="s">
        <v>107</v>
      </c>
      <c r="O136" s="45">
        <v>128</v>
      </c>
      <c r="P136" s="4" t="s">
        <v>348</v>
      </c>
      <c r="Q136" s="45">
        <v>128</v>
      </c>
      <c r="R136" s="4" t="s">
        <v>8</v>
      </c>
      <c r="S136" s="5">
        <v>1</v>
      </c>
      <c r="T136" s="4" t="s">
        <v>108</v>
      </c>
      <c r="U136" s="5"/>
      <c r="V136" s="5">
        <v>9</v>
      </c>
      <c r="W136" s="4" t="s">
        <v>109</v>
      </c>
      <c r="X136" s="45">
        <v>128</v>
      </c>
      <c r="Y136" s="4" t="s">
        <v>348</v>
      </c>
      <c r="Z136" s="4"/>
      <c r="AA136" s="5">
        <v>1000000</v>
      </c>
      <c r="AB136" s="5">
        <v>1000000</v>
      </c>
      <c r="AC136" s="5">
        <v>0</v>
      </c>
      <c r="AD136" s="5">
        <v>1000000</v>
      </c>
      <c r="AE136" s="5">
        <v>0</v>
      </c>
      <c r="AF136" s="5">
        <v>1000000</v>
      </c>
      <c r="AG136" s="5"/>
    </row>
    <row r="137" spans="1:33" ht="51" x14ac:dyDescent="0.25">
      <c r="A137" s="4" t="s">
        <v>16</v>
      </c>
      <c r="B137" s="4" t="s">
        <v>103</v>
      </c>
      <c r="C137" s="4" t="s">
        <v>103</v>
      </c>
      <c r="D137" s="4" t="s">
        <v>104</v>
      </c>
      <c r="E137" s="4" t="s">
        <v>111</v>
      </c>
      <c r="F137" s="4" t="s">
        <v>112</v>
      </c>
      <c r="G137" s="4" t="s">
        <v>113</v>
      </c>
      <c r="H137" s="4" t="s">
        <v>103</v>
      </c>
      <c r="I137" s="4" t="s">
        <v>432</v>
      </c>
      <c r="J137" s="5"/>
      <c r="K137" s="5"/>
      <c r="L137" s="4" t="s">
        <v>433</v>
      </c>
      <c r="M137" s="5"/>
      <c r="N137" s="4" t="s">
        <v>107</v>
      </c>
      <c r="O137" s="45">
        <v>130</v>
      </c>
      <c r="P137" s="4" t="s">
        <v>349</v>
      </c>
      <c r="Q137" s="45">
        <v>130</v>
      </c>
      <c r="R137" s="4" t="s">
        <v>8</v>
      </c>
      <c r="S137" s="5">
        <v>1</v>
      </c>
      <c r="T137" s="4" t="s">
        <v>108</v>
      </c>
      <c r="U137" s="5"/>
      <c r="V137" s="5">
        <v>7</v>
      </c>
      <c r="W137" s="4" t="s">
        <v>109</v>
      </c>
      <c r="X137" s="45">
        <v>130</v>
      </c>
      <c r="Y137" s="4" t="s">
        <v>349</v>
      </c>
      <c r="Z137" s="4"/>
      <c r="AA137" s="5">
        <v>1000000</v>
      </c>
      <c r="AB137" s="5">
        <v>1000000</v>
      </c>
      <c r="AC137" s="5">
        <v>0</v>
      </c>
      <c r="AD137" s="5">
        <v>1000000</v>
      </c>
      <c r="AE137" s="5">
        <v>0</v>
      </c>
      <c r="AF137" s="5">
        <v>1000000</v>
      </c>
      <c r="AG137" s="5"/>
    </row>
    <row r="138" spans="1:33" ht="51" x14ac:dyDescent="0.25">
      <c r="A138" s="4" t="s">
        <v>16</v>
      </c>
      <c r="B138" s="4" t="s">
        <v>103</v>
      </c>
      <c r="C138" s="4" t="s">
        <v>103</v>
      </c>
      <c r="D138" s="4" t="s">
        <v>104</v>
      </c>
      <c r="E138" s="4" t="s">
        <v>111</v>
      </c>
      <c r="F138" s="4" t="s">
        <v>112</v>
      </c>
      <c r="G138" s="4" t="s">
        <v>113</v>
      </c>
      <c r="H138" s="4" t="s">
        <v>103</v>
      </c>
      <c r="I138" s="4" t="s">
        <v>432</v>
      </c>
      <c r="J138" s="5"/>
      <c r="K138" s="5"/>
      <c r="L138" s="4" t="s">
        <v>433</v>
      </c>
      <c r="M138" s="5"/>
      <c r="N138" s="4" t="s">
        <v>107</v>
      </c>
      <c r="O138" s="45">
        <v>132</v>
      </c>
      <c r="P138" s="4" t="s">
        <v>404</v>
      </c>
      <c r="Q138" s="45">
        <v>132</v>
      </c>
      <c r="R138" s="4" t="s">
        <v>8</v>
      </c>
      <c r="S138" s="5">
        <v>1</v>
      </c>
      <c r="T138" s="4" t="s">
        <v>108</v>
      </c>
      <c r="U138" s="5"/>
      <c r="V138" s="5">
        <v>5</v>
      </c>
      <c r="W138" s="4" t="s">
        <v>109</v>
      </c>
      <c r="X138" s="45">
        <v>132</v>
      </c>
      <c r="Y138" s="4" t="s">
        <v>404</v>
      </c>
      <c r="Z138" s="4"/>
      <c r="AA138" s="5">
        <v>1000000</v>
      </c>
      <c r="AB138" s="5">
        <v>1000000</v>
      </c>
      <c r="AC138" s="5">
        <v>0</v>
      </c>
      <c r="AD138" s="5">
        <v>1000000</v>
      </c>
      <c r="AE138" s="5">
        <v>0</v>
      </c>
      <c r="AF138" s="5">
        <v>1000000</v>
      </c>
      <c r="AG138" s="5"/>
    </row>
    <row r="139" spans="1:33" ht="51" x14ac:dyDescent="0.25">
      <c r="A139" s="4" t="s">
        <v>16</v>
      </c>
      <c r="B139" s="4" t="s">
        <v>103</v>
      </c>
      <c r="C139" s="4" t="s">
        <v>103</v>
      </c>
      <c r="D139" s="4" t="s">
        <v>104</v>
      </c>
      <c r="E139" s="4" t="s">
        <v>111</v>
      </c>
      <c r="F139" s="4" t="s">
        <v>112</v>
      </c>
      <c r="G139" s="4" t="s">
        <v>113</v>
      </c>
      <c r="H139" s="4" t="s">
        <v>103</v>
      </c>
      <c r="I139" s="4" t="s">
        <v>432</v>
      </c>
      <c r="J139" s="5"/>
      <c r="K139" s="5"/>
      <c r="L139" s="4" t="s">
        <v>433</v>
      </c>
      <c r="M139" s="5"/>
      <c r="N139" s="4" t="s">
        <v>107</v>
      </c>
      <c r="O139" s="45">
        <v>133</v>
      </c>
      <c r="P139" s="4" t="s">
        <v>405</v>
      </c>
      <c r="Q139" s="45">
        <v>133</v>
      </c>
      <c r="R139" s="4" t="s">
        <v>8</v>
      </c>
      <c r="S139" s="5">
        <v>1</v>
      </c>
      <c r="T139" s="4" t="s">
        <v>108</v>
      </c>
      <c r="U139" s="5"/>
      <c r="V139" s="5">
        <v>4</v>
      </c>
      <c r="W139" s="4" t="s">
        <v>109</v>
      </c>
      <c r="X139" s="45">
        <v>133</v>
      </c>
      <c r="Y139" s="4" t="s">
        <v>405</v>
      </c>
      <c r="Z139" s="4"/>
      <c r="AA139" s="5">
        <v>1000000</v>
      </c>
      <c r="AB139" s="5">
        <v>1000000</v>
      </c>
      <c r="AC139" s="5">
        <v>0</v>
      </c>
      <c r="AD139" s="5">
        <v>1000000</v>
      </c>
      <c r="AE139" s="5">
        <v>0</v>
      </c>
      <c r="AF139" s="5">
        <v>1000000</v>
      </c>
      <c r="AG139" s="5"/>
    </row>
    <row r="140" spans="1:33" ht="51" x14ac:dyDescent="0.25">
      <c r="A140" s="4" t="s">
        <v>16</v>
      </c>
      <c r="B140" s="4" t="s">
        <v>103</v>
      </c>
      <c r="C140" s="4" t="s">
        <v>103</v>
      </c>
      <c r="D140" s="4" t="s">
        <v>104</v>
      </c>
      <c r="E140" s="4" t="s">
        <v>111</v>
      </c>
      <c r="F140" s="4" t="s">
        <v>112</v>
      </c>
      <c r="G140" s="4" t="s">
        <v>113</v>
      </c>
      <c r="H140" s="4" t="s">
        <v>103</v>
      </c>
      <c r="I140" s="4" t="s">
        <v>432</v>
      </c>
      <c r="J140" s="5"/>
      <c r="K140" s="5"/>
      <c r="L140" s="4" t="s">
        <v>433</v>
      </c>
      <c r="M140" s="5"/>
      <c r="N140" s="4" t="s">
        <v>107</v>
      </c>
      <c r="O140" s="45">
        <v>137</v>
      </c>
      <c r="P140" s="4" t="s">
        <v>417</v>
      </c>
      <c r="Q140" s="45">
        <v>137</v>
      </c>
      <c r="R140" s="4" t="s">
        <v>8</v>
      </c>
      <c r="S140" s="5">
        <v>1</v>
      </c>
      <c r="T140" s="4" t="s">
        <v>108</v>
      </c>
      <c r="U140" s="5"/>
      <c r="V140" s="5">
        <v>0</v>
      </c>
      <c r="W140" s="4" t="s">
        <v>109</v>
      </c>
      <c r="X140" s="45">
        <v>137</v>
      </c>
      <c r="Y140" s="4" t="s">
        <v>417</v>
      </c>
      <c r="Z140" s="4"/>
      <c r="AA140" s="5">
        <v>1000000</v>
      </c>
      <c r="AB140" s="5">
        <v>1000000</v>
      </c>
      <c r="AC140" s="5">
        <v>1142385</v>
      </c>
      <c r="AD140" s="5">
        <v>1000000</v>
      </c>
      <c r="AE140" s="5">
        <v>0</v>
      </c>
      <c r="AF140" s="5">
        <v>1000000</v>
      </c>
      <c r="AG140" s="5"/>
    </row>
    <row r="141" spans="1:33" ht="51" x14ac:dyDescent="0.25">
      <c r="A141" s="4" t="s">
        <v>17</v>
      </c>
      <c r="B141" s="4" t="s">
        <v>103</v>
      </c>
      <c r="C141" s="4" t="s">
        <v>103</v>
      </c>
      <c r="D141" s="4" t="s">
        <v>104</v>
      </c>
      <c r="E141" s="4" t="s">
        <v>111</v>
      </c>
      <c r="F141" s="4" t="s">
        <v>112</v>
      </c>
      <c r="G141" s="4" t="s">
        <v>113</v>
      </c>
      <c r="H141" s="4" t="s">
        <v>103</v>
      </c>
      <c r="I141" s="4" t="s">
        <v>432</v>
      </c>
      <c r="J141" s="5"/>
      <c r="K141" s="5"/>
      <c r="L141" s="4" t="s">
        <v>433</v>
      </c>
      <c r="M141" s="5"/>
      <c r="N141" s="4" t="s">
        <v>107</v>
      </c>
      <c r="O141" s="45">
        <v>82</v>
      </c>
      <c r="P141" s="4" t="s">
        <v>481</v>
      </c>
      <c r="Q141" s="45">
        <v>82</v>
      </c>
      <c r="R141" s="4" t="s">
        <v>8</v>
      </c>
      <c r="S141" s="5">
        <v>1</v>
      </c>
      <c r="T141" s="4" t="s">
        <v>108</v>
      </c>
      <c r="U141" s="5"/>
      <c r="V141" s="5">
        <v>55</v>
      </c>
      <c r="W141" s="4" t="s">
        <v>109</v>
      </c>
      <c r="X141" s="45">
        <v>82</v>
      </c>
      <c r="Y141" s="4" t="s">
        <v>481</v>
      </c>
      <c r="Z141" s="4"/>
      <c r="AA141" s="5">
        <v>1000000</v>
      </c>
      <c r="AB141" s="5">
        <v>1000000</v>
      </c>
      <c r="AC141" s="5">
        <v>0</v>
      </c>
      <c r="AD141" s="5">
        <v>1000000</v>
      </c>
      <c r="AE141" s="5">
        <v>0</v>
      </c>
      <c r="AF141" s="5">
        <v>1000000</v>
      </c>
      <c r="AG141" s="5"/>
    </row>
    <row r="142" spans="1:33" ht="51" x14ac:dyDescent="0.25">
      <c r="A142" s="4" t="s">
        <v>17</v>
      </c>
      <c r="B142" s="4" t="s">
        <v>103</v>
      </c>
      <c r="C142" s="4" t="s">
        <v>103</v>
      </c>
      <c r="D142" s="4" t="s">
        <v>104</v>
      </c>
      <c r="E142" s="4" t="s">
        <v>111</v>
      </c>
      <c r="F142" s="4" t="s">
        <v>112</v>
      </c>
      <c r="G142" s="4" t="s">
        <v>113</v>
      </c>
      <c r="H142" s="4" t="s">
        <v>103</v>
      </c>
      <c r="I142" s="4" t="s">
        <v>432</v>
      </c>
      <c r="J142" s="5"/>
      <c r="K142" s="5"/>
      <c r="L142" s="4" t="s">
        <v>433</v>
      </c>
      <c r="M142" s="5"/>
      <c r="N142" s="4" t="s">
        <v>107</v>
      </c>
      <c r="O142" s="45">
        <v>84</v>
      </c>
      <c r="P142" s="4" t="s">
        <v>482</v>
      </c>
      <c r="Q142" s="45">
        <v>84</v>
      </c>
      <c r="R142" s="4" t="s">
        <v>8</v>
      </c>
      <c r="S142" s="5">
        <v>1</v>
      </c>
      <c r="T142" s="4" t="s">
        <v>108</v>
      </c>
      <c r="U142" s="5"/>
      <c r="V142" s="5">
        <v>53</v>
      </c>
      <c r="W142" s="4" t="s">
        <v>109</v>
      </c>
      <c r="X142" s="45">
        <v>84</v>
      </c>
      <c r="Y142" s="4" t="s">
        <v>482</v>
      </c>
      <c r="Z142" s="4"/>
      <c r="AA142" s="5">
        <v>1000000</v>
      </c>
      <c r="AB142" s="5">
        <v>1000000</v>
      </c>
      <c r="AC142" s="5">
        <v>0</v>
      </c>
      <c r="AD142" s="5">
        <v>1000000</v>
      </c>
      <c r="AE142" s="5">
        <v>0</v>
      </c>
      <c r="AF142" s="5">
        <v>1000000</v>
      </c>
      <c r="AG142" s="5"/>
    </row>
    <row r="143" spans="1:33" ht="51" x14ac:dyDescent="0.25">
      <c r="A143" s="4" t="s">
        <v>17</v>
      </c>
      <c r="B143" s="4" t="s">
        <v>103</v>
      </c>
      <c r="C143" s="4" t="s">
        <v>103</v>
      </c>
      <c r="D143" s="4" t="s">
        <v>104</v>
      </c>
      <c r="E143" s="4" t="s">
        <v>111</v>
      </c>
      <c r="F143" s="4" t="s">
        <v>112</v>
      </c>
      <c r="G143" s="4" t="s">
        <v>113</v>
      </c>
      <c r="H143" s="4" t="s">
        <v>103</v>
      </c>
      <c r="I143" s="4" t="s">
        <v>432</v>
      </c>
      <c r="J143" s="5"/>
      <c r="K143" s="5"/>
      <c r="L143" s="4" t="s">
        <v>433</v>
      </c>
      <c r="M143" s="5"/>
      <c r="N143" s="4" t="s">
        <v>107</v>
      </c>
      <c r="O143" s="45">
        <v>86</v>
      </c>
      <c r="P143" s="4" t="s">
        <v>483</v>
      </c>
      <c r="Q143" s="45">
        <v>86</v>
      </c>
      <c r="R143" s="4" t="s">
        <v>8</v>
      </c>
      <c r="S143" s="5">
        <v>1</v>
      </c>
      <c r="T143" s="4" t="s">
        <v>108</v>
      </c>
      <c r="U143" s="5"/>
      <c r="V143" s="5">
        <v>51</v>
      </c>
      <c r="W143" s="4" t="s">
        <v>109</v>
      </c>
      <c r="X143" s="45">
        <v>86</v>
      </c>
      <c r="Y143" s="4" t="s">
        <v>483</v>
      </c>
      <c r="Z143" s="4"/>
      <c r="AA143" s="5">
        <v>1000000</v>
      </c>
      <c r="AB143" s="5">
        <v>1000000</v>
      </c>
      <c r="AC143" s="5">
        <v>0</v>
      </c>
      <c r="AD143" s="5">
        <v>1000000</v>
      </c>
      <c r="AE143" s="5">
        <v>0</v>
      </c>
      <c r="AF143" s="5">
        <v>1000000</v>
      </c>
      <c r="AG143" s="5"/>
    </row>
    <row r="144" spans="1:33" ht="51" x14ac:dyDescent="0.25">
      <c r="A144" s="4" t="s">
        <v>17</v>
      </c>
      <c r="B144" s="4" t="s">
        <v>103</v>
      </c>
      <c r="C144" s="4" t="s">
        <v>103</v>
      </c>
      <c r="D144" s="4" t="s">
        <v>104</v>
      </c>
      <c r="E144" s="4" t="s">
        <v>111</v>
      </c>
      <c r="F144" s="4" t="s">
        <v>112</v>
      </c>
      <c r="G144" s="4" t="s">
        <v>113</v>
      </c>
      <c r="H144" s="4" t="s">
        <v>103</v>
      </c>
      <c r="I144" s="4" t="s">
        <v>432</v>
      </c>
      <c r="J144" s="5"/>
      <c r="K144" s="5"/>
      <c r="L144" s="4" t="s">
        <v>433</v>
      </c>
      <c r="M144" s="5"/>
      <c r="N144" s="4" t="s">
        <v>107</v>
      </c>
      <c r="O144" s="45">
        <v>86</v>
      </c>
      <c r="P144" s="4" t="s">
        <v>484</v>
      </c>
      <c r="Q144" s="45">
        <v>86</v>
      </c>
      <c r="R144" s="4" t="s">
        <v>8</v>
      </c>
      <c r="S144" s="5">
        <v>1</v>
      </c>
      <c r="T144" s="4" t="s">
        <v>108</v>
      </c>
      <c r="U144" s="5"/>
      <c r="V144" s="5">
        <v>51</v>
      </c>
      <c r="W144" s="4" t="s">
        <v>109</v>
      </c>
      <c r="X144" s="45">
        <v>86</v>
      </c>
      <c r="Y144" s="4" t="s">
        <v>484</v>
      </c>
      <c r="Z144" s="4"/>
      <c r="AA144" s="5">
        <v>1000000</v>
      </c>
      <c r="AB144" s="5">
        <v>1000000</v>
      </c>
      <c r="AC144" s="5">
        <v>0</v>
      </c>
      <c r="AD144" s="5">
        <v>1000000</v>
      </c>
      <c r="AE144" s="5">
        <v>0</v>
      </c>
      <c r="AF144" s="5">
        <v>1000000</v>
      </c>
      <c r="AG144" s="5"/>
    </row>
    <row r="145" spans="1:33" ht="51" x14ac:dyDescent="0.25">
      <c r="A145" s="4" t="s">
        <v>17</v>
      </c>
      <c r="B145" s="4" t="s">
        <v>103</v>
      </c>
      <c r="C145" s="4" t="s">
        <v>103</v>
      </c>
      <c r="D145" s="4" t="s">
        <v>104</v>
      </c>
      <c r="E145" s="4" t="s">
        <v>111</v>
      </c>
      <c r="F145" s="4" t="s">
        <v>112</v>
      </c>
      <c r="G145" s="4" t="s">
        <v>113</v>
      </c>
      <c r="H145" s="4" t="s">
        <v>103</v>
      </c>
      <c r="I145" s="4" t="s">
        <v>432</v>
      </c>
      <c r="J145" s="5"/>
      <c r="K145" s="5"/>
      <c r="L145" s="4" t="s">
        <v>433</v>
      </c>
      <c r="M145" s="5"/>
      <c r="N145" s="4" t="s">
        <v>107</v>
      </c>
      <c r="O145" s="45">
        <v>87</v>
      </c>
      <c r="P145" s="4" t="s">
        <v>485</v>
      </c>
      <c r="Q145" s="45">
        <v>87</v>
      </c>
      <c r="R145" s="4" t="s">
        <v>8</v>
      </c>
      <c r="S145" s="5">
        <v>1</v>
      </c>
      <c r="T145" s="4" t="s">
        <v>108</v>
      </c>
      <c r="U145" s="5"/>
      <c r="V145" s="5">
        <v>50</v>
      </c>
      <c r="W145" s="4" t="s">
        <v>109</v>
      </c>
      <c r="X145" s="45">
        <v>87</v>
      </c>
      <c r="Y145" s="4" t="s">
        <v>485</v>
      </c>
      <c r="Z145" s="5"/>
      <c r="AA145" s="5">
        <v>1000000</v>
      </c>
      <c r="AB145" s="5">
        <v>1000000</v>
      </c>
      <c r="AC145" s="5">
        <v>0</v>
      </c>
      <c r="AD145" s="5">
        <v>1000000</v>
      </c>
      <c r="AE145" s="5">
        <v>0</v>
      </c>
      <c r="AF145" s="5">
        <v>1000000</v>
      </c>
      <c r="AG145" s="5"/>
    </row>
    <row r="146" spans="1:33" ht="51" x14ac:dyDescent="0.25">
      <c r="A146" s="4" t="s">
        <v>17</v>
      </c>
      <c r="B146" s="4" t="s">
        <v>103</v>
      </c>
      <c r="C146" s="4" t="s">
        <v>103</v>
      </c>
      <c r="D146" s="4" t="s">
        <v>104</v>
      </c>
      <c r="E146" s="4" t="s">
        <v>111</v>
      </c>
      <c r="F146" s="4" t="s">
        <v>112</v>
      </c>
      <c r="G146" s="4" t="s">
        <v>113</v>
      </c>
      <c r="H146" s="4" t="s">
        <v>103</v>
      </c>
      <c r="I146" s="4" t="s">
        <v>432</v>
      </c>
      <c r="J146" s="5"/>
      <c r="K146" s="5"/>
      <c r="L146" s="4" t="s">
        <v>433</v>
      </c>
      <c r="M146" s="5"/>
      <c r="N146" s="4" t="s">
        <v>107</v>
      </c>
      <c r="O146" s="45">
        <v>88</v>
      </c>
      <c r="P146" s="4" t="s">
        <v>486</v>
      </c>
      <c r="Q146" s="45">
        <v>88</v>
      </c>
      <c r="R146" s="4" t="s">
        <v>8</v>
      </c>
      <c r="S146" s="5">
        <v>1</v>
      </c>
      <c r="T146" s="4" t="s">
        <v>108</v>
      </c>
      <c r="U146" s="5"/>
      <c r="V146" s="5">
        <v>49</v>
      </c>
      <c r="W146" s="4" t="s">
        <v>109</v>
      </c>
      <c r="X146" s="45">
        <v>88</v>
      </c>
      <c r="Y146" s="4" t="s">
        <v>486</v>
      </c>
      <c r="Z146" s="4"/>
      <c r="AA146" s="5">
        <v>1000000</v>
      </c>
      <c r="AB146" s="5">
        <v>1000000</v>
      </c>
      <c r="AC146" s="5">
        <v>0</v>
      </c>
      <c r="AD146" s="5">
        <v>1000000</v>
      </c>
      <c r="AE146" s="5">
        <v>0</v>
      </c>
      <c r="AF146" s="5">
        <v>1000000</v>
      </c>
      <c r="AG146" s="5"/>
    </row>
    <row r="147" spans="1:33" ht="51" x14ac:dyDescent="0.25">
      <c r="A147" s="4" t="s">
        <v>17</v>
      </c>
      <c r="B147" s="4" t="s">
        <v>103</v>
      </c>
      <c r="C147" s="4" t="s">
        <v>103</v>
      </c>
      <c r="D147" s="4" t="s">
        <v>104</v>
      </c>
      <c r="E147" s="4" t="s">
        <v>111</v>
      </c>
      <c r="F147" s="4" t="s">
        <v>112</v>
      </c>
      <c r="G147" s="4" t="s">
        <v>113</v>
      </c>
      <c r="H147" s="4" t="s">
        <v>103</v>
      </c>
      <c r="I147" s="4" t="s">
        <v>432</v>
      </c>
      <c r="J147" s="5"/>
      <c r="K147" s="5"/>
      <c r="L147" s="4" t="s">
        <v>433</v>
      </c>
      <c r="M147" s="5"/>
      <c r="N147" s="4" t="s">
        <v>107</v>
      </c>
      <c r="O147" s="45">
        <v>89</v>
      </c>
      <c r="P147" s="4" t="s">
        <v>487</v>
      </c>
      <c r="Q147" s="45">
        <v>89</v>
      </c>
      <c r="R147" s="4" t="s">
        <v>8</v>
      </c>
      <c r="S147" s="5">
        <v>1</v>
      </c>
      <c r="T147" s="4" t="s">
        <v>108</v>
      </c>
      <c r="U147" s="5"/>
      <c r="V147" s="5">
        <v>48</v>
      </c>
      <c r="W147" s="4" t="s">
        <v>109</v>
      </c>
      <c r="X147" s="45">
        <v>89</v>
      </c>
      <c r="Y147" s="4" t="s">
        <v>487</v>
      </c>
      <c r="Z147" s="4"/>
      <c r="AA147" s="5">
        <v>1000000</v>
      </c>
      <c r="AB147" s="5">
        <v>1000000</v>
      </c>
      <c r="AC147" s="5">
        <v>0</v>
      </c>
      <c r="AD147" s="5">
        <v>1000000</v>
      </c>
      <c r="AE147" s="5">
        <v>0</v>
      </c>
      <c r="AF147" s="5">
        <v>1000000</v>
      </c>
      <c r="AG147" s="5"/>
    </row>
    <row r="148" spans="1:33" ht="51" x14ac:dyDescent="0.25">
      <c r="A148" s="4" t="s">
        <v>17</v>
      </c>
      <c r="B148" s="4" t="s">
        <v>103</v>
      </c>
      <c r="C148" s="4" t="s">
        <v>103</v>
      </c>
      <c r="D148" s="4" t="s">
        <v>104</v>
      </c>
      <c r="E148" s="4" t="s">
        <v>111</v>
      </c>
      <c r="F148" s="4" t="s">
        <v>112</v>
      </c>
      <c r="G148" s="4" t="s">
        <v>113</v>
      </c>
      <c r="H148" s="4" t="s">
        <v>103</v>
      </c>
      <c r="I148" s="4" t="s">
        <v>432</v>
      </c>
      <c r="J148" s="5"/>
      <c r="K148" s="5"/>
      <c r="L148" s="4" t="s">
        <v>433</v>
      </c>
      <c r="M148" s="5"/>
      <c r="N148" s="4" t="s">
        <v>107</v>
      </c>
      <c r="O148" s="45">
        <v>94</v>
      </c>
      <c r="P148" s="4" t="s">
        <v>202</v>
      </c>
      <c r="Q148" s="45">
        <v>94</v>
      </c>
      <c r="R148" s="4" t="s">
        <v>8</v>
      </c>
      <c r="S148" s="5">
        <v>1</v>
      </c>
      <c r="T148" s="4" t="s">
        <v>108</v>
      </c>
      <c r="U148" s="5"/>
      <c r="V148" s="5">
        <v>43</v>
      </c>
      <c r="W148" s="4" t="s">
        <v>109</v>
      </c>
      <c r="X148" s="45">
        <v>94</v>
      </c>
      <c r="Y148" s="4" t="s">
        <v>202</v>
      </c>
      <c r="Z148" s="4"/>
      <c r="AA148" s="5">
        <v>1000000</v>
      </c>
      <c r="AB148" s="5">
        <v>1000000</v>
      </c>
      <c r="AC148" s="5">
        <v>0</v>
      </c>
      <c r="AD148" s="5">
        <v>1000000</v>
      </c>
      <c r="AE148" s="5">
        <v>0</v>
      </c>
      <c r="AF148" s="5">
        <v>1000000</v>
      </c>
      <c r="AG148" s="5"/>
    </row>
    <row r="149" spans="1:33" ht="51" x14ac:dyDescent="0.25">
      <c r="A149" s="4" t="s">
        <v>17</v>
      </c>
      <c r="B149" s="4" t="s">
        <v>103</v>
      </c>
      <c r="C149" s="4" t="s">
        <v>103</v>
      </c>
      <c r="D149" s="4" t="s">
        <v>104</v>
      </c>
      <c r="E149" s="4" t="s">
        <v>111</v>
      </c>
      <c r="F149" s="4" t="s">
        <v>112</v>
      </c>
      <c r="G149" s="4" t="s">
        <v>113</v>
      </c>
      <c r="H149" s="4" t="s">
        <v>103</v>
      </c>
      <c r="I149" s="4" t="s">
        <v>432</v>
      </c>
      <c r="J149" s="5"/>
      <c r="K149" s="5"/>
      <c r="L149" s="4" t="s">
        <v>433</v>
      </c>
      <c r="M149" s="5"/>
      <c r="N149" s="4" t="s">
        <v>107</v>
      </c>
      <c r="O149" s="45">
        <v>94</v>
      </c>
      <c r="P149" s="4" t="s">
        <v>203</v>
      </c>
      <c r="Q149" s="45">
        <v>94</v>
      </c>
      <c r="R149" s="4" t="s">
        <v>8</v>
      </c>
      <c r="S149" s="5">
        <v>1</v>
      </c>
      <c r="T149" s="4" t="s">
        <v>108</v>
      </c>
      <c r="U149" s="5"/>
      <c r="V149" s="5">
        <v>43</v>
      </c>
      <c r="W149" s="4" t="s">
        <v>109</v>
      </c>
      <c r="X149" s="45">
        <v>94</v>
      </c>
      <c r="Y149" s="4" t="s">
        <v>203</v>
      </c>
      <c r="Z149" s="4"/>
      <c r="AA149" s="5">
        <v>1000000</v>
      </c>
      <c r="AB149" s="5">
        <v>1000000</v>
      </c>
      <c r="AC149" s="5">
        <v>0</v>
      </c>
      <c r="AD149" s="5">
        <v>1000000</v>
      </c>
      <c r="AE149" s="5">
        <v>0</v>
      </c>
      <c r="AF149" s="5">
        <v>1000000</v>
      </c>
      <c r="AG149" s="5"/>
    </row>
    <row r="150" spans="1:33" ht="51" x14ac:dyDescent="0.25">
      <c r="A150" s="4" t="s">
        <v>17</v>
      </c>
      <c r="B150" s="4" t="s">
        <v>103</v>
      </c>
      <c r="C150" s="4" t="s">
        <v>103</v>
      </c>
      <c r="D150" s="4" t="s">
        <v>104</v>
      </c>
      <c r="E150" s="4" t="s">
        <v>111</v>
      </c>
      <c r="F150" s="4" t="s">
        <v>112</v>
      </c>
      <c r="G150" s="4" t="s">
        <v>113</v>
      </c>
      <c r="H150" s="4" t="s">
        <v>103</v>
      </c>
      <c r="I150" s="4" t="s">
        <v>432</v>
      </c>
      <c r="J150" s="5"/>
      <c r="K150" s="5"/>
      <c r="L150" s="4" t="s">
        <v>433</v>
      </c>
      <c r="M150" s="5"/>
      <c r="N150" s="4" t="s">
        <v>107</v>
      </c>
      <c r="O150" s="45">
        <v>102</v>
      </c>
      <c r="P150" s="4" t="s">
        <v>224</v>
      </c>
      <c r="Q150" s="45">
        <v>102</v>
      </c>
      <c r="R150" s="4" t="s">
        <v>8</v>
      </c>
      <c r="S150" s="5">
        <v>1</v>
      </c>
      <c r="T150" s="4" t="s">
        <v>108</v>
      </c>
      <c r="U150" s="5"/>
      <c r="V150" s="5">
        <v>35</v>
      </c>
      <c r="W150" s="4" t="s">
        <v>109</v>
      </c>
      <c r="X150" s="45">
        <v>102</v>
      </c>
      <c r="Y150" s="4" t="s">
        <v>224</v>
      </c>
      <c r="Z150" s="4"/>
      <c r="AA150" s="5">
        <v>1000000</v>
      </c>
      <c r="AB150" s="5">
        <v>1000000</v>
      </c>
      <c r="AC150" s="5">
        <v>0</v>
      </c>
      <c r="AD150" s="5">
        <v>1000000</v>
      </c>
      <c r="AE150" s="5">
        <v>0</v>
      </c>
      <c r="AF150" s="5">
        <v>1000000</v>
      </c>
      <c r="AG150" s="5"/>
    </row>
    <row r="151" spans="1:33" ht="51" x14ac:dyDescent="0.25">
      <c r="A151" s="4" t="s">
        <v>17</v>
      </c>
      <c r="B151" s="4" t="s">
        <v>103</v>
      </c>
      <c r="C151" s="4" t="s">
        <v>103</v>
      </c>
      <c r="D151" s="4" t="s">
        <v>104</v>
      </c>
      <c r="E151" s="4" t="s">
        <v>111</v>
      </c>
      <c r="F151" s="4" t="s">
        <v>112</v>
      </c>
      <c r="G151" s="4" t="s">
        <v>113</v>
      </c>
      <c r="H151" s="4" t="s">
        <v>103</v>
      </c>
      <c r="I151" s="4" t="s">
        <v>432</v>
      </c>
      <c r="J151" s="5"/>
      <c r="K151" s="5"/>
      <c r="L151" s="4" t="s">
        <v>433</v>
      </c>
      <c r="M151" s="5"/>
      <c r="N151" s="4" t="s">
        <v>107</v>
      </c>
      <c r="O151" s="45">
        <v>106</v>
      </c>
      <c r="P151" s="4" t="s">
        <v>243</v>
      </c>
      <c r="Q151" s="45">
        <v>106</v>
      </c>
      <c r="R151" s="4" t="s">
        <v>8</v>
      </c>
      <c r="S151" s="5">
        <v>1</v>
      </c>
      <c r="T151" s="4" t="s">
        <v>108</v>
      </c>
      <c r="U151" s="5"/>
      <c r="V151" s="5">
        <v>31</v>
      </c>
      <c r="W151" s="4" t="s">
        <v>109</v>
      </c>
      <c r="X151" s="45">
        <v>106</v>
      </c>
      <c r="Y151" s="4" t="s">
        <v>243</v>
      </c>
      <c r="Z151" s="4"/>
      <c r="AA151" s="5">
        <v>1000000</v>
      </c>
      <c r="AB151" s="5">
        <v>1000000</v>
      </c>
      <c r="AC151" s="5">
        <v>0</v>
      </c>
      <c r="AD151" s="5">
        <v>1000000</v>
      </c>
      <c r="AE151" s="5">
        <v>0</v>
      </c>
      <c r="AF151" s="5">
        <v>1000000</v>
      </c>
      <c r="AG151" s="5"/>
    </row>
    <row r="152" spans="1:33" ht="51" x14ac:dyDescent="0.25">
      <c r="A152" s="4" t="s">
        <v>17</v>
      </c>
      <c r="B152" s="4" t="s">
        <v>103</v>
      </c>
      <c r="C152" s="4" t="s">
        <v>103</v>
      </c>
      <c r="D152" s="4" t="s">
        <v>104</v>
      </c>
      <c r="E152" s="4" t="s">
        <v>111</v>
      </c>
      <c r="F152" s="4" t="s">
        <v>112</v>
      </c>
      <c r="G152" s="4" t="s">
        <v>113</v>
      </c>
      <c r="H152" s="4" t="s">
        <v>103</v>
      </c>
      <c r="I152" s="4" t="s">
        <v>432</v>
      </c>
      <c r="J152" s="5"/>
      <c r="K152" s="5"/>
      <c r="L152" s="4" t="s">
        <v>433</v>
      </c>
      <c r="M152" s="5"/>
      <c r="N152" s="4" t="s">
        <v>107</v>
      </c>
      <c r="O152" s="45">
        <v>107</v>
      </c>
      <c r="P152" s="4" t="s">
        <v>257</v>
      </c>
      <c r="Q152" s="45">
        <v>107</v>
      </c>
      <c r="R152" s="4" t="s">
        <v>8</v>
      </c>
      <c r="S152" s="5">
        <v>1</v>
      </c>
      <c r="T152" s="4" t="s">
        <v>108</v>
      </c>
      <c r="U152" s="5"/>
      <c r="V152" s="5">
        <v>30</v>
      </c>
      <c r="W152" s="4" t="s">
        <v>109</v>
      </c>
      <c r="X152" s="45">
        <v>107</v>
      </c>
      <c r="Y152" s="4" t="s">
        <v>257</v>
      </c>
      <c r="Z152" s="4"/>
      <c r="AA152" s="5">
        <v>1000000</v>
      </c>
      <c r="AB152" s="5">
        <v>1000000</v>
      </c>
      <c r="AC152" s="5">
        <v>0</v>
      </c>
      <c r="AD152" s="5">
        <v>1000000</v>
      </c>
      <c r="AE152" s="5">
        <v>0</v>
      </c>
      <c r="AF152" s="5">
        <v>1000000</v>
      </c>
      <c r="AG152" s="5"/>
    </row>
    <row r="153" spans="1:33" ht="51" x14ac:dyDescent="0.25">
      <c r="A153" s="4" t="s">
        <v>17</v>
      </c>
      <c r="B153" s="4" t="s">
        <v>103</v>
      </c>
      <c r="C153" s="4" t="s">
        <v>103</v>
      </c>
      <c r="D153" s="4" t="s">
        <v>104</v>
      </c>
      <c r="E153" s="4" t="s">
        <v>111</v>
      </c>
      <c r="F153" s="4" t="s">
        <v>112</v>
      </c>
      <c r="G153" s="4" t="s">
        <v>113</v>
      </c>
      <c r="H153" s="4" t="s">
        <v>103</v>
      </c>
      <c r="I153" s="4" t="s">
        <v>432</v>
      </c>
      <c r="J153" s="5"/>
      <c r="K153" s="5"/>
      <c r="L153" s="4" t="s">
        <v>433</v>
      </c>
      <c r="M153" s="5"/>
      <c r="N153" s="4" t="s">
        <v>107</v>
      </c>
      <c r="O153" s="45">
        <v>112</v>
      </c>
      <c r="P153" s="4" t="s">
        <v>272</v>
      </c>
      <c r="Q153" s="45">
        <v>112</v>
      </c>
      <c r="R153" s="4" t="s">
        <v>8</v>
      </c>
      <c r="S153" s="5">
        <v>1</v>
      </c>
      <c r="T153" s="4" t="s">
        <v>108</v>
      </c>
      <c r="U153" s="5"/>
      <c r="V153" s="5">
        <v>25</v>
      </c>
      <c r="W153" s="4" t="s">
        <v>109</v>
      </c>
      <c r="X153" s="45">
        <v>112</v>
      </c>
      <c r="Y153" s="4" t="s">
        <v>272</v>
      </c>
      <c r="Z153" s="4"/>
      <c r="AA153" s="5">
        <v>1000000</v>
      </c>
      <c r="AB153" s="5">
        <v>1000000</v>
      </c>
      <c r="AC153" s="5">
        <v>0</v>
      </c>
      <c r="AD153" s="5">
        <v>1000000</v>
      </c>
      <c r="AE153" s="5">
        <v>0</v>
      </c>
      <c r="AF153" s="5">
        <v>1000000</v>
      </c>
      <c r="AG153" s="5"/>
    </row>
    <row r="154" spans="1:33" ht="51" x14ac:dyDescent="0.25">
      <c r="A154" s="4" t="s">
        <v>17</v>
      </c>
      <c r="B154" s="4" t="s">
        <v>103</v>
      </c>
      <c r="C154" s="4" t="s">
        <v>103</v>
      </c>
      <c r="D154" s="4" t="s">
        <v>104</v>
      </c>
      <c r="E154" s="4" t="s">
        <v>111</v>
      </c>
      <c r="F154" s="4" t="s">
        <v>112</v>
      </c>
      <c r="G154" s="4" t="s">
        <v>113</v>
      </c>
      <c r="H154" s="4" t="s">
        <v>103</v>
      </c>
      <c r="I154" s="4" t="s">
        <v>432</v>
      </c>
      <c r="J154" s="5"/>
      <c r="K154" s="5"/>
      <c r="L154" s="4" t="s">
        <v>433</v>
      </c>
      <c r="M154" s="5"/>
      <c r="N154" s="4" t="s">
        <v>107</v>
      </c>
      <c r="O154" s="45">
        <v>118</v>
      </c>
      <c r="P154" s="4" t="s">
        <v>298</v>
      </c>
      <c r="Q154" s="45">
        <v>118</v>
      </c>
      <c r="R154" s="4" t="s">
        <v>8</v>
      </c>
      <c r="S154" s="5">
        <v>1</v>
      </c>
      <c r="T154" s="4" t="s">
        <v>108</v>
      </c>
      <c r="U154" s="5"/>
      <c r="V154" s="5">
        <v>19</v>
      </c>
      <c r="W154" s="4" t="s">
        <v>109</v>
      </c>
      <c r="X154" s="45">
        <v>118</v>
      </c>
      <c r="Y154" s="4" t="s">
        <v>298</v>
      </c>
      <c r="Z154" s="4"/>
      <c r="AA154" s="5">
        <v>1000000</v>
      </c>
      <c r="AB154" s="5">
        <v>1000000</v>
      </c>
      <c r="AC154" s="5">
        <v>0</v>
      </c>
      <c r="AD154" s="5">
        <v>1000000</v>
      </c>
      <c r="AE154" s="5">
        <v>0</v>
      </c>
      <c r="AF154" s="5">
        <v>1000000</v>
      </c>
      <c r="AG154" s="5"/>
    </row>
    <row r="155" spans="1:33" ht="51" x14ac:dyDescent="0.25">
      <c r="A155" s="4" t="s">
        <v>17</v>
      </c>
      <c r="B155" s="4" t="s">
        <v>103</v>
      </c>
      <c r="C155" s="4" t="s">
        <v>103</v>
      </c>
      <c r="D155" s="4" t="s">
        <v>104</v>
      </c>
      <c r="E155" s="4" t="s">
        <v>111</v>
      </c>
      <c r="F155" s="4" t="s">
        <v>112</v>
      </c>
      <c r="G155" s="4" t="s">
        <v>113</v>
      </c>
      <c r="H155" s="4" t="s">
        <v>103</v>
      </c>
      <c r="I155" s="4" t="s">
        <v>432</v>
      </c>
      <c r="J155" s="5"/>
      <c r="K155" s="5"/>
      <c r="L155" s="4" t="s">
        <v>433</v>
      </c>
      <c r="M155" s="5"/>
      <c r="N155" s="4" t="s">
        <v>107</v>
      </c>
      <c r="O155" s="45">
        <v>124</v>
      </c>
      <c r="P155" s="4" t="s">
        <v>324</v>
      </c>
      <c r="Q155" s="45">
        <v>124</v>
      </c>
      <c r="R155" s="4" t="s">
        <v>8</v>
      </c>
      <c r="S155" s="5">
        <v>1</v>
      </c>
      <c r="T155" s="4" t="s">
        <v>108</v>
      </c>
      <c r="U155" s="5"/>
      <c r="V155" s="5">
        <v>13</v>
      </c>
      <c r="W155" s="4" t="s">
        <v>109</v>
      </c>
      <c r="X155" s="45">
        <v>124</v>
      </c>
      <c r="Y155" s="4" t="s">
        <v>324</v>
      </c>
      <c r="Z155" s="4"/>
      <c r="AA155" s="5">
        <v>1000000</v>
      </c>
      <c r="AB155" s="5">
        <v>1000000</v>
      </c>
      <c r="AC155" s="5">
        <v>0</v>
      </c>
      <c r="AD155" s="5">
        <v>1000000</v>
      </c>
      <c r="AE155" s="5">
        <v>0</v>
      </c>
      <c r="AF155" s="5">
        <v>1000000</v>
      </c>
      <c r="AG155" s="5"/>
    </row>
    <row r="156" spans="1:33" ht="51" x14ac:dyDescent="0.25">
      <c r="A156" s="4" t="s">
        <v>17</v>
      </c>
      <c r="B156" s="4" t="s">
        <v>103</v>
      </c>
      <c r="C156" s="4" t="s">
        <v>103</v>
      </c>
      <c r="D156" s="4" t="s">
        <v>104</v>
      </c>
      <c r="E156" s="4" t="s">
        <v>111</v>
      </c>
      <c r="F156" s="4" t="s">
        <v>112</v>
      </c>
      <c r="G156" s="4" t="s">
        <v>113</v>
      </c>
      <c r="H156" s="4" t="s">
        <v>103</v>
      </c>
      <c r="I156" s="4" t="s">
        <v>432</v>
      </c>
      <c r="J156" s="5"/>
      <c r="K156" s="5"/>
      <c r="L156" s="4" t="s">
        <v>433</v>
      </c>
      <c r="M156" s="5"/>
      <c r="N156" s="4" t="s">
        <v>107</v>
      </c>
      <c r="O156" s="45">
        <v>137</v>
      </c>
      <c r="P156" s="4" t="s">
        <v>418</v>
      </c>
      <c r="Q156" s="45">
        <v>137</v>
      </c>
      <c r="R156" s="4" t="s">
        <v>8</v>
      </c>
      <c r="S156" s="5">
        <v>1</v>
      </c>
      <c r="T156" s="4" t="s">
        <v>108</v>
      </c>
      <c r="U156" s="5"/>
      <c r="V156" s="5">
        <v>0</v>
      </c>
      <c r="W156" s="4" t="s">
        <v>109</v>
      </c>
      <c r="X156" s="45">
        <v>137</v>
      </c>
      <c r="Y156" s="4" t="s">
        <v>418</v>
      </c>
      <c r="Z156" s="4"/>
      <c r="AA156" s="5">
        <v>1000000</v>
      </c>
      <c r="AB156" s="5">
        <v>1000000</v>
      </c>
      <c r="AC156" s="5">
        <v>556968</v>
      </c>
      <c r="AD156" s="5">
        <v>1000000</v>
      </c>
      <c r="AE156" s="5">
        <v>0</v>
      </c>
      <c r="AF156" s="5">
        <v>1000000</v>
      </c>
      <c r="AG156" s="5"/>
    </row>
    <row r="157" spans="1:33" ht="229.5" x14ac:dyDescent="0.25">
      <c r="A157" s="4" t="s">
        <v>18</v>
      </c>
      <c r="B157" s="4" t="s">
        <v>103</v>
      </c>
      <c r="C157" s="4" t="s">
        <v>103</v>
      </c>
      <c r="D157" s="4" t="s">
        <v>104</v>
      </c>
      <c r="E157" s="4" t="s">
        <v>111</v>
      </c>
      <c r="F157" s="4" t="s">
        <v>112</v>
      </c>
      <c r="G157" s="4" t="s">
        <v>113</v>
      </c>
      <c r="H157" s="4" t="s">
        <v>103</v>
      </c>
      <c r="I157" s="4" t="s">
        <v>432</v>
      </c>
      <c r="J157" s="5"/>
      <c r="K157" s="5"/>
      <c r="L157" s="4" t="s">
        <v>433</v>
      </c>
      <c r="M157" s="5"/>
      <c r="N157" s="4" t="s">
        <v>107</v>
      </c>
      <c r="O157" s="45">
        <v>175</v>
      </c>
      <c r="P157" s="4" t="s">
        <v>52</v>
      </c>
      <c r="Q157" s="45">
        <v>175</v>
      </c>
      <c r="R157" s="4" t="s">
        <v>8</v>
      </c>
      <c r="S157" s="5">
        <v>1</v>
      </c>
      <c r="T157" s="4" t="s">
        <v>116</v>
      </c>
      <c r="U157" s="5"/>
      <c r="V157" s="5">
        <v>692</v>
      </c>
      <c r="W157" s="4" t="s">
        <v>109</v>
      </c>
      <c r="X157" s="45">
        <v>175</v>
      </c>
      <c r="Y157" s="4" t="s">
        <v>52</v>
      </c>
      <c r="Z157" s="5"/>
      <c r="AA157" s="5">
        <v>1000000</v>
      </c>
      <c r="AB157" s="5">
        <v>1000000</v>
      </c>
      <c r="AC157" s="5">
        <v>0</v>
      </c>
      <c r="AD157" s="5">
        <v>1000000</v>
      </c>
      <c r="AE157" s="5">
        <v>0</v>
      </c>
      <c r="AF157" s="5">
        <v>1000000</v>
      </c>
      <c r="AG157" s="5"/>
    </row>
    <row r="158" spans="1:33" ht="229.5" x14ac:dyDescent="0.25">
      <c r="A158" s="4" t="s">
        <v>18</v>
      </c>
      <c r="B158" s="4" t="s">
        <v>103</v>
      </c>
      <c r="C158" s="4" t="s">
        <v>103</v>
      </c>
      <c r="D158" s="4" t="s">
        <v>104</v>
      </c>
      <c r="E158" s="4" t="s">
        <v>111</v>
      </c>
      <c r="F158" s="4" t="s">
        <v>112</v>
      </c>
      <c r="G158" s="4" t="s">
        <v>113</v>
      </c>
      <c r="H158" s="4" t="s">
        <v>103</v>
      </c>
      <c r="I158" s="4" t="s">
        <v>432</v>
      </c>
      <c r="J158" s="5"/>
      <c r="K158" s="5"/>
      <c r="L158" s="4" t="s">
        <v>433</v>
      </c>
      <c r="M158" s="5"/>
      <c r="N158" s="4" t="s">
        <v>107</v>
      </c>
      <c r="O158" s="45">
        <v>176</v>
      </c>
      <c r="P158" s="4" t="s">
        <v>53</v>
      </c>
      <c r="Q158" s="45">
        <v>176</v>
      </c>
      <c r="R158" s="4" t="s">
        <v>8</v>
      </c>
      <c r="S158" s="5">
        <v>1</v>
      </c>
      <c r="T158" s="4" t="s">
        <v>116</v>
      </c>
      <c r="U158" s="5"/>
      <c r="V158" s="5">
        <v>691</v>
      </c>
      <c r="W158" s="4" t="s">
        <v>109</v>
      </c>
      <c r="X158" s="45">
        <v>176</v>
      </c>
      <c r="Y158" s="4" t="s">
        <v>53</v>
      </c>
      <c r="Z158" s="5"/>
      <c r="AA158" s="5">
        <v>1000000</v>
      </c>
      <c r="AB158" s="5">
        <v>1000000</v>
      </c>
      <c r="AC158" s="5">
        <v>0</v>
      </c>
      <c r="AD158" s="5">
        <v>1000000</v>
      </c>
      <c r="AE158" s="5">
        <v>0</v>
      </c>
      <c r="AF158" s="5">
        <v>1000000</v>
      </c>
      <c r="AG158" s="5"/>
    </row>
    <row r="159" spans="1:33" ht="229.5" x14ac:dyDescent="0.25">
      <c r="A159" s="4" t="s">
        <v>18</v>
      </c>
      <c r="B159" s="4" t="s">
        <v>103</v>
      </c>
      <c r="C159" s="4" t="s">
        <v>103</v>
      </c>
      <c r="D159" s="4" t="s">
        <v>104</v>
      </c>
      <c r="E159" s="4" t="s">
        <v>111</v>
      </c>
      <c r="F159" s="4" t="s">
        <v>112</v>
      </c>
      <c r="G159" s="4" t="s">
        <v>113</v>
      </c>
      <c r="H159" s="4" t="s">
        <v>103</v>
      </c>
      <c r="I159" s="4" t="s">
        <v>432</v>
      </c>
      <c r="J159" s="5"/>
      <c r="K159" s="5"/>
      <c r="L159" s="4" t="s">
        <v>433</v>
      </c>
      <c r="M159" s="5"/>
      <c r="N159" s="4" t="s">
        <v>107</v>
      </c>
      <c r="O159" s="45">
        <v>176</v>
      </c>
      <c r="P159" s="4" t="s">
        <v>54</v>
      </c>
      <c r="Q159" s="45">
        <v>176</v>
      </c>
      <c r="R159" s="4" t="s">
        <v>8</v>
      </c>
      <c r="S159" s="5">
        <v>1</v>
      </c>
      <c r="T159" s="4" t="s">
        <v>116</v>
      </c>
      <c r="U159" s="5"/>
      <c r="V159" s="5">
        <v>691</v>
      </c>
      <c r="W159" s="4" t="s">
        <v>109</v>
      </c>
      <c r="X159" s="45">
        <v>176</v>
      </c>
      <c r="Y159" s="4" t="s">
        <v>54</v>
      </c>
      <c r="Z159" s="5"/>
      <c r="AA159" s="5">
        <v>1000000</v>
      </c>
      <c r="AB159" s="5">
        <v>1000000</v>
      </c>
      <c r="AC159" s="5">
        <v>0</v>
      </c>
      <c r="AD159" s="5">
        <v>1000000</v>
      </c>
      <c r="AE159" s="5">
        <v>0</v>
      </c>
      <c r="AF159" s="5">
        <v>1000000</v>
      </c>
      <c r="AG159" s="5"/>
    </row>
    <row r="160" spans="1:33" ht="153" x14ac:dyDescent="0.25">
      <c r="A160" s="4" t="s">
        <v>18</v>
      </c>
      <c r="B160" s="4" t="s">
        <v>103</v>
      </c>
      <c r="C160" s="4" t="s">
        <v>103</v>
      </c>
      <c r="D160" s="4" t="s">
        <v>104</v>
      </c>
      <c r="E160" s="4" t="s">
        <v>111</v>
      </c>
      <c r="F160" s="4" t="s">
        <v>112</v>
      </c>
      <c r="G160" s="4" t="s">
        <v>113</v>
      </c>
      <c r="H160" s="4" t="s">
        <v>103</v>
      </c>
      <c r="I160" s="4" t="s">
        <v>432</v>
      </c>
      <c r="J160" s="5"/>
      <c r="K160" s="5"/>
      <c r="L160" s="4" t="s">
        <v>433</v>
      </c>
      <c r="M160" s="5"/>
      <c r="N160" s="4" t="s">
        <v>107</v>
      </c>
      <c r="O160" s="45">
        <v>251</v>
      </c>
      <c r="P160" s="4" t="s">
        <v>178</v>
      </c>
      <c r="Q160" s="45">
        <v>251</v>
      </c>
      <c r="R160" s="4" t="s">
        <v>8</v>
      </c>
      <c r="S160" s="5">
        <v>1</v>
      </c>
      <c r="T160" s="4" t="s">
        <v>361</v>
      </c>
      <c r="U160" s="5"/>
      <c r="V160" s="5">
        <v>251</v>
      </c>
      <c r="W160" s="4" t="s">
        <v>109</v>
      </c>
      <c r="X160" s="45">
        <v>251</v>
      </c>
      <c r="Y160" s="4" t="s">
        <v>178</v>
      </c>
      <c r="Z160" s="5"/>
      <c r="AA160" s="5">
        <v>1000000</v>
      </c>
      <c r="AB160" s="5">
        <v>1000000</v>
      </c>
      <c r="AC160" s="5">
        <v>0</v>
      </c>
      <c r="AD160" s="5">
        <v>1000000</v>
      </c>
      <c r="AE160" s="5">
        <v>0</v>
      </c>
      <c r="AF160" s="5">
        <v>1000000</v>
      </c>
      <c r="AG160" s="5"/>
    </row>
    <row r="161" spans="1:33" ht="63.75" x14ac:dyDescent="0.25">
      <c r="A161" s="4" t="s">
        <v>18</v>
      </c>
      <c r="B161" s="4" t="s">
        <v>103</v>
      </c>
      <c r="C161" s="4" t="s">
        <v>103</v>
      </c>
      <c r="D161" s="4" t="s">
        <v>104</v>
      </c>
      <c r="E161" s="4" t="s">
        <v>111</v>
      </c>
      <c r="F161" s="4" t="s">
        <v>112</v>
      </c>
      <c r="G161" s="4" t="s">
        <v>113</v>
      </c>
      <c r="H161" s="4" t="s">
        <v>103</v>
      </c>
      <c r="I161" s="4" t="s">
        <v>432</v>
      </c>
      <c r="J161" s="5"/>
      <c r="K161" s="5"/>
      <c r="L161" s="4" t="s">
        <v>433</v>
      </c>
      <c r="M161" s="5"/>
      <c r="N161" s="4" t="s">
        <v>107</v>
      </c>
      <c r="O161" s="45">
        <v>282</v>
      </c>
      <c r="P161" s="4" t="s">
        <v>488</v>
      </c>
      <c r="Q161" s="45">
        <v>282</v>
      </c>
      <c r="R161" s="4" t="s">
        <v>8</v>
      </c>
      <c r="S161" s="5">
        <v>1</v>
      </c>
      <c r="T161" s="4" t="s">
        <v>108</v>
      </c>
      <c r="U161" s="5"/>
      <c r="V161" s="5">
        <v>220</v>
      </c>
      <c r="W161" s="4" t="s">
        <v>109</v>
      </c>
      <c r="X161" s="45">
        <v>282</v>
      </c>
      <c r="Y161" s="4" t="s">
        <v>488</v>
      </c>
      <c r="Z161" s="4"/>
      <c r="AA161" s="5">
        <v>1000000</v>
      </c>
      <c r="AB161" s="5">
        <v>1000000</v>
      </c>
      <c r="AC161" s="5">
        <v>0</v>
      </c>
      <c r="AD161" s="5">
        <v>1000000</v>
      </c>
      <c r="AE161" s="5">
        <v>0</v>
      </c>
      <c r="AF161" s="5">
        <v>1000000</v>
      </c>
      <c r="AG161" s="5"/>
    </row>
    <row r="162" spans="1:33" ht="63.75" x14ac:dyDescent="0.25">
      <c r="A162" s="4" t="s">
        <v>18</v>
      </c>
      <c r="B162" s="4" t="s">
        <v>103</v>
      </c>
      <c r="C162" s="4" t="s">
        <v>103</v>
      </c>
      <c r="D162" s="4" t="s">
        <v>104</v>
      </c>
      <c r="E162" s="4" t="s">
        <v>111</v>
      </c>
      <c r="F162" s="4" t="s">
        <v>112</v>
      </c>
      <c r="G162" s="4" t="s">
        <v>113</v>
      </c>
      <c r="H162" s="4" t="s">
        <v>103</v>
      </c>
      <c r="I162" s="4" t="s">
        <v>432</v>
      </c>
      <c r="J162" s="5"/>
      <c r="K162" s="5"/>
      <c r="L162" s="4" t="s">
        <v>433</v>
      </c>
      <c r="M162" s="5"/>
      <c r="N162" s="4" t="s">
        <v>107</v>
      </c>
      <c r="O162" s="45">
        <v>83</v>
      </c>
      <c r="P162" s="4" t="s">
        <v>489</v>
      </c>
      <c r="Q162" s="45">
        <v>83</v>
      </c>
      <c r="R162" s="4" t="s">
        <v>8</v>
      </c>
      <c r="S162" s="5">
        <v>1</v>
      </c>
      <c r="T162" s="4" t="s">
        <v>108</v>
      </c>
      <c r="U162" s="5"/>
      <c r="V162" s="5">
        <v>54</v>
      </c>
      <c r="W162" s="4" t="s">
        <v>109</v>
      </c>
      <c r="X162" s="45">
        <v>83</v>
      </c>
      <c r="Y162" s="4" t="s">
        <v>489</v>
      </c>
      <c r="Z162" s="4"/>
      <c r="AA162" s="5">
        <v>1000000</v>
      </c>
      <c r="AB162" s="5">
        <v>1000000</v>
      </c>
      <c r="AC162" s="5">
        <v>0</v>
      </c>
      <c r="AD162" s="5">
        <v>1000000</v>
      </c>
      <c r="AE162" s="5">
        <v>0</v>
      </c>
      <c r="AF162" s="5">
        <v>1000000</v>
      </c>
      <c r="AG162" s="5"/>
    </row>
    <row r="163" spans="1:33" ht="63.75" x14ac:dyDescent="0.25">
      <c r="A163" s="4" t="s">
        <v>18</v>
      </c>
      <c r="B163" s="4" t="s">
        <v>103</v>
      </c>
      <c r="C163" s="4" t="s">
        <v>103</v>
      </c>
      <c r="D163" s="4" t="s">
        <v>104</v>
      </c>
      <c r="E163" s="4" t="s">
        <v>111</v>
      </c>
      <c r="F163" s="4" t="s">
        <v>112</v>
      </c>
      <c r="G163" s="4" t="s">
        <v>113</v>
      </c>
      <c r="H163" s="4" t="s">
        <v>103</v>
      </c>
      <c r="I163" s="4" t="s">
        <v>432</v>
      </c>
      <c r="J163" s="5"/>
      <c r="K163" s="5"/>
      <c r="L163" s="4" t="s">
        <v>433</v>
      </c>
      <c r="M163" s="5"/>
      <c r="N163" s="4" t="s">
        <v>107</v>
      </c>
      <c r="O163" s="45">
        <v>112</v>
      </c>
      <c r="P163" s="4" t="s">
        <v>273</v>
      </c>
      <c r="Q163" s="45">
        <v>112</v>
      </c>
      <c r="R163" s="4" t="s">
        <v>8</v>
      </c>
      <c r="S163" s="5">
        <v>1</v>
      </c>
      <c r="T163" s="4" t="s">
        <v>108</v>
      </c>
      <c r="U163" s="5"/>
      <c r="V163" s="5">
        <v>25</v>
      </c>
      <c r="W163" s="4" t="s">
        <v>109</v>
      </c>
      <c r="X163" s="45">
        <v>112</v>
      </c>
      <c r="Y163" s="4" t="s">
        <v>273</v>
      </c>
      <c r="Z163" s="4"/>
      <c r="AA163" s="5">
        <v>1000000</v>
      </c>
      <c r="AB163" s="5">
        <v>1000000</v>
      </c>
      <c r="AC163" s="5">
        <v>0</v>
      </c>
      <c r="AD163" s="5">
        <v>1000000</v>
      </c>
      <c r="AE163" s="5">
        <v>0</v>
      </c>
      <c r="AF163" s="5">
        <v>1000000</v>
      </c>
      <c r="AG163" s="5"/>
    </row>
    <row r="164" spans="1:33" ht="63.75" x14ac:dyDescent="0.25">
      <c r="A164" s="4" t="s">
        <v>18</v>
      </c>
      <c r="B164" s="4" t="s">
        <v>103</v>
      </c>
      <c r="C164" s="4" t="s">
        <v>103</v>
      </c>
      <c r="D164" s="4" t="s">
        <v>104</v>
      </c>
      <c r="E164" s="4" t="s">
        <v>111</v>
      </c>
      <c r="F164" s="4" t="s">
        <v>112</v>
      </c>
      <c r="G164" s="4" t="s">
        <v>113</v>
      </c>
      <c r="H164" s="4" t="s">
        <v>103</v>
      </c>
      <c r="I164" s="4" t="s">
        <v>432</v>
      </c>
      <c r="J164" s="5"/>
      <c r="K164" s="5"/>
      <c r="L164" s="4" t="s">
        <v>433</v>
      </c>
      <c r="M164" s="5"/>
      <c r="N164" s="4" t="s">
        <v>107</v>
      </c>
      <c r="O164" s="45">
        <v>125</v>
      </c>
      <c r="P164" s="4" t="s">
        <v>325</v>
      </c>
      <c r="Q164" s="45">
        <v>125</v>
      </c>
      <c r="R164" s="4" t="s">
        <v>8</v>
      </c>
      <c r="S164" s="5">
        <v>1</v>
      </c>
      <c r="T164" s="4" t="s">
        <v>108</v>
      </c>
      <c r="U164" s="5"/>
      <c r="V164" s="5">
        <v>12</v>
      </c>
      <c r="W164" s="4" t="s">
        <v>109</v>
      </c>
      <c r="X164" s="45">
        <v>125</v>
      </c>
      <c r="Y164" s="4" t="s">
        <v>325</v>
      </c>
      <c r="Z164" s="4"/>
      <c r="AA164" s="5">
        <v>1000000</v>
      </c>
      <c r="AB164" s="5">
        <v>1000000</v>
      </c>
      <c r="AC164" s="5">
        <v>0</v>
      </c>
      <c r="AD164" s="5">
        <v>1000000</v>
      </c>
      <c r="AE164" s="5">
        <v>0</v>
      </c>
      <c r="AF164" s="5">
        <v>1000000</v>
      </c>
      <c r="AG164" s="5"/>
    </row>
    <row r="165" spans="1:33" ht="63.75" x14ac:dyDescent="0.25">
      <c r="A165" s="4" t="s">
        <v>18</v>
      </c>
      <c r="B165" s="4" t="s">
        <v>103</v>
      </c>
      <c r="C165" s="4" t="s">
        <v>103</v>
      </c>
      <c r="D165" s="4" t="s">
        <v>104</v>
      </c>
      <c r="E165" s="4" t="s">
        <v>111</v>
      </c>
      <c r="F165" s="4" t="s">
        <v>112</v>
      </c>
      <c r="G165" s="4" t="s">
        <v>113</v>
      </c>
      <c r="H165" s="4" t="s">
        <v>103</v>
      </c>
      <c r="I165" s="4" t="s">
        <v>432</v>
      </c>
      <c r="J165" s="5"/>
      <c r="K165" s="5"/>
      <c r="L165" s="4" t="s">
        <v>433</v>
      </c>
      <c r="M165" s="5"/>
      <c r="N165" s="4" t="s">
        <v>107</v>
      </c>
      <c r="O165" s="45">
        <v>125</v>
      </c>
      <c r="P165" s="4" t="s">
        <v>326</v>
      </c>
      <c r="Q165" s="45">
        <v>125</v>
      </c>
      <c r="R165" s="4" t="s">
        <v>8</v>
      </c>
      <c r="S165" s="5">
        <v>1</v>
      </c>
      <c r="T165" s="4" t="s">
        <v>108</v>
      </c>
      <c r="U165" s="5"/>
      <c r="V165" s="5">
        <v>12</v>
      </c>
      <c r="W165" s="4" t="s">
        <v>109</v>
      </c>
      <c r="X165" s="45">
        <v>125</v>
      </c>
      <c r="Y165" s="4" t="s">
        <v>326</v>
      </c>
      <c r="Z165" s="4"/>
      <c r="AA165" s="5">
        <v>1000000</v>
      </c>
      <c r="AB165" s="5">
        <v>1000000</v>
      </c>
      <c r="AC165" s="5">
        <v>0</v>
      </c>
      <c r="AD165" s="5">
        <v>1000000</v>
      </c>
      <c r="AE165" s="5">
        <v>0</v>
      </c>
      <c r="AF165" s="5">
        <v>1000000</v>
      </c>
      <c r="AG165" s="5"/>
    </row>
    <row r="166" spans="1:33" ht="63.75" x14ac:dyDescent="0.25">
      <c r="A166" s="4" t="s">
        <v>18</v>
      </c>
      <c r="B166" s="4" t="s">
        <v>103</v>
      </c>
      <c r="C166" s="4" t="s">
        <v>103</v>
      </c>
      <c r="D166" s="4" t="s">
        <v>104</v>
      </c>
      <c r="E166" s="4" t="s">
        <v>111</v>
      </c>
      <c r="F166" s="4" t="s">
        <v>112</v>
      </c>
      <c r="G166" s="4" t="s">
        <v>113</v>
      </c>
      <c r="H166" s="4" t="s">
        <v>103</v>
      </c>
      <c r="I166" s="4" t="s">
        <v>432</v>
      </c>
      <c r="J166" s="5"/>
      <c r="K166" s="5"/>
      <c r="L166" s="4" t="s">
        <v>433</v>
      </c>
      <c r="M166" s="5"/>
      <c r="N166" s="4" t="s">
        <v>107</v>
      </c>
      <c r="O166" s="45">
        <v>127</v>
      </c>
      <c r="P166" s="4" t="s">
        <v>336</v>
      </c>
      <c r="Q166" s="45">
        <v>127</v>
      </c>
      <c r="R166" s="4" t="s">
        <v>8</v>
      </c>
      <c r="S166" s="5">
        <v>1</v>
      </c>
      <c r="T166" s="4" t="s">
        <v>108</v>
      </c>
      <c r="U166" s="5"/>
      <c r="V166" s="5">
        <v>10</v>
      </c>
      <c r="W166" s="4" t="s">
        <v>109</v>
      </c>
      <c r="X166" s="45">
        <v>127</v>
      </c>
      <c r="Y166" s="4" t="s">
        <v>336</v>
      </c>
      <c r="Z166" s="4"/>
      <c r="AA166" s="5">
        <v>1000000</v>
      </c>
      <c r="AB166" s="5">
        <v>1000000</v>
      </c>
      <c r="AC166" s="5">
        <v>0</v>
      </c>
      <c r="AD166" s="5">
        <v>1000000</v>
      </c>
      <c r="AE166" s="5">
        <v>0</v>
      </c>
      <c r="AF166" s="5">
        <v>1000000</v>
      </c>
      <c r="AG166" s="5"/>
    </row>
    <row r="167" spans="1:33" ht="63.75" x14ac:dyDescent="0.25">
      <c r="A167" s="4" t="s">
        <v>18</v>
      </c>
      <c r="B167" s="4" t="s">
        <v>103</v>
      </c>
      <c r="C167" s="4" t="s">
        <v>103</v>
      </c>
      <c r="D167" s="4" t="s">
        <v>104</v>
      </c>
      <c r="E167" s="4" t="s">
        <v>111</v>
      </c>
      <c r="F167" s="4" t="s">
        <v>112</v>
      </c>
      <c r="G167" s="4" t="s">
        <v>113</v>
      </c>
      <c r="H167" s="4" t="s">
        <v>103</v>
      </c>
      <c r="I167" s="4" t="s">
        <v>432</v>
      </c>
      <c r="J167" s="5"/>
      <c r="K167" s="5"/>
      <c r="L167" s="4" t="s">
        <v>433</v>
      </c>
      <c r="M167" s="5"/>
      <c r="N167" s="4" t="s">
        <v>107</v>
      </c>
      <c r="O167" s="45">
        <v>127</v>
      </c>
      <c r="P167" s="4" t="s">
        <v>337</v>
      </c>
      <c r="Q167" s="45">
        <v>127</v>
      </c>
      <c r="R167" s="4" t="s">
        <v>8</v>
      </c>
      <c r="S167" s="5">
        <v>1</v>
      </c>
      <c r="T167" s="4" t="s">
        <v>108</v>
      </c>
      <c r="U167" s="5"/>
      <c r="V167" s="5">
        <v>10</v>
      </c>
      <c r="W167" s="4" t="s">
        <v>109</v>
      </c>
      <c r="X167" s="45">
        <v>127</v>
      </c>
      <c r="Y167" s="4" t="s">
        <v>337</v>
      </c>
      <c r="Z167" s="4"/>
      <c r="AA167" s="5">
        <v>1000000</v>
      </c>
      <c r="AB167" s="5">
        <v>1000000</v>
      </c>
      <c r="AC167" s="5">
        <v>0</v>
      </c>
      <c r="AD167" s="5">
        <v>1000000</v>
      </c>
      <c r="AE167" s="5">
        <v>0</v>
      </c>
      <c r="AF167" s="5">
        <v>1000000</v>
      </c>
      <c r="AG167" s="5"/>
    </row>
    <row r="168" spans="1:33" ht="63.75" x14ac:dyDescent="0.25">
      <c r="A168" s="4" t="s">
        <v>18</v>
      </c>
      <c r="B168" s="4" t="s">
        <v>103</v>
      </c>
      <c r="C168" s="4" t="s">
        <v>103</v>
      </c>
      <c r="D168" s="4" t="s">
        <v>104</v>
      </c>
      <c r="E168" s="4" t="s">
        <v>111</v>
      </c>
      <c r="F168" s="4" t="s">
        <v>112</v>
      </c>
      <c r="G168" s="4" t="s">
        <v>113</v>
      </c>
      <c r="H168" s="4" t="s">
        <v>103</v>
      </c>
      <c r="I168" s="4" t="s">
        <v>432</v>
      </c>
      <c r="J168" s="5"/>
      <c r="K168" s="5"/>
      <c r="L168" s="4" t="s">
        <v>433</v>
      </c>
      <c r="M168" s="5"/>
      <c r="N168" s="4" t="s">
        <v>107</v>
      </c>
      <c r="O168" s="45">
        <v>128</v>
      </c>
      <c r="P168" s="4" t="s">
        <v>339</v>
      </c>
      <c r="Q168" s="45">
        <v>128</v>
      </c>
      <c r="R168" s="4" t="s">
        <v>8</v>
      </c>
      <c r="S168" s="5">
        <v>1</v>
      </c>
      <c r="T168" s="4" t="s">
        <v>108</v>
      </c>
      <c r="U168" s="5"/>
      <c r="V168" s="5">
        <v>9</v>
      </c>
      <c r="W168" s="4" t="s">
        <v>109</v>
      </c>
      <c r="X168" s="45">
        <v>128</v>
      </c>
      <c r="Y168" s="4" t="s">
        <v>339</v>
      </c>
      <c r="Z168" s="4"/>
      <c r="AA168" s="5">
        <v>1000000</v>
      </c>
      <c r="AB168" s="5">
        <v>1000000</v>
      </c>
      <c r="AC168" s="5">
        <v>0</v>
      </c>
      <c r="AD168" s="5">
        <v>1000000</v>
      </c>
      <c r="AE168" s="5">
        <v>0</v>
      </c>
      <c r="AF168" s="5">
        <v>1000000</v>
      </c>
      <c r="AG168" s="5"/>
    </row>
    <row r="169" spans="1:33" ht="63.75" x14ac:dyDescent="0.25">
      <c r="A169" s="4" t="s">
        <v>18</v>
      </c>
      <c r="B169" s="4" t="s">
        <v>103</v>
      </c>
      <c r="C169" s="4" t="s">
        <v>103</v>
      </c>
      <c r="D169" s="4" t="s">
        <v>104</v>
      </c>
      <c r="E169" s="4" t="s">
        <v>111</v>
      </c>
      <c r="F169" s="4" t="s">
        <v>112</v>
      </c>
      <c r="G169" s="4" t="s">
        <v>113</v>
      </c>
      <c r="H169" s="4" t="s">
        <v>103</v>
      </c>
      <c r="I169" s="4" t="s">
        <v>432</v>
      </c>
      <c r="J169" s="5"/>
      <c r="K169" s="5"/>
      <c r="L169" s="4" t="s">
        <v>433</v>
      </c>
      <c r="M169" s="5"/>
      <c r="N169" s="4" t="s">
        <v>107</v>
      </c>
      <c r="O169" s="45">
        <v>129</v>
      </c>
      <c r="P169" s="4" t="s">
        <v>350</v>
      </c>
      <c r="Q169" s="45">
        <v>129</v>
      </c>
      <c r="R169" s="4" t="s">
        <v>8</v>
      </c>
      <c r="S169" s="5">
        <v>1</v>
      </c>
      <c r="T169" s="4" t="s">
        <v>108</v>
      </c>
      <c r="U169" s="5"/>
      <c r="V169" s="5">
        <v>8</v>
      </c>
      <c r="W169" s="4" t="s">
        <v>109</v>
      </c>
      <c r="X169" s="45">
        <v>129</v>
      </c>
      <c r="Y169" s="4" t="s">
        <v>350</v>
      </c>
      <c r="Z169" s="4"/>
      <c r="AA169" s="5">
        <v>1000000</v>
      </c>
      <c r="AB169" s="5">
        <v>1000000</v>
      </c>
      <c r="AC169" s="5">
        <v>0</v>
      </c>
      <c r="AD169" s="5">
        <v>1000000</v>
      </c>
      <c r="AE169" s="5">
        <v>0</v>
      </c>
      <c r="AF169" s="5">
        <v>1000000</v>
      </c>
      <c r="AG169" s="5"/>
    </row>
    <row r="170" spans="1:33" ht="63.75" x14ac:dyDescent="0.25">
      <c r="A170" s="4" t="s">
        <v>18</v>
      </c>
      <c r="B170" s="4" t="s">
        <v>103</v>
      </c>
      <c r="C170" s="4" t="s">
        <v>103</v>
      </c>
      <c r="D170" s="4" t="s">
        <v>104</v>
      </c>
      <c r="E170" s="4" t="s">
        <v>111</v>
      </c>
      <c r="F170" s="4" t="s">
        <v>112</v>
      </c>
      <c r="G170" s="4" t="s">
        <v>113</v>
      </c>
      <c r="H170" s="4" t="s">
        <v>103</v>
      </c>
      <c r="I170" s="4" t="s">
        <v>432</v>
      </c>
      <c r="J170" s="5"/>
      <c r="K170" s="5"/>
      <c r="L170" s="4" t="s">
        <v>433</v>
      </c>
      <c r="M170" s="5"/>
      <c r="N170" s="4" t="s">
        <v>107</v>
      </c>
      <c r="O170" s="45">
        <v>130</v>
      </c>
      <c r="P170" s="4" t="s">
        <v>351</v>
      </c>
      <c r="Q170" s="45">
        <v>130</v>
      </c>
      <c r="R170" s="4" t="s">
        <v>8</v>
      </c>
      <c r="S170" s="5">
        <v>1</v>
      </c>
      <c r="T170" s="4" t="s">
        <v>108</v>
      </c>
      <c r="U170" s="5"/>
      <c r="V170" s="5">
        <v>7</v>
      </c>
      <c r="W170" s="4" t="s">
        <v>109</v>
      </c>
      <c r="X170" s="45">
        <v>130</v>
      </c>
      <c r="Y170" s="4" t="s">
        <v>351</v>
      </c>
      <c r="Z170" s="4"/>
      <c r="AA170" s="5">
        <v>1000000</v>
      </c>
      <c r="AB170" s="5">
        <v>1000000</v>
      </c>
      <c r="AC170" s="5">
        <v>0</v>
      </c>
      <c r="AD170" s="5">
        <v>1000000</v>
      </c>
      <c r="AE170" s="5">
        <v>0</v>
      </c>
      <c r="AF170" s="5">
        <v>1000000</v>
      </c>
      <c r="AG170" s="5"/>
    </row>
    <row r="171" spans="1:33" ht="63.75" x14ac:dyDescent="0.25">
      <c r="A171" s="4" t="s">
        <v>18</v>
      </c>
      <c r="B171" s="4" t="s">
        <v>103</v>
      </c>
      <c r="C171" s="4" t="s">
        <v>103</v>
      </c>
      <c r="D171" s="4" t="s">
        <v>104</v>
      </c>
      <c r="E171" s="4" t="s">
        <v>111</v>
      </c>
      <c r="F171" s="4" t="s">
        <v>112</v>
      </c>
      <c r="G171" s="4" t="s">
        <v>113</v>
      </c>
      <c r="H171" s="4" t="s">
        <v>103</v>
      </c>
      <c r="I171" s="4" t="s">
        <v>432</v>
      </c>
      <c r="J171" s="5"/>
      <c r="K171" s="5"/>
      <c r="L171" s="4" t="s">
        <v>433</v>
      </c>
      <c r="M171" s="5"/>
      <c r="N171" s="4" t="s">
        <v>107</v>
      </c>
      <c r="O171" s="45">
        <v>131</v>
      </c>
      <c r="P171" s="4" t="s">
        <v>362</v>
      </c>
      <c r="Q171" s="45">
        <v>131</v>
      </c>
      <c r="R171" s="4" t="s">
        <v>8</v>
      </c>
      <c r="S171" s="5">
        <v>1</v>
      </c>
      <c r="T171" s="4" t="s">
        <v>108</v>
      </c>
      <c r="U171" s="5"/>
      <c r="V171" s="5">
        <v>6</v>
      </c>
      <c r="W171" s="4" t="s">
        <v>109</v>
      </c>
      <c r="X171" s="45">
        <v>131</v>
      </c>
      <c r="Y171" s="4" t="s">
        <v>362</v>
      </c>
      <c r="Z171" s="4"/>
      <c r="AA171" s="5">
        <v>1000000</v>
      </c>
      <c r="AB171" s="5">
        <v>1000000</v>
      </c>
      <c r="AC171" s="5">
        <v>0</v>
      </c>
      <c r="AD171" s="5">
        <v>1000000</v>
      </c>
      <c r="AE171" s="5">
        <v>0</v>
      </c>
      <c r="AF171" s="5">
        <v>1000000</v>
      </c>
      <c r="AG171" s="5"/>
    </row>
    <row r="172" spans="1:33" ht="63.75" x14ac:dyDescent="0.25">
      <c r="A172" s="4" t="s">
        <v>18</v>
      </c>
      <c r="B172" s="4" t="s">
        <v>103</v>
      </c>
      <c r="C172" s="4" t="s">
        <v>103</v>
      </c>
      <c r="D172" s="4" t="s">
        <v>104</v>
      </c>
      <c r="E172" s="4" t="s">
        <v>111</v>
      </c>
      <c r="F172" s="4" t="s">
        <v>112</v>
      </c>
      <c r="G172" s="4" t="s">
        <v>113</v>
      </c>
      <c r="H172" s="4" t="s">
        <v>103</v>
      </c>
      <c r="I172" s="4" t="s">
        <v>432</v>
      </c>
      <c r="J172" s="5"/>
      <c r="K172" s="5"/>
      <c r="L172" s="4" t="s">
        <v>433</v>
      </c>
      <c r="M172" s="5"/>
      <c r="N172" s="4" t="s">
        <v>107</v>
      </c>
      <c r="O172" s="45">
        <v>131</v>
      </c>
      <c r="P172" s="4" t="s">
        <v>363</v>
      </c>
      <c r="Q172" s="45">
        <v>131</v>
      </c>
      <c r="R172" s="4" t="s">
        <v>8</v>
      </c>
      <c r="S172" s="5">
        <v>1</v>
      </c>
      <c r="T172" s="4" t="s">
        <v>108</v>
      </c>
      <c r="U172" s="5"/>
      <c r="V172" s="5">
        <v>6</v>
      </c>
      <c r="W172" s="4" t="s">
        <v>109</v>
      </c>
      <c r="X172" s="45">
        <v>131</v>
      </c>
      <c r="Y172" s="4" t="s">
        <v>363</v>
      </c>
      <c r="Z172" s="4"/>
      <c r="AA172" s="5">
        <v>1000000</v>
      </c>
      <c r="AB172" s="5">
        <v>1000000</v>
      </c>
      <c r="AC172" s="5">
        <v>0</v>
      </c>
      <c r="AD172" s="5">
        <v>1000000</v>
      </c>
      <c r="AE172" s="5">
        <v>0</v>
      </c>
      <c r="AF172" s="5">
        <v>1000000</v>
      </c>
      <c r="AG172" s="5"/>
    </row>
    <row r="173" spans="1:33" ht="63.75" x14ac:dyDescent="0.25">
      <c r="A173" s="4" t="s">
        <v>18</v>
      </c>
      <c r="B173" s="4" t="s">
        <v>103</v>
      </c>
      <c r="C173" s="4" t="s">
        <v>103</v>
      </c>
      <c r="D173" s="4" t="s">
        <v>104</v>
      </c>
      <c r="E173" s="4" t="s">
        <v>111</v>
      </c>
      <c r="F173" s="4" t="s">
        <v>112</v>
      </c>
      <c r="G173" s="4" t="s">
        <v>113</v>
      </c>
      <c r="H173" s="4" t="s">
        <v>103</v>
      </c>
      <c r="I173" s="4" t="s">
        <v>432</v>
      </c>
      <c r="J173" s="5"/>
      <c r="K173" s="5"/>
      <c r="L173" s="4" t="s">
        <v>433</v>
      </c>
      <c r="M173" s="5"/>
      <c r="N173" s="4" t="s">
        <v>107</v>
      </c>
      <c r="O173" s="45">
        <v>132</v>
      </c>
      <c r="P173" s="4" t="s">
        <v>406</v>
      </c>
      <c r="Q173" s="45">
        <v>132</v>
      </c>
      <c r="R173" s="4" t="s">
        <v>8</v>
      </c>
      <c r="S173" s="5">
        <v>1</v>
      </c>
      <c r="T173" s="4" t="s">
        <v>108</v>
      </c>
      <c r="U173" s="5"/>
      <c r="V173" s="5">
        <v>5</v>
      </c>
      <c r="W173" s="4" t="s">
        <v>109</v>
      </c>
      <c r="X173" s="45">
        <v>132</v>
      </c>
      <c r="Y173" s="4" t="s">
        <v>406</v>
      </c>
      <c r="Z173" s="4"/>
      <c r="AA173" s="5">
        <v>1000000</v>
      </c>
      <c r="AB173" s="5">
        <v>1000000</v>
      </c>
      <c r="AC173" s="5">
        <v>0</v>
      </c>
      <c r="AD173" s="5">
        <v>1000000</v>
      </c>
      <c r="AE173" s="5">
        <v>0</v>
      </c>
      <c r="AF173" s="5">
        <v>1000000</v>
      </c>
      <c r="AG173" s="5"/>
    </row>
    <row r="174" spans="1:33" ht="63.75" x14ac:dyDescent="0.25">
      <c r="A174" s="4" t="s">
        <v>18</v>
      </c>
      <c r="B174" s="4" t="s">
        <v>103</v>
      </c>
      <c r="C174" s="4" t="s">
        <v>103</v>
      </c>
      <c r="D174" s="4" t="s">
        <v>104</v>
      </c>
      <c r="E174" s="4" t="s">
        <v>111</v>
      </c>
      <c r="F174" s="4" t="s">
        <v>112</v>
      </c>
      <c r="G174" s="4" t="s">
        <v>113</v>
      </c>
      <c r="H174" s="4" t="s">
        <v>103</v>
      </c>
      <c r="I174" s="4" t="s">
        <v>432</v>
      </c>
      <c r="J174" s="5"/>
      <c r="K174" s="5"/>
      <c r="L174" s="4" t="s">
        <v>433</v>
      </c>
      <c r="M174" s="5"/>
      <c r="N174" s="4" t="s">
        <v>107</v>
      </c>
      <c r="O174" s="45">
        <v>134</v>
      </c>
      <c r="P174" s="4" t="s">
        <v>419</v>
      </c>
      <c r="Q174" s="45">
        <v>134</v>
      </c>
      <c r="R174" s="4" t="s">
        <v>8</v>
      </c>
      <c r="S174" s="5">
        <v>1</v>
      </c>
      <c r="T174" s="4" t="s">
        <v>108</v>
      </c>
      <c r="U174" s="5"/>
      <c r="V174" s="5">
        <v>3</v>
      </c>
      <c r="W174" s="4" t="s">
        <v>109</v>
      </c>
      <c r="X174" s="45">
        <v>134</v>
      </c>
      <c r="Y174" s="4" t="s">
        <v>419</v>
      </c>
      <c r="Z174" s="4"/>
      <c r="AA174" s="5">
        <v>1000000</v>
      </c>
      <c r="AB174" s="5">
        <v>1000000</v>
      </c>
      <c r="AC174" s="5">
        <v>0</v>
      </c>
      <c r="AD174" s="5">
        <v>1000000</v>
      </c>
      <c r="AE174" s="5">
        <v>0</v>
      </c>
      <c r="AF174" s="5">
        <v>1000000</v>
      </c>
      <c r="AG174" s="5"/>
    </row>
    <row r="175" spans="1:33" ht="63.75" x14ac:dyDescent="0.25">
      <c r="A175" s="4" t="s">
        <v>18</v>
      </c>
      <c r="B175" s="4" t="s">
        <v>103</v>
      </c>
      <c r="C175" s="4" t="s">
        <v>103</v>
      </c>
      <c r="D175" s="4" t="s">
        <v>104</v>
      </c>
      <c r="E175" s="4" t="s">
        <v>111</v>
      </c>
      <c r="F175" s="4" t="s">
        <v>112</v>
      </c>
      <c r="G175" s="4" t="s">
        <v>113</v>
      </c>
      <c r="H175" s="4" t="s">
        <v>103</v>
      </c>
      <c r="I175" s="4" t="s">
        <v>432</v>
      </c>
      <c r="J175" s="5"/>
      <c r="K175" s="5"/>
      <c r="L175" s="4" t="s">
        <v>433</v>
      </c>
      <c r="M175" s="5"/>
      <c r="N175" s="4" t="s">
        <v>107</v>
      </c>
      <c r="O175" s="45">
        <v>134</v>
      </c>
      <c r="P175" s="4" t="s">
        <v>420</v>
      </c>
      <c r="Q175" s="45">
        <v>134</v>
      </c>
      <c r="R175" s="4" t="s">
        <v>8</v>
      </c>
      <c r="S175" s="5">
        <v>1</v>
      </c>
      <c r="T175" s="4" t="s">
        <v>108</v>
      </c>
      <c r="U175" s="5"/>
      <c r="V175" s="5">
        <v>3</v>
      </c>
      <c r="W175" s="4" t="s">
        <v>109</v>
      </c>
      <c r="X175" s="45">
        <v>134</v>
      </c>
      <c r="Y175" s="4" t="s">
        <v>420</v>
      </c>
      <c r="Z175" s="4"/>
      <c r="AA175" s="5">
        <v>1000000</v>
      </c>
      <c r="AB175" s="5">
        <v>1000000</v>
      </c>
      <c r="AC175" s="5">
        <v>0</v>
      </c>
      <c r="AD175" s="5">
        <v>1000000</v>
      </c>
      <c r="AE175" s="5">
        <v>0</v>
      </c>
      <c r="AF175" s="5">
        <v>1000000</v>
      </c>
      <c r="AG175" s="5"/>
    </row>
    <row r="176" spans="1:33" ht="63.75" x14ac:dyDescent="0.25">
      <c r="A176" s="4" t="s">
        <v>18</v>
      </c>
      <c r="B176" s="4" t="s">
        <v>103</v>
      </c>
      <c r="C176" s="4" t="s">
        <v>103</v>
      </c>
      <c r="D176" s="4" t="s">
        <v>104</v>
      </c>
      <c r="E176" s="4" t="s">
        <v>111</v>
      </c>
      <c r="F176" s="4" t="s">
        <v>112</v>
      </c>
      <c r="G176" s="4" t="s">
        <v>113</v>
      </c>
      <c r="H176" s="4" t="s">
        <v>103</v>
      </c>
      <c r="I176" s="4" t="s">
        <v>432</v>
      </c>
      <c r="J176" s="5"/>
      <c r="K176" s="5"/>
      <c r="L176" s="4" t="s">
        <v>433</v>
      </c>
      <c r="M176" s="5"/>
      <c r="N176" s="4" t="s">
        <v>107</v>
      </c>
      <c r="O176" s="45">
        <v>135</v>
      </c>
      <c r="P176" s="4" t="s">
        <v>421</v>
      </c>
      <c r="Q176" s="45">
        <v>135</v>
      </c>
      <c r="R176" s="4" t="s">
        <v>8</v>
      </c>
      <c r="S176" s="5">
        <v>1</v>
      </c>
      <c r="T176" s="4" t="s">
        <v>108</v>
      </c>
      <c r="U176" s="5"/>
      <c r="V176" s="5">
        <v>2</v>
      </c>
      <c r="W176" s="4" t="s">
        <v>109</v>
      </c>
      <c r="X176" s="45">
        <v>135</v>
      </c>
      <c r="Y176" s="4" t="s">
        <v>421</v>
      </c>
      <c r="Z176" s="4"/>
      <c r="AA176" s="5">
        <v>1000000</v>
      </c>
      <c r="AB176" s="5">
        <v>1000000</v>
      </c>
      <c r="AC176" s="5">
        <v>0</v>
      </c>
      <c r="AD176" s="5">
        <v>1000000</v>
      </c>
      <c r="AE176" s="5">
        <v>0</v>
      </c>
      <c r="AF176" s="5">
        <v>1000000</v>
      </c>
      <c r="AG176" s="5"/>
    </row>
    <row r="177" spans="1:33" ht="63.75" x14ac:dyDescent="0.25">
      <c r="A177" s="4" t="s">
        <v>19</v>
      </c>
      <c r="B177" s="4" t="s">
        <v>103</v>
      </c>
      <c r="C177" s="4" t="s">
        <v>103</v>
      </c>
      <c r="D177" s="4" t="s">
        <v>104</v>
      </c>
      <c r="E177" s="4" t="s">
        <v>111</v>
      </c>
      <c r="F177" s="4" t="s">
        <v>112</v>
      </c>
      <c r="G177" s="4" t="s">
        <v>113</v>
      </c>
      <c r="H177" s="4" t="s">
        <v>103</v>
      </c>
      <c r="I177" s="4" t="s">
        <v>432</v>
      </c>
      <c r="J177" s="5"/>
      <c r="K177" s="5"/>
      <c r="L177" s="4" t="s">
        <v>433</v>
      </c>
      <c r="M177" s="5"/>
      <c r="N177" s="4" t="s">
        <v>107</v>
      </c>
      <c r="O177" s="45">
        <v>64</v>
      </c>
      <c r="P177" s="4" t="s">
        <v>490</v>
      </c>
      <c r="Q177" s="45">
        <v>64</v>
      </c>
      <c r="R177" s="4" t="s">
        <v>8</v>
      </c>
      <c r="S177" s="5">
        <v>1</v>
      </c>
      <c r="T177" s="4" t="s">
        <v>108</v>
      </c>
      <c r="U177" s="5"/>
      <c r="V177" s="5">
        <v>73</v>
      </c>
      <c r="W177" s="4" t="s">
        <v>109</v>
      </c>
      <c r="X177" s="45">
        <v>64</v>
      </c>
      <c r="Y177" s="4" t="s">
        <v>490</v>
      </c>
      <c r="Z177" s="4"/>
      <c r="AA177" s="5">
        <v>1000000</v>
      </c>
      <c r="AB177" s="5">
        <v>1000000</v>
      </c>
      <c r="AC177" s="5">
        <v>0</v>
      </c>
      <c r="AD177" s="5">
        <v>1000000</v>
      </c>
      <c r="AE177" s="5">
        <v>0</v>
      </c>
      <c r="AF177" s="5">
        <v>1000000</v>
      </c>
      <c r="AG177" s="5"/>
    </row>
    <row r="178" spans="1:33" ht="63.75" x14ac:dyDescent="0.25">
      <c r="A178" s="4" t="s">
        <v>19</v>
      </c>
      <c r="B178" s="4" t="s">
        <v>103</v>
      </c>
      <c r="C178" s="4" t="s">
        <v>103</v>
      </c>
      <c r="D178" s="4" t="s">
        <v>104</v>
      </c>
      <c r="E178" s="4" t="s">
        <v>111</v>
      </c>
      <c r="F178" s="4" t="s">
        <v>112</v>
      </c>
      <c r="G178" s="4" t="s">
        <v>113</v>
      </c>
      <c r="H178" s="4" t="s">
        <v>103</v>
      </c>
      <c r="I178" s="4" t="s">
        <v>432</v>
      </c>
      <c r="J178" s="5"/>
      <c r="K178" s="5"/>
      <c r="L178" s="4" t="s">
        <v>433</v>
      </c>
      <c r="M178" s="5"/>
      <c r="N178" s="4" t="s">
        <v>107</v>
      </c>
      <c r="O178" s="45">
        <v>85</v>
      </c>
      <c r="P178" s="4" t="s">
        <v>491</v>
      </c>
      <c r="Q178" s="45">
        <v>85</v>
      </c>
      <c r="R178" s="4" t="s">
        <v>8</v>
      </c>
      <c r="S178" s="5">
        <v>1</v>
      </c>
      <c r="T178" s="4" t="s">
        <v>108</v>
      </c>
      <c r="U178" s="5"/>
      <c r="V178" s="5">
        <v>52</v>
      </c>
      <c r="W178" s="4" t="s">
        <v>109</v>
      </c>
      <c r="X178" s="45">
        <v>85</v>
      </c>
      <c r="Y178" s="4" t="s">
        <v>491</v>
      </c>
      <c r="Z178" s="4"/>
      <c r="AA178" s="5">
        <v>1000000</v>
      </c>
      <c r="AB178" s="5">
        <v>1000000</v>
      </c>
      <c r="AC178" s="5">
        <v>0</v>
      </c>
      <c r="AD178" s="5">
        <v>1000000</v>
      </c>
      <c r="AE178" s="5">
        <v>0</v>
      </c>
      <c r="AF178" s="5">
        <v>1000000</v>
      </c>
      <c r="AG178" s="5"/>
    </row>
    <row r="179" spans="1:33" ht="63.75" x14ac:dyDescent="0.25">
      <c r="A179" s="4" t="s">
        <v>19</v>
      </c>
      <c r="B179" s="4" t="s">
        <v>103</v>
      </c>
      <c r="C179" s="4" t="s">
        <v>103</v>
      </c>
      <c r="D179" s="4" t="s">
        <v>104</v>
      </c>
      <c r="E179" s="4" t="s">
        <v>111</v>
      </c>
      <c r="F179" s="4" t="s">
        <v>112</v>
      </c>
      <c r="G179" s="4" t="s">
        <v>113</v>
      </c>
      <c r="H179" s="4" t="s">
        <v>103</v>
      </c>
      <c r="I179" s="4" t="s">
        <v>432</v>
      </c>
      <c r="J179" s="5"/>
      <c r="K179" s="5"/>
      <c r="L179" s="4" t="s">
        <v>433</v>
      </c>
      <c r="M179" s="5"/>
      <c r="N179" s="4" t="s">
        <v>107</v>
      </c>
      <c r="O179" s="45">
        <v>116</v>
      </c>
      <c r="P179" s="4" t="s">
        <v>287</v>
      </c>
      <c r="Q179" s="45">
        <v>116</v>
      </c>
      <c r="R179" s="4" t="s">
        <v>8</v>
      </c>
      <c r="S179" s="5">
        <v>1</v>
      </c>
      <c r="T179" s="4" t="s">
        <v>108</v>
      </c>
      <c r="U179" s="5"/>
      <c r="V179" s="5">
        <v>21</v>
      </c>
      <c r="W179" s="4" t="s">
        <v>109</v>
      </c>
      <c r="X179" s="45">
        <v>116</v>
      </c>
      <c r="Y179" s="4" t="s">
        <v>287</v>
      </c>
      <c r="Z179" s="4"/>
      <c r="AA179" s="5">
        <v>1000000</v>
      </c>
      <c r="AB179" s="5">
        <v>1000000</v>
      </c>
      <c r="AC179" s="5">
        <v>0</v>
      </c>
      <c r="AD179" s="5">
        <v>1000000</v>
      </c>
      <c r="AE179" s="5">
        <v>0</v>
      </c>
      <c r="AF179" s="5">
        <v>1000000</v>
      </c>
      <c r="AG179" s="5"/>
    </row>
    <row r="180" spans="1:33" ht="63.75" x14ac:dyDescent="0.25">
      <c r="A180" s="4" t="s">
        <v>19</v>
      </c>
      <c r="B180" s="4" t="s">
        <v>103</v>
      </c>
      <c r="C180" s="4" t="s">
        <v>103</v>
      </c>
      <c r="D180" s="4" t="s">
        <v>104</v>
      </c>
      <c r="E180" s="4" t="s">
        <v>111</v>
      </c>
      <c r="F180" s="4" t="s">
        <v>112</v>
      </c>
      <c r="G180" s="4" t="s">
        <v>113</v>
      </c>
      <c r="H180" s="4" t="s">
        <v>103</v>
      </c>
      <c r="I180" s="4" t="s">
        <v>432</v>
      </c>
      <c r="J180" s="5"/>
      <c r="K180" s="5"/>
      <c r="L180" s="4" t="s">
        <v>433</v>
      </c>
      <c r="M180" s="5"/>
      <c r="N180" s="4" t="s">
        <v>107</v>
      </c>
      <c r="O180" s="45">
        <v>127</v>
      </c>
      <c r="P180" s="4" t="s">
        <v>340</v>
      </c>
      <c r="Q180" s="45">
        <v>127</v>
      </c>
      <c r="R180" s="4" t="s">
        <v>8</v>
      </c>
      <c r="S180" s="5">
        <v>1</v>
      </c>
      <c r="T180" s="4" t="s">
        <v>108</v>
      </c>
      <c r="U180" s="5"/>
      <c r="V180" s="5">
        <v>10</v>
      </c>
      <c r="W180" s="4" t="s">
        <v>109</v>
      </c>
      <c r="X180" s="45">
        <v>127</v>
      </c>
      <c r="Y180" s="4" t="s">
        <v>340</v>
      </c>
      <c r="Z180" s="4"/>
      <c r="AA180" s="5">
        <v>1000000</v>
      </c>
      <c r="AB180" s="5">
        <v>1000000</v>
      </c>
      <c r="AC180" s="5">
        <v>0</v>
      </c>
      <c r="AD180" s="5">
        <v>1000000</v>
      </c>
      <c r="AE180" s="5">
        <v>0</v>
      </c>
      <c r="AF180" s="5">
        <v>1000000</v>
      </c>
      <c r="AG180" s="5"/>
    </row>
    <row r="181" spans="1:33" ht="63.75" x14ac:dyDescent="0.25">
      <c r="A181" s="4" t="s">
        <v>19</v>
      </c>
      <c r="B181" s="4" t="s">
        <v>103</v>
      </c>
      <c r="C181" s="4" t="s">
        <v>103</v>
      </c>
      <c r="D181" s="4" t="s">
        <v>104</v>
      </c>
      <c r="E181" s="4" t="s">
        <v>111</v>
      </c>
      <c r="F181" s="4" t="s">
        <v>112</v>
      </c>
      <c r="G181" s="4" t="s">
        <v>113</v>
      </c>
      <c r="H181" s="4" t="s">
        <v>103</v>
      </c>
      <c r="I181" s="4" t="s">
        <v>432</v>
      </c>
      <c r="J181" s="5"/>
      <c r="K181" s="5"/>
      <c r="L181" s="4" t="s">
        <v>433</v>
      </c>
      <c r="M181" s="5"/>
      <c r="N181" s="4" t="s">
        <v>107</v>
      </c>
      <c r="O181" s="45">
        <v>131</v>
      </c>
      <c r="P181" s="4" t="s">
        <v>364</v>
      </c>
      <c r="Q181" s="45">
        <v>131</v>
      </c>
      <c r="R181" s="4" t="s">
        <v>8</v>
      </c>
      <c r="S181" s="5">
        <v>1</v>
      </c>
      <c r="T181" s="4" t="s">
        <v>108</v>
      </c>
      <c r="U181" s="5"/>
      <c r="V181" s="5">
        <v>6</v>
      </c>
      <c r="W181" s="4" t="s">
        <v>109</v>
      </c>
      <c r="X181" s="45">
        <v>131</v>
      </c>
      <c r="Y181" s="4" t="s">
        <v>364</v>
      </c>
      <c r="Z181" s="4"/>
      <c r="AA181" s="5">
        <v>1000000</v>
      </c>
      <c r="AB181" s="5">
        <v>1000000</v>
      </c>
      <c r="AC181" s="5">
        <v>0</v>
      </c>
      <c r="AD181" s="5">
        <v>1000000</v>
      </c>
      <c r="AE181" s="5">
        <v>0</v>
      </c>
      <c r="AF181" s="5">
        <v>1000000</v>
      </c>
      <c r="AG181" s="5"/>
    </row>
    <row r="182" spans="1:33" ht="51" x14ac:dyDescent="0.25">
      <c r="A182" s="4" t="s">
        <v>20</v>
      </c>
      <c r="B182" s="4" t="s">
        <v>103</v>
      </c>
      <c r="C182" s="4" t="s">
        <v>103</v>
      </c>
      <c r="D182" s="4" t="s">
        <v>104</v>
      </c>
      <c r="E182" s="4" t="s">
        <v>111</v>
      </c>
      <c r="F182" s="4" t="s">
        <v>112</v>
      </c>
      <c r="G182" s="4" t="s">
        <v>113</v>
      </c>
      <c r="H182" s="4" t="s">
        <v>103</v>
      </c>
      <c r="I182" s="4" t="s">
        <v>432</v>
      </c>
      <c r="J182" s="5"/>
      <c r="K182" s="5"/>
      <c r="L182" s="4" t="s">
        <v>433</v>
      </c>
      <c r="M182" s="5"/>
      <c r="N182" s="4" t="s">
        <v>107</v>
      </c>
      <c r="O182" s="45">
        <v>282</v>
      </c>
      <c r="P182" s="4" t="s">
        <v>492</v>
      </c>
      <c r="Q182" s="45">
        <v>282</v>
      </c>
      <c r="R182" s="4" t="s">
        <v>8</v>
      </c>
      <c r="S182" s="5">
        <v>1</v>
      </c>
      <c r="T182" s="4" t="s">
        <v>108</v>
      </c>
      <c r="U182" s="5"/>
      <c r="V182" s="5">
        <v>220</v>
      </c>
      <c r="W182" s="4" t="s">
        <v>109</v>
      </c>
      <c r="X182" s="45">
        <v>282</v>
      </c>
      <c r="Y182" s="4" t="s">
        <v>492</v>
      </c>
      <c r="Z182" s="4"/>
      <c r="AA182" s="5">
        <v>1000000</v>
      </c>
      <c r="AB182" s="5">
        <v>1000000</v>
      </c>
      <c r="AC182" s="5">
        <v>0</v>
      </c>
      <c r="AD182" s="5">
        <v>1000000</v>
      </c>
      <c r="AE182" s="5">
        <v>0</v>
      </c>
      <c r="AF182" s="5">
        <v>1000000</v>
      </c>
      <c r="AG182" s="5"/>
    </row>
    <row r="183" spans="1:33" ht="51" x14ac:dyDescent="0.25">
      <c r="A183" s="4" t="s">
        <v>20</v>
      </c>
      <c r="B183" s="4" t="s">
        <v>103</v>
      </c>
      <c r="C183" s="4" t="s">
        <v>103</v>
      </c>
      <c r="D183" s="4" t="s">
        <v>104</v>
      </c>
      <c r="E183" s="4" t="s">
        <v>111</v>
      </c>
      <c r="F183" s="4" t="s">
        <v>112</v>
      </c>
      <c r="G183" s="4" t="s">
        <v>113</v>
      </c>
      <c r="H183" s="4" t="s">
        <v>103</v>
      </c>
      <c r="I183" s="4" t="s">
        <v>432</v>
      </c>
      <c r="J183" s="5"/>
      <c r="K183" s="5"/>
      <c r="L183" s="4" t="s">
        <v>433</v>
      </c>
      <c r="M183" s="5"/>
      <c r="N183" s="4" t="s">
        <v>107</v>
      </c>
      <c r="O183" s="45">
        <v>366</v>
      </c>
      <c r="P183" s="4" t="s">
        <v>493</v>
      </c>
      <c r="Q183" s="45">
        <v>366</v>
      </c>
      <c r="R183" s="4" t="s">
        <v>8</v>
      </c>
      <c r="S183" s="5">
        <v>1</v>
      </c>
      <c r="T183" s="4" t="s">
        <v>108</v>
      </c>
      <c r="U183" s="5"/>
      <c r="V183" s="5">
        <v>136</v>
      </c>
      <c r="W183" s="4" t="s">
        <v>109</v>
      </c>
      <c r="X183" s="45">
        <v>366</v>
      </c>
      <c r="Y183" s="4" t="s">
        <v>493</v>
      </c>
      <c r="Z183" s="5"/>
      <c r="AA183" s="5">
        <v>1000000</v>
      </c>
      <c r="AB183" s="5">
        <v>1000000</v>
      </c>
      <c r="AC183" s="5">
        <v>0</v>
      </c>
      <c r="AD183" s="5">
        <v>1000000</v>
      </c>
      <c r="AE183" s="5">
        <v>0</v>
      </c>
      <c r="AF183" s="5">
        <v>1000000</v>
      </c>
      <c r="AG183" s="5"/>
    </row>
    <row r="184" spans="1:33" ht="51" x14ac:dyDescent="0.25">
      <c r="A184" s="4" t="s">
        <v>20</v>
      </c>
      <c r="B184" s="4" t="s">
        <v>103</v>
      </c>
      <c r="C184" s="4" t="s">
        <v>103</v>
      </c>
      <c r="D184" s="4" t="s">
        <v>104</v>
      </c>
      <c r="E184" s="4" t="s">
        <v>111</v>
      </c>
      <c r="F184" s="4" t="s">
        <v>112</v>
      </c>
      <c r="G184" s="4" t="s">
        <v>113</v>
      </c>
      <c r="H184" s="4" t="s">
        <v>103</v>
      </c>
      <c r="I184" s="4" t="s">
        <v>432</v>
      </c>
      <c r="J184" s="5"/>
      <c r="K184" s="5"/>
      <c r="L184" s="4" t="s">
        <v>433</v>
      </c>
      <c r="M184" s="5"/>
      <c r="N184" s="4" t="s">
        <v>107</v>
      </c>
      <c r="O184" s="45">
        <v>54</v>
      </c>
      <c r="P184" s="4" t="s">
        <v>494</v>
      </c>
      <c r="Q184" s="45">
        <v>54</v>
      </c>
      <c r="R184" s="4" t="s">
        <v>8</v>
      </c>
      <c r="S184" s="5">
        <v>1</v>
      </c>
      <c r="T184" s="4" t="s">
        <v>108</v>
      </c>
      <c r="U184" s="5"/>
      <c r="V184" s="5">
        <v>82</v>
      </c>
      <c r="W184" s="4" t="s">
        <v>109</v>
      </c>
      <c r="X184" s="45">
        <v>54</v>
      </c>
      <c r="Y184" s="4" t="s">
        <v>494</v>
      </c>
      <c r="Z184" s="4"/>
      <c r="AA184" s="5">
        <v>1000000</v>
      </c>
      <c r="AB184" s="5">
        <v>1000000</v>
      </c>
      <c r="AC184" s="5">
        <v>0</v>
      </c>
      <c r="AD184" s="5">
        <v>1000000</v>
      </c>
      <c r="AE184" s="5">
        <v>0</v>
      </c>
      <c r="AF184" s="5">
        <v>1000000</v>
      </c>
      <c r="AG184" s="5"/>
    </row>
    <row r="185" spans="1:33" ht="51" x14ac:dyDescent="0.25">
      <c r="A185" s="4" t="s">
        <v>20</v>
      </c>
      <c r="B185" s="4" t="s">
        <v>103</v>
      </c>
      <c r="C185" s="4" t="s">
        <v>103</v>
      </c>
      <c r="D185" s="4" t="s">
        <v>104</v>
      </c>
      <c r="E185" s="4" t="s">
        <v>111</v>
      </c>
      <c r="F185" s="4" t="s">
        <v>112</v>
      </c>
      <c r="G185" s="4" t="s">
        <v>113</v>
      </c>
      <c r="H185" s="4" t="s">
        <v>103</v>
      </c>
      <c r="I185" s="4" t="s">
        <v>432</v>
      </c>
      <c r="J185" s="5"/>
      <c r="K185" s="5"/>
      <c r="L185" s="4" t="s">
        <v>433</v>
      </c>
      <c r="M185" s="5"/>
      <c r="N185" s="4" t="s">
        <v>107</v>
      </c>
      <c r="O185" s="45">
        <v>71</v>
      </c>
      <c r="P185" s="4" t="s">
        <v>495</v>
      </c>
      <c r="Q185" s="45">
        <v>71</v>
      </c>
      <c r="R185" s="4" t="s">
        <v>8</v>
      </c>
      <c r="S185" s="5">
        <v>1</v>
      </c>
      <c r="T185" s="4" t="s">
        <v>108</v>
      </c>
      <c r="U185" s="5"/>
      <c r="V185" s="5">
        <v>66</v>
      </c>
      <c r="W185" s="4" t="s">
        <v>109</v>
      </c>
      <c r="X185" s="45">
        <v>71</v>
      </c>
      <c r="Y185" s="4" t="s">
        <v>495</v>
      </c>
      <c r="Z185" s="4"/>
      <c r="AA185" s="5">
        <v>1000000</v>
      </c>
      <c r="AB185" s="5">
        <v>1000000</v>
      </c>
      <c r="AC185" s="5">
        <v>0</v>
      </c>
      <c r="AD185" s="5">
        <v>1000000</v>
      </c>
      <c r="AE185" s="5">
        <v>0</v>
      </c>
      <c r="AF185" s="5">
        <v>1000000</v>
      </c>
      <c r="AG185" s="5"/>
    </row>
    <row r="186" spans="1:33" ht="51" x14ac:dyDescent="0.25">
      <c r="A186" s="4" t="s">
        <v>20</v>
      </c>
      <c r="B186" s="4" t="s">
        <v>103</v>
      </c>
      <c r="C186" s="4" t="s">
        <v>103</v>
      </c>
      <c r="D186" s="4" t="s">
        <v>104</v>
      </c>
      <c r="E186" s="4" t="s">
        <v>111</v>
      </c>
      <c r="F186" s="4" t="s">
        <v>112</v>
      </c>
      <c r="G186" s="4" t="s">
        <v>113</v>
      </c>
      <c r="H186" s="4" t="s">
        <v>103</v>
      </c>
      <c r="I186" s="4" t="s">
        <v>432</v>
      </c>
      <c r="J186" s="5"/>
      <c r="K186" s="5"/>
      <c r="L186" s="4" t="s">
        <v>433</v>
      </c>
      <c r="M186" s="5"/>
      <c r="N186" s="4" t="s">
        <v>107</v>
      </c>
      <c r="O186" s="45">
        <v>80</v>
      </c>
      <c r="P186" s="4" t="s">
        <v>496</v>
      </c>
      <c r="Q186" s="45">
        <v>80</v>
      </c>
      <c r="R186" s="4" t="s">
        <v>8</v>
      </c>
      <c r="S186" s="5">
        <v>1</v>
      </c>
      <c r="T186" s="4" t="s">
        <v>108</v>
      </c>
      <c r="U186" s="5"/>
      <c r="V186" s="5">
        <v>57</v>
      </c>
      <c r="W186" s="4" t="s">
        <v>109</v>
      </c>
      <c r="X186" s="45">
        <v>80</v>
      </c>
      <c r="Y186" s="4" t="s">
        <v>496</v>
      </c>
      <c r="Z186" s="4"/>
      <c r="AA186" s="5">
        <v>1000000</v>
      </c>
      <c r="AB186" s="5">
        <v>1000000</v>
      </c>
      <c r="AC186" s="5">
        <v>0</v>
      </c>
      <c r="AD186" s="5">
        <v>1000000</v>
      </c>
      <c r="AE186" s="5">
        <v>0</v>
      </c>
      <c r="AF186" s="5">
        <v>1000000</v>
      </c>
      <c r="AG186" s="5"/>
    </row>
    <row r="187" spans="1:33" ht="51" x14ac:dyDescent="0.25">
      <c r="A187" s="4" t="s">
        <v>20</v>
      </c>
      <c r="B187" s="4" t="s">
        <v>103</v>
      </c>
      <c r="C187" s="4" t="s">
        <v>103</v>
      </c>
      <c r="D187" s="4" t="s">
        <v>104</v>
      </c>
      <c r="E187" s="4" t="s">
        <v>111</v>
      </c>
      <c r="F187" s="4" t="s">
        <v>112</v>
      </c>
      <c r="G187" s="4" t="s">
        <v>113</v>
      </c>
      <c r="H187" s="4" t="s">
        <v>103</v>
      </c>
      <c r="I187" s="4" t="s">
        <v>432</v>
      </c>
      <c r="J187" s="5"/>
      <c r="K187" s="5"/>
      <c r="L187" s="4" t="s">
        <v>433</v>
      </c>
      <c r="M187" s="5"/>
      <c r="N187" s="4" t="s">
        <v>107</v>
      </c>
      <c r="O187" s="45">
        <v>87</v>
      </c>
      <c r="P187" s="4" t="s">
        <v>497</v>
      </c>
      <c r="Q187" s="45">
        <v>87</v>
      </c>
      <c r="R187" s="4" t="s">
        <v>8</v>
      </c>
      <c r="S187" s="5">
        <v>1</v>
      </c>
      <c r="T187" s="4" t="s">
        <v>108</v>
      </c>
      <c r="U187" s="5"/>
      <c r="V187" s="5">
        <v>50</v>
      </c>
      <c r="W187" s="4" t="s">
        <v>109</v>
      </c>
      <c r="X187" s="45">
        <v>87</v>
      </c>
      <c r="Y187" s="4" t="s">
        <v>497</v>
      </c>
      <c r="Z187" s="4"/>
      <c r="AA187" s="5">
        <v>1000000</v>
      </c>
      <c r="AB187" s="5">
        <v>1000000</v>
      </c>
      <c r="AC187" s="5">
        <v>0</v>
      </c>
      <c r="AD187" s="5">
        <v>1000000</v>
      </c>
      <c r="AE187" s="5">
        <v>0</v>
      </c>
      <c r="AF187" s="5">
        <v>1000000</v>
      </c>
      <c r="AG187" s="5"/>
    </row>
    <row r="188" spans="1:33" ht="51" x14ac:dyDescent="0.25">
      <c r="A188" s="4" t="s">
        <v>20</v>
      </c>
      <c r="B188" s="4" t="s">
        <v>103</v>
      </c>
      <c r="C188" s="4" t="s">
        <v>103</v>
      </c>
      <c r="D188" s="4" t="s">
        <v>104</v>
      </c>
      <c r="E188" s="4" t="s">
        <v>111</v>
      </c>
      <c r="F188" s="4" t="s">
        <v>112</v>
      </c>
      <c r="G188" s="4" t="s">
        <v>113</v>
      </c>
      <c r="H188" s="4" t="s">
        <v>103</v>
      </c>
      <c r="I188" s="4" t="s">
        <v>432</v>
      </c>
      <c r="J188" s="5"/>
      <c r="K188" s="5"/>
      <c r="L188" s="4" t="s">
        <v>433</v>
      </c>
      <c r="M188" s="5"/>
      <c r="N188" s="4" t="s">
        <v>107</v>
      </c>
      <c r="O188" s="45">
        <v>103</v>
      </c>
      <c r="P188" s="4" t="s">
        <v>244</v>
      </c>
      <c r="Q188" s="45">
        <v>103</v>
      </c>
      <c r="R188" s="4" t="s">
        <v>8</v>
      </c>
      <c r="S188" s="5">
        <v>1</v>
      </c>
      <c r="T188" s="4" t="s">
        <v>108</v>
      </c>
      <c r="U188" s="5"/>
      <c r="V188" s="5">
        <v>34</v>
      </c>
      <c r="W188" s="4" t="s">
        <v>109</v>
      </c>
      <c r="X188" s="45">
        <v>103</v>
      </c>
      <c r="Y188" s="4" t="s">
        <v>244</v>
      </c>
      <c r="Z188" s="5"/>
      <c r="AA188" s="5">
        <v>1000000</v>
      </c>
      <c r="AB188" s="5">
        <v>1000000</v>
      </c>
      <c r="AC188" s="5">
        <v>0</v>
      </c>
      <c r="AD188" s="5">
        <v>1000000</v>
      </c>
      <c r="AE188" s="5">
        <v>0</v>
      </c>
      <c r="AF188" s="5">
        <v>1000000</v>
      </c>
      <c r="AG188" s="5"/>
    </row>
    <row r="189" spans="1:33" ht="51" x14ac:dyDescent="0.25">
      <c r="A189" s="4" t="s">
        <v>20</v>
      </c>
      <c r="B189" s="4" t="s">
        <v>103</v>
      </c>
      <c r="C189" s="4" t="s">
        <v>103</v>
      </c>
      <c r="D189" s="4" t="s">
        <v>104</v>
      </c>
      <c r="E189" s="4" t="s">
        <v>111</v>
      </c>
      <c r="F189" s="4" t="s">
        <v>112</v>
      </c>
      <c r="G189" s="4" t="s">
        <v>113</v>
      </c>
      <c r="H189" s="4" t="s">
        <v>103</v>
      </c>
      <c r="I189" s="4" t="s">
        <v>432</v>
      </c>
      <c r="J189" s="5"/>
      <c r="K189" s="5"/>
      <c r="L189" s="4" t="s">
        <v>433</v>
      </c>
      <c r="M189" s="5"/>
      <c r="N189" s="4" t="s">
        <v>107</v>
      </c>
      <c r="O189" s="45">
        <v>111</v>
      </c>
      <c r="P189" s="4" t="s">
        <v>274</v>
      </c>
      <c r="Q189" s="45">
        <v>111</v>
      </c>
      <c r="R189" s="4" t="s">
        <v>8</v>
      </c>
      <c r="S189" s="5">
        <v>1</v>
      </c>
      <c r="T189" s="4" t="s">
        <v>108</v>
      </c>
      <c r="U189" s="5"/>
      <c r="V189" s="5">
        <v>26</v>
      </c>
      <c r="W189" s="4" t="s">
        <v>109</v>
      </c>
      <c r="X189" s="45">
        <v>111</v>
      </c>
      <c r="Y189" s="4" t="s">
        <v>274</v>
      </c>
      <c r="Z189" s="4"/>
      <c r="AA189" s="5">
        <v>1000000</v>
      </c>
      <c r="AB189" s="5">
        <v>1000000</v>
      </c>
      <c r="AC189" s="5">
        <v>0</v>
      </c>
      <c r="AD189" s="5">
        <v>1000000</v>
      </c>
      <c r="AE189" s="5">
        <v>0</v>
      </c>
      <c r="AF189" s="5">
        <v>1000000</v>
      </c>
      <c r="AG189" s="5"/>
    </row>
    <row r="190" spans="1:33" ht="51" x14ac:dyDescent="0.25">
      <c r="A190" s="4" t="s">
        <v>20</v>
      </c>
      <c r="B190" s="4" t="s">
        <v>103</v>
      </c>
      <c r="C190" s="4" t="s">
        <v>103</v>
      </c>
      <c r="D190" s="4" t="s">
        <v>104</v>
      </c>
      <c r="E190" s="4" t="s">
        <v>111</v>
      </c>
      <c r="F190" s="4" t="s">
        <v>112</v>
      </c>
      <c r="G190" s="4" t="s">
        <v>113</v>
      </c>
      <c r="H190" s="4" t="s">
        <v>103</v>
      </c>
      <c r="I190" s="4" t="s">
        <v>432</v>
      </c>
      <c r="J190" s="5"/>
      <c r="K190" s="5"/>
      <c r="L190" s="4" t="s">
        <v>433</v>
      </c>
      <c r="M190" s="5"/>
      <c r="N190" s="4" t="s">
        <v>107</v>
      </c>
      <c r="O190" s="45">
        <v>114</v>
      </c>
      <c r="P190" s="4" t="s">
        <v>280</v>
      </c>
      <c r="Q190" s="45">
        <v>114</v>
      </c>
      <c r="R190" s="4" t="s">
        <v>8</v>
      </c>
      <c r="S190" s="5">
        <v>1</v>
      </c>
      <c r="T190" s="4" t="s">
        <v>108</v>
      </c>
      <c r="U190" s="5"/>
      <c r="V190" s="5">
        <v>23</v>
      </c>
      <c r="W190" s="4" t="s">
        <v>109</v>
      </c>
      <c r="X190" s="45">
        <v>114</v>
      </c>
      <c r="Y190" s="4" t="s">
        <v>280</v>
      </c>
      <c r="Z190" s="4"/>
      <c r="AA190" s="5">
        <v>1000000</v>
      </c>
      <c r="AB190" s="5">
        <v>1000000</v>
      </c>
      <c r="AC190" s="5">
        <v>0</v>
      </c>
      <c r="AD190" s="5">
        <v>1000000</v>
      </c>
      <c r="AE190" s="5">
        <v>0</v>
      </c>
      <c r="AF190" s="5">
        <v>1000000</v>
      </c>
      <c r="AG190" s="5"/>
    </row>
    <row r="191" spans="1:33" ht="51" x14ac:dyDescent="0.25">
      <c r="A191" s="4" t="s">
        <v>20</v>
      </c>
      <c r="B191" s="4" t="s">
        <v>103</v>
      </c>
      <c r="C191" s="4" t="s">
        <v>103</v>
      </c>
      <c r="D191" s="4" t="s">
        <v>104</v>
      </c>
      <c r="E191" s="4" t="s">
        <v>111</v>
      </c>
      <c r="F191" s="4" t="s">
        <v>112</v>
      </c>
      <c r="G191" s="4" t="s">
        <v>113</v>
      </c>
      <c r="H191" s="4" t="s">
        <v>103</v>
      </c>
      <c r="I191" s="4" t="s">
        <v>432</v>
      </c>
      <c r="J191" s="5"/>
      <c r="K191" s="5"/>
      <c r="L191" s="4" t="s">
        <v>433</v>
      </c>
      <c r="M191" s="5"/>
      <c r="N191" s="4" t="s">
        <v>107</v>
      </c>
      <c r="O191" s="45">
        <v>121</v>
      </c>
      <c r="P191" s="4" t="s">
        <v>306</v>
      </c>
      <c r="Q191" s="45">
        <v>121</v>
      </c>
      <c r="R191" s="4" t="s">
        <v>8</v>
      </c>
      <c r="S191" s="5">
        <v>1</v>
      </c>
      <c r="T191" s="4" t="s">
        <v>108</v>
      </c>
      <c r="U191" s="5"/>
      <c r="V191" s="5">
        <v>16</v>
      </c>
      <c r="W191" s="4" t="s">
        <v>109</v>
      </c>
      <c r="X191" s="45">
        <v>121</v>
      </c>
      <c r="Y191" s="4" t="s">
        <v>306</v>
      </c>
      <c r="Z191" s="4"/>
      <c r="AA191" s="5">
        <v>1000000</v>
      </c>
      <c r="AB191" s="5">
        <v>1000000</v>
      </c>
      <c r="AC191" s="5">
        <v>0</v>
      </c>
      <c r="AD191" s="5">
        <v>1000000</v>
      </c>
      <c r="AE191" s="5">
        <v>0</v>
      </c>
      <c r="AF191" s="5">
        <v>1000000</v>
      </c>
      <c r="AG191" s="5"/>
    </row>
    <row r="192" spans="1:33" ht="51" x14ac:dyDescent="0.25">
      <c r="A192" s="4" t="s">
        <v>20</v>
      </c>
      <c r="B192" s="4" t="s">
        <v>103</v>
      </c>
      <c r="C192" s="4" t="s">
        <v>103</v>
      </c>
      <c r="D192" s="4" t="s">
        <v>104</v>
      </c>
      <c r="E192" s="4" t="s">
        <v>111</v>
      </c>
      <c r="F192" s="4" t="s">
        <v>112</v>
      </c>
      <c r="G192" s="4" t="s">
        <v>113</v>
      </c>
      <c r="H192" s="4" t="s">
        <v>103</v>
      </c>
      <c r="I192" s="4" t="s">
        <v>432</v>
      </c>
      <c r="J192" s="5"/>
      <c r="K192" s="5"/>
      <c r="L192" s="4" t="s">
        <v>433</v>
      </c>
      <c r="M192" s="5"/>
      <c r="N192" s="4" t="s">
        <v>107</v>
      </c>
      <c r="O192" s="45">
        <v>131</v>
      </c>
      <c r="P192" s="4" t="s">
        <v>365</v>
      </c>
      <c r="Q192" s="45">
        <v>131</v>
      </c>
      <c r="R192" s="4" t="s">
        <v>8</v>
      </c>
      <c r="S192" s="5">
        <v>1</v>
      </c>
      <c r="T192" s="4" t="s">
        <v>108</v>
      </c>
      <c r="U192" s="5"/>
      <c r="V192" s="5">
        <v>6</v>
      </c>
      <c r="W192" s="4" t="s">
        <v>109</v>
      </c>
      <c r="X192" s="45">
        <v>131</v>
      </c>
      <c r="Y192" s="4" t="s">
        <v>365</v>
      </c>
      <c r="Z192" s="4"/>
      <c r="AA192" s="5">
        <v>1000000</v>
      </c>
      <c r="AB192" s="5">
        <v>1000000</v>
      </c>
      <c r="AC192" s="5">
        <v>0</v>
      </c>
      <c r="AD192" s="5">
        <v>1000000</v>
      </c>
      <c r="AE192" s="5">
        <v>0</v>
      </c>
      <c r="AF192" s="5">
        <v>1000000</v>
      </c>
      <c r="AG192" s="5"/>
    </row>
    <row r="193" spans="1:33" ht="51" x14ac:dyDescent="0.25">
      <c r="A193" s="4" t="s">
        <v>21</v>
      </c>
      <c r="B193" s="4" t="s">
        <v>103</v>
      </c>
      <c r="C193" s="4" t="s">
        <v>103</v>
      </c>
      <c r="D193" s="4" t="s">
        <v>104</v>
      </c>
      <c r="E193" s="4" t="s">
        <v>111</v>
      </c>
      <c r="F193" s="4" t="s">
        <v>112</v>
      </c>
      <c r="G193" s="4" t="s">
        <v>113</v>
      </c>
      <c r="H193" s="4" t="s">
        <v>103</v>
      </c>
      <c r="I193" s="4" t="s">
        <v>432</v>
      </c>
      <c r="J193" s="5"/>
      <c r="K193" s="5"/>
      <c r="L193" s="4" t="s">
        <v>433</v>
      </c>
      <c r="M193" s="5"/>
      <c r="N193" s="4" t="s">
        <v>107</v>
      </c>
      <c r="O193" s="45">
        <v>125</v>
      </c>
      <c r="P193" s="4" t="s">
        <v>22</v>
      </c>
      <c r="Q193" s="45">
        <v>125</v>
      </c>
      <c r="R193" s="4" t="s">
        <v>8</v>
      </c>
      <c r="S193" s="5">
        <v>1</v>
      </c>
      <c r="T193" s="4" t="s">
        <v>108</v>
      </c>
      <c r="U193" s="5"/>
      <c r="V193" s="5">
        <v>742</v>
      </c>
      <c r="W193" s="4" t="s">
        <v>109</v>
      </c>
      <c r="X193" s="45">
        <v>125</v>
      </c>
      <c r="Y193" s="4" t="s">
        <v>22</v>
      </c>
      <c r="Z193" s="5"/>
      <c r="AA193" s="5">
        <v>1000000</v>
      </c>
      <c r="AB193" s="5">
        <v>1000000</v>
      </c>
      <c r="AC193" s="5">
        <v>0</v>
      </c>
      <c r="AD193" s="5">
        <v>1000000</v>
      </c>
      <c r="AE193" s="5">
        <v>0</v>
      </c>
      <c r="AF193" s="5">
        <v>1000000</v>
      </c>
      <c r="AG193" s="5"/>
    </row>
    <row r="194" spans="1:33" ht="51" x14ac:dyDescent="0.25">
      <c r="A194" s="4" t="s">
        <v>21</v>
      </c>
      <c r="B194" s="4" t="s">
        <v>103</v>
      </c>
      <c r="C194" s="4" t="s">
        <v>103</v>
      </c>
      <c r="D194" s="4" t="s">
        <v>104</v>
      </c>
      <c r="E194" s="4" t="s">
        <v>111</v>
      </c>
      <c r="F194" s="4" t="s">
        <v>112</v>
      </c>
      <c r="G194" s="4" t="s">
        <v>113</v>
      </c>
      <c r="H194" s="4" t="s">
        <v>103</v>
      </c>
      <c r="I194" s="4" t="s">
        <v>432</v>
      </c>
      <c r="J194" s="5"/>
      <c r="K194" s="5"/>
      <c r="L194" s="4" t="s">
        <v>433</v>
      </c>
      <c r="M194" s="5"/>
      <c r="N194" s="4" t="s">
        <v>107</v>
      </c>
      <c r="O194" s="45">
        <v>283</v>
      </c>
      <c r="P194" s="4" t="s">
        <v>498</v>
      </c>
      <c r="Q194" s="45">
        <v>283</v>
      </c>
      <c r="R194" s="4" t="s">
        <v>8</v>
      </c>
      <c r="S194" s="5">
        <v>1</v>
      </c>
      <c r="T194" s="4" t="s">
        <v>108</v>
      </c>
      <c r="U194" s="5"/>
      <c r="V194" s="5">
        <v>219</v>
      </c>
      <c r="W194" s="4" t="s">
        <v>109</v>
      </c>
      <c r="X194" s="45">
        <v>283</v>
      </c>
      <c r="Y194" s="4" t="s">
        <v>498</v>
      </c>
      <c r="Z194" s="4"/>
      <c r="AA194" s="5">
        <v>1000000</v>
      </c>
      <c r="AB194" s="5">
        <v>1000000</v>
      </c>
      <c r="AC194" s="5">
        <v>0</v>
      </c>
      <c r="AD194" s="5">
        <v>1000000</v>
      </c>
      <c r="AE194" s="5">
        <v>0</v>
      </c>
      <c r="AF194" s="5">
        <v>1000000</v>
      </c>
      <c r="AG194" s="5"/>
    </row>
    <row r="195" spans="1:33" ht="51" x14ac:dyDescent="0.25">
      <c r="A195" s="4" t="s">
        <v>21</v>
      </c>
      <c r="B195" s="4" t="s">
        <v>103</v>
      </c>
      <c r="C195" s="4" t="s">
        <v>103</v>
      </c>
      <c r="D195" s="4" t="s">
        <v>104</v>
      </c>
      <c r="E195" s="4" t="s">
        <v>111</v>
      </c>
      <c r="F195" s="4" t="s">
        <v>112</v>
      </c>
      <c r="G195" s="4" t="s">
        <v>113</v>
      </c>
      <c r="H195" s="4" t="s">
        <v>103</v>
      </c>
      <c r="I195" s="4" t="s">
        <v>432</v>
      </c>
      <c r="J195" s="5"/>
      <c r="K195" s="5"/>
      <c r="L195" s="4" t="s">
        <v>433</v>
      </c>
      <c r="M195" s="5"/>
      <c r="N195" s="4" t="s">
        <v>107</v>
      </c>
      <c r="O195" s="45">
        <v>81</v>
      </c>
      <c r="P195" s="4" t="s">
        <v>499</v>
      </c>
      <c r="Q195" s="45">
        <v>81</v>
      </c>
      <c r="R195" s="4" t="s">
        <v>8</v>
      </c>
      <c r="S195" s="5">
        <v>1</v>
      </c>
      <c r="T195" s="4" t="s">
        <v>108</v>
      </c>
      <c r="U195" s="5"/>
      <c r="V195" s="5">
        <v>56</v>
      </c>
      <c r="W195" s="4" t="s">
        <v>109</v>
      </c>
      <c r="X195" s="45">
        <v>81</v>
      </c>
      <c r="Y195" s="4" t="s">
        <v>499</v>
      </c>
      <c r="Z195" s="4"/>
      <c r="AA195" s="5">
        <v>1000000</v>
      </c>
      <c r="AB195" s="5">
        <v>1000000</v>
      </c>
      <c r="AC195" s="5">
        <v>0</v>
      </c>
      <c r="AD195" s="5">
        <v>1000000</v>
      </c>
      <c r="AE195" s="5">
        <v>0</v>
      </c>
      <c r="AF195" s="5">
        <v>1000000</v>
      </c>
      <c r="AG195" s="5"/>
    </row>
    <row r="196" spans="1:33" ht="51" x14ac:dyDescent="0.25">
      <c r="A196" s="4" t="s">
        <v>21</v>
      </c>
      <c r="B196" s="4" t="s">
        <v>103</v>
      </c>
      <c r="C196" s="4" t="s">
        <v>103</v>
      </c>
      <c r="D196" s="4" t="s">
        <v>104</v>
      </c>
      <c r="E196" s="4" t="s">
        <v>111</v>
      </c>
      <c r="F196" s="4" t="s">
        <v>112</v>
      </c>
      <c r="G196" s="4" t="s">
        <v>113</v>
      </c>
      <c r="H196" s="4" t="s">
        <v>103</v>
      </c>
      <c r="I196" s="4" t="s">
        <v>432</v>
      </c>
      <c r="J196" s="5"/>
      <c r="K196" s="5"/>
      <c r="L196" s="4" t="s">
        <v>433</v>
      </c>
      <c r="M196" s="5"/>
      <c r="N196" s="4" t="s">
        <v>107</v>
      </c>
      <c r="O196" s="45">
        <v>84</v>
      </c>
      <c r="P196" s="4" t="s">
        <v>500</v>
      </c>
      <c r="Q196" s="45">
        <v>84</v>
      </c>
      <c r="R196" s="4" t="s">
        <v>8</v>
      </c>
      <c r="S196" s="5">
        <v>1</v>
      </c>
      <c r="T196" s="4" t="s">
        <v>108</v>
      </c>
      <c r="U196" s="5"/>
      <c r="V196" s="5">
        <v>53</v>
      </c>
      <c r="W196" s="4" t="s">
        <v>109</v>
      </c>
      <c r="X196" s="45">
        <v>84</v>
      </c>
      <c r="Y196" s="4" t="s">
        <v>500</v>
      </c>
      <c r="Z196" s="4"/>
      <c r="AA196" s="5">
        <v>1000000</v>
      </c>
      <c r="AB196" s="5">
        <v>1000000</v>
      </c>
      <c r="AC196" s="5">
        <v>0</v>
      </c>
      <c r="AD196" s="5">
        <v>1000000</v>
      </c>
      <c r="AE196" s="5">
        <v>0</v>
      </c>
      <c r="AF196" s="5">
        <v>1000000</v>
      </c>
      <c r="AG196" s="5"/>
    </row>
    <row r="197" spans="1:33" ht="51" x14ac:dyDescent="0.25">
      <c r="A197" s="4" t="s">
        <v>21</v>
      </c>
      <c r="B197" s="4" t="s">
        <v>103</v>
      </c>
      <c r="C197" s="4" t="s">
        <v>103</v>
      </c>
      <c r="D197" s="4" t="s">
        <v>104</v>
      </c>
      <c r="E197" s="4" t="s">
        <v>111</v>
      </c>
      <c r="F197" s="4" t="s">
        <v>112</v>
      </c>
      <c r="G197" s="4" t="s">
        <v>113</v>
      </c>
      <c r="H197" s="4" t="s">
        <v>103</v>
      </c>
      <c r="I197" s="4" t="s">
        <v>432</v>
      </c>
      <c r="J197" s="5"/>
      <c r="K197" s="5"/>
      <c r="L197" s="4" t="s">
        <v>433</v>
      </c>
      <c r="M197" s="5"/>
      <c r="N197" s="4" t="s">
        <v>107</v>
      </c>
      <c r="O197" s="45">
        <v>86</v>
      </c>
      <c r="P197" s="4" t="s">
        <v>501</v>
      </c>
      <c r="Q197" s="45">
        <v>86</v>
      </c>
      <c r="R197" s="4" t="s">
        <v>8</v>
      </c>
      <c r="S197" s="5">
        <v>1</v>
      </c>
      <c r="T197" s="4" t="s">
        <v>108</v>
      </c>
      <c r="U197" s="5"/>
      <c r="V197" s="5">
        <v>51</v>
      </c>
      <c r="W197" s="4" t="s">
        <v>109</v>
      </c>
      <c r="X197" s="45">
        <v>86</v>
      </c>
      <c r="Y197" s="4" t="s">
        <v>501</v>
      </c>
      <c r="Z197" s="4"/>
      <c r="AA197" s="5">
        <v>1000000</v>
      </c>
      <c r="AB197" s="5">
        <v>1000000</v>
      </c>
      <c r="AC197" s="5">
        <v>0</v>
      </c>
      <c r="AD197" s="5">
        <v>1000000</v>
      </c>
      <c r="AE197" s="5">
        <v>0</v>
      </c>
      <c r="AF197" s="5">
        <v>1000000</v>
      </c>
      <c r="AG197" s="5"/>
    </row>
    <row r="198" spans="1:33" ht="51" x14ac:dyDescent="0.25">
      <c r="A198" s="4" t="s">
        <v>21</v>
      </c>
      <c r="B198" s="4" t="s">
        <v>103</v>
      </c>
      <c r="C198" s="4" t="s">
        <v>103</v>
      </c>
      <c r="D198" s="4" t="s">
        <v>104</v>
      </c>
      <c r="E198" s="4" t="s">
        <v>111</v>
      </c>
      <c r="F198" s="4" t="s">
        <v>112</v>
      </c>
      <c r="G198" s="4" t="s">
        <v>113</v>
      </c>
      <c r="H198" s="4" t="s">
        <v>103</v>
      </c>
      <c r="I198" s="4" t="s">
        <v>432</v>
      </c>
      <c r="J198" s="5"/>
      <c r="K198" s="5"/>
      <c r="L198" s="4" t="s">
        <v>433</v>
      </c>
      <c r="M198" s="5"/>
      <c r="N198" s="4" t="s">
        <v>107</v>
      </c>
      <c r="O198" s="45">
        <v>93</v>
      </c>
      <c r="P198" s="4" t="s">
        <v>204</v>
      </c>
      <c r="Q198" s="45">
        <v>93</v>
      </c>
      <c r="R198" s="4" t="s">
        <v>8</v>
      </c>
      <c r="S198" s="5">
        <v>1</v>
      </c>
      <c r="T198" s="4" t="s">
        <v>108</v>
      </c>
      <c r="U198" s="5"/>
      <c r="V198" s="5">
        <v>44</v>
      </c>
      <c r="W198" s="4" t="s">
        <v>109</v>
      </c>
      <c r="X198" s="45">
        <v>93</v>
      </c>
      <c r="Y198" s="4" t="s">
        <v>204</v>
      </c>
      <c r="Z198" s="5"/>
      <c r="AA198" s="5">
        <v>1000000</v>
      </c>
      <c r="AB198" s="5">
        <v>1000000</v>
      </c>
      <c r="AC198" s="5">
        <v>0</v>
      </c>
      <c r="AD198" s="5">
        <v>1000000</v>
      </c>
      <c r="AE198" s="5">
        <v>0</v>
      </c>
      <c r="AF198" s="5">
        <v>1000000</v>
      </c>
      <c r="AG198" s="5"/>
    </row>
    <row r="199" spans="1:33" ht="51" x14ac:dyDescent="0.25">
      <c r="A199" s="4" t="s">
        <v>21</v>
      </c>
      <c r="B199" s="4" t="s">
        <v>103</v>
      </c>
      <c r="C199" s="4" t="s">
        <v>103</v>
      </c>
      <c r="D199" s="4" t="s">
        <v>104</v>
      </c>
      <c r="E199" s="4" t="s">
        <v>111</v>
      </c>
      <c r="F199" s="4" t="s">
        <v>112</v>
      </c>
      <c r="G199" s="4" t="s">
        <v>113</v>
      </c>
      <c r="H199" s="4" t="s">
        <v>103</v>
      </c>
      <c r="I199" s="4" t="s">
        <v>432</v>
      </c>
      <c r="J199" s="5"/>
      <c r="K199" s="5"/>
      <c r="L199" s="4" t="s">
        <v>433</v>
      </c>
      <c r="M199" s="5"/>
      <c r="N199" s="4" t="s">
        <v>107</v>
      </c>
      <c r="O199" s="45">
        <v>95</v>
      </c>
      <c r="P199" s="4" t="s">
        <v>205</v>
      </c>
      <c r="Q199" s="45">
        <v>95</v>
      </c>
      <c r="R199" s="4" t="s">
        <v>8</v>
      </c>
      <c r="S199" s="5">
        <v>1</v>
      </c>
      <c r="T199" s="4" t="s">
        <v>108</v>
      </c>
      <c r="U199" s="5"/>
      <c r="V199" s="5">
        <v>42</v>
      </c>
      <c r="W199" s="4" t="s">
        <v>109</v>
      </c>
      <c r="X199" s="45">
        <v>95</v>
      </c>
      <c r="Y199" s="4" t="s">
        <v>205</v>
      </c>
      <c r="Z199" s="5"/>
      <c r="AA199" s="5">
        <v>1000000</v>
      </c>
      <c r="AB199" s="5">
        <v>1000000</v>
      </c>
      <c r="AC199" s="5">
        <v>0</v>
      </c>
      <c r="AD199" s="5">
        <v>1000000</v>
      </c>
      <c r="AE199" s="5">
        <v>0</v>
      </c>
      <c r="AF199" s="5">
        <v>1000000</v>
      </c>
      <c r="AG199" s="5"/>
    </row>
    <row r="200" spans="1:33" ht="51" x14ac:dyDescent="0.25">
      <c r="A200" s="4" t="s">
        <v>21</v>
      </c>
      <c r="B200" s="4" t="s">
        <v>103</v>
      </c>
      <c r="C200" s="4" t="s">
        <v>103</v>
      </c>
      <c r="D200" s="4" t="s">
        <v>104</v>
      </c>
      <c r="E200" s="4" t="s">
        <v>111</v>
      </c>
      <c r="F200" s="4" t="s">
        <v>112</v>
      </c>
      <c r="G200" s="4" t="s">
        <v>113</v>
      </c>
      <c r="H200" s="4" t="s">
        <v>103</v>
      </c>
      <c r="I200" s="4" t="s">
        <v>432</v>
      </c>
      <c r="J200" s="5"/>
      <c r="K200" s="5"/>
      <c r="L200" s="4" t="s">
        <v>433</v>
      </c>
      <c r="M200" s="5"/>
      <c r="N200" s="4" t="s">
        <v>107</v>
      </c>
      <c r="O200" s="45">
        <v>97</v>
      </c>
      <c r="P200" s="4" t="s">
        <v>217</v>
      </c>
      <c r="Q200" s="45">
        <v>97</v>
      </c>
      <c r="R200" s="4" t="s">
        <v>8</v>
      </c>
      <c r="S200" s="5">
        <v>1</v>
      </c>
      <c r="T200" s="4" t="s">
        <v>108</v>
      </c>
      <c r="U200" s="5"/>
      <c r="V200" s="5">
        <v>40</v>
      </c>
      <c r="W200" s="4" t="s">
        <v>109</v>
      </c>
      <c r="X200" s="45">
        <v>97</v>
      </c>
      <c r="Y200" s="4" t="s">
        <v>217</v>
      </c>
      <c r="Z200" s="4"/>
      <c r="AA200" s="5">
        <v>1000000</v>
      </c>
      <c r="AB200" s="5">
        <v>1000000</v>
      </c>
      <c r="AC200" s="5">
        <v>0</v>
      </c>
      <c r="AD200" s="5">
        <v>1000000</v>
      </c>
      <c r="AE200" s="5">
        <v>0</v>
      </c>
      <c r="AF200" s="5">
        <v>1000000</v>
      </c>
      <c r="AG200" s="5"/>
    </row>
    <row r="201" spans="1:33" ht="51" x14ac:dyDescent="0.25">
      <c r="A201" s="4" t="s">
        <v>21</v>
      </c>
      <c r="B201" s="4" t="s">
        <v>103</v>
      </c>
      <c r="C201" s="4" t="s">
        <v>103</v>
      </c>
      <c r="D201" s="4" t="s">
        <v>104</v>
      </c>
      <c r="E201" s="4" t="s">
        <v>111</v>
      </c>
      <c r="F201" s="4" t="s">
        <v>112</v>
      </c>
      <c r="G201" s="4" t="s">
        <v>113</v>
      </c>
      <c r="H201" s="4" t="s">
        <v>103</v>
      </c>
      <c r="I201" s="4" t="s">
        <v>432</v>
      </c>
      <c r="J201" s="5"/>
      <c r="K201" s="5"/>
      <c r="L201" s="4" t="s">
        <v>433</v>
      </c>
      <c r="M201" s="5"/>
      <c r="N201" s="4" t="s">
        <v>107</v>
      </c>
      <c r="O201" s="45">
        <v>100</v>
      </c>
      <c r="P201" s="4" t="s">
        <v>225</v>
      </c>
      <c r="Q201" s="45">
        <v>100</v>
      </c>
      <c r="R201" s="4" t="s">
        <v>8</v>
      </c>
      <c r="S201" s="5">
        <v>1</v>
      </c>
      <c r="T201" s="4" t="s">
        <v>108</v>
      </c>
      <c r="U201" s="5"/>
      <c r="V201" s="5">
        <v>37</v>
      </c>
      <c r="W201" s="4" t="s">
        <v>109</v>
      </c>
      <c r="X201" s="45">
        <v>100</v>
      </c>
      <c r="Y201" s="4" t="s">
        <v>225</v>
      </c>
      <c r="Z201" s="4"/>
      <c r="AA201" s="5">
        <v>1000000</v>
      </c>
      <c r="AB201" s="5">
        <v>1000000</v>
      </c>
      <c r="AC201" s="5">
        <v>0</v>
      </c>
      <c r="AD201" s="5">
        <v>1000000</v>
      </c>
      <c r="AE201" s="5">
        <v>0</v>
      </c>
      <c r="AF201" s="5">
        <v>1000000</v>
      </c>
      <c r="AG201" s="5"/>
    </row>
    <row r="202" spans="1:33" ht="51" x14ac:dyDescent="0.25">
      <c r="A202" s="4" t="s">
        <v>21</v>
      </c>
      <c r="B202" s="4" t="s">
        <v>103</v>
      </c>
      <c r="C202" s="4" t="s">
        <v>103</v>
      </c>
      <c r="D202" s="4" t="s">
        <v>104</v>
      </c>
      <c r="E202" s="4" t="s">
        <v>111</v>
      </c>
      <c r="F202" s="4" t="s">
        <v>112</v>
      </c>
      <c r="G202" s="4" t="s">
        <v>113</v>
      </c>
      <c r="H202" s="4" t="s">
        <v>103</v>
      </c>
      <c r="I202" s="4" t="s">
        <v>432</v>
      </c>
      <c r="J202" s="5"/>
      <c r="K202" s="5"/>
      <c r="L202" s="4" t="s">
        <v>433</v>
      </c>
      <c r="M202" s="5"/>
      <c r="N202" s="4" t="s">
        <v>107</v>
      </c>
      <c r="O202" s="45">
        <v>102</v>
      </c>
      <c r="P202" s="4" t="s">
        <v>232</v>
      </c>
      <c r="Q202" s="45">
        <v>102</v>
      </c>
      <c r="R202" s="4" t="s">
        <v>8</v>
      </c>
      <c r="S202" s="5">
        <v>1</v>
      </c>
      <c r="T202" s="4" t="s">
        <v>108</v>
      </c>
      <c r="U202" s="5"/>
      <c r="V202" s="5">
        <v>35</v>
      </c>
      <c r="W202" s="4" t="s">
        <v>109</v>
      </c>
      <c r="X202" s="45">
        <v>102</v>
      </c>
      <c r="Y202" s="4" t="s">
        <v>232</v>
      </c>
      <c r="Z202" s="4"/>
      <c r="AA202" s="5">
        <v>1000000</v>
      </c>
      <c r="AB202" s="5">
        <v>1000000</v>
      </c>
      <c r="AC202" s="5">
        <v>0</v>
      </c>
      <c r="AD202" s="5">
        <v>1000000</v>
      </c>
      <c r="AE202" s="5">
        <v>0</v>
      </c>
      <c r="AF202" s="5">
        <v>1000000</v>
      </c>
      <c r="AG202" s="5"/>
    </row>
    <row r="203" spans="1:33" ht="51" x14ac:dyDescent="0.25">
      <c r="A203" s="4" t="s">
        <v>21</v>
      </c>
      <c r="B203" s="4" t="s">
        <v>103</v>
      </c>
      <c r="C203" s="4" t="s">
        <v>103</v>
      </c>
      <c r="D203" s="4" t="s">
        <v>104</v>
      </c>
      <c r="E203" s="4" t="s">
        <v>111</v>
      </c>
      <c r="F203" s="4" t="s">
        <v>112</v>
      </c>
      <c r="G203" s="4" t="s">
        <v>113</v>
      </c>
      <c r="H203" s="4" t="s">
        <v>103</v>
      </c>
      <c r="I203" s="4" t="s">
        <v>432</v>
      </c>
      <c r="J203" s="5"/>
      <c r="K203" s="5"/>
      <c r="L203" s="4" t="s">
        <v>433</v>
      </c>
      <c r="M203" s="5"/>
      <c r="N203" s="4" t="s">
        <v>107</v>
      </c>
      <c r="O203" s="45">
        <v>105</v>
      </c>
      <c r="P203" s="4" t="s">
        <v>245</v>
      </c>
      <c r="Q203" s="45">
        <v>105</v>
      </c>
      <c r="R203" s="4" t="s">
        <v>8</v>
      </c>
      <c r="S203" s="5">
        <v>1</v>
      </c>
      <c r="T203" s="4" t="s">
        <v>108</v>
      </c>
      <c r="U203" s="5"/>
      <c r="V203" s="5">
        <v>32</v>
      </c>
      <c r="W203" s="4" t="s">
        <v>109</v>
      </c>
      <c r="X203" s="45">
        <v>105</v>
      </c>
      <c r="Y203" s="4" t="s">
        <v>245</v>
      </c>
      <c r="Z203" s="4"/>
      <c r="AA203" s="5">
        <v>1000000</v>
      </c>
      <c r="AB203" s="5">
        <v>1000000</v>
      </c>
      <c r="AC203" s="5">
        <v>0</v>
      </c>
      <c r="AD203" s="5">
        <v>1000000</v>
      </c>
      <c r="AE203" s="5">
        <v>0</v>
      </c>
      <c r="AF203" s="5">
        <v>1000000</v>
      </c>
      <c r="AG203" s="5"/>
    </row>
    <row r="204" spans="1:33" ht="51" x14ac:dyDescent="0.25">
      <c r="A204" s="4" t="s">
        <v>21</v>
      </c>
      <c r="B204" s="4" t="s">
        <v>103</v>
      </c>
      <c r="C204" s="4" t="s">
        <v>103</v>
      </c>
      <c r="D204" s="4" t="s">
        <v>104</v>
      </c>
      <c r="E204" s="4" t="s">
        <v>111</v>
      </c>
      <c r="F204" s="4" t="s">
        <v>112</v>
      </c>
      <c r="G204" s="4" t="s">
        <v>113</v>
      </c>
      <c r="H204" s="4" t="s">
        <v>103</v>
      </c>
      <c r="I204" s="4" t="s">
        <v>432</v>
      </c>
      <c r="J204" s="5"/>
      <c r="K204" s="5"/>
      <c r="L204" s="4" t="s">
        <v>433</v>
      </c>
      <c r="M204" s="5"/>
      <c r="N204" s="4" t="s">
        <v>107</v>
      </c>
      <c r="O204" s="45">
        <v>109</v>
      </c>
      <c r="P204" s="4" t="s">
        <v>258</v>
      </c>
      <c r="Q204" s="45">
        <v>109</v>
      </c>
      <c r="R204" s="4" t="s">
        <v>8</v>
      </c>
      <c r="S204" s="5">
        <v>1</v>
      </c>
      <c r="T204" s="4" t="s">
        <v>108</v>
      </c>
      <c r="U204" s="5"/>
      <c r="V204" s="5">
        <v>28</v>
      </c>
      <c r="W204" s="4" t="s">
        <v>109</v>
      </c>
      <c r="X204" s="45">
        <v>109</v>
      </c>
      <c r="Y204" s="4" t="s">
        <v>258</v>
      </c>
      <c r="Z204" s="4"/>
      <c r="AA204" s="5">
        <v>1000000</v>
      </c>
      <c r="AB204" s="5">
        <v>1000000</v>
      </c>
      <c r="AC204" s="5">
        <v>0</v>
      </c>
      <c r="AD204" s="5">
        <v>1000000</v>
      </c>
      <c r="AE204" s="5">
        <v>0</v>
      </c>
      <c r="AF204" s="5">
        <v>1000000</v>
      </c>
      <c r="AG204" s="5"/>
    </row>
    <row r="205" spans="1:33" ht="51" x14ac:dyDescent="0.25">
      <c r="A205" s="4" t="s">
        <v>21</v>
      </c>
      <c r="B205" s="4" t="s">
        <v>103</v>
      </c>
      <c r="C205" s="4" t="s">
        <v>103</v>
      </c>
      <c r="D205" s="4" t="s">
        <v>104</v>
      </c>
      <c r="E205" s="4" t="s">
        <v>111</v>
      </c>
      <c r="F205" s="4" t="s">
        <v>112</v>
      </c>
      <c r="G205" s="4" t="s">
        <v>113</v>
      </c>
      <c r="H205" s="4" t="s">
        <v>103</v>
      </c>
      <c r="I205" s="4" t="s">
        <v>432</v>
      </c>
      <c r="J205" s="5"/>
      <c r="K205" s="5"/>
      <c r="L205" s="4" t="s">
        <v>433</v>
      </c>
      <c r="M205" s="5"/>
      <c r="N205" s="4" t="s">
        <v>107</v>
      </c>
      <c r="O205" s="45">
        <v>111</v>
      </c>
      <c r="P205" s="4" t="s">
        <v>275</v>
      </c>
      <c r="Q205" s="45">
        <v>111</v>
      </c>
      <c r="R205" s="4" t="s">
        <v>8</v>
      </c>
      <c r="S205" s="5">
        <v>1</v>
      </c>
      <c r="T205" s="4" t="s">
        <v>108</v>
      </c>
      <c r="U205" s="5"/>
      <c r="V205" s="5">
        <v>26</v>
      </c>
      <c r="W205" s="4" t="s">
        <v>109</v>
      </c>
      <c r="X205" s="45">
        <v>111</v>
      </c>
      <c r="Y205" s="4" t="s">
        <v>275</v>
      </c>
      <c r="Z205" s="4"/>
      <c r="AA205" s="5">
        <v>1000000</v>
      </c>
      <c r="AB205" s="5">
        <v>1000000</v>
      </c>
      <c r="AC205" s="5">
        <v>0</v>
      </c>
      <c r="AD205" s="5">
        <v>1000000</v>
      </c>
      <c r="AE205" s="5">
        <v>0</v>
      </c>
      <c r="AF205" s="5">
        <v>1000000</v>
      </c>
      <c r="AG205" s="5"/>
    </row>
    <row r="206" spans="1:33" ht="51" x14ac:dyDescent="0.25">
      <c r="A206" s="4" t="s">
        <v>21</v>
      </c>
      <c r="B206" s="4" t="s">
        <v>103</v>
      </c>
      <c r="C206" s="4" t="s">
        <v>103</v>
      </c>
      <c r="D206" s="4" t="s">
        <v>104</v>
      </c>
      <c r="E206" s="4" t="s">
        <v>111</v>
      </c>
      <c r="F206" s="4" t="s">
        <v>112</v>
      </c>
      <c r="G206" s="4" t="s">
        <v>113</v>
      </c>
      <c r="H206" s="4" t="s">
        <v>103</v>
      </c>
      <c r="I206" s="4" t="s">
        <v>432</v>
      </c>
      <c r="J206" s="5"/>
      <c r="K206" s="5"/>
      <c r="L206" s="4" t="s">
        <v>433</v>
      </c>
      <c r="M206" s="5"/>
      <c r="N206" s="4" t="s">
        <v>107</v>
      </c>
      <c r="O206" s="45">
        <v>113</v>
      </c>
      <c r="P206" s="4" t="s">
        <v>281</v>
      </c>
      <c r="Q206" s="45">
        <v>113</v>
      </c>
      <c r="R206" s="4" t="s">
        <v>8</v>
      </c>
      <c r="S206" s="5">
        <v>1</v>
      </c>
      <c r="T206" s="4" t="s">
        <v>108</v>
      </c>
      <c r="U206" s="5"/>
      <c r="V206" s="5">
        <v>24</v>
      </c>
      <c r="W206" s="4" t="s">
        <v>109</v>
      </c>
      <c r="X206" s="45">
        <v>113</v>
      </c>
      <c r="Y206" s="4" t="s">
        <v>281</v>
      </c>
      <c r="Z206" s="4"/>
      <c r="AA206" s="5">
        <v>1000000</v>
      </c>
      <c r="AB206" s="5">
        <v>1000000</v>
      </c>
      <c r="AC206" s="5">
        <v>0</v>
      </c>
      <c r="AD206" s="5">
        <v>1000000</v>
      </c>
      <c r="AE206" s="5">
        <v>0</v>
      </c>
      <c r="AF206" s="5">
        <v>1000000</v>
      </c>
      <c r="AG206" s="5"/>
    </row>
    <row r="207" spans="1:33" ht="51" x14ac:dyDescent="0.25">
      <c r="A207" s="4" t="s">
        <v>21</v>
      </c>
      <c r="B207" s="4" t="s">
        <v>103</v>
      </c>
      <c r="C207" s="4" t="s">
        <v>103</v>
      </c>
      <c r="D207" s="4" t="s">
        <v>104</v>
      </c>
      <c r="E207" s="4" t="s">
        <v>111</v>
      </c>
      <c r="F207" s="4" t="s">
        <v>112</v>
      </c>
      <c r="G207" s="4" t="s">
        <v>113</v>
      </c>
      <c r="H207" s="4" t="s">
        <v>103</v>
      </c>
      <c r="I207" s="4" t="s">
        <v>432</v>
      </c>
      <c r="J207" s="5"/>
      <c r="K207" s="5"/>
      <c r="L207" s="4" t="s">
        <v>433</v>
      </c>
      <c r="M207" s="5"/>
      <c r="N207" s="4" t="s">
        <v>107</v>
      </c>
      <c r="O207" s="45">
        <v>121</v>
      </c>
      <c r="P207" s="4" t="s">
        <v>307</v>
      </c>
      <c r="Q207" s="45">
        <v>121</v>
      </c>
      <c r="R207" s="4" t="s">
        <v>8</v>
      </c>
      <c r="S207" s="5">
        <v>1</v>
      </c>
      <c r="T207" s="4" t="s">
        <v>108</v>
      </c>
      <c r="U207" s="5"/>
      <c r="V207" s="5">
        <v>16</v>
      </c>
      <c r="W207" s="4" t="s">
        <v>109</v>
      </c>
      <c r="X207" s="45">
        <v>121</v>
      </c>
      <c r="Y207" s="4" t="s">
        <v>307</v>
      </c>
      <c r="Z207" s="4"/>
      <c r="AA207" s="5">
        <v>1000000</v>
      </c>
      <c r="AB207" s="5">
        <v>1000000</v>
      </c>
      <c r="AC207" s="5">
        <v>0</v>
      </c>
      <c r="AD207" s="5">
        <v>1000000</v>
      </c>
      <c r="AE207" s="5">
        <v>0</v>
      </c>
      <c r="AF207" s="5">
        <v>1000000</v>
      </c>
      <c r="AG207" s="5"/>
    </row>
    <row r="208" spans="1:33" ht="51" x14ac:dyDescent="0.25">
      <c r="A208" s="4" t="s">
        <v>21</v>
      </c>
      <c r="B208" s="4" t="s">
        <v>103</v>
      </c>
      <c r="C208" s="4" t="s">
        <v>103</v>
      </c>
      <c r="D208" s="4" t="s">
        <v>104</v>
      </c>
      <c r="E208" s="4" t="s">
        <v>111</v>
      </c>
      <c r="F208" s="4" t="s">
        <v>112</v>
      </c>
      <c r="G208" s="4" t="s">
        <v>113</v>
      </c>
      <c r="H208" s="4" t="s">
        <v>103</v>
      </c>
      <c r="I208" s="4" t="s">
        <v>432</v>
      </c>
      <c r="J208" s="5"/>
      <c r="K208" s="5"/>
      <c r="L208" s="4" t="s">
        <v>433</v>
      </c>
      <c r="M208" s="5"/>
      <c r="N208" s="4" t="s">
        <v>107</v>
      </c>
      <c r="O208" s="45">
        <v>123</v>
      </c>
      <c r="P208" s="4" t="s">
        <v>316</v>
      </c>
      <c r="Q208" s="45">
        <v>123</v>
      </c>
      <c r="R208" s="4" t="s">
        <v>8</v>
      </c>
      <c r="S208" s="5">
        <v>1</v>
      </c>
      <c r="T208" s="4" t="s">
        <v>108</v>
      </c>
      <c r="U208" s="5"/>
      <c r="V208" s="5">
        <v>14</v>
      </c>
      <c r="W208" s="4" t="s">
        <v>109</v>
      </c>
      <c r="X208" s="45">
        <v>123</v>
      </c>
      <c r="Y208" s="4" t="s">
        <v>316</v>
      </c>
      <c r="Z208" s="4"/>
      <c r="AA208" s="5">
        <v>1000000</v>
      </c>
      <c r="AB208" s="5">
        <v>1000000</v>
      </c>
      <c r="AC208" s="5">
        <v>0</v>
      </c>
      <c r="AD208" s="5">
        <v>1000000</v>
      </c>
      <c r="AE208" s="5">
        <v>0</v>
      </c>
      <c r="AF208" s="5">
        <v>1000000</v>
      </c>
      <c r="AG208" s="5"/>
    </row>
    <row r="209" spans="1:33" ht="51" x14ac:dyDescent="0.25">
      <c r="A209" s="4" t="s">
        <v>21</v>
      </c>
      <c r="B209" s="4" t="s">
        <v>103</v>
      </c>
      <c r="C209" s="4" t="s">
        <v>103</v>
      </c>
      <c r="D209" s="4" t="s">
        <v>104</v>
      </c>
      <c r="E209" s="4" t="s">
        <v>111</v>
      </c>
      <c r="F209" s="4" t="s">
        <v>112</v>
      </c>
      <c r="G209" s="4" t="s">
        <v>113</v>
      </c>
      <c r="H209" s="4" t="s">
        <v>103</v>
      </c>
      <c r="I209" s="4" t="s">
        <v>432</v>
      </c>
      <c r="J209" s="5"/>
      <c r="K209" s="5"/>
      <c r="L209" s="4" t="s">
        <v>433</v>
      </c>
      <c r="M209" s="5"/>
      <c r="N209" s="4" t="s">
        <v>107</v>
      </c>
      <c r="O209" s="45">
        <v>126</v>
      </c>
      <c r="P209" s="4" t="s">
        <v>331</v>
      </c>
      <c r="Q209" s="45">
        <v>126</v>
      </c>
      <c r="R209" s="4" t="s">
        <v>8</v>
      </c>
      <c r="S209" s="5">
        <v>1</v>
      </c>
      <c r="T209" s="4" t="s">
        <v>108</v>
      </c>
      <c r="U209" s="5"/>
      <c r="V209" s="5">
        <v>11</v>
      </c>
      <c r="W209" s="4" t="s">
        <v>109</v>
      </c>
      <c r="X209" s="45">
        <v>126</v>
      </c>
      <c r="Y209" s="4" t="s">
        <v>331</v>
      </c>
      <c r="Z209" s="4"/>
      <c r="AA209" s="5">
        <v>1000000</v>
      </c>
      <c r="AB209" s="5">
        <v>1000000</v>
      </c>
      <c r="AC209" s="5">
        <v>0</v>
      </c>
      <c r="AD209" s="5">
        <v>1000000</v>
      </c>
      <c r="AE209" s="5">
        <v>0</v>
      </c>
      <c r="AF209" s="5">
        <v>1000000</v>
      </c>
      <c r="AG209" s="5"/>
    </row>
    <row r="210" spans="1:33" ht="51" x14ac:dyDescent="0.25">
      <c r="A210" s="4" t="s">
        <v>21</v>
      </c>
      <c r="B210" s="4" t="s">
        <v>103</v>
      </c>
      <c r="C210" s="4" t="s">
        <v>103</v>
      </c>
      <c r="D210" s="4" t="s">
        <v>104</v>
      </c>
      <c r="E210" s="4" t="s">
        <v>111</v>
      </c>
      <c r="F210" s="4" t="s">
        <v>112</v>
      </c>
      <c r="G210" s="4" t="s">
        <v>113</v>
      </c>
      <c r="H210" s="4" t="s">
        <v>103</v>
      </c>
      <c r="I210" s="4" t="s">
        <v>432</v>
      </c>
      <c r="J210" s="5"/>
      <c r="K210" s="5"/>
      <c r="L210" s="4" t="s">
        <v>433</v>
      </c>
      <c r="M210" s="5"/>
      <c r="N210" s="4" t="s">
        <v>107</v>
      </c>
      <c r="O210" s="45">
        <v>132</v>
      </c>
      <c r="P210" s="4" t="s">
        <v>407</v>
      </c>
      <c r="Q210" s="45">
        <v>132</v>
      </c>
      <c r="R210" s="4" t="s">
        <v>8</v>
      </c>
      <c r="S210" s="5">
        <v>1</v>
      </c>
      <c r="T210" s="4" t="s">
        <v>108</v>
      </c>
      <c r="U210" s="5"/>
      <c r="V210" s="5">
        <v>5</v>
      </c>
      <c r="W210" s="4" t="s">
        <v>109</v>
      </c>
      <c r="X210" s="45">
        <v>132</v>
      </c>
      <c r="Y210" s="4" t="s">
        <v>407</v>
      </c>
      <c r="Z210" s="4"/>
      <c r="AA210" s="5">
        <v>1000000</v>
      </c>
      <c r="AB210" s="5">
        <v>1000000</v>
      </c>
      <c r="AC210" s="5">
        <v>0</v>
      </c>
      <c r="AD210" s="5">
        <v>1000000</v>
      </c>
      <c r="AE210" s="5">
        <v>0</v>
      </c>
      <c r="AF210" s="5">
        <v>1000000</v>
      </c>
      <c r="AG210" s="5"/>
    </row>
    <row r="211" spans="1:33" ht="51" x14ac:dyDescent="0.25">
      <c r="A211" s="4" t="s">
        <v>21</v>
      </c>
      <c r="B211" s="4" t="s">
        <v>103</v>
      </c>
      <c r="C211" s="4" t="s">
        <v>103</v>
      </c>
      <c r="D211" s="4" t="s">
        <v>104</v>
      </c>
      <c r="E211" s="4" t="s">
        <v>111</v>
      </c>
      <c r="F211" s="4" t="s">
        <v>112</v>
      </c>
      <c r="G211" s="4" t="s">
        <v>113</v>
      </c>
      <c r="H211" s="4" t="s">
        <v>103</v>
      </c>
      <c r="I211" s="4" t="s">
        <v>432</v>
      </c>
      <c r="J211" s="5"/>
      <c r="K211" s="5"/>
      <c r="L211" s="4" t="s">
        <v>433</v>
      </c>
      <c r="M211" s="5"/>
      <c r="N211" s="4" t="s">
        <v>107</v>
      </c>
      <c r="O211" s="45">
        <v>134</v>
      </c>
      <c r="P211" s="4" t="s">
        <v>422</v>
      </c>
      <c r="Q211" s="45">
        <v>134</v>
      </c>
      <c r="R211" s="4" t="s">
        <v>8</v>
      </c>
      <c r="S211" s="5">
        <v>1</v>
      </c>
      <c r="T211" s="4" t="s">
        <v>108</v>
      </c>
      <c r="U211" s="5"/>
      <c r="V211" s="5">
        <v>3</v>
      </c>
      <c r="W211" s="4" t="s">
        <v>109</v>
      </c>
      <c r="X211" s="45">
        <v>134</v>
      </c>
      <c r="Y211" s="4" t="s">
        <v>422</v>
      </c>
      <c r="Z211" s="4"/>
      <c r="AA211" s="5">
        <v>1000000</v>
      </c>
      <c r="AB211" s="5">
        <v>1000000</v>
      </c>
      <c r="AC211" s="5">
        <v>0</v>
      </c>
      <c r="AD211" s="5">
        <v>1000000</v>
      </c>
      <c r="AE211" s="5">
        <v>0</v>
      </c>
      <c r="AF211" s="5">
        <v>1000000</v>
      </c>
      <c r="AG211" s="5"/>
    </row>
    <row r="212" spans="1:33" ht="51" x14ac:dyDescent="0.25">
      <c r="A212" s="4" t="s">
        <v>21</v>
      </c>
      <c r="B212" s="4" t="s">
        <v>103</v>
      </c>
      <c r="C212" s="4" t="s">
        <v>103</v>
      </c>
      <c r="D212" s="4" t="s">
        <v>104</v>
      </c>
      <c r="E212" s="4" t="s">
        <v>111</v>
      </c>
      <c r="F212" s="4" t="s">
        <v>112</v>
      </c>
      <c r="G212" s="4" t="s">
        <v>113</v>
      </c>
      <c r="H212" s="4" t="s">
        <v>103</v>
      </c>
      <c r="I212" s="4" t="s">
        <v>432</v>
      </c>
      <c r="J212" s="5"/>
      <c r="K212" s="5"/>
      <c r="L212" s="4" t="s">
        <v>433</v>
      </c>
      <c r="M212" s="5"/>
      <c r="N212" s="4" t="s">
        <v>107</v>
      </c>
      <c r="O212" s="45">
        <v>135</v>
      </c>
      <c r="P212" s="4" t="s">
        <v>423</v>
      </c>
      <c r="Q212" s="45">
        <v>135</v>
      </c>
      <c r="R212" s="4" t="s">
        <v>8</v>
      </c>
      <c r="S212" s="5">
        <v>1</v>
      </c>
      <c r="T212" s="4" t="s">
        <v>108</v>
      </c>
      <c r="U212" s="5"/>
      <c r="V212" s="5">
        <v>2</v>
      </c>
      <c r="W212" s="4" t="s">
        <v>109</v>
      </c>
      <c r="X212" s="45">
        <v>135</v>
      </c>
      <c r="Y212" s="4" t="s">
        <v>423</v>
      </c>
      <c r="Z212" s="4"/>
      <c r="AA212" s="5">
        <v>1000000</v>
      </c>
      <c r="AB212" s="5">
        <v>1000000</v>
      </c>
      <c r="AC212" s="5">
        <v>0</v>
      </c>
      <c r="AD212" s="5">
        <v>1000000</v>
      </c>
      <c r="AE212" s="5">
        <v>0</v>
      </c>
      <c r="AF212" s="5">
        <v>1000000</v>
      </c>
      <c r="AG212" s="5"/>
    </row>
    <row r="213" spans="1:33" ht="38.25" x14ac:dyDescent="0.25">
      <c r="A213" s="4" t="s">
        <v>23</v>
      </c>
      <c r="B213" s="4" t="s">
        <v>103</v>
      </c>
      <c r="C213" s="4" t="s">
        <v>103</v>
      </c>
      <c r="D213" s="4" t="s">
        <v>104</v>
      </c>
      <c r="E213" s="4" t="s">
        <v>111</v>
      </c>
      <c r="F213" s="4" t="s">
        <v>112</v>
      </c>
      <c r="G213" s="4" t="s">
        <v>113</v>
      </c>
      <c r="H213" s="4" t="s">
        <v>103</v>
      </c>
      <c r="I213" s="4" t="s">
        <v>432</v>
      </c>
      <c r="J213" s="5"/>
      <c r="K213" s="5"/>
      <c r="L213" s="4" t="s">
        <v>433</v>
      </c>
      <c r="M213" s="5"/>
      <c r="N213" s="4" t="s">
        <v>107</v>
      </c>
      <c r="O213" s="45">
        <v>120</v>
      </c>
      <c r="P213" s="4" t="s">
        <v>302</v>
      </c>
      <c r="Q213" s="45">
        <v>120</v>
      </c>
      <c r="R213" s="4" t="s">
        <v>8</v>
      </c>
      <c r="S213" s="5">
        <v>1</v>
      </c>
      <c r="T213" s="4" t="s">
        <v>108</v>
      </c>
      <c r="U213" s="5"/>
      <c r="V213" s="5">
        <v>17</v>
      </c>
      <c r="W213" s="4" t="s">
        <v>109</v>
      </c>
      <c r="X213" s="45">
        <v>120</v>
      </c>
      <c r="Y213" s="4" t="s">
        <v>302</v>
      </c>
      <c r="Z213" s="4"/>
      <c r="AA213" s="5">
        <v>1000000</v>
      </c>
      <c r="AB213" s="5">
        <v>1000000</v>
      </c>
      <c r="AC213" s="5">
        <v>0</v>
      </c>
      <c r="AD213" s="5">
        <v>1000000</v>
      </c>
      <c r="AE213" s="5">
        <v>0</v>
      </c>
      <c r="AF213" s="5">
        <v>1000000</v>
      </c>
      <c r="AG213" s="5"/>
    </row>
    <row r="214" spans="1:33" ht="38.25" x14ac:dyDescent="0.25">
      <c r="A214" s="4" t="s">
        <v>23</v>
      </c>
      <c r="B214" s="4" t="s">
        <v>103</v>
      </c>
      <c r="C214" s="4" t="s">
        <v>103</v>
      </c>
      <c r="D214" s="4" t="s">
        <v>104</v>
      </c>
      <c r="E214" s="4" t="s">
        <v>111</v>
      </c>
      <c r="F214" s="4" t="s">
        <v>112</v>
      </c>
      <c r="G214" s="4" t="s">
        <v>113</v>
      </c>
      <c r="H214" s="4" t="s">
        <v>103</v>
      </c>
      <c r="I214" s="4" t="s">
        <v>432</v>
      </c>
      <c r="J214" s="5"/>
      <c r="K214" s="5"/>
      <c r="L214" s="4" t="s">
        <v>433</v>
      </c>
      <c r="M214" s="5"/>
      <c r="N214" s="4" t="s">
        <v>107</v>
      </c>
      <c r="O214" s="45">
        <v>132</v>
      </c>
      <c r="P214" s="4" t="s">
        <v>408</v>
      </c>
      <c r="Q214" s="45">
        <v>132</v>
      </c>
      <c r="R214" s="4" t="s">
        <v>8</v>
      </c>
      <c r="S214" s="5">
        <v>1</v>
      </c>
      <c r="T214" s="4" t="s">
        <v>108</v>
      </c>
      <c r="U214" s="5"/>
      <c r="V214" s="5">
        <v>5</v>
      </c>
      <c r="W214" s="4" t="s">
        <v>109</v>
      </c>
      <c r="X214" s="45">
        <v>132</v>
      </c>
      <c r="Y214" s="4" t="s">
        <v>408</v>
      </c>
      <c r="Z214" s="4"/>
      <c r="AA214" s="5">
        <v>1000000</v>
      </c>
      <c r="AB214" s="5">
        <v>1000000</v>
      </c>
      <c r="AC214" s="5">
        <v>0</v>
      </c>
      <c r="AD214" s="5">
        <v>1000000</v>
      </c>
      <c r="AE214" s="5">
        <v>0</v>
      </c>
      <c r="AF214" s="5">
        <v>1000000</v>
      </c>
      <c r="AG214" s="5"/>
    </row>
    <row r="215" spans="1:33" ht="38.25" x14ac:dyDescent="0.25">
      <c r="A215" s="4" t="s">
        <v>23</v>
      </c>
      <c r="B215" s="5"/>
      <c r="C215" s="4" t="s">
        <v>103</v>
      </c>
      <c r="D215" s="4" t="s">
        <v>104</v>
      </c>
      <c r="E215" s="4" t="s">
        <v>111</v>
      </c>
      <c r="F215" s="4" t="s">
        <v>112</v>
      </c>
      <c r="G215" s="4" t="s">
        <v>113</v>
      </c>
      <c r="H215" s="4" t="s">
        <v>103</v>
      </c>
      <c r="I215" s="4" t="s">
        <v>432</v>
      </c>
      <c r="J215" s="5"/>
      <c r="K215" s="5"/>
      <c r="L215" s="4" t="s">
        <v>433</v>
      </c>
      <c r="M215" s="5"/>
      <c r="N215" s="4" t="s">
        <v>107</v>
      </c>
      <c r="O215" s="45">
        <v>91</v>
      </c>
      <c r="P215" s="4" t="s">
        <v>77</v>
      </c>
      <c r="Q215" s="45">
        <v>91</v>
      </c>
      <c r="R215" s="4" t="s">
        <v>8</v>
      </c>
      <c r="S215" s="5">
        <v>1</v>
      </c>
      <c r="T215" s="4" t="s">
        <v>61</v>
      </c>
      <c r="U215" s="5"/>
      <c r="V215" s="5">
        <v>411</v>
      </c>
      <c r="W215" s="4" t="s">
        <v>109</v>
      </c>
      <c r="X215" s="45">
        <v>91</v>
      </c>
      <c r="Y215" s="4" t="s">
        <v>77</v>
      </c>
      <c r="Z215" s="5"/>
      <c r="AA215" s="5">
        <v>1000000</v>
      </c>
      <c r="AB215" s="5">
        <v>1000000</v>
      </c>
      <c r="AC215" s="5">
        <v>0</v>
      </c>
      <c r="AD215" s="5">
        <v>1000000</v>
      </c>
      <c r="AE215" s="5">
        <v>0</v>
      </c>
      <c r="AF215" s="5">
        <v>1000000</v>
      </c>
      <c r="AG215" s="5"/>
    </row>
    <row r="216" spans="1:33" ht="38.25" x14ac:dyDescent="0.25">
      <c r="A216" s="4" t="s">
        <v>24</v>
      </c>
      <c r="B216" s="4" t="s">
        <v>103</v>
      </c>
      <c r="C216" s="4" t="s">
        <v>103</v>
      </c>
      <c r="D216" s="4" t="s">
        <v>104</v>
      </c>
      <c r="E216" s="4" t="s">
        <v>111</v>
      </c>
      <c r="F216" s="4" t="s">
        <v>112</v>
      </c>
      <c r="G216" s="4" t="s">
        <v>113</v>
      </c>
      <c r="H216" s="4" t="s">
        <v>103</v>
      </c>
      <c r="I216" s="4" t="s">
        <v>432</v>
      </c>
      <c r="J216" s="5"/>
      <c r="K216" s="5"/>
      <c r="L216" s="4" t="s">
        <v>433</v>
      </c>
      <c r="M216" s="5"/>
      <c r="N216" s="4" t="s">
        <v>107</v>
      </c>
      <c r="O216" s="45">
        <v>103</v>
      </c>
      <c r="P216" s="4" t="s">
        <v>246</v>
      </c>
      <c r="Q216" s="45">
        <v>103</v>
      </c>
      <c r="R216" s="4" t="s">
        <v>8</v>
      </c>
      <c r="S216" s="5">
        <v>1</v>
      </c>
      <c r="T216" s="4" t="s">
        <v>108</v>
      </c>
      <c r="U216" s="5"/>
      <c r="V216" s="5">
        <v>34</v>
      </c>
      <c r="W216" s="4" t="s">
        <v>109</v>
      </c>
      <c r="X216" s="45">
        <v>103</v>
      </c>
      <c r="Y216" s="4" t="s">
        <v>246</v>
      </c>
      <c r="Z216" s="4"/>
      <c r="AA216" s="5">
        <v>1000000</v>
      </c>
      <c r="AB216" s="5">
        <v>1000000</v>
      </c>
      <c r="AC216" s="5">
        <v>0</v>
      </c>
      <c r="AD216" s="5">
        <v>1000000</v>
      </c>
      <c r="AE216" s="5">
        <v>0</v>
      </c>
      <c r="AF216" s="5">
        <v>1000000</v>
      </c>
      <c r="AG216" s="5"/>
    </row>
    <row r="217" spans="1:33" ht="38.25" x14ac:dyDescent="0.25">
      <c r="A217" s="4" t="s">
        <v>25</v>
      </c>
      <c r="B217" s="4" t="s">
        <v>103</v>
      </c>
      <c r="C217" s="4" t="s">
        <v>103</v>
      </c>
      <c r="D217" s="4" t="s">
        <v>104</v>
      </c>
      <c r="E217" s="4" t="s">
        <v>111</v>
      </c>
      <c r="F217" s="4" t="s">
        <v>112</v>
      </c>
      <c r="G217" s="4" t="s">
        <v>113</v>
      </c>
      <c r="H217" s="4" t="s">
        <v>103</v>
      </c>
      <c r="I217" s="4" t="s">
        <v>432</v>
      </c>
      <c r="J217" s="5"/>
      <c r="K217" s="5"/>
      <c r="L217" s="4" t="s">
        <v>433</v>
      </c>
      <c r="M217" s="5"/>
      <c r="N217" s="4" t="s">
        <v>107</v>
      </c>
      <c r="O217" s="45">
        <v>77</v>
      </c>
      <c r="P217" s="4" t="s">
        <v>502</v>
      </c>
      <c r="Q217" s="45">
        <v>77</v>
      </c>
      <c r="R217" s="4" t="s">
        <v>8</v>
      </c>
      <c r="S217" s="5">
        <v>1</v>
      </c>
      <c r="T217" s="4" t="s">
        <v>108</v>
      </c>
      <c r="U217" s="5"/>
      <c r="V217" s="5">
        <v>60</v>
      </c>
      <c r="W217" s="4" t="s">
        <v>109</v>
      </c>
      <c r="X217" s="45">
        <v>77</v>
      </c>
      <c r="Y217" s="4" t="s">
        <v>502</v>
      </c>
      <c r="Z217" s="4"/>
      <c r="AA217" s="5">
        <v>1000000</v>
      </c>
      <c r="AB217" s="5">
        <v>1000000</v>
      </c>
      <c r="AC217" s="5">
        <v>0</v>
      </c>
      <c r="AD217" s="5">
        <v>1000000</v>
      </c>
      <c r="AE217" s="5">
        <v>0</v>
      </c>
      <c r="AF217" s="5">
        <v>1000000</v>
      </c>
      <c r="AG217" s="5"/>
    </row>
    <row r="218" spans="1:33" ht="38.25" x14ac:dyDescent="0.25">
      <c r="A218" s="4" t="s">
        <v>25</v>
      </c>
      <c r="B218" s="4" t="s">
        <v>103</v>
      </c>
      <c r="C218" s="4" t="s">
        <v>103</v>
      </c>
      <c r="D218" s="4" t="s">
        <v>104</v>
      </c>
      <c r="E218" s="4" t="s">
        <v>111</v>
      </c>
      <c r="F218" s="4" t="s">
        <v>112</v>
      </c>
      <c r="G218" s="4" t="s">
        <v>113</v>
      </c>
      <c r="H218" s="4" t="s">
        <v>103</v>
      </c>
      <c r="I218" s="4" t="s">
        <v>432</v>
      </c>
      <c r="J218" s="5"/>
      <c r="K218" s="5"/>
      <c r="L218" s="4" t="s">
        <v>433</v>
      </c>
      <c r="M218" s="5"/>
      <c r="N218" s="4" t="s">
        <v>107</v>
      </c>
      <c r="O218" s="45">
        <v>98</v>
      </c>
      <c r="P218" s="4" t="s">
        <v>226</v>
      </c>
      <c r="Q218" s="45">
        <v>98</v>
      </c>
      <c r="R218" s="4" t="s">
        <v>8</v>
      </c>
      <c r="S218" s="5">
        <v>1</v>
      </c>
      <c r="T218" s="4" t="s">
        <v>108</v>
      </c>
      <c r="U218" s="5"/>
      <c r="V218" s="5">
        <v>39</v>
      </c>
      <c r="W218" s="4" t="s">
        <v>109</v>
      </c>
      <c r="X218" s="45">
        <v>98</v>
      </c>
      <c r="Y218" s="4" t="s">
        <v>226</v>
      </c>
      <c r="Z218" s="4"/>
      <c r="AA218" s="5">
        <v>1000000</v>
      </c>
      <c r="AB218" s="5">
        <v>1000000</v>
      </c>
      <c r="AC218" s="5">
        <v>0</v>
      </c>
      <c r="AD218" s="5">
        <v>1000000</v>
      </c>
      <c r="AE218" s="5">
        <v>0</v>
      </c>
      <c r="AF218" s="5">
        <v>1000000</v>
      </c>
      <c r="AG218" s="5"/>
    </row>
    <row r="219" spans="1:33" ht="38.25" x14ac:dyDescent="0.25">
      <c r="A219" s="4" t="s">
        <v>25</v>
      </c>
      <c r="B219" s="4" t="s">
        <v>103</v>
      </c>
      <c r="C219" s="4" t="s">
        <v>103</v>
      </c>
      <c r="D219" s="4" t="s">
        <v>104</v>
      </c>
      <c r="E219" s="4" t="s">
        <v>111</v>
      </c>
      <c r="F219" s="4" t="s">
        <v>112</v>
      </c>
      <c r="G219" s="4" t="s">
        <v>113</v>
      </c>
      <c r="H219" s="4" t="s">
        <v>103</v>
      </c>
      <c r="I219" s="4" t="s">
        <v>432</v>
      </c>
      <c r="J219" s="5"/>
      <c r="K219" s="5"/>
      <c r="L219" s="4" t="s">
        <v>433</v>
      </c>
      <c r="M219" s="5"/>
      <c r="N219" s="4" t="s">
        <v>107</v>
      </c>
      <c r="O219" s="45">
        <v>110</v>
      </c>
      <c r="P219" s="4" t="s">
        <v>265</v>
      </c>
      <c r="Q219" s="45">
        <v>110</v>
      </c>
      <c r="R219" s="4" t="s">
        <v>8</v>
      </c>
      <c r="S219" s="5">
        <v>1</v>
      </c>
      <c r="T219" s="4" t="s">
        <v>108</v>
      </c>
      <c r="U219" s="5"/>
      <c r="V219" s="5">
        <v>27</v>
      </c>
      <c r="W219" s="4" t="s">
        <v>109</v>
      </c>
      <c r="X219" s="45">
        <v>110</v>
      </c>
      <c r="Y219" s="4" t="s">
        <v>265</v>
      </c>
      <c r="Z219" s="4"/>
      <c r="AA219" s="5">
        <v>1000000</v>
      </c>
      <c r="AB219" s="5">
        <v>1000000</v>
      </c>
      <c r="AC219" s="5">
        <v>0</v>
      </c>
      <c r="AD219" s="5">
        <v>1000000</v>
      </c>
      <c r="AE219" s="5">
        <v>0</v>
      </c>
      <c r="AF219" s="5">
        <v>1000000</v>
      </c>
      <c r="AG219" s="5"/>
    </row>
    <row r="220" spans="1:33" ht="38.25" x14ac:dyDescent="0.25">
      <c r="A220" s="4" t="s">
        <v>25</v>
      </c>
      <c r="B220" s="4" t="s">
        <v>103</v>
      </c>
      <c r="C220" s="4" t="s">
        <v>103</v>
      </c>
      <c r="D220" s="4" t="s">
        <v>104</v>
      </c>
      <c r="E220" s="4" t="s">
        <v>111</v>
      </c>
      <c r="F220" s="4" t="s">
        <v>112</v>
      </c>
      <c r="G220" s="4" t="s">
        <v>113</v>
      </c>
      <c r="H220" s="4" t="s">
        <v>103</v>
      </c>
      <c r="I220" s="4" t="s">
        <v>432</v>
      </c>
      <c r="J220" s="5"/>
      <c r="K220" s="5"/>
      <c r="L220" s="4" t="s">
        <v>433</v>
      </c>
      <c r="M220" s="5"/>
      <c r="N220" s="4" t="s">
        <v>107</v>
      </c>
      <c r="O220" s="45">
        <v>114</v>
      </c>
      <c r="P220" s="4" t="s">
        <v>282</v>
      </c>
      <c r="Q220" s="45">
        <v>114</v>
      </c>
      <c r="R220" s="4" t="s">
        <v>8</v>
      </c>
      <c r="S220" s="5">
        <v>1</v>
      </c>
      <c r="T220" s="4" t="s">
        <v>108</v>
      </c>
      <c r="U220" s="5"/>
      <c r="V220" s="5">
        <v>23</v>
      </c>
      <c r="W220" s="4" t="s">
        <v>109</v>
      </c>
      <c r="X220" s="45">
        <v>114</v>
      </c>
      <c r="Y220" s="4" t="s">
        <v>282</v>
      </c>
      <c r="Z220" s="4"/>
      <c r="AA220" s="5">
        <v>1000000</v>
      </c>
      <c r="AB220" s="5">
        <v>1000000</v>
      </c>
      <c r="AC220" s="5">
        <v>0</v>
      </c>
      <c r="AD220" s="5">
        <v>1000000</v>
      </c>
      <c r="AE220" s="5">
        <v>0</v>
      </c>
      <c r="AF220" s="5">
        <v>1000000</v>
      </c>
      <c r="AG220" s="5"/>
    </row>
    <row r="221" spans="1:33" ht="38.25" x14ac:dyDescent="0.25">
      <c r="A221" s="4" t="s">
        <v>25</v>
      </c>
      <c r="B221" s="4" t="s">
        <v>103</v>
      </c>
      <c r="C221" s="4" t="s">
        <v>103</v>
      </c>
      <c r="D221" s="4" t="s">
        <v>104</v>
      </c>
      <c r="E221" s="4" t="s">
        <v>111</v>
      </c>
      <c r="F221" s="4" t="s">
        <v>112</v>
      </c>
      <c r="G221" s="4" t="s">
        <v>113</v>
      </c>
      <c r="H221" s="4" t="s">
        <v>103</v>
      </c>
      <c r="I221" s="4" t="s">
        <v>432</v>
      </c>
      <c r="J221" s="5"/>
      <c r="K221" s="5"/>
      <c r="L221" s="4" t="s">
        <v>433</v>
      </c>
      <c r="M221" s="5"/>
      <c r="N221" s="4" t="s">
        <v>107</v>
      </c>
      <c r="O221" s="45">
        <v>126</v>
      </c>
      <c r="P221" s="4" t="s">
        <v>332</v>
      </c>
      <c r="Q221" s="45">
        <v>126</v>
      </c>
      <c r="R221" s="4" t="s">
        <v>8</v>
      </c>
      <c r="S221" s="5">
        <v>1</v>
      </c>
      <c r="T221" s="4" t="s">
        <v>108</v>
      </c>
      <c r="U221" s="5"/>
      <c r="V221" s="5">
        <v>11</v>
      </c>
      <c r="W221" s="4" t="s">
        <v>109</v>
      </c>
      <c r="X221" s="45">
        <v>126</v>
      </c>
      <c r="Y221" s="4" t="s">
        <v>332</v>
      </c>
      <c r="Z221" s="4"/>
      <c r="AA221" s="5">
        <v>1000000</v>
      </c>
      <c r="AB221" s="5">
        <v>1000000</v>
      </c>
      <c r="AC221" s="5">
        <v>0</v>
      </c>
      <c r="AD221" s="5">
        <v>1000000</v>
      </c>
      <c r="AE221" s="5">
        <v>0</v>
      </c>
      <c r="AF221" s="5">
        <v>1000000</v>
      </c>
      <c r="AG221" s="5"/>
    </row>
    <row r="222" spans="1:33" ht="216.75" x14ac:dyDescent="0.25">
      <c r="A222" s="4" t="s">
        <v>26</v>
      </c>
      <c r="B222" s="4" t="s">
        <v>103</v>
      </c>
      <c r="C222" s="4" t="s">
        <v>103</v>
      </c>
      <c r="D222" s="4" t="s">
        <v>104</v>
      </c>
      <c r="E222" s="4" t="s">
        <v>111</v>
      </c>
      <c r="F222" s="4" t="s">
        <v>112</v>
      </c>
      <c r="G222" s="4" t="s">
        <v>113</v>
      </c>
      <c r="H222" s="4" t="s">
        <v>103</v>
      </c>
      <c r="I222" s="4" t="s">
        <v>432</v>
      </c>
      <c r="J222" s="5"/>
      <c r="K222" s="5"/>
      <c r="L222" s="4" t="s">
        <v>433</v>
      </c>
      <c r="M222" s="5"/>
      <c r="N222" s="4" t="s">
        <v>107</v>
      </c>
      <c r="O222" s="45">
        <v>218</v>
      </c>
      <c r="P222" s="4" t="s">
        <v>179</v>
      </c>
      <c r="Q222" s="45">
        <v>218</v>
      </c>
      <c r="R222" s="4" t="s">
        <v>8</v>
      </c>
      <c r="S222" s="5">
        <v>1</v>
      </c>
      <c r="T222" s="4" t="s">
        <v>366</v>
      </c>
      <c r="U222" s="5"/>
      <c r="V222" s="5">
        <v>284</v>
      </c>
      <c r="W222" s="4" t="s">
        <v>109</v>
      </c>
      <c r="X222" s="45">
        <v>218</v>
      </c>
      <c r="Y222" s="4" t="s">
        <v>179</v>
      </c>
      <c r="Z222" s="5"/>
      <c r="AA222" s="5">
        <v>1000000</v>
      </c>
      <c r="AB222" s="5">
        <v>1000000</v>
      </c>
      <c r="AC222" s="5">
        <v>0</v>
      </c>
      <c r="AD222" s="5">
        <v>1000000</v>
      </c>
      <c r="AE222" s="5">
        <v>0</v>
      </c>
      <c r="AF222" s="5">
        <v>1000000</v>
      </c>
      <c r="AG222" s="5"/>
    </row>
    <row r="223" spans="1:33" ht="38.25" x14ac:dyDescent="0.25">
      <c r="A223" s="4" t="s">
        <v>26</v>
      </c>
      <c r="B223" s="4" t="s">
        <v>103</v>
      </c>
      <c r="C223" s="4" t="s">
        <v>103</v>
      </c>
      <c r="D223" s="4" t="s">
        <v>104</v>
      </c>
      <c r="E223" s="4" t="s">
        <v>111</v>
      </c>
      <c r="F223" s="4" t="s">
        <v>112</v>
      </c>
      <c r="G223" s="4" t="s">
        <v>113</v>
      </c>
      <c r="H223" s="4" t="s">
        <v>103</v>
      </c>
      <c r="I223" s="4" t="s">
        <v>432</v>
      </c>
      <c r="J223" s="5"/>
      <c r="K223" s="5"/>
      <c r="L223" s="4" t="s">
        <v>433</v>
      </c>
      <c r="M223" s="5"/>
      <c r="N223" s="4" t="s">
        <v>107</v>
      </c>
      <c r="O223" s="45">
        <v>355</v>
      </c>
      <c r="P223" s="4" t="s">
        <v>503</v>
      </c>
      <c r="Q223" s="45">
        <v>355</v>
      </c>
      <c r="R223" s="4" t="s">
        <v>8</v>
      </c>
      <c r="S223" s="5">
        <v>1</v>
      </c>
      <c r="T223" s="4" t="s">
        <v>108</v>
      </c>
      <c r="U223" s="5"/>
      <c r="V223" s="5">
        <v>147</v>
      </c>
      <c r="W223" s="4" t="s">
        <v>109</v>
      </c>
      <c r="X223" s="45">
        <v>355</v>
      </c>
      <c r="Y223" s="4" t="s">
        <v>503</v>
      </c>
      <c r="Z223" s="4"/>
      <c r="AA223" s="5">
        <v>1000000</v>
      </c>
      <c r="AB223" s="5">
        <v>1000000</v>
      </c>
      <c r="AC223" s="5">
        <v>0</v>
      </c>
      <c r="AD223" s="5">
        <v>1000000</v>
      </c>
      <c r="AE223" s="5">
        <v>0</v>
      </c>
      <c r="AF223" s="5">
        <v>1000000</v>
      </c>
      <c r="AG223" s="5"/>
    </row>
    <row r="224" spans="1:33" ht="38.25" x14ac:dyDescent="0.25">
      <c r="A224" s="4" t="s">
        <v>26</v>
      </c>
      <c r="B224" s="4" t="s">
        <v>103</v>
      </c>
      <c r="C224" s="4" t="s">
        <v>103</v>
      </c>
      <c r="D224" s="4" t="s">
        <v>104</v>
      </c>
      <c r="E224" s="4" t="s">
        <v>111</v>
      </c>
      <c r="F224" s="4" t="s">
        <v>112</v>
      </c>
      <c r="G224" s="4" t="s">
        <v>113</v>
      </c>
      <c r="H224" s="4" t="s">
        <v>103</v>
      </c>
      <c r="I224" s="4" t="s">
        <v>432</v>
      </c>
      <c r="J224" s="5"/>
      <c r="K224" s="5"/>
      <c r="L224" s="4" t="s">
        <v>433</v>
      </c>
      <c r="M224" s="5"/>
      <c r="N224" s="4" t="s">
        <v>107</v>
      </c>
      <c r="O224" s="45">
        <v>83</v>
      </c>
      <c r="P224" s="4" t="s">
        <v>504</v>
      </c>
      <c r="Q224" s="45">
        <v>83</v>
      </c>
      <c r="R224" s="4" t="s">
        <v>8</v>
      </c>
      <c r="S224" s="5">
        <v>1</v>
      </c>
      <c r="T224" s="4" t="s">
        <v>108</v>
      </c>
      <c r="U224" s="5"/>
      <c r="V224" s="5">
        <v>54</v>
      </c>
      <c r="W224" s="4" t="s">
        <v>109</v>
      </c>
      <c r="X224" s="45">
        <v>83</v>
      </c>
      <c r="Y224" s="4" t="s">
        <v>504</v>
      </c>
      <c r="Z224" s="4"/>
      <c r="AA224" s="5">
        <v>1000000</v>
      </c>
      <c r="AB224" s="5">
        <v>1000000</v>
      </c>
      <c r="AC224" s="5">
        <v>0</v>
      </c>
      <c r="AD224" s="5">
        <v>1000000</v>
      </c>
      <c r="AE224" s="5">
        <v>0</v>
      </c>
      <c r="AF224" s="5">
        <v>1000000</v>
      </c>
      <c r="AG224" s="5"/>
    </row>
    <row r="225" spans="1:33" ht="38.25" x14ac:dyDescent="0.25">
      <c r="A225" s="4" t="s">
        <v>26</v>
      </c>
      <c r="B225" s="4" t="s">
        <v>103</v>
      </c>
      <c r="C225" s="4" t="s">
        <v>103</v>
      </c>
      <c r="D225" s="4" t="s">
        <v>104</v>
      </c>
      <c r="E225" s="4" t="s">
        <v>111</v>
      </c>
      <c r="F225" s="4" t="s">
        <v>112</v>
      </c>
      <c r="G225" s="4" t="s">
        <v>113</v>
      </c>
      <c r="H225" s="4" t="s">
        <v>103</v>
      </c>
      <c r="I225" s="4" t="s">
        <v>432</v>
      </c>
      <c r="J225" s="5"/>
      <c r="K225" s="5"/>
      <c r="L225" s="4" t="s">
        <v>433</v>
      </c>
      <c r="M225" s="5"/>
      <c r="N225" s="4" t="s">
        <v>107</v>
      </c>
      <c r="O225" s="45">
        <v>86</v>
      </c>
      <c r="P225" s="4" t="s">
        <v>505</v>
      </c>
      <c r="Q225" s="45">
        <v>86</v>
      </c>
      <c r="R225" s="4" t="s">
        <v>8</v>
      </c>
      <c r="S225" s="5">
        <v>1</v>
      </c>
      <c r="T225" s="4" t="s">
        <v>108</v>
      </c>
      <c r="U225" s="5"/>
      <c r="V225" s="5">
        <v>51</v>
      </c>
      <c r="W225" s="4" t="s">
        <v>109</v>
      </c>
      <c r="X225" s="45">
        <v>86</v>
      </c>
      <c r="Y225" s="4" t="s">
        <v>505</v>
      </c>
      <c r="Z225" s="4"/>
      <c r="AA225" s="5">
        <v>1000000</v>
      </c>
      <c r="AB225" s="5">
        <v>1000000</v>
      </c>
      <c r="AC225" s="5">
        <v>0</v>
      </c>
      <c r="AD225" s="5">
        <v>1000000</v>
      </c>
      <c r="AE225" s="5">
        <v>0</v>
      </c>
      <c r="AF225" s="5">
        <v>1000000</v>
      </c>
      <c r="AG225" s="5"/>
    </row>
    <row r="226" spans="1:33" ht="38.25" x14ac:dyDescent="0.25">
      <c r="A226" s="4" t="s">
        <v>26</v>
      </c>
      <c r="B226" s="4" t="s">
        <v>103</v>
      </c>
      <c r="C226" s="4" t="s">
        <v>103</v>
      </c>
      <c r="D226" s="4" t="s">
        <v>104</v>
      </c>
      <c r="E226" s="4" t="s">
        <v>111</v>
      </c>
      <c r="F226" s="4" t="s">
        <v>112</v>
      </c>
      <c r="G226" s="4" t="s">
        <v>113</v>
      </c>
      <c r="H226" s="4" t="s">
        <v>103</v>
      </c>
      <c r="I226" s="4" t="s">
        <v>432</v>
      </c>
      <c r="J226" s="5"/>
      <c r="K226" s="5"/>
      <c r="L226" s="4" t="s">
        <v>433</v>
      </c>
      <c r="M226" s="5"/>
      <c r="N226" s="4" t="s">
        <v>107</v>
      </c>
      <c r="O226" s="45">
        <v>88</v>
      </c>
      <c r="P226" s="4" t="s">
        <v>506</v>
      </c>
      <c r="Q226" s="45">
        <v>88</v>
      </c>
      <c r="R226" s="4" t="s">
        <v>8</v>
      </c>
      <c r="S226" s="5">
        <v>1</v>
      </c>
      <c r="T226" s="4" t="s">
        <v>108</v>
      </c>
      <c r="U226" s="5"/>
      <c r="V226" s="5">
        <v>49</v>
      </c>
      <c r="W226" s="4" t="s">
        <v>109</v>
      </c>
      <c r="X226" s="45">
        <v>88</v>
      </c>
      <c r="Y226" s="4" t="s">
        <v>506</v>
      </c>
      <c r="Z226" s="4"/>
      <c r="AA226" s="5">
        <v>1000000</v>
      </c>
      <c r="AB226" s="5">
        <v>1000000</v>
      </c>
      <c r="AC226" s="5">
        <v>0</v>
      </c>
      <c r="AD226" s="5">
        <v>1000000</v>
      </c>
      <c r="AE226" s="5">
        <v>0</v>
      </c>
      <c r="AF226" s="5">
        <v>1000000</v>
      </c>
      <c r="AG226" s="5"/>
    </row>
    <row r="227" spans="1:33" ht="38.25" x14ac:dyDescent="0.25">
      <c r="A227" s="4" t="s">
        <v>26</v>
      </c>
      <c r="B227" s="4" t="s">
        <v>103</v>
      </c>
      <c r="C227" s="4" t="s">
        <v>103</v>
      </c>
      <c r="D227" s="4" t="s">
        <v>104</v>
      </c>
      <c r="E227" s="4" t="s">
        <v>111</v>
      </c>
      <c r="F227" s="4" t="s">
        <v>112</v>
      </c>
      <c r="G227" s="4" t="s">
        <v>113</v>
      </c>
      <c r="H227" s="4" t="s">
        <v>103</v>
      </c>
      <c r="I227" s="4" t="s">
        <v>432</v>
      </c>
      <c r="J227" s="5"/>
      <c r="K227" s="5"/>
      <c r="L227" s="4" t="s">
        <v>433</v>
      </c>
      <c r="M227" s="5"/>
      <c r="N227" s="4" t="s">
        <v>107</v>
      </c>
      <c r="O227" s="45">
        <v>96</v>
      </c>
      <c r="P227" s="4" t="s">
        <v>214</v>
      </c>
      <c r="Q227" s="45">
        <v>96</v>
      </c>
      <c r="R227" s="4" t="s">
        <v>8</v>
      </c>
      <c r="S227" s="5">
        <v>1</v>
      </c>
      <c r="T227" s="4" t="s">
        <v>108</v>
      </c>
      <c r="U227" s="5"/>
      <c r="V227" s="5">
        <v>41</v>
      </c>
      <c r="W227" s="4" t="s">
        <v>109</v>
      </c>
      <c r="X227" s="45">
        <v>96</v>
      </c>
      <c r="Y227" s="4" t="s">
        <v>214</v>
      </c>
      <c r="Z227" s="4"/>
      <c r="AA227" s="5">
        <v>1000000</v>
      </c>
      <c r="AB227" s="5">
        <v>1000000</v>
      </c>
      <c r="AC227" s="5">
        <v>0</v>
      </c>
      <c r="AD227" s="5">
        <v>1000000</v>
      </c>
      <c r="AE227" s="5">
        <v>0</v>
      </c>
      <c r="AF227" s="5">
        <v>1000000</v>
      </c>
      <c r="AG227" s="5"/>
    </row>
    <row r="228" spans="1:33" ht="38.25" x14ac:dyDescent="0.25">
      <c r="A228" s="4" t="s">
        <v>26</v>
      </c>
      <c r="B228" s="4" t="s">
        <v>103</v>
      </c>
      <c r="C228" s="4" t="s">
        <v>103</v>
      </c>
      <c r="D228" s="4" t="s">
        <v>104</v>
      </c>
      <c r="E228" s="4" t="s">
        <v>111</v>
      </c>
      <c r="F228" s="4" t="s">
        <v>112</v>
      </c>
      <c r="G228" s="4" t="s">
        <v>113</v>
      </c>
      <c r="H228" s="4" t="s">
        <v>103</v>
      </c>
      <c r="I228" s="4" t="s">
        <v>432</v>
      </c>
      <c r="J228" s="5"/>
      <c r="K228" s="5"/>
      <c r="L228" s="4" t="s">
        <v>433</v>
      </c>
      <c r="M228" s="5"/>
      <c r="N228" s="4" t="s">
        <v>107</v>
      </c>
      <c r="O228" s="45">
        <v>104</v>
      </c>
      <c r="P228" s="4" t="s">
        <v>247</v>
      </c>
      <c r="Q228" s="45">
        <v>104</v>
      </c>
      <c r="R228" s="4" t="s">
        <v>8</v>
      </c>
      <c r="S228" s="5">
        <v>1</v>
      </c>
      <c r="T228" s="4" t="s">
        <v>108</v>
      </c>
      <c r="U228" s="5"/>
      <c r="V228" s="5">
        <v>33</v>
      </c>
      <c r="W228" s="4" t="s">
        <v>109</v>
      </c>
      <c r="X228" s="45">
        <v>104</v>
      </c>
      <c r="Y228" s="4" t="s">
        <v>247</v>
      </c>
      <c r="Z228" s="4"/>
      <c r="AA228" s="5">
        <v>1000000</v>
      </c>
      <c r="AB228" s="5">
        <v>1000000</v>
      </c>
      <c r="AC228" s="5">
        <v>0</v>
      </c>
      <c r="AD228" s="5">
        <v>1000000</v>
      </c>
      <c r="AE228" s="5">
        <v>0</v>
      </c>
      <c r="AF228" s="5">
        <v>1000000</v>
      </c>
      <c r="AG228" s="5"/>
    </row>
    <row r="229" spans="1:33" ht="38.25" x14ac:dyDescent="0.25">
      <c r="A229" s="4" t="s">
        <v>26</v>
      </c>
      <c r="B229" s="4" t="s">
        <v>103</v>
      </c>
      <c r="C229" s="4" t="s">
        <v>103</v>
      </c>
      <c r="D229" s="4" t="s">
        <v>104</v>
      </c>
      <c r="E229" s="4" t="s">
        <v>111</v>
      </c>
      <c r="F229" s="4" t="s">
        <v>112</v>
      </c>
      <c r="G229" s="4" t="s">
        <v>113</v>
      </c>
      <c r="H229" s="4" t="s">
        <v>103</v>
      </c>
      <c r="I229" s="4" t="s">
        <v>432</v>
      </c>
      <c r="J229" s="5"/>
      <c r="K229" s="5"/>
      <c r="L229" s="4" t="s">
        <v>433</v>
      </c>
      <c r="M229" s="5"/>
      <c r="N229" s="4" t="s">
        <v>107</v>
      </c>
      <c r="O229" s="45">
        <v>111</v>
      </c>
      <c r="P229" s="4" t="s">
        <v>276</v>
      </c>
      <c r="Q229" s="45">
        <v>111</v>
      </c>
      <c r="R229" s="4" t="s">
        <v>8</v>
      </c>
      <c r="S229" s="5">
        <v>1</v>
      </c>
      <c r="T229" s="4" t="s">
        <v>108</v>
      </c>
      <c r="U229" s="5"/>
      <c r="V229" s="5">
        <v>26</v>
      </c>
      <c r="W229" s="4" t="s">
        <v>109</v>
      </c>
      <c r="X229" s="45">
        <v>111</v>
      </c>
      <c r="Y229" s="4" t="s">
        <v>276</v>
      </c>
      <c r="Z229" s="4"/>
      <c r="AA229" s="5">
        <v>1000000</v>
      </c>
      <c r="AB229" s="5">
        <v>1000000</v>
      </c>
      <c r="AC229" s="5">
        <v>0</v>
      </c>
      <c r="AD229" s="5">
        <v>1000000</v>
      </c>
      <c r="AE229" s="5">
        <v>0</v>
      </c>
      <c r="AF229" s="5">
        <v>1000000</v>
      </c>
      <c r="AG229" s="5"/>
    </row>
    <row r="230" spans="1:33" ht="38.25" x14ac:dyDescent="0.25">
      <c r="A230" s="4" t="s">
        <v>26</v>
      </c>
      <c r="B230" s="4" t="s">
        <v>103</v>
      </c>
      <c r="C230" s="4" t="s">
        <v>103</v>
      </c>
      <c r="D230" s="4" t="s">
        <v>104</v>
      </c>
      <c r="E230" s="4" t="s">
        <v>111</v>
      </c>
      <c r="F230" s="4" t="s">
        <v>112</v>
      </c>
      <c r="G230" s="4" t="s">
        <v>113</v>
      </c>
      <c r="H230" s="4" t="s">
        <v>103</v>
      </c>
      <c r="I230" s="4" t="s">
        <v>432</v>
      </c>
      <c r="J230" s="5"/>
      <c r="K230" s="5"/>
      <c r="L230" s="4" t="s">
        <v>433</v>
      </c>
      <c r="M230" s="5"/>
      <c r="N230" s="4" t="s">
        <v>107</v>
      </c>
      <c r="O230" s="45">
        <v>121</v>
      </c>
      <c r="P230" s="4" t="s">
        <v>308</v>
      </c>
      <c r="Q230" s="45">
        <v>121</v>
      </c>
      <c r="R230" s="4" t="s">
        <v>8</v>
      </c>
      <c r="S230" s="5">
        <v>1</v>
      </c>
      <c r="T230" s="4" t="s">
        <v>108</v>
      </c>
      <c r="U230" s="5"/>
      <c r="V230" s="5">
        <v>16</v>
      </c>
      <c r="W230" s="4" t="s">
        <v>109</v>
      </c>
      <c r="X230" s="45">
        <v>121</v>
      </c>
      <c r="Y230" s="4" t="s">
        <v>308</v>
      </c>
      <c r="Z230" s="4"/>
      <c r="AA230" s="5">
        <v>1000000</v>
      </c>
      <c r="AB230" s="5">
        <v>1000000</v>
      </c>
      <c r="AC230" s="5">
        <v>0</v>
      </c>
      <c r="AD230" s="5">
        <v>1000000</v>
      </c>
      <c r="AE230" s="5">
        <v>0</v>
      </c>
      <c r="AF230" s="5">
        <v>1000000</v>
      </c>
      <c r="AG230" s="5"/>
    </row>
    <row r="231" spans="1:33" ht="38.25" x14ac:dyDescent="0.25">
      <c r="A231" s="4" t="s">
        <v>26</v>
      </c>
      <c r="B231" s="4" t="s">
        <v>103</v>
      </c>
      <c r="C231" s="4" t="s">
        <v>103</v>
      </c>
      <c r="D231" s="4" t="s">
        <v>104</v>
      </c>
      <c r="E231" s="4" t="s">
        <v>111</v>
      </c>
      <c r="F231" s="4" t="s">
        <v>112</v>
      </c>
      <c r="G231" s="4" t="s">
        <v>113</v>
      </c>
      <c r="H231" s="4" t="s">
        <v>103</v>
      </c>
      <c r="I231" s="4" t="s">
        <v>432</v>
      </c>
      <c r="J231" s="5"/>
      <c r="K231" s="5"/>
      <c r="L231" s="4" t="s">
        <v>433</v>
      </c>
      <c r="M231" s="5"/>
      <c r="N231" s="4" t="s">
        <v>107</v>
      </c>
      <c r="O231" s="45">
        <v>127</v>
      </c>
      <c r="P231" s="4" t="s">
        <v>341</v>
      </c>
      <c r="Q231" s="45">
        <v>127</v>
      </c>
      <c r="R231" s="4" t="s">
        <v>8</v>
      </c>
      <c r="S231" s="5">
        <v>1</v>
      </c>
      <c r="T231" s="4" t="s">
        <v>108</v>
      </c>
      <c r="U231" s="5"/>
      <c r="V231" s="5">
        <v>10</v>
      </c>
      <c r="W231" s="4" t="s">
        <v>109</v>
      </c>
      <c r="X231" s="45">
        <v>127</v>
      </c>
      <c r="Y231" s="4" t="s">
        <v>341</v>
      </c>
      <c r="Z231" s="4"/>
      <c r="AA231" s="5">
        <v>1000000</v>
      </c>
      <c r="AB231" s="5">
        <v>1000000</v>
      </c>
      <c r="AC231" s="5">
        <v>0</v>
      </c>
      <c r="AD231" s="5">
        <v>1000000</v>
      </c>
      <c r="AE231" s="5">
        <v>0</v>
      </c>
      <c r="AF231" s="5">
        <v>1000000</v>
      </c>
      <c r="AG231" s="5"/>
    </row>
    <row r="232" spans="1:33" ht="38.25" x14ac:dyDescent="0.25">
      <c r="A232" s="4" t="s">
        <v>26</v>
      </c>
      <c r="B232" s="4" t="s">
        <v>103</v>
      </c>
      <c r="C232" s="4" t="s">
        <v>103</v>
      </c>
      <c r="D232" s="4" t="s">
        <v>104</v>
      </c>
      <c r="E232" s="4" t="s">
        <v>111</v>
      </c>
      <c r="F232" s="4" t="s">
        <v>112</v>
      </c>
      <c r="G232" s="4" t="s">
        <v>113</v>
      </c>
      <c r="H232" s="4" t="s">
        <v>103</v>
      </c>
      <c r="I232" s="4" t="s">
        <v>432</v>
      </c>
      <c r="J232" s="5"/>
      <c r="K232" s="5"/>
      <c r="L232" s="4" t="s">
        <v>433</v>
      </c>
      <c r="M232" s="5"/>
      <c r="N232" s="4" t="s">
        <v>107</v>
      </c>
      <c r="O232" s="45">
        <v>128</v>
      </c>
      <c r="P232" s="4" t="s">
        <v>352</v>
      </c>
      <c r="Q232" s="45">
        <v>128</v>
      </c>
      <c r="R232" s="4" t="s">
        <v>8</v>
      </c>
      <c r="S232" s="5">
        <v>1</v>
      </c>
      <c r="T232" s="4" t="s">
        <v>108</v>
      </c>
      <c r="U232" s="5"/>
      <c r="V232" s="5">
        <v>9</v>
      </c>
      <c r="W232" s="4" t="s">
        <v>109</v>
      </c>
      <c r="X232" s="45">
        <v>128</v>
      </c>
      <c r="Y232" s="4" t="s">
        <v>352</v>
      </c>
      <c r="Z232" s="4"/>
      <c r="AA232" s="5">
        <v>1000000</v>
      </c>
      <c r="AB232" s="5">
        <v>1000000</v>
      </c>
      <c r="AC232" s="5">
        <v>0</v>
      </c>
      <c r="AD232" s="5">
        <v>1000000</v>
      </c>
      <c r="AE232" s="5">
        <v>0</v>
      </c>
      <c r="AF232" s="5">
        <v>1000000</v>
      </c>
      <c r="AG232" s="5"/>
    </row>
    <row r="233" spans="1:33" ht="38.25" x14ac:dyDescent="0.25">
      <c r="A233" s="4" t="s">
        <v>26</v>
      </c>
      <c r="B233" s="4" t="s">
        <v>103</v>
      </c>
      <c r="C233" s="4" t="s">
        <v>103</v>
      </c>
      <c r="D233" s="4" t="s">
        <v>104</v>
      </c>
      <c r="E233" s="4" t="s">
        <v>111</v>
      </c>
      <c r="F233" s="4" t="s">
        <v>112</v>
      </c>
      <c r="G233" s="4" t="s">
        <v>113</v>
      </c>
      <c r="H233" s="4" t="s">
        <v>103</v>
      </c>
      <c r="I233" s="4" t="s">
        <v>432</v>
      </c>
      <c r="J233" s="5"/>
      <c r="K233" s="5"/>
      <c r="L233" s="4" t="s">
        <v>433</v>
      </c>
      <c r="M233" s="5"/>
      <c r="N233" s="4" t="s">
        <v>107</v>
      </c>
      <c r="O233" s="45">
        <v>131</v>
      </c>
      <c r="P233" s="4" t="s">
        <v>367</v>
      </c>
      <c r="Q233" s="45">
        <v>131</v>
      </c>
      <c r="R233" s="4" t="s">
        <v>8</v>
      </c>
      <c r="S233" s="5">
        <v>1</v>
      </c>
      <c r="T233" s="4" t="s">
        <v>108</v>
      </c>
      <c r="U233" s="5"/>
      <c r="V233" s="5">
        <v>6</v>
      </c>
      <c r="W233" s="4" t="s">
        <v>109</v>
      </c>
      <c r="X233" s="45">
        <v>131</v>
      </c>
      <c r="Y233" s="4" t="s">
        <v>367</v>
      </c>
      <c r="Z233" s="4"/>
      <c r="AA233" s="5">
        <v>1000000</v>
      </c>
      <c r="AB233" s="5">
        <v>1000000</v>
      </c>
      <c r="AC233" s="5">
        <v>0</v>
      </c>
      <c r="AD233" s="5">
        <v>1000000</v>
      </c>
      <c r="AE233" s="5">
        <v>0</v>
      </c>
      <c r="AF233" s="5">
        <v>1000000</v>
      </c>
      <c r="AG233" s="5"/>
    </row>
    <row r="234" spans="1:33" ht="38.25" x14ac:dyDescent="0.25">
      <c r="A234" s="4" t="s">
        <v>26</v>
      </c>
      <c r="B234" s="4" t="s">
        <v>103</v>
      </c>
      <c r="C234" s="4" t="s">
        <v>103</v>
      </c>
      <c r="D234" s="4" t="s">
        <v>104</v>
      </c>
      <c r="E234" s="4" t="s">
        <v>111</v>
      </c>
      <c r="F234" s="4" t="s">
        <v>112</v>
      </c>
      <c r="G234" s="4" t="s">
        <v>113</v>
      </c>
      <c r="H234" s="4" t="s">
        <v>103</v>
      </c>
      <c r="I234" s="4" t="s">
        <v>432</v>
      </c>
      <c r="J234" s="5"/>
      <c r="K234" s="5"/>
      <c r="L234" s="4" t="s">
        <v>433</v>
      </c>
      <c r="M234" s="5"/>
      <c r="N234" s="4" t="s">
        <v>107</v>
      </c>
      <c r="O234" s="45">
        <v>135</v>
      </c>
      <c r="P234" s="4" t="s">
        <v>424</v>
      </c>
      <c r="Q234" s="45">
        <v>135</v>
      </c>
      <c r="R234" s="4" t="s">
        <v>8</v>
      </c>
      <c r="S234" s="5">
        <v>1</v>
      </c>
      <c r="T234" s="4" t="s">
        <v>108</v>
      </c>
      <c r="U234" s="5"/>
      <c r="V234" s="5">
        <v>2</v>
      </c>
      <c r="W234" s="4" t="s">
        <v>109</v>
      </c>
      <c r="X234" s="45">
        <v>135</v>
      </c>
      <c r="Y234" s="4" t="s">
        <v>424</v>
      </c>
      <c r="Z234" s="4"/>
      <c r="AA234" s="5">
        <v>1000000</v>
      </c>
      <c r="AB234" s="5">
        <v>1000000</v>
      </c>
      <c r="AC234" s="5">
        <v>0</v>
      </c>
      <c r="AD234" s="5">
        <v>1000000</v>
      </c>
      <c r="AE234" s="5">
        <v>0</v>
      </c>
      <c r="AF234" s="5">
        <v>1000000</v>
      </c>
      <c r="AG234" s="5"/>
    </row>
    <row r="235" spans="1:33" ht="38.25" x14ac:dyDescent="0.25">
      <c r="A235" s="4" t="s">
        <v>27</v>
      </c>
      <c r="B235" s="4" t="s">
        <v>103</v>
      </c>
      <c r="C235" s="4" t="s">
        <v>103</v>
      </c>
      <c r="D235" s="4" t="s">
        <v>104</v>
      </c>
      <c r="E235" s="4" t="s">
        <v>111</v>
      </c>
      <c r="F235" s="4" t="s">
        <v>112</v>
      </c>
      <c r="G235" s="4" t="s">
        <v>113</v>
      </c>
      <c r="H235" s="4" t="s">
        <v>103</v>
      </c>
      <c r="I235" s="4" t="s">
        <v>432</v>
      </c>
      <c r="J235" s="5"/>
      <c r="K235" s="5"/>
      <c r="L235" s="4" t="s">
        <v>433</v>
      </c>
      <c r="M235" s="5"/>
      <c r="N235" s="4" t="s">
        <v>107</v>
      </c>
      <c r="O235" s="45">
        <v>282</v>
      </c>
      <c r="P235" s="4" t="s">
        <v>507</v>
      </c>
      <c r="Q235" s="45">
        <v>282</v>
      </c>
      <c r="R235" s="4" t="s">
        <v>8</v>
      </c>
      <c r="S235" s="5">
        <v>1</v>
      </c>
      <c r="T235" s="4" t="s">
        <v>108</v>
      </c>
      <c r="U235" s="5"/>
      <c r="V235" s="5">
        <v>220</v>
      </c>
      <c r="W235" s="4" t="s">
        <v>109</v>
      </c>
      <c r="X235" s="45">
        <v>282</v>
      </c>
      <c r="Y235" s="4" t="s">
        <v>507</v>
      </c>
      <c r="Z235" s="4"/>
      <c r="AA235" s="5">
        <v>1000000</v>
      </c>
      <c r="AB235" s="5">
        <v>1000000</v>
      </c>
      <c r="AC235" s="5">
        <v>0</v>
      </c>
      <c r="AD235" s="5">
        <v>1000000</v>
      </c>
      <c r="AE235" s="5">
        <v>0</v>
      </c>
      <c r="AF235" s="5">
        <v>1000000</v>
      </c>
      <c r="AG235" s="5"/>
    </row>
    <row r="236" spans="1:33" ht="38.25" x14ac:dyDescent="0.25">
      <c r="A236" s="4" t="s">
        <v>27</v>
      </c>
      <c r="B236" s="4" t="s">
        <v>103</v>
      </c>
      <c r="C236" s="4" t="s">
        <v>103</v>
      </c>
      <c r="D236" s="4" t="s">
        <v>104</v>
      </c>
      <c r="E236" s="4" t="s">
        <v>111</v>
      </c>
      <c r="F236" s="4" t="s">
        <v>112</v>
      </c>
      <c r="G236" s="4" t="s">
        <v>113</v>
      </c>
      <c r="H236" s="4" t="s">
        <v>103</v>
      </c>
      <c r="I236" s="4" t="s">
        <v>432</v>
      </c>
      <c r="J236" s="5"/>
      <c r="K236" s="5"/>
      <c r="L236" s="4" t="s">
        <v>433</v>
      </c>
      <c r="M236" s="5"/>
      <c r="N236" s="4" t="s">
        <v>107</v>
      </c>
      <c r="O236" s="45">
        <v>283</v>
      </c>
      <c r="P236" s="4" t="s">
        <v>508</v>
      </c>
      <c r="Q236" s="45">
        <v>283</v>
      </c>
      <c r="R236" s="4" t="s">
        <v>8</v>
      </c>
      <c r="S236" s="5">
        <v>1</v>
      </c>
      <c r="T236" s="4" t="s">
        <v>108</v>
      </c>
      <c r="U236" s="5"/>
      <c r="V236" s="5">
        <v>219</v>
      </c>
      <c r="W236" s="4" t="s">
        <v>109</v>
      </c>
      <c r="X236" s="45">
        <v>283</v>
      </c>
      <c r="Y236" s="4" t="s">
        <v>508</v>
      </c>
      <c r="Z236" s="4"/>
      <c r="AA236" s="5">
        <v>1000000</v>
      </c>
      <c r="AB236" s="5">
        <v>1000000</v>
      </c>
      <c r="AC236" s="5">
        <v>0</v>
      </c>
      <c r="AD236" s="5">
        <v>1000000</v>
      </c>
      <c r="AE236" s="5">
        <v>0</v>
      </c>
      <c r="AF236" s="5">
        <v>1000000</v>
      </c>
      <c r="AG236" s="5"/>
    </row>
    <row r="237" spans="1:33" ht="38.25" x14ac:dyDescent="0.25">
      <c r="A237" s="4" t="s">
        <v>27</v>
      </c>
      <c r="B237" s="4" t="s">
        <v>103</v>
      </c>
      <c r="C237" s="4" t="s">
        <v>103</v>
      </c>
      <c r="D237" s="4" t="s">
        <v>104</v>
      </c>
      <c r="E237" s="4" t="s">
        <v>111</v>
      </c>
      <c r="F237" s="4" t="s">
        <v>112</v>
      </c>
      <c r="G237" s="4" t="s">
        <v>113</v>
      </c>
      <c r="H237" s="4" t="s">
        <v>103</v>
      </c>
      <c r="I237" s="4" t="s">
        <v>432</v>
      </c>
      <c r="J237" s="5"/>
      <c r="K237" s="5"/>
      <c r="L237" s="4" t="s">
        <v>433</v>
      </c>
      <c r="M237" s="5"/>
      <c r="N237" s="4" t="s">
        <v>107</v>
      </c>
      <c r="O237" s="45">
        <v>320</v>
      </c>
      <c r="P237" s="4" t="s">
        <v>509</v>
      </c>
      <c r="Q237" s="45">
        <v>320</v>
      </c>
      <c r="R237" s="4" t="s">
        <v>8</v>
      </c>
      <c r="S237" s="5">
        <v>1</v>
      </c>
      <c r="T237" s="4" t="s">
        <v>108</v>
      </c>
      <c r="U237" s="5"/>
      <c r="V237" s="5">
        <v>182</v>
      </c>
      <c r="W237" s="4" t="s">
        <v>109</v>
      </c>
      <c r="X237" s="45">
        <v>320</v>
      </c>
      <c r="Y237" s="4" t="s">
        <v>509</v>
      </c>
      <c r="Z237" s="4"/>
      <c r="AA237" s="5">
        <v>1000000</v>
      </c>
      <c r="AB237" s="5">
        <v>1000000</v>
      </c>
      <c r="AC237" s="5">
        <v>0</v>
      </c>
      <c r="AD237" s="5">
        <v>1000000</v>
      </c>
      <c r="AE237" s="5">
        <v>0</v>
      </c>
      <c r="AF237" s="5">
        <v>1000000</v>
      </c>
      <c r="AG237" s="5"/>
    </row>
    <row r="238" spans="1:33" ht="38.25" x14ac:dyDescent="0.25">
      <c r="A238" s="4" t="s">
        <v>27</v>
      </c>
      <c r="B238" s="4" t="s">
        <v>103</v>
      </c>
      <c r="C238" s="4" t="s">
        <v>103</v>
      </c>
      <c r="D238" s="4" t="s">
        <v>104</v>
      </c>
      <c r="E238" s="4" t="s">
        <v>111</v>
      </c>
      <c r="F238" s="4" t="s">
        <v>112</v>
      </c>
      <c r="G238" s="4" t="s">
        <v>113</v>
      </c>
      <c r="H238" s="4" t="s">
        <v>103</v>
      </c>
      <c r="I238" s="4" t="s">
        <v>432</v>
      </c>
      <c r="J238" s="5"/>
      <c r="K238" s="5"/>
      <c r="L238" s="4" t="s">
        <v>433</v>
      </c>
      <c r="M238" s="5"/>
      <c r="N238" s="4" t="s">
        <v>107</v>
      </c>
      <c r="O238" s="45">
        <v>323</v>
      </c>
      <c r="P238" s="4" t="s">
        <v>510</v>
      </c>
      <c r="Q238" s="45">
        <v>323</v>
      </c>
      <c r="R238" s="4" t="s">
        <v>8</v>
      </c>
      <c r="S238" s="5">
        <v>1</v>
      </c>
      <c r="T238" s="4" t="s">
        <v>108</v>
      </c>
      <c r="U238" s="5"/>
      <c r="V238" s="5">
        <v>179</v>
      </c>
      <c r="W238" s="4" t="s">
        <v>109</v>
      </c>
      <c r="X238" s="45">
        <v>323</v>
      </c>
      <c r="Y238" s="4" t="s">
        <v>510</v>
      </c>
      <c r="Z238" s="4"/>
      <c r="AA238" s="5">
        <v>1000000</v>
      </c>
      <c r="AB238" s="5">
        <v>1000000</v>
      </c>
      <c r="AC238" s="5">
        <v>0</v>
      </c>
      <c r="AD238" s="5">
        <v>1000000</v>
      </c>
      <c r="AE238" s="5">
        <v>0</v>
      </c>
      <c r="AF238" s="5">
        <v>1000000</v>
      </c>
      <c r="AG238" s="5"/>
    </row>
    <row r="239" spans="1:33" ht="38.25" x14ac:dyDescent="0.25">
      <c r="A239" s="4" t="s">
        <v>27</v>
      </c>
      <c r="B239" s="4" t="s">
        <v>103</v>
      </c>
      <c r="C239" s="4" t="s">
        <v>103</v>
      </c>
      <c r="D239" s="4" t="s">
        <v>104</v>
      </c>
      <c r="E239" s="4" t="s">
        <v>111</v>
      </c>
      <c r="F239" s="4" t="s">
        <v>112</v>
      </c>
      <c r="G239" s="4" t="s">
        <v>113</v>
      </c>
      <c r="H239" s="4" t="s">
        <v>103</v>
      </c>
      <c r="I239" s="4" t="s">
        <v>432</v>
      </c>
      <c r="J239" s="5"/>
      <c r="K239" s="5"/>
      <c r="L239" s="4" t="s">
        <v>433</v>
      </c>
      <c r="M239" s="5"/>
      <c r="N239" s="4" t="s">
        <v>107</v>
      </c>
      <c r="O239" s="45">
        <v>325</v>
      </c>
      <c r="P239" s="4" t="s">
        <v>511</v>
      </c>
      <c r="Q239" s="45">
        <v>325</v>
      </c>
      <c r="R239" s="4" t="s">
        <v>8</v>
      </c>
      <c r="S239" s="5">
        <v>1</v>
      </c>
      <c r="T239" s="4" t="s">
        <v>108</v>
      </c>
      <c r="U239" s="5"/>
      <c r="V239" s="5">
        <v>177</v>
      </c>
      <c r="W239" s="4" t="s">
        <v>109</v>
      </c>
      <c r="X239" s="45">
        <v>325</v>
      </c>
      <c r="Y239" s="4" t="s">
        <v>511</v>
      </c>
      <c r="Z239" s="4"/>
      <c r="AA239" s="5">
        <v>1000000</v>
      </c>
      <c r="AB239" s="5">
        <v>1000000</v>
      </c>
      <c r="AC239" s="5">
        <v>0</v>
      </c>
      <c r="AD239" s="5">
        <v>1000000</v>
      </c>
      <c r="AE239" s="5">
        <v>0</v>
      </c>
      <c r="AF239" s="5">
        <v>1000000</v>
      </c>
      <c r="AG239" s="5"/>
    </row>
    <row r="240" spans="1:33" ht="38.25" x14ac:dyDescent="0.25">
      <c r="A240" s="4" t="s">
        <v>27</v>
      </c>
      <c r="B240" s="4" t="s">
        <v>103</v>
      </c>
      <c r="C240" s="4" t="s">
        <v>103</v>
      </c>
      <c r="D240" s="4" t="s">
        <v>104</v>
      </c>
      <c r="E240" s="4" t="s">
        <v>111</v>
      </c>
      <c r="F240" s="4" t="s">
        <v>112</v>
      </c>
      <c r="G240" s="4" t="s">
        <v>113</v>
      </c>
      <c r="H240" s="4" t="s">
        <v>103</v>
      </c>
      <c r="I240" s="4" t="s">
        <v>432</v>
      </c>
      <c r="J240" s="5"/>
      <c r="K240" s="5"/>
      <c r="L240" s="4" t="s">
        <v>433</v>
      </c>
      <c r="M240" s="5"/>
      <c r="N240" s="4" t="s">
        <v>107</v>
      </c>
      <c r="O240" s="45">
        <v>332</v>
      </c>
      <c r="P240" s="4" t="s">
        <v>512</v>
      </c>
      <c r="Q240" s="45">
        <v>332</v>
      </c>
      <c r="R240" s="4" t="s">
        <v>8</v>
      </c>
      <c r="S240" s="5">
        <v>1</v>
      </c>
      <c r="T240" s="4" t="s">
        <v>108</v>
      </c>
      <c r="U240" s="5"/>
      <c r="V240" s="5">
        <v>170</v>
      </c>
      <c r="W240" s="4" t="s">
        <v>109</v>
      </c>
      <c r="X240" s="45">
        <v>332</v>
      </c>
      <c r="Y240" s="4" t="s">
        <v>512</v>
      </c>
      <c r="Z240" s="4"/>
      <c r="AA240" s="5">
        <v>1000000</v>
      </c>
      <c r="AB240" s="5">
        <v>1000000</v>
      </c>
      <c r="AC240" s="5">
        <v>0</v>
      </c>
      <c r="AD240" s="5">
        <v>1000000</v>
      </c>
      <c r="AE240" s="5">
        <v>0</v>
      </c>
      <c r="AF240" s="5">
        <v>1000000</v>
      </c>
      <c r="AG240" s="5"/>
    </row>
    <row r="241" spans="1:33" ht="38.25" x14ac:dyDescent="0.25">
      <c r="A241" s="4" t="s">
        <v>27</v>
      </c>
      <c r="B241" s="4" t="s">
        <v>103</v>
      </c>
      <c r="C241" s="4" t="s">
        <v>103</v>
      </c>
      <c r="D241" s="4" t="s">
        <v>104</v>
      </c>
      <c r="E241" s="4" t="s">
        <v>111</v>
      </c>
      <c r="F241" s="4" t="s">
        <v>112</v>
      </c>
      <c r="G241" s="4" t="s">
        <v>113</v>
      </c>
      <c r="H241" s="4" t="s">
        <v>103</v>
      </c>
      <c r="I241" s="4" t="s">
        <v>432</v>
      </c>
      <c r="J241" s="5"/>
      <c r="K241" s="5"/>
      <c r="L241" s="4" t="s">
        <v>433</v>
      </c>
      <c r="M241" s="5"/>
      <c r="N241" s="4" t="s">
        <v>107</v>
      </c>
      <c r="O241" s="45">
        <v>339</v>
      </c>
      <c r="P241" s="4" t="s">
        <v>513</v>
      </c>
      <c r="Q241" s="45">
        <v>339</v>
      </c>
      <c r="R241" s="4" t="s">
        <v>8</v>
      </c>
      <c r="S241" s="5">
        <v>1</v>
      </c>
      <c r="T241" s="4" t="s">
        <v>108</v>
      </c>
      <c r="U241" s="5"/>
      <c r="V241" s="5">
        <v>163</v>
      </c>
      <c r="W241" s="4" t="s">
        <v>109</v>
      </c>
      <c r="X241" s="45">
        <v>339</v>
      </c>
      <c r="Y241" s="4" t="s">
        <v>513</v>
      </c>
      <c r="Z241" s="4"/>
      <c r="AA241" s="5">
        <v>1000000</v>
      </c>
      <c r="AB241" s="5">
        <v>1000000</v>
      </c>
      <c r="AC241" s="5">
        <v>0</v>
      </c>
      <c r="AD241" s="5">
        <v>1000000</v>
      </c>
      <c r="AE241" s="5">
        <v>0</v>
      </c>
      <c r="AF241" s="5">
        <v>1000000</v>
      </c>
      <c r="AG241" s="5"/>
    </row>
    <row r="242" spans="1:33" ht="38.25" x14ac:dyDescent="0.25">
      <c r="A242" s="4" t="s">
        <v>27</v>
      </c>
      <c r="B242" s="4" t="s">
        <v>103</v>
      </c>
      <c r="C242" s="4" t="s">
        <v>103</v>
      </c>
      <c r="D242" s="4" t="s">
        <v>104</v>
      </c>
      <c r="E242" s="4" t="s">
        <v>111</v>
      </c>
      <c r="F242" s="4" t="s">
        <v>112</v>
      </c>
      <c r="G242" s="4" t="s">
        <v>113</v>
      </c>
      <c r="H242" s="4" t="s">
        <v>103</v>
      </c>
      <c r="I242" s="4" t="s">
        <v>432</v>
      </c>
      <c r="J242" s="5"/>
      <c r="K242" s="5"/>
      <c r="L242" s="4" t="s">
        <v>433</v>
      </c>
      <c r="M242" s="5"/>
      <c r="N242" s="4" t="s">
        <v>107</v>
      </c>
      <c r="O242" s="45">
        <v>363</v>
      </c>
      <c r="P242" s="4" t="s">
        <v>514</v>
      </c>
      <c r="Q242" s="45">
        <v>363</v>
      </c>
      <c r="R242" s="4" t="s">
        <v>8</v>
      </c>
      <c r="S242" s="5">
        <v>1</v>
      </c>
      <c r="T242" s="4" t="s">
        <v>108</v>
      </c>
      <c r="U242" s="5"/>
      <c r="V242" s="5">
        <v>139</v>
      </c>
      <c r="W242" s="4" t="s">
        <v>109</v>
      </c>
      <c r="X242" s="45">
        <v>363</v>
      </c>
      <c r="Y242" s="4" t="s">
        <v>514</v>
      </c>
      <c r="Z242" s="4"/>
      <c r="AA242" s="5">
        <v>1000000</v>
      </c>
      <c r="AB242" s="5">
        <v>1000000</v>
      </c>
      <c r="AC242" s="5">
        <v>0</v>
      </c>
      <c r="AD242" s="5">
        <v>1000000</v>
      </c>
      <c r="AE242" s="5">
        <v>0</v>
      </c>
      <c r="AF242" s="5">
        <v>1000000</v>
      </c>
      <c r="AG242" s="5"/>
    </row>
    <row r="243" spans="1:33" ht="38.25" x14ac:dyDescent="0.25">
      <c r="A243" s="4" t="s">
        <v>27</v>
      </c>
      <c r="B243" s="4" t="s">
        <v>103</v>
      </c>
      <c r="C243" s="4" t="s">
        <v>103</v>
      </c>
      <c r="D243" s="4" t="s">
        <v>104</v>
      </c>
      <c r="E243" s="4" t="s">
        <v>111</v>
      </c>
      <c r="F243" s="4" t="s">
        <v>112</v>
      </c>
      <c r="G243" s="4" t="s">
        <v>113</v>
      </c>
      <c r="H243" s="4" t="s">
        <v>103</v>
      </c>
      <c r="I243" s="4" t="s">
        <v>432</v>
      </c>
      <c r="J243" s="5"/>
      <c r="K243" s="5"/>
      <c r="L243" s="4" t="s">
        <v>433</v>
      </c>
      <c r="M243" s="5"/>
      <c r="N243" s="4" t="s">
        <v>107</v>
      </c>
      <c r="O243" s="45">
        <v>3</v>
      </c>
      <c r="P243" s="4" t="s">
        <v>515</v>
      </c>
      <c r="Q243" s="45">
        <v>3</v>
      </c>
      <c r="R243" s="4" t="s">
        <v>8</v>
      </c>
      <c r="S243" s="5">
        <v>1</v>
      </c>
      <c r="T243" s="4" t="s">
        <v>108</v>
      </c>
      <c r="U243" s="5"/>
      <c r="V243" s="5">
        <v>133</v>
      </c>
      <c r="W243" s="4" t="s">
        <v>109</v>
      </c>
      <c r="X243" s="45">
        <v>3</v>
      </c>
      <c r="Y243" s="4" t="s">
        <v>515</v>
      </c>
      <c r="Z243" s="4"/>
      <c r="AA243" s="5">
        <v>1000000</v>
      </c>
      <c r="AB243" s="5">
        <v>1000000</v>
      </c>
      <c r="AC243" s="5">
        <v>0</v>
      </c>
      <c r="AD243" s="5">
        <v>1000000</v>
      </c>
      <c r="AE243" s="5">
        <v>0</v>
      </c>
      <c r="AF243" s="5">
        <v>1000000</v>
      </c>
      <c r="AG243" s="5"/>
    </row>
    <row r="244" spans="1:33" ht="38.25" x14ac:dyDescent="0.25">
      <c r="A244" s="4" t="s">
        <v>27</v>
      </c>
      <c r="B244" s="4" t="s">
        <v>103</v>
      </c>
      <c r="C244" s="4" t="s">
        <v>103</v>
      </c>
      <c r="D244" s="4" t="s">
        <v>104</v>
      </c>
      <c r="E244" s="4" t="s">
        <v>111</v>
      </c>
      <c r="F244" s="4" t="s">
        <v>112</v>
      </c>
      <c r="G244" s="4" t="s">
        <v>113</v>
      </c>
      <c r="H244" s="4" t="s">
        <v>103</v>
      </c>
      <c r="I244" s="4" t="s">
        <v>432</v>
      </c>
      <c r="J244" s="5"/>
      <c r="K244" s="5"/>
      <c r="L244" s="4" t="s">
        <v>433</v>
      </c>
      <c r="M244" s="5"/>
      <c r="N244" s="4" t="s">
        <v>107</v>
      </c>
      <c r="O244" s="45">
        <v>11</v>
      </c>
      <c r="P244" s="4" t="s">
        <v>516</v>
      </c>
      <c r="Q244" s="45">
        <v>11</v>
      </c>
      <c r="R244" s="4" t="s">
        <v>8</v>
      </c>
      <c r="S244" s="5">
        <v>1</v>
      </c>
      <c r="T244" s="4" t="s">
        <v>108</v>
      </c>
      <c r="U244" s="5"/>
      <c r="V244" s="5">
        <v>125</v>
      </c>
      <c r="W244" s="4" t="s">
        <v>109</v>
      </c>
      <c r="X244" s="45">
        <v>11</v>
      </c>
      <c r="Y244" s="4" t="s">
        <v>516</v>
      </c>
      <c r="Z244" s="4"/>
      <c r="AA244" s="5">
        <v>1000000</v>
      </c>
      <c r="AB244" s="5">
        <v>1000000</v>
      </c>
      <c r="AC244" s="5">
        <v>0</v>
      </c>
      <c r="AD244" s="5">
        <v>1000000</v>
      </c>
      <c r="AE244" s="5">
        <v>0</v>
      </c>
      <c r="AF244" s="5">
        <v>1000000</v>
      </c>
      <c r="AG244" s="5"/>
    </row>
    <row r="245" spans="1:33" ht="38.25" x14ac:dyDescent="0.25">
      <c r="A245" s="4" t="s">
        <v>27</v>
      </c>
      <c r="B245" s="4" t="s">
        <v>103</v>
      </c>
      <c r="C245" s="4" t="s">
        <v>103</v>
      </c>
      <c r="D245" s="4" t="s">
        <v>104</v>
      </c>
      <c r="E245" s="4" t="s">
        <v>111</v>
      </c>
      <c r="F245" s="4" t="s">
        <v>112</v>
      </c>
      <c r="G245" s="4" t="s">
        <v>113</v>
      </c>
      <c r="H245" s="4" t="s">
        <v>103</v>
      </c>
      <c r="I245" s="4" t="s">
        <v>432</v>
      </c>
      <c r="J245" s="5"/>
      <c r="K245" s="5"/>
      <c r="L245" s="4" t="s">
        <v>433</v>
      </c>
      <c r="M245" s="5"/>
      <c r="N245" s="4" t="s">
        <v>107</v>
      </c>
      <c r="O245" s="45">
        <v>18</v>
      </c>
      <c r="P245" s="4" t="s">
        <v>517</v>
      </c>
      <c r="Q245" s="45">
        <v>18</v>
      </c>
      <c r="R245" s="4" t="s">
        <v>8</v>
      </c>
      <c r="S245" s="5">
        <v>1</v>
      </c>
      <c r="T245" s="4" t="s">
        <v>108</v>
      </c>
      <c r="U245" s="5"/>
      <c r="V245" s="5">
        <v>118</v>
      </c>
      <c r="W245" s="4" t="s">
        <v>109</v>
      </c>
      <c r="X245" s="45">
        <v>18</v>
      </c>
      <c r="Y245" s="4" t="s">
        <v>517</v>
      </c>
      <c r="Z245" s="4"/>
      <c r="AA245" s="5">
        <v>1000000</v>
      </c>
      <c r="AB245" s="5">
        <v>1000000</v>
      </c>
      <c r="AC245" s="5">
        <v>0</v>
      </c>
      <c r="AD245" s="5">
        <v>1000000</v>
      </c>
      <c r="AE245" s="5">
        <v>0</v>
      </c>
      <c r="AF245" s="5">
        <v>1000000</v>
      </c>
      <c r="AG245" s="5"/>
    </row>
    <row r="246" spans="1:33" ht="38.25" x14ac:dyDescent="0.25">
      <c r="A246" s="4" t="s">
        <v>27</v>
      </c>
      <c r="B246" s="4" t="s">
        <v>103</v>
      </c>
      <c r="C246" s="4" t="s">
        <v>103</v>
      </c>
      <c r="D246" s="4" t="s">
        <v>104</v>
      </c>
      <c r="E246" s="4" t="s">
        <v>111</v>
      </c>
      <c r="F246" s="4" t="s">
        <v>112</v>
      </c>
      <c r="G246" s="4" t="s">
        <v>113</v>
      </c>
      <c r="H246" s="4" t="s">
        <v>103</v>
      </c>
      <c r="I246" s="4" t="s">
        <v>432</v>
      </c>
      <c r="J246" s="5"/>
      <c r="K246" s="5"/>
      <c r="L246" s="4" t="s">
        <v>433</v>
      </c>
      <c r="M246" s="5"/>
      <c r="N246" s="4" t="s">
        <v>107</v>
      </c>
      <c r="O246" s="45">
        <v>77</v>
      </c>
      <c r="P246" s="4" t="s">
        <v>518</v>
      </c>
      <c r="Q246" s="45">
        <v>77</v>
      </c>
      <c r="R246" s="4" t="s">
        <v>8</v>
      </c>
      <c r="S246" s="5">
        <v>1</v>
      </c>
      <c r="T246" s="4" t="s">
        <v>108</v>
      </c>
      <c r="U246" s="5"/>
      <c r="V246" s="5">
        <v>60</v>
      </c>
      <c r="W246" s="4" t="s">
        <v>109</v>
      </c>
      <c r="X246" s="45">
        <v>77</v>
      </c>
      <c r="Y246" s="4" t="s">
        <v>518</v>
      </c>
      <c r="Z246" s="4"/>
      <c r="AA246" s="5">
        <v>1000000</v>
      </c>
      <c r="AB246" s="5">
        <v>1000000</v>
      </c>
      <c r="AC246" s="5">
        <v>0</v>
      </c>
      <c r="AD246" s="5">
        <v>1000000</v>
      </c>
      <c r="AE246" s="5">
        <v>0</v>
      </c>
      <c r="AF246" s="5">
        <v>1000000</v>
      </c>
      <c r="AG246" s="5"/>
    </row>
    <row r="247" spans="1:33" ht="38.25" x14ac:dyDescent="0.25">
      <c r="A247" s="4" t="s">
        <v>27</v>
      </c>
      <c r="B247" s="4" t="s">
        <v>103</v>
      </c>
      <c r="C247" s="4" t="s">
        <v>103</v>
      </c>
      <c r="D247" s="4" t="s">
        <v>104</v>
      </c>
      <c r="E247" s="4" t="s">
        <v>111</v>
      </c>
      <c r="F247" s="4" t="s">
        <v>112</v>
      </c>
      <c r="G247" s="4" t="s">
        <v>113</v>
      </c>
      <c r="H247" s="4" t="s">
        <v>103</v>
      </c>
      <c r="I247" s="4" t="s">
        <v>432</v>
      </c>
      <c r="J247" s="5"/>
      <c r="K247" s="5"/>
      <c r="L247" s="4" t="s">
        <v>433</v>
      </c>
      <c r="M247" s="5"/>
      <c r="N247" s="4" t="s">
        <v>107</v>
      </c>
      <c r="O247" s="45">
        <v>83</v>
      </c>
      <c r="P247" s="4" t="s">
        <v>519</v>
      </c>
      <c r="Q247" s="45">
        <v>83</v>
      </c>
      <c r="R247" s="4" t="s">
        <v>8</v>
      </c>
      <c r="S247" s="5">
        <v>1</v>
      </c>
      <c r="T247" s="4" t="s">
        <v>108</v>
      </c>
      <c r="U247" s="5"/>
      <c r="V247" s="5">
        <v>54</v>
      </c>
      <c r="W247" s="4" t="s">
        <v>109</v>
      </c>
      <c r="X247" s="45">
        <v>83</v>
      </c>
      <c r="Y247" s="4" t="s">
        <v>519</v>
      </c>
      <c r="Z247" s="4"/>
      <c r="AA247" s="5">
        <v>1000000</v>
      </c>
      <c r="AB247" s="5">
        <v>1000000</v>
      </c>
      <c r="AC247" s="5">
        <v>0</v>
      </c>
      <c r="AD247" s="5">
        <v>1000000</v>
      </c>
      <c r="AE247" s="5">
        <v>0</v>
      </c>
      <c r="AF247" s="5">
        <v>1000000</v>
      </c>
      <c r="AG247" s="5"/>
    </row>
    <row r="248" spans="1:33" ht="38.25" x14ac:dyDescent="0.25">
      <c r="A248" s="4" t="s">
        <v>27</v>
      </c>
      <c r="B248" s="4" t="s">
        <v>103</v>
      </c>
      <c r="C248" s="4" t="s">
        <v>103</v>
      </c>
      <c r="D248" s="4" t="s">
        <v>104</v>
      </c>
      <c r="E248" s="4" t="s">
        <v>111</v>
      </c>
      <c r="F248" s="4" t="s">
        <v>112</v>
      </c>
      <c r="G248" s="4" t="s">
        <v>113</v>
      </c>
      <c r="H248" s="4" t="s">
        <v>103</v>
      </c>
      <c r="I248" s="4" t="s">
        <v>432</v>
      </c>
      <c r="J248" s="5"/>
      <c r="K248" s="5"/>
      <c r="L248" s="4" t="s">
        <v>433</v>
      </c>
      <c r="M248" s="5"/>
      <c r="N248" s="4" t="s">
        <v>107</v>
      </c>
      <c r="O248" s="45">
        <v>93</v>
      </c>
      <c r="P248" s="4" t="s">
        <v>206</v>
      </c>
      <c r="Q248" s="45">
        <v>93</v>
      </c>
      <c r="R248" s="4" t="s">
        <v>8</v>
      </c>
      <c r="S248" s="5">
        <v>1</v>
      </c>
      <c r="T248" s="4" t="s">
        <v>108</v>
      </c>
      <c r="U248" s="5"/>
      <c r="V248" s="5">
        <v>44</v>
      </c>
      <c r="W248" s="4" t="s">
        <v>109</v>
      </c>
      <c r="X248" s="45">
        <v>93</v>
      </c>
      <c r="Y248" s="4" t="s">
        <v>206</v>
      </c>
      <c r="Z248" s="4"/>
      <c r="AA248" s="5">
        <v>1000000</v>
      </c>
      <c r="AB248" s="5">
        <v>1000000</v>
      </c>
      <c r="AC248" s="5">
        <v>0</v>
      </c>
      <c r="AD248" s="5">
        <v>1000000</v>
      </c>
      <c r="AE248" s="5">
        <v>0</v>
      </c>
      <c r="AF248" s="5">
        <v>1000000</v>
      </c>
      <c r="AG248" s="5"/>
    </row>
    <row r="249" spans="1:33" ht="38.25" x14ac:dyDescent="0.25">
      <c r="A249" s="4" t="s">
        <v>27</v>
      </c>
      <c r="B249" s="4" t="s">
        <v>103</v>
      </c>
      <c r="C249" s="4" t="s">
        <v>103</v>
      </c>
      <c r="D249" s="4" t="s">
        <v>104</v>
      </c>
      <c r="E249" s="4" t="s">
        <v>111</v>
      </c>
      <c r="F249" s="4" t="s">
        <v>112</v>
      </c>
      <c r="G249" s="4" t="s">
        <v>113</v>
      </c>
      <c r="H249" s="4" t="s">
        <v>103</v>
      </c>
      <c r="I249" s="4" t="s">
        <v>432</v>
      </c>
      <c r="J249" s="5"/>
      <c r="K249" s="5"/>
      <c r="L249" s="4" t="s">
        <v>433</v>
      </c>
      <c r="M249" s="5"/>
      <c r="N249" s="4" t="s">
        <v>107</v>
      </c>
      <c r="O249" s="45">
        <v>98</v>
      </c>
      <c r="P249" s="4" t="s">
        <v>227</v>
      </c>
      <c r="Q249" s="45">
        <v>98</v>
      </c>
      <c r="R249" s="4" t="s">
        <v>8</v>
      </c>
      <c r="S249" s="5">
        <v>1</v>
      </c>
      <c r="T249" s="4" t="s">
        <v>108</v>
      </c>
      <c r="U249" s="5"/>
      <c r="V249" s="5">
        <v>39</v>
      </c>
      <c r="W249" s="4" t="s">
        <v>109</v>
      </c>
      <c r="X249" s="45">
        <v>98</v>
      </c>
      <c r="Y249" s="4" t="s">
        <v>227</v>
      </c>
      <c r="Z249" s="4"/>
      <c r="AA249" s="5">
        <v>1000000</v>
      </c>
      <c r="AB249" s="5">
        <v>1000000</v>
      </c>
      <c r="AC249" s="5">
        <v>0</v>
      </c>
      <c r="AD249" s="5">
        <v>1000000</v>
      </c>
      <c r="AE249" s="5">
        <v>0</v>
      </c>
      <c r="AF249" s="5">
        <v>1000000</v>
      </c>
      <c r="AG249" s="5"/>
    </row>
    <row r="250" spans="1:33" ht="38.25" x14ac:dyDescent="0.25">
      <c r="A250" s="4" t="s">
        <v>27</v>
      </c>
      <c r="B250" s="4" t="s">
        <v>103</v>
      </c>
      <c r="C250" s="4" t="s">
        <v>103</v>
      </c>
      <c r="D250" s="4" t="s">
        <v>104</v>
      </c>
      <c r="E250" s="4" t="s">
        <v>111</v>
      </c>
      <c r="F250" s="4" t="s">
        <v>112</v>
      </c>
      <c r="G250" s="4" t="s">
        <v>113</v>
      </c>
      <c r="H250" s="4" t="s">
        <v>103</v>
      </c>
      <c r="I250" s="4" t="s">
        <v>432</v>
      </c>
      <c r="J250" s="5"/>
      <c r="K250" s="5"/>
      <c r="L250" s="4" t="s">
        <v>433</v>
      </c>
      <c r="M250" s="5"/>
      <c r="N250" s="4" t="s">
        <v>107</v>
      </c>
      <c r="O250" s="45">
        <v>104</v>
      </c>
      <c r="P250" s="4" t="s">
        <v>248</v>
      </c>
      <c r="Q250" s="45">
        <v>104</v>
      </c>
      <c r="R250" s="4" t="s">
        <v>8</v>
      </c>
      <c r="S250" s="5">
        <v>1</v>
      </c>
      <c r="T250" s="4" t="s">
        <v>108</v>
      </c>
      <c r="U250" s="5"/>
      <c r="V250" s="5">
        <v>33</v>
      </c>
      <c r="W250" s="4" t="s">
        <v>109</v>
      </c>
      <c r="X250" s="45">
        <v>104</v>
      </c>
      <c r="Y250" s="4" t="s">
        <v>248</v>
      </c>
      <c r="Z250" s="4"/>
      <c r="AA250" s="5">
        <v>1000000</v>
      </c>
      <c r="AB250" s="5">
        <v>1000000</v>
      </c>
      <c r="AC250" s="5">
        <v>0</v>
      </c>
      <c r="AD250" s="5">
        <v>1000000</v>
      </c>
      <c r="AE250" s="5">
        <v>0</v>
      </c>
      <c r="AF250" s="5">
        <v>1000000</v>
      </c>
      <c r="AG250" s="5"/>
    </row>
    <row r="251" spans="1:33" ht="38.25" x14ac:dyDescent="0.25">
      <c r="A251" s="4" t="s">
        <v>27</v>
      </c>
      <c r="B251" s="4" t="s">
        <v>103</v>
      </c>
      <c r="C251" s="4" t="s">
        <v>103</v>
      </c>
      <c r="D251" s="4" t="s">
        <v>104</v>
      </c>
      <c r="E251" s="4" t="s">
        <v>111</v>
      </c>
      <c r="F251" s="4" t="s">
        <v>112</v>
      </c>
      <c r="G251" s="4" t="s">
        <v>113</v>
      </c>
      <c r="H251" s="4" t="s">
        <v>103</v>
      </c>
      <c r="I251" s="4" t="s">
        <v>432</v>
      </c>
      <c r="J251" s="5"/>
      <c r="K251" s="5"/>
      <c r="L251" s="4" t="s">
        <v>433</v>
      </c>
      <c r="M251" s="5"/>
      <c r="N251" s="4" t="s">
        <v>107</v>
      </c>
      <c r="O251" s="45">
        <v>109</v>
      </c>
      <c r="P251" s="4" t="s">
        <v>259</v>
      </c>
      <c r="Q251" s="45">
        <v>109</v>
      </c>
      <c r="R251" s="4" t="s">
        <v>8</v>
      </c>
      <c r="S251" s="5">
        <v>1</v>
      </c>
      <c r="T251" s="4" t="s">
        <v>108</v>
      </c>
      <c r="U251" s="5"/>
      <c r="V251" s="5">
        <v>28</v>
      </c>
      <c r="W251" s="4" t="s">
        <v>109</v>
      </c>
      <c r="X251" s="45">
        <v>109</v>
      </c>
      <c r="Y251" s="4" t="s">
        <v>259</v>
      </c>
      <c r="Z251" s="4"/>
      <c r="AA251" s="5">
        <v>1000000</v>
      </c>
      <c r="AB251" s="5">
        <v>1000000</v>
      </c>
      <c r="AC251" s="5">
        <v>0</v>
      </c>
      <c r="AD251" s="5">
        <v>1000000</v>
      </c>
      <c r="AE251" s="5">
        <v>0</v>
      </c>
      <c r="AF251" s="5">
        <v>1000000</v>
      </c>
      <c r="AG251" s="5"/>
    </row>
    <row r="252" spans="1:33" ht="38.25" x14ac:dyDescent="0.25">
      <c r="A252" s="4" t="s">
        <v>27</v>
      </c>
      <c r="B252" s="4" t="s">
        <v>103</v>
      </c>
      <c r="C252" s="4" t="s">
        <v>103</v>
      </c>
      <c r="D252" s="4" t="s">
        <v>104</v>
      </c>
      <c r="E252" s="4" t="s">
        <v>111</v>
      </c>
      <c r="F252" s="4" t="s">
        <v>112</v>
      </c>
      <c r="G252" s="4" t="s">
        <v>113</v>
      </c>
      <c r="H252" s="4" t="s">
        <v>103</v>
      </c>
      <c r="I252" s="4" t="s">
        <v>432</v>
      </c>
      <c r="J252" s="5"/>
      <c r="K252" s="5"/>
      <c r="L252" s="4" t="s">
        <v>433</v>
      </c>
      <c r="M252" s="5"/>
      <c r="N252" s="4" t="s">
        <v>107</v>
      </c>
      <c r="O252" s="45">
        <v>112</v>
      </c>
      <c r="P252" s="4" t="s">
        <v>277</v>
      </c>
      <c r="Q252" s="45">
        <v>112</v>
      </c>
      <c r="R252" s="4" t="s">
        <v>8</v>
      </c>
      <c r="S252" s="5">
        <v>1</v>
      </c>
      <c r="T252" s="4" t="s">
        <v>108</v>
      </c>
      <c r="U252" s="5"/>
      <c r="V252" s="5">
        <v>25</v>
      </c>
      <c r="W252" s="4" t="s">
        <v>109</v>
      </c>
      <c r="X252" s="45">
        <v>112</v>
      </c>
      <c r="Y252" s="4" t="s">
        <v>277</v>
      </c>
      <c r="Z252" s="4"/>
      <c r="AA252" s="5">
        <v>1000000</v>
      </c>
      <c r="AB252" s="5">
        <v>1000000</v>
      </c>
      <c r="AC252" s="5">
        <v>0</v>
      </c>
      <c r="AD252" s="5">
        <v>1000000</v>
      </c>
      <c r="AE252" s="5">
        <v>0</v>
      </c>
      <c r="AF252" s="5">
        <v>1000000</v>
      </c>
      <c r="AG252" s="5"/>
    </row>
    <row r="253" spans="1:33" ht="38.25" x14ac:dyDescent="0.25">
      <c r="A253" s="4" t="s">
        <v>27</v>
      </c>
      <c r="B253" s="4" t="s">
        <v>103</v>
      </c>
      <c r="C253" s="4" t="s">
        <v>103</v>
      </c>
      <c r="D253" s="4" t="s">
        <v>104</v>
      </c>
      <c r="E253" s="4" t="s">
        <v>111</v>
      </c>
      <c r="F253" s="4" t="s">
        <v>112</v>
      </c>
      <c r="G253" s="4" t="s">
        <v>113</v>
      </c>
      <c r="H253" s="4" t="s">
        <v>103</v>
      </c>
      <c r="I253" s="4" t="s">
        <v>432</v>
      </c>
      <c r="J253" s="5"/>
      <c r="K253" s="5"/>
      <c r="L253" s="4" t="s">
        <v>433</v>
      </c>
      <c r="M253" s="5"/>
      <c r="N253" s="4" t="s">
        <v>107</v>
      </c>
      <c r="O253" s="45">
        <v>120</v>
      </c>
      <c r="P253" s="4" t="s">
        <v>303</v>
      </c>
      <c r="Q253" s="45">
        <v>120</v>
      </c>
      <c r="R253" s="4" t="s">
        <v>8</v>
      </c>
      <c r="S253" s="5">
        <v>1</v>
      </c>
      <c r="T253" s="4" t="s">
        <v>108</v>
      </c>
      <c r="U253" s="5"/>
      <c r="V253" s="5">
        <v>17</v>
      </c>
      <c r="W253" s="4" t="s">
        <v>109</v>
      </c>
      <c r="X253" s="45">
        <v>120</v>
      </c>
      <c r="Y253" s="4" t="s">
        <v>303</v>
      </c>
      <c r="Z253" s="4"/>
      <c r="AA253" s="5">
        <v>1000000</v>
      </c>
      <c r="AB253" s="5">
        <v>1000000</v>
      </c>
      <c r="AC253" s="5">
        <v>0</v>
      </c>
      <c r="AD253" s="5">
        <v>1000000</v>
      </c>
      <c r="AE253" s="5">
        <v>0</v>
      </c>
      <c r="AF253" s="5">
        <v>1000000</v>
      </c>
      <c r="AG253" s="5"/>
    </row>
    <row r="254" spans="1:33" ht="38.25" x14ac:dyDescent="0.25">
      <c r="A254" s="4" t="s">
        <v>27</v>
      </c>
      <c r="B254" s="4" t="s">
        <v>103</v>
      </c>
      <c r="C254" s="4" t="s">
        <v>103</v>
      </c>
      <c r="D254" s="4" t="s">
        <v>104</v>
      </c>
      <c r="E254" s="4" t="s">
        <v>111</v>
      </c>
      <c r="F254" s="4" t="s">
        <v>112</v>
      </c>
      <c r="G254" s="4" t="s">
        <v>113</v>
      </c>
      <c r="H254" s="4" t="s">
        <v>103</v>
      </c>
      <c r="I254" s="4" t="s">
        <v>432</v>
      </c>
      <c r="J254" s="5"/>
      <c r="K254" s="5"/>
      <c r="L254" s="4" t="s">
        <v>433</v>
      </c>
      <c r="M254" s="5"/>
      <c r="N254" s="4" t="s">
        <v>107</v>
      </c>
      <c r="O254" s="45">
        <v>124</v>
      </c>
      <c r="P254" s="4" t="s">
        <v>327</v>
      </c>
      <c r="Q254" s="45">
        <v>124</v>
      </c>
      <c r="R254" s="4" t="s">
        <v>8</v>
      </c>
      <c r="S254" s="5">
        <v>1</v>
      </c>
      <c r="T254" s="4" t="s">
        <v>108</v>
      </c>
      <c r="U254" s="5"/>
      <c r="V254" s="5">
        <v>13</v>
      </c>
      <c r="W254" s="4" t="s">
        <v>109</v>
      </c>
      <c r="X254" s="45">
        <v>124</v>
      </c>
      <c r="Y254" s="4" t="s">
        <v>327</v>
      </c>
      <c r="Z254" s="4"/>
      <c r="AA254" s="5">
        <v>1000000</v>
      </c>
      <c r="AB254" s="5">
        <v>1000000</v>
      </c>
      <c r="AC254" s="5">
        <v>0</v>
      </c>
      <c r="AD254" s="5">
        <v>1000000</v>
      </c>
      <c r="AE254" s="5">
        <v>0</v>
      </c>
      <c r="AF254" s="5">
        <v>1000000</v>
      </c>
      <c r="AG254" s="5"/>
    </row>
    <row r="255" spans="1:33" ht="38.25" x14ac:dyDescent="0.25">
      <c r="A255" s="4" t="s">
        <v>27</v>
      </c>
      <c r="B255" s="4" t="s">
        <v>103</v>
      </c>
      <c r="C255" s="4" t="s">
        <v>103</v>
      </c>
      <c r="D255" s="4" t="s">
        <v>104</v>
      </c>
      <c r="E255" s="4" t="s">
        <v>111</v>
      </c>
      <c r="F255" s="4" t="s">
        <v>112</v>
      </c>
      <c r="G255" s="4" t="s">
        <v>113</v>
      </c>
      <c r="H255" s="4" t="s">
        <v>103</v>
      </c>
      <c r="I255" s="4" t="s">
        <v>432</v>
      </c>
      <c r="J255" s="5"/>
      <c r="K255" s="5"/>
      <c r="L255" s="4" t="s">
        <v>433</v>
      </c>
      <c r="M255" s="5"/>
      <c r="N255" s="4" t="s">
        <v>107</v>
      </c>
      <c r="O255" s="45">
        <v>131</v>
      </c>
      <c r="P255" s="4" t="s">
        <v>368</v>
      </c>
      <c r="Q255" s="45">
        <v>131</v>
      </c>
      <c r="R255" s="4" t="s">
        <v>8</v>
      </c>
      <c r="S255" s="5">
        <v>1</v>
      </c>
      <c r="T255" s="4" t="s">
        <v>108</v>
      </c>
      <c r="U255" s="5"/>
      <c r="V255" s="5">
        <v>6</v>
      </c>
      <c r="W255" s="4" t="s">
        <v>109</v>
      </c>
      <c r="X255" s="45">
        <v>131</v>
      </c>
      <c r="Y255" s="4" t="s">
        <v>368</v>
      </c>
      <c r="Z255" s="4"/>
      <c r="AA255" s="5">
        <v>1000000</v>
      </c>
      <c r="AB255" s="5">
        <v>1000000</v>
      </c>
      <c r="AC255" s="5">
        <v>0</v>
      </c>
      <c r="AD255" s="5">
        <v>1000000</v>
      </c>
      <c r="AE255" s="5">
        <v>0</v>
      </c>
      <c r="AF255" s="5">
        <v>1000000</v>
      </c>
      <c r="AG255" s="5"/>
    </row>
    <row r="256" spans="1:33" ht="38.25" x14ac:dyDescent="0.25">
      <c r="A256" s="4" t="s">
        <v>27</v>
      </c>
      <c r="B256" s="4" t="s">
        <v>103</v>
      </c>
      <c r="C256" s="4" t="s">
        <v>103</v>
      </c>
      <c r="D256" s="4" t="s">
        <v>104</v>
      </c>
      <c r="E256" s="4" t="s">
        <v>111</v>
      </c>
      <c r="F256" s="4" t="s">
        <v>112</v>
      </c>
      <c r="G256" s="4" t="s">
        <v>113</v>
      </c>
      <c r="H256" s="4" t="s">
        <v>103</v>
      </c>
      <c r="I256" s="4" t="s">
        <v>432</v>
      </c>
      <c r="J256" s="5"/>
      <c r="K256" s="5"/>
      <c r="L256" s="4" t="s">
        <v>433</v>
      </c>
      <c r="M256" s="5"/>
      <c r="N256" s="4" t="s">
        <v>107</v>
      </c>
      <c r="O256" s="45">
        <v>134</v>
      </c>
      <c r="P256" s="4" t="s">
        <v>425</v>
      </c>
      <c r="Q256" s="45">
        <v>134</v>
      </c>
      <c r="R256" s="4" t="s">
        <v>8</v>
      </c>
      <c r="S256" s="5">
        <v>1</v>
      </c>
      <c r="T256" s="4" t="s">
        <v>108</v>
      </c>
      <c r="U256" s="5"/>
      <c r="V256" s="5">
        <v>3</v>
      </c>
      <c r="W256" s="4" t="s">
        <v>109</v>
      </c>
      <c r="X256" s="45">
        <v>134</v>
      </c>
      <c r="Y256" s="4" t="s">
        <v>425</v>
      </c>
      <c r="Z256" s="4"/>
      <c r="AA256" s="5">
        <v>1000000</v>
      </c>
      <c r="AB256" s="5">
        <v>1000000</v>
      </c>
      <c r="AC256" s="5">
        <v>0</v>
      </c>
      <c r="AD256" s="5">
        <v>1000000</v>
      </c>
      <c r="AE256" s="5">
        <v>0</v>
      </c>
      <c r="AF256" s="5">
        <v>1000000</v>
      </c>
      <c r="AG256" s="5"/>
    </row>
    <row r="257" spans="1:33" ht="409.5" x14ac:dyDescent="0.25">
      <c r="A257" s="4" t="s">
        <v>27</v>
      </c>
      <c r="B257" s="5"/>
      <c r="C257" s="4" t="s">
        <v>103</v>
      </c>
      <c r="D257" s="4" t="s">
        <v>104</v>
      </c>
      <c r="E257" s="4" t="s">
        <v>111</v>
      </c>
      <c r="F257" s="4" t="s">
        <v>112</v>
      </c>
      <c r="G257" s="4" t="s">
        <v>113</v>
      </c>
      <c r="H257" s="4" t="s">
        <v>103</v>
      </c>
      <c r="I257" s="4" t="s">
        <v>432</v>
      </c>
      <c r="J257" s="5"/>
      <c r="K257" s="5"/>
      <c r="L257" s="4" t="s">
        <v>433</v>
      </c>
      <c r="M257" s="5"/>
      <c r="N257" s="4" t="s">
        <v>107</v>
      </c>
      <c r="O257" s="45">
        <v>314</v>
      </c>
      <c r="P257" s="4" t="s">
        <v>56</v>
      </c>
      <c r="Q257" s="45">
        <v>314</v>
      </c>
      <c r="R257" s="4" t="s">
        <v>8</v>
      </c>
      <c r="S257" s="5">
        <v>1</v>
      </c>
      <c r="T257" s="4" t="s">
        <v>117</v>
      </c>
      <c r="U257" s="5"/>
      <c r="V257" s="5">
        <v>553</v>
      </c>
      <c r="W257" s="4" t="s">
        <v>109</v>
      </c>
      <c r="X257" s="45">
        <v>314</v>
      </c>
      <c r="Y257" s="4" t="s">
        <v>56</v>
      </c>
      <c r="Z257" s="5"/>
      <c r="AA257" s="5">
        <v>1000000</v>
      </c>
      <c r="AB257" s="5">
        <v>1000000</v>
      </c>
      <c r="AC257" s="5">
        <v>0</v>
      </c>
      <c r="AD257" s="5">
        <v>1000000</v>
      </c>
      <c r="AE257" s="5">
        <v>-24647</v>
      </c>
      <c r="AF257" s="5">
        <v>1000000</v>
      </c>
      <c r="AG257" s="5"/>
    </row>
    <row r="258" spans="1:33" ht="318.75" x14ac:dyDescent="0.25">
      <c r="A258" s="4" t="s">
        <v>27</v>
      </c>
      <c r="B258" s="5"/>
      <c r="C258" s="4" t="s">
        <v>103</v>
      </c>
      <c r="D258" s="4" t="s">
        <v>104</v>
      </c>
      <c r="E258" s="4" t="s">
        <v>111</v>
      </c>
      <c r="F258" s="4" t="s">
        <v>112</v>
      </c>
      <c r="G258" s="4" t="s">
        <v>113</v>
      </c>
      <c r="H258" s="4" t="s">
        <v>103</v>
      </c>
      <c r="I258" s="4" t="s">
        <v>432</v>
      </c>
      <c r="J258" s="5"/>
      <c r="K258" s="5"/>
      <c r="L258" s="4" t="s">
        <v>433</v>
      </c>
      <c r="M258" s="5"/>
      <c r="N258" s="4" t="s">
        <v>107</v>
      </c>
      <c r="O258" s="45">
        <v>33</v>
      </c>
      <c r="P258" s="4" t="s">
        <v>68</v>
      </c>
      <c r="Q258" s="45">
        <v>33</v>
      </c>
      <c r="R258" s="4" t="s">
        <v>8</v>
      </c>
      <c r="S258" s="5">
        <v>1</v>
      </c>
      <c r="T258" s="4" t="s">
        <v>118</v>
      </c>
      <c r="U258" s="5"/>
      <c r="V258" s="5">
        <v>468</v>
      </c>
      <c r="W258" s="4" t="s">
        <v>109</v>
      </c>
      <c r="X258" s="45">
        <v>33</v>
      </c>
      <c r="Y258" s="4" t="s">
        <v>68</v>
      </c>
      <c r="Z258" s="5"/>
      <c r="AA258" s="5">
        <v>1000000</v>
      </c>
      <c r="AB258" s="5">
        <v>1000000</v>
      </c>
      <c r="AC258" s="5">
        <v>0</v>
      </c>
      <c r="AD258" s="5">
        <v>1000000</v>
      </c>
      <c r="AE258" s="5">
        <v>-700</v>
      </c>
      <c r="AF258" s="5">
        <v>1000000</v>
      </c>
      <c r="AG258" s="5"/>
    </row>
    <row r="259" spans="1:33" ht="38.25" x14ac:dyDescent="0.25">
      <c r="A259" s="4" t="s">
        <v>27</v>
      </c>
      <c r="B259" s="5"/>
      <c r="C259" s="4" t="s">
        <v>103</v>
      </c>
      <c r="D259" s="4" t="s">
        <v>104</v>
      </c>
      <c r="E259" s="4" t="s">
        <v>111</v>
      </c>
      <c r="F259" s="4" t="s">
        <v>112</v>
      </c>
      <c r="G259" s="4" t="s">
        <v>113</v>
      </c>
      <c r="H259" s="4" t="s">
        <v>103</v>
      </c>
      <c r="I259" s="4" t="s">
        <v>432</v>
      </c>
      <c r="J259" s="5"/>
      <c r="K259" s="5"/>
      <c r="L259" s="4" t="s">
        <v>433</v>
      </c>
      <c r="M259" s="5"/>
      <c r="N259" s="4" t="s">
        <v>107</v>
      </c>
      <c r="O259" s="45">
        <v>41</v>
      </c>
      <c r="P259" s="4" t="s">
        <v>69</v>
      </c>
      <c r="Q259" s="45">
        <v>41</v>
      </c>
      <c r="R259" s="4" t="s">
        <v>8</v>
      </c>
      <c r="S259" s="5">
        <v>1</v>
      </c>
      <c r="T259" s="4" t="s">
        <v>119</v>
      </c>
      <c r="U259" s="5"/>
      <c r="V259" s="5">
        <v>460</v>
      </c>
      <c r="W259" s="4" t="s">
        <v>109</v>
      </c>
      <c r="X259" s="45">
        <v>41</v>
      </c>
      <c r="Y259" s="4" t="s">
        <v>69</v>
      </c>
      <c r="Z259" s="5"/>
      <c r="AA259" s="5">
        <v>1000000</v>
      </c>
      <c r="AB259" s="5">
        <v>1000000</v>
      </c>
      <c r="AC259" s="5">
        <v>0</v>
      </c>
      <c r="AD259" s="5">
        <v>1000000</v>
      </c>
      <c r="AE259" s="5">
        <v>-807</v>
      </c>
      <c r="AF259" s="5">
        <v>1000000</v>
      </c>
      <c r="AG259" s="5"/>
    </row>
    <row r="260" spans="1:33" ht="38.25" x14ac:dyDescent="0.25">
      <c r="A260" s="4" t="s">
        <v>27</v>
      </c>
      <c r="B260" s="5"/>
      <c r="C260" s="4" t="s">
        <v>103</v>
      </c>
      <c r="D260" s="4" t="s">
        <v>104</v>
      </c>
      <c r="E260" s="4" t="s">
        <v>111</v>
      </c>
      <c r="F260" s="4" t="s">
        <v>112</v>
      </c>
      <c r="G260" s="4" t="s">
        <v>113</v>
      </c>
      <c r="H260" s="4" t="s">
        <v>103</v>
      </c>
      <c r="I260" s="4" t="s">
        <v>432</v>
      </c>
      <c r="J260" s="5"/>
      <c r="K260" s="5"/>
      <c r="L260" s="4" t="s">
        <v>433</v>
      </c>
      <c r="M260" s="5"/>
      <c r="N260" s="4" t="s">
        <v>107</v>
      </c>
      <c r="O260" s="45">
        <v>47</v>
      </c>
      <c r="P260" s="4" t="s">
        <v>70</v>
      </c>
      <c r="Q260" s="45">
        <v>47</v>
      </c>
      <c r="R260" s="4" t="s">
        <v>8</v>
      </c>
      <c r="S260" s="5">
        <v>1</v>
      </c>
      <c r="T260" s="4" t="s">
        <v>119</v>
      </c>
      <c r="U260" s="5"/>
      <c r="V260" s="5">
        <v>454</v>
      </c>
      <c r="W260" s="4" t="s">
        <v>109</v>
      </c>
      <c r="X260" s="45">
        <v>47</v>
      </c>
      <c r="Y260" s="4" t="s">
        <v>70</v>
      </c>
      <c r="Z260" s="5"/>
      <c r="AA260" s="5">
        <v>1000000</v>
      </c>
      <c r="AB260" s="5">
        <v>1000000</v>
      </c>
      <c r="AC260" s="5">
        <v>0</v>
      </c>
      <c r="AD260" s="5">
        <v>1000000</v>
      </c>
      <c r="AE260" s="5">
        <v>-10</v>
      </c>
      <c r="AF260" s="5">
        <v>1000000</v>
      </c>
      <c r="AG260" s="5"/>
    </row>
    <row r="261" spans="1:33" ht="38.25" x14ac:dyDescent="0.25">
      <c r="A261" s="4" t="s">
        <v>28</v>
      </c>
      <c r="B261" s="4" t="s">
        <v>103</v>
      </c>
      <c r="C261" s="4" t="s">
        <v>103</v>
      </c>
      <c r="D261" s="4" t="s">
        <v>104</v>
      </c>
      <c r="E261" s="4" t="s">
        <v>111</v>
      </c>
      <c r="F261" s="4" t="s">
        <v>112</v>
      </c>
      <c r="G261" s="4" t="s">
        <v>113</v>
      </c>
      <c r="H261" s="4" t="s">
        <v>103</v>
      </c>
      <c r="I261" s="4" t="s">
        <v>432</v>
      </c>
      <c r="J261" s="5"/>
      <c r="K261" s="5"/>
      <c r="L261" s="4" t="s">
        <v>433</v>
      </c>
      <c r="M261" s="5"/>
      <c r="N261" s="4" t="s">
        <v>107</v>
      </c>
      <c r="O261" s="45">
        <v>77</v>
      </c>
      <c r="P261" s="4" t="s">
        <v>520</v>
      </c>
      <c r="Q261" s="45">
        <v>77</v>
      </c>
      <c r="R261" s="4" t="s">
        <v>8</v>
      </c>
      <c r="S261" s="5">
        <v>1</v>
      </c>
      <c r="T261" s="4" t="s">
        <v>108</v>
      </c>
      <c r="U261" s="5"/>
      <c r="V261" s="5">
        <v>60</v>
      </c>
      <c r="W261" s="4" t="s">
        <v>109</v>
      </c>
      <c r="X261" s="45">
        <v>77</v>
      </c>
      <c r="Y261" s="4" t="s">
        <v>520</v>
      </c>
      <c r="Z261" s="4"/>
      <c r="AA261" s="5">
        <v>1000000</v>
      </c>
      <c r="AB261" s="5">
        <v>1000000</v>
      </c>
      <c r="AC261" s="5">
        <v>0</v>
      </c>
      <c r="AD261" s="5">
        <v>1000000</v>
      </c>
      <c r="AE261" s="5">
        <v>0</v>
      </c>
      <c r="AF261" s="5">
        <v>1000000</v>
      </c>
      <c r="AG261" s="5"/>
    </row>
    <row r="262" spans="1:33" ht="38.25" x14ac:dyDescent="0.25">
      <c r="A262" s="4" t="s">
        <v>28</v>
      </c>
      <c r="B262" s="4" t="s">
        <v>103</v>
      </c>
      <c r="C262" s="4" t="s">
        <v>103</v>
      </c>
      <c r="D262" s="4" t="s">
        <v>104</v>
      </c>
      <c r="E262" s="4" t="s">
        <v>111</v>
      </c>
      <c r="F262" s="4" t="s">
        <v>112</v>
      </c>
      <c r="G262" s="4" t="s">
        <v>113</v>
      </c>
      <c r="H262" s="4" t="s">
        <v>103</v>
      </c>
      <c r="I262" s="4" t="s">
        <v>432</v>
      </c>
      <c r="J262" s="5"/>
      <c r="K262" s="5"/>
      <c r="L262" s="4" t="s">
        <v>433</v>
      </c>
      <c r="M262" s="5"/>
      <c r="N262" s="4" t="s">
        <v>107</v>
      </c>
      <c r="O262" s="45">
        <v>84</v>
      </c>
      <c r="P262" s="4" t="s">
        <v>521</v>
      </c>
      <c r="Q262" s="45">
        <v>84</v>
      </c>
      <c r="R262" s="4" t="s">
        <v>8</v>
      </c>
      <c r="S262" s="5">
        <v>1</v>
      </c>
      <c r="T262" s="4" t="s">
        <v>108</v>
      </c>
      <c r="U262" s="5"/>
      <c r="V262" s="5">
        <v>53</v>
      </c>
      <c r="W262" s="4" t="s">
        <v>109</v>
      </c>
      <c r="X262" s="45">
        <v>84</v>
      </c>
      <c r="Y262" s="4" t="s">
        <v>521</v>
      </c>
      <c r="Z262" s="4"/>
      <c r="AA262" s="5">
        <v>1000000</v>
      </c>
      <c r="AB262" s="5">
        <v>1000000</v>
      </c>
      <c r="AC262" s="5">
        <v>0</v>
      </c>
      <c r="AD262" s="5">
        <v>1000000</v>
      </c>
      <c r="AE262" s="5">
        <v>0</v>
      </c>
      <c r="AF262" s="5">
        <v>1000000</v>
      </c>
      <c r="AG262" s="5"/>
    </row>
    <row r="263" spans="1:33" ht="38.25" x14ac:dyDescent="0.25">
      <c r="A263" s="4" t="s">
        <v>28</v>
      </c>
      <c r="B263" s="4" t="s">
        <v>103</v>
      </c>
      <c r="C263" s="4" t="s">
        <v>103</v>
      </c>
      <c r="D263" s="4" t="s">
        <v>104</v>
      </c>
      <c r="E263" s="4" t="s">
        <v>111</v>
      </c>
      <c r="F263" s="4" t="s">
        <v>112</v>
      </c>
      <c r="G263" s="4" t="s">
        <v>113</v>
      </c>
      <c r="H263" s="4" t="s">
        <v>103</v>
      </c>
      <c r="I263" s="4" t="s">
        <v>432</v>
      </c>
      <c r="J263" s="5"/>
      <c r="K263" s="5"/>
      <c r="L263" s="4" t="s">
        <v>433</v>
      </c>
      <c r="M263" s="5"/>
      <c r="N263" s="4" t="s">
        <v>107</v>
      </c>
      <c r="O263" s="45">
        <v>86</v>
      </c>
      <c r="P263" s="4" t="s">
        <v>522</v>
      </c>
      <c r="Q263" s="45">
        <v>86</v>
      </c>
      <c r="R263" s="4" t="s">
        <v>8</v>
      </c>
      <c r="S263" s="5">
        <v>1</v>
      </c>
      <c r="T263" s="4" t="s">
        <v>108</v>
      </c>
      <c r="U263" s="5"/>
      <c r="V263" s="5">
        <v>51</v>
      </c>
      <c r="W263" s="4" t="s">
        <v>109</v>
      </c>
      <c r="X263" s="45">
        <v>86</v>
      </c>
      <c r="Y263" s="4" t="s">
        <v>522</v>
      </c>
      <c r="Z263" s="4"/>
      <c r="AA263" s="5">
        <v>1000000</v>
      </c>
      <c r="AB263" s="5">
        <v>1000000</v>
      </c>
      <c r="AC263" s="5">
        <v>0</v>
      </c>
      <c r="AD263" s="5">
        <v>1000000</v>
      </c>
      <c r="AE263" s="5">
        <v>0</v>
      </c>
      <c r="AF263" s="5">
        <v>1000000</v>
      </c>
      <c r="AG263" s="5"/>
    </row>
    <row r="264" spans="1:33" ht="38.25" x14ac:dyDescent="0.25">
      <c r="A264" s="4" t="s">
        <v>28</v>
      </c>
      <c r="B264" s="4" t="s">
        <v>103</v>
      </c>
      <c r="C264" s="4" t="s">
        <v>103</v>
      </c>
      <c r="D264" s="4" t="s">
        <v>104</v>
      </c>
      <c r="E264" s="4" t="s">
        <v>111</v>
      </c>
      <c r="F264" s="4" t="s">
        <v>112</v>
      </c>
      <c r="G264" s="4" t="s">
        <v>113</v>
      </c>
      <c r="H264" s="4" t="s">
        <v>103</v>
      </c>
      <c r="I264" s="4" t="s">
        <v>432</v>
      </c>
      <c r="J264" s="5"/>
      <c r="K264" s="5"/>
      <c r="L264" s="4" t="s">
        <v>433</v>
      </c>
      <c r="M264" s="5"/>
      <c r="N264" s="4" t="s">
        <v>107</v>
      </c>
      <c r="O264" s="45">
        <v>86</v>
      </c>
      <c r="P264" s="4" t="s">
        <v>523</v>
      </c>
      <c r="Q264" s="45">
        <v>86</v>
      </c>
      <c r="R264" s="4" t="s">
        <v>8</v>
      </c>
      <c r="S264" s="5">
        <v>1</v>
      </c>
      <c r="T264" s="4" t="s">
        <v>108</v>
      </c>
      <c r="U264" s="5"/>
      <c r="V264" s="5">
        <v>51</v>
      </c>
      <c r="W264" s="4" t="s">
        <v>109</v>
      </c>
      <c r="X264" s="45">
        <v>86</v>
      </c>
      <c r="Y264" s="4" t="s">
        <v>523</v>
      </c>
      <c r="Z264" s="4"/>
      <c r="AA264" s="5">
        <v>1000000</v>
      </c>
      <c r="AB264" s="5">
        <v>1000000</v>
      </c>
      <c r="AC264" s="5">
        <v>0</v>
      </c>
      <c r="AD264" s="5">
        <v>1000000</v>
      </c>
      <c r="AE264" s="5">
        <v>0</v>
      </c>
      <c r="AF264" s="5">
        <v>1000000</v>
      </c>
      <c r="AG264" s="5"/>
    </row>
    <row r="265" spans="1:33" ht="38.25" x14ac:dyDescent="0.25">
      <c r="A265" s="4" t="s">
        <v>28</v>
      </c>
      <c r="B265" s="4" t="s">
        <v>103</v>
      </c>
      <c r="C265" s="4" t="s">
        <v>103</v>
      </c>
      <c r="D265" s="4" t="s">
        <v>104</v>
      </c>
      <c r="E265" s="4" t="s">
        <v>111</v>
      </c>
      <c r="F265" s="4" t="s">
        <v>112</v>
      </c>
      <c r="G265" s="4" t="s">
        <v>113</v>
      </c>
      <c r="H265" s="4" t="s">
        <v>103</v>
      </c>
      <c r="I265" s="4" t="s">
        <v>432</v>
      </c>
      <c r="J265" s="5"/>
      <c r="K265" s="5"/>
      <c r="L265" s="4" t="s">
        <v>433</v>
      </c>
      <c r="M265" s="5"/>
      <c r="N265" s="4" t="s">
        <v>107</v>
      </c>
      <c r="O265" s="45">
        <v>87</v>
      </c>
      <c r="P265" s="4" t="s">
        <v>524</v>
      </c>
      <c r="Q265" s="45">
        <v>87</v>
      </c>
      <c r="R265" s="4" t="s">
        <v>8</v>
      </c>
      <c r="S265" s="5">
        <v>1</v>
      </c>
      <c r="T265" s="4" t="s">
        <v>108</v>
      </c>
      <c r="U265" s="5"/>
      <c r="V265" s="5">
        <v>50</v>
      </c>
      <c r="W265" s="4" t="s">
        <v>109</v>
      </c>
      <c r="X265" s="45">
        <v>87</v>
      </c>
      <c r="Y265" s="4" t="s">
        <v>524</v>
      </c>
      <c r="Z265" s="4"/>
      <c r="AA265" s="5">
        <v>1000000</v>
      </c>
      <c r="AB265" s="5">
        <v>1000000</v>
      </c>
      <c r="AC265" s="5">
        <v>0</v>
      </c>
      <c r="AD265" s="5">
        <v>1000000</v>
      </c>
      <c r="AE265" s="5">
        <v>0</v>
      </c>
      <c r="AF265" s="5">
        <v>1000000</v>
      </c>
      <c r="AG265" s="5"/>
    </row>
    <row r="266" spans="1:33" ht="38.25" x14ac:dyDescent="0.25">
      <c r="A266" s="4" t="s">
        <v>28</v>
      </c>
      <c r="B266" s="4" t="s">
        <v>103</v>
      </c>
      <c r="C266" s="4" t="s">
        <v>103</v>
      </c>
      <c r="D266" s="4" t="s">
        <v>104</v>
      </c>
      <c r="E266" s="4" t="s">
        <v>111</v>
      </c>
      <c r="F266" s="4" t="s">
        <v>112</v>
      </c>
      <c r="G266" s="4" t="s">
        <v>113</v>
      </c>
      <c r="H266" s="4" t="s">
        <v>103</v>
      </c>
      <c r="I266" s="4" t="s">
        <v>432</v>
      </c>
      <c r="J266" s="5"/>
      <c r="K266" s="5"/>
      <c r="L266" s="4" t="s">
        <v>433</v>
      </c>
      <c r="M266" s="5"/>
      <c r="N266" s="4" t="s">
        <v>107</v>
      </c>
      <c r="O266" s="45">
        <v>93</v>
      </c>
      <c r="P266" s="4" t="s">
        <v>207</v>
      </c>
      <c r="Q266" s="45">
        <v>93</v>
      </c>
      <c r="R266" s="4" t="s">
        <v>8</v>
      </c>
      <c r="S266" s="5">
        <v>1</v>
      </c>
      <c r="T266" s="4" t="s">
        <v>108</v>
      </c>
      <c r="U266" s="5"/>
      <c r="V266" s="5">
        <v>44</v>
      </c>
      <c r="W266" s="4" t="s">
        <v>109</v>
      </c>
      <c r="X266" s="45">
        <v>93</v>
      </c>
      <c r="Y266" s="4" t="s">
        <v>207</v>
      </c>
      <c r="Z266" s="4"/>
      <c r="AA266" s="5">
        <v>1000000</v>
      </c>
      <c r="AB266" s="5">
        <v>1000000</v>
      </c>
      <c r="AC266" s="5">
        <v>0</v>
      </c>
      <c r="AD266" s="5">
        <v>1000000</v>
      </c>
      <c r="AE266" s="5">
        <v>0</v>
      </c>
      <c r="AF266" s="5">
        <v>1000000</v>
      </c>
      <c r="AG266" s="5"/>
    </row>
    <row r="267" spans="1:33" ht="38.25" x14ac:dyDescent="0.25">
      <c r="A267" s="4" t="s">
        <v>28</v>
      </c>
      <c r="B267" s="4" t="s">
        <v>103</v>
      </c>
      <c r="C267" s="4" t="s">
        <v>103</v>
      </c>
      <c r="D267" s="4" t="s">
        <v>104</v>
      </c>
      <c r="E267" s="4" t="s">
        <v>111</v>
      </c>
      <c r="F267" s="4" t="s">
        <v>112</v>
      </c>
      <c r="G267" s="4" t="s">
        <v>113</v>
      </c>
      <c r="H267" s="4" t="s">
        <v>103</v>
      </c>
      <c r="I267" s="4" t="s">
        <v>432</v>
      </c>
      <c r="J267" s="5"/>
      <c r="K267" s="5"/>
      <c r="L267" s="4" t="s">
        <v>433</v>
      </c>
      <c r="M267" s="5"/>
      <c r="N267" s="4" t="s">
        <v>107</v>
      </c>
      <c r="O267" s="45">
        <v>94</v>
      </c>
      <c r="P267" s="4" t="s">
        <v>208</v>
      </c>
      <c r="Q267" s="45">
        <v>94</v>
      </c>
      <c r="R267" s="4" t="s">
        <v>8</v>
      </c>
      <c r="S267" s="5">
        <v>1</v>
      </c>
      <c r="T267" s="4" t="s">
        <v>108</v>
      </c>
      <c r="U267" s="5"/>
      <c r="V267" s="5">
        <v>43</v>
      </c>
      <c r="W267" s="4" t="s">
        <v>109</v>
      </c>
      <c r="X267" s="45">
        <v>94</v>
      </c>
      <c r="Y267" s="4" t="s">
        <v>208</v>
      </c>
      <c r="Z267" s="4"/>
      <c r="AA267" s="5">
        <v>1000000</v>
      </c>
      <c r="AB267" s="5">
        <v>1000000</v>
      </c>
      <c r="AC267" s="5">
        <v>0</v>
      </c>
      <c r="AD267" s="5">
        <v>1000000</v>
      </c>
      <c r="AE267" s="5">
        <v>0</v>
      </c>
      <c r="AF267" s="5">
        <v>1000000</v>
      </c>
      <c r="AG267" s="5"/>
    </row>
    <row r="268" spans="1:33" ht="38.25" x14ac:dyDescent="0.25">
      <c r="A268" s="4" t="s">
        <v>28</v>
      </c>
      <c r="B268" s="4" t="s">
        <v>103</v>
      </c>
      <c r="C268" s="4" t="s">
        <v>103</v>
      </c>
      <c r="D268" s="4" t="s">
        <v>104</v>
      </c>
      <c r="E268" s="4" t="s">
        <v>111</v>
      </c>
      <c r="F268" s="4" t="s">
        <v>112</v>
      </c>
      <c r="G268" s="4" t="s">
        <v>113</v>
      </c>
      <c r="H268" s="4" t="s">
        <v>103</v>
      </c>
      <c r="I268" s="4" t="s">
        <v>432</v>
      </c>
      <c r="J268" s="5"/>
      <c r="K268" s="5"/>
      <c r="L268" s="4" t="s">
        <v>433</v>
      </c>
      <c r="M268" s="5"/>
      <c r="N268" s="4" t="s">
        <v>107</v>
      </c>
      <c r="O268" s="45">
        <v>104</v>
      </c>
      <c r="P268" s="4" t="s">
        <v>249</v>
      </c>
      <c r="Q268" s="45">
        <v>104</v>
      </c>
      <c r="R268" s="4" t="s">
        <v>8</v>
      </c>
      <c r="S268" s="5">
        <v>1</v>
      </c>
      <c r="T268" s="4" t="s">
        <v>108</v>
      </c>
      <c r="U268" s="5"/>
      <c r="V268" s="5">
        <v>33</v>
      </c>
      <c r="W268" s="4" t="s">
        <v>109</v>
      </c>
      <c r="X268" s="45">
        <v>104</v>
      </c>
      <c r="Y268" s="4" t="s">
        <v>249</v>
      </c>
      <c r="Z268" s="4"/>
      <c r="AA268" s="5">
        <v>1000000</v>
      </c>
      <c r="AB268" s="5">
        <v>1000000</v>
      </c>
      <c r="AC268" s="5">
        <v>0</v>
      </c>
      <c r="AD268" s="5">
        <v>1000000</v>
      </c>
      <c r="AE268" s="5">
        <v>0</v>
      </c>
      <c r="AF268" s="5">
        <v>1000000</v>
      </c>
      <c r="AG268" s="5"/>
    </row>
    <row r="269" spans="1:33" ht="38.25" x14ac:dyDescent="0.25">
      <c r="A269" s="4" t="s">
        <v>28</v>
      </c>
      <c r="B269" s="4" t="s">
        <v>103</v>
      </c>
      <c r="C269" s="4" t="s">
        <v>103</v>
      </c>
      <c r="D269" s="4" t="s">
        <v>104</v>
      </c>
      <c r="E269" s="4" t="s">
        <v>111</v>
      </c>
      <c r="F269" s="4" t="s">
        <v>112</v>
      </c>
      <c r="G269" s="4" t="s">
        <v>113</v>
      </c>
      <c r="H269" s="4" t="s">
        <v>103</v>
      </c>
      <c r="I269" s="4" t="s">
        <v>432</v>
      </c>
      <c r="J269" s="5"/>
      <c r="K269" s="5"/>
      <c r="L269" s="4" t="s">
        <v>433</v>
      </c>
      <c r="M269" s="5"/>
      <c r="N269" s="4" t="s">
        <v>107</v>
      </c>
      <c r="O269" s="45">
        <v>108</v>
      </c>
      <c r="P269" s="4" t="s">
        <v>260</v>
      </c>
      <c r="Q269" s="45">
        <v>108</v>
      </c>
      <c r="R269" s="4" t="s">
        <v>8</v>
      </c>
      <c r="S269" s="5">
        <v>1</v>
      </c>
      <c r="T269" s="4" t="s">
        <v>108</v>
      </c>
      <c r="U269" s="5"/>
      <c r="V269" s="5">
        <v>29</v>
      </c>
      <c r="W269" s="4" t="s">
        <v>109</v>
      </c>
      <c r="X269" s="45">
        <v>108</v>
      </c>
      <c r="Y269" s="4" t="s">
        <v>260</v>
      </c>
      <c r="Z269" s="4"/>
      <c r="AA269" s="5">
        <v>1000000</v>
      </c>
      <c r="AB269" s="5">
        <v>1000000</v>
      </c>
      <c r="AC269" s="5">
        <v>0</v>
      </c>
      <c r="AD269" s="5">
        <v>1000000</v>
      </c>
      <c r="AE269" s="5">
        <v>0</v>
      </c>
      <c r="AF269" s="5">
        <v>1000000</v>
      </c>
      <c r="AG269" s="5"/>
    </row>
    <row r="270" spans="1:33" ht="38.25" x14ac:dyDescent="0.25">
      <c r="A270" s="4" t="s">
        <v>28</v>
      </c>
      <c r="B270" s="4" t="s">
        <v>103</v>
      </c>
      <c r="C270" s="4" t="s">
        <v>103</v>
      </c>
      <c r="D270" s="4" t="s">
        <v>104</v>
      </c>
      <c r="E270" s="4" t="s">
        <v>111</v>
      </c>
      <c r="F270" s="4" t="s">
        <v>112</v>
      </c>
      <c r="G270" s="4" t="s">
        <v>113</v>
      </c>
      <c r="H270" s="4" t="s">
        <v>103</v>
      </c>
      <c r="I270" s="4" t="s">
        <v>432</v>
      </c>
      <c r="J270" s="5"/>
      <c r="K270" s="5"/>
      <c r="L270" s="4" t="s">
        <v>433</v>
      </c>
      <c r="M270" s="5"/>
      <c r="N270" s="4" t="s">
        <v>107</v>
      </c>
      <c r="O270" s="45">
        <v>113</v>
      </c>
      <c r="P270" s="4" t="s">
        <v>283</v>
      </c>
      <c r="Q270" s="45">
        <v>113</v>
      </c>
      <c r="R270" s="4" t="s">
        <v>8</v>
      </c>
      <c r="S270" s="5">
        <v>1</v>
      </c>
      <c r="T270" s="4" t="s">
        <v>108</v>
      </c>
      <c r="U270" s="5"/>
      <c r="V270" s="5">
        <v>24</v>
      </c>
      <c r="W270" s="4" t="s">
        <v>109</v>
      </c>
      <c r="X270" s="45">
        <v>113</v>
      </c>
      <c r="Y270" s="4" t="s">
        <v>283</v>
      </c>
      <c r="Z270" s="4"/>
      <c r="AA270" s="5">
        <v>1000000</v>
      </c>
      <c r="AB270" s="5">
        <v>1000000</v>
      </c>
      <c r="AC270" s="5">
        <v>0</v>
      </c>
      <c r="AD270" s="5">
        <v>1000000</v>
      </c>
      <c r="AE270" s="5">
        <v>0</v>
      </c>
      <c r="AF270" s="5">
        <v>1000000</v>
      </c>
      <c r="AG270" s="5"/>
    </row>
    <row r="271" spans="1:33" ht="38.25" x14ac:dyDescent="0.25">
      <c r="A271" s="4" t="s">
        <v>28</v>
      </c>
      <c r="B271" s="4" t="s">
        <v>103</v>
      </c>
      <c r="C271" s="4" t="s">
        <v>103</v>
      </c>
      <c r="D271" s="4" t="s">
        <v>104</v>
      </c>
      <c r="E271" s="4" t="s">
        <v>111</v>
      </c>
      <c r="F271" s="4" t="s">
        <v>112</v>
      </c>
      <c r="G271" s="4" t="s">
        <v>113</v>
      </c>
      <c r="H271" s="4" t="s">
        <v>103</v>
      </c>
      <c r="I271" s="4" t="s">
        <v>432</v>
      </c>
      <c r="J271" s="5"/>
      <c r="K271" s="5"/>
      <c r="L271" s="4" t="s">
        <v>433</v>
      </c>
      <c r="M271" s="5"/>
      <c r="N271" s="4" t="s">
        <v>107</v>
      </c>
      <c r="O271" s="45">
        <v>114</v>
      </c>
      <c r="P271" s="4" t="s">
        <v>284</v>
      </c>
      <c r="Q271" s="45">
        <v>114</v>
      </c>
      <c r="R271" s="4" t="s">
        <v>8</v>
      </c>
      <c r="S271" s="5">
        <v>1</v>
      </c>
      <c r="T271" s="4" t="s">
        <v>108</v>
      </c>
      <c r="U271" s="5"/>
      <c r="V271" s="5">
        <v>23</v>
      </c>
      <c r="W271" s="4" t="s">
        <v>109</v>
      </c>
      <c r="X271" s="45">
        <v>114</v>
      </c>
      <c r="Y271" s="4" t="s">
        <v>284</v>
      </c>
      <c r="Z271" s="4"/>
      <c r="AA271" s="5">
        <v>1000000</v>
      </c>
      <c r="AB271" s="5">
        <v>1000000</v>
      </c>
      <c r="AC271" s="5">
        <v>0</v>
      </c>
      <c r="AD271" s="5">
        <v>1000000</v>
      </c>
      <c r="AE271" s="5">
        <v>0</v>
      </c>
      <c r="AF271" s="5">
        <v>1000000</v>
      </c>
      <c r="AG271" s="5"/>
    </row>
    <row r="272" spans="1:33" ht="38.25" x14ac:dyDescent="0.25">
      <c r="A272" s="4" t="s">
        <v>28</v>
      </c>
      <c r="B272" s="4" t="s">
        <v>103</v>
      </c>
      <c r="C272" s="4" t="s">
        <v>103</v>
      </c>
      <c r="D272" s="4" t="s">
        <v>104</v>
      </c>
      <c r="E272" s="4" t="s">
        <v>111</v>
      </c>
      <c r="F272" s="4" t="s">
        <v>112</v>
      </c>
      <c r="G272" s="4" t="s">
        <v>113</v>
      </c>
      <c r="H272" s="4" t="s">
        <v>103</v>
      </c>
      <c r="I272" s="4" t="s">
        <v>432</v>
      </c>
      <c r="J272" s="5"/>
      <c r="K272" s="5"/>
      <c r="L272" s="4" t="s">
        <v>433</v>
      </c>
      <c r="M272" s="5"/>
      <c r="N272" s="4" t="s">
        <v>107</v>
      </c>
      <c r="O272" s="45">
        <v>117</v>
      </c>
      <c r="P272" s="4" t="s">
        <v>290</v>
      </c>
      <c r="Q272" s="45">
        <v>117</v>
      </c>
      <c r="R272" s="4" t="s">
        <v>8</v>
      </c>
      <c r="S272" s="5">
        <v>1</v>
      </c>
      <c r="T272" s="4" t="s">
        <v>108</v>
      </c>
      <c r="U272" s="5"/>
      <c r="V272" s="5">
        <v>20</v>
      </c>
      <c r="W272" s="4" t="s">
        <v>109</v>
      </c>
      <c r="X272" s="45">
        <v>117</v>
      </c>
      <c r="Y272" s="4" t="s">
        <v>290</v>
      </c>
      <c r="Z272" s="4"/>
      <c r="AA272" s="5">
        <v>1000000</v>
      </c>
      <c r="AB272" s="5">
        <v>1000000</v>
      </c>
      <c r="AC272" s="5">
        <v>0</v>
      </c>
      <c r="AD272" s="5">
        <v>1000000</v>
      </c>
      <c r="AE272" s="5">
        <v>0</v>
      </c>
      <c r="AF272" s="5">
        <v>1000000</v>
      </c>
      <c r="AG272" s="5"/>
    </row>
    <row r="273" spans="1:33" ht="38.25" x14ac:dyDescent="0.25">
      <c r="A273" s="4" t="s">
        <v>28</v>
      </c>
      <c r="B273" s="4" t="s">
        <v>103</v>
      </c>
      <c r="C273" s="4" t="s">
        <v>103</v>
      </c>
      <c r="D273" s="4" t="s">
        <v>104</v>
      </c>
      <c r="E273" s="4" t="s">
        <v>111</v>
      </c>
      <c r="F273" s="4" t="s">
        <v>112</v>
      </c>
      <c r="G273" s="4" t="s">
        <v>113</v>
      </c>
      <c r="H273" s="4" t="s">
        <v>103</v>
      </c>
      <c r="I273" s="4" t="s">
        <v>432</v>
      </c>
      <c r="J273" s="5"/>
      <c r="K273" s="5"/>
      <c r="L273" s="4" t="s">
        <v>433</v>
      </c>
      <c r="M273" s="5"/>
      <c r="N273" s="4" t="s">
        <v>107</v>
      </c>
      <c r="O273" s="45">
        <v>123</v>
      </c>
      <c r="P273" s="4" t="s">
        <v>310</v>
      </c>
      <c r="Q273" s="45">
        <v>123</v>
      </c>
      <c r="R273" s="4" t="s">
        <v>8</v>
      </c>
      <c r="S273" s="5">
        <v>1</v>
      </c>
      <c r="T273" s="4" t="s">
        <v>108</v>
      </c>
      <c r="U273" s="5"/>
      <c r="V273" s="5">
        <v>14</v>
      </c>
      <c r="W273" s="4" t="s">
        <v>109</v>
      </c>
      <c r="X273" s="45">
        <v>123</v>
      </c>
      <c r="Y273" s="4" t="s">
        <v>310</v>
      </c>
      <c r="Z273" s="4"/>
      <c r="AA273" s="5">
        <v>1000000</v>
      </c>
      <c r="AB273" s="5">
        <v>1000000</v>
      </c>
      <c r="AC273" s="5">
        <v>0</v>
      </c>
      <c r="AD273" s="5">
        <v>1000000</v>
      </c>
      <c r="AE273" s="5">
        <v>0</v>
      </c>
      <c r="AF273" s="5">
        <v>1000000</v>
      </c>
      <c r="AG273" s="5"/>
    </row>
    <row r="274" spans="1:33" ht="38.25" x14ac:dyDescent="0.25">
      <c r="A274" s="4" t="s">
        <v>28</v>
      </c>
      <c r="B274" s="4" t="s">
        <v>103</v>
      </c>
      <c r="C274" s="4" t="s">
        <v>103</v>
      </c>
      <c r="D274" s="4" t="s">
        <v>104</v>
      </c>
      <c r="E274" s="4" t="s">
        <v>111</v>
      </c>
      <c r="F274" s="4" t="s">
        <v>112</v>
      </c>
      <c r="G274" s="4" t="s">
        <v>113</v>
      </c>
      <c r="H274" s="4" t="s">
        <v>103</v>
      </c>
      <c r="I274" s="4" t="s">
        <v>432</v>
      </c>
      <c r="J274" s="5"/>
      <c r="K274" s="5"/>
      <c r="L274" s="4" t="s">
        <v>433</v>
      </c>
      <c r="M274" s="5"/>
      <c r="N274" s="4" t="s">
        <v>107</v>
      </c>
      <c r="O274" s="45">
        <v>133</v>
      </c>
      <c r="P274" s="4" t="s">
        <v>409</v>
      </c>
      <c r="Q274" s="45">
        <v>133</v>
      </c>
      <c r="R274" s="4" t="s">
        <v>8</v>
      </c>
      <c r="S274" s="5">
        <v>1</v>
      </c>
      <c r="T274" s="4" t="s">
        <v>108</v>
      </c>
      <c r="U274" s="5"/>
      <c r="V274" s="5">
        <v>4</v>
      </c>
      <c r="W274" s="4" t="s">
        <v>109</v>
      </c>
      <c r="X274" s="45">
        <v>133</v>
      </c>
      <c r="Y274" s="4" t="s">
        <v>409</v>
      </c>
      <c r="Z274" s="4"/>
      <c r="AA274" s="5">
        <v>1000000</v>
      </c>
      <c r="AB274" s="5">
        <v>1000000</v>
      </c>
      <c r="AC274" s="5">
        <v>0</v>
      </c>
      <c r="AD274" s="5">
        <v>1000000</v>
      </c>
      <c r="AE274" s="5">
        <v>0</v>
      </c>
      <c r="AF274" s="5">
        <v>1000000</v>
      </c>
      <c r="AG274" s="5"/>
    </row>
    <row r="275" spans="1:33" ht="38.25" x14ac:dyDescent="0.25">
      <c r="A275" s="4" t="s">
        <v>29</v>
      </c>
      <c r="B275" s="4" t="s">
        <v>103</v>
      </c>
      <c r="C275" s="4" t="s">
        <v>103</v>
      </c>
      <c r="D275" s="4" t="s">
        <v>104</v>
      </c>
      <c r="E275" s="4" t="s">
        <v>111</v>
      </c>
      <c r="F275" s="4" t="s">
        <v>112</v>
      </c>
      <c r="G275" s="4" t="s">
        <v>113</v>
      </c>
      <c r="H275" s="4" t="s">
        <v>103</v>
      </c>
      <c r="I275" s="4" t="s">
        <v>432</v>
      </c>
      <c r="J275" s="5"/>
      <c r="K275" s="5"/>
      <c r="L275" s="4" t="s">
        <v>433</v>
      </c>
      <c r="M275" s="5"/>
      <c r="N275" s="4" t="s">
        <v>107</v>
      </c>
      <c r="O275" s="45">
        <v>77</v>
      </c>
      <c r="P275" s="4" t="s">
        <v>525</v>
      </c>
      <c r="Q275" s="45">
        <v>77</v>
      </c>
      <c r="R275" s="4" t="s">
        <v>8</v>
      </c>
      <c r="S275" s="5">
        <v>1</v>
      </c>
      <c r="T275" s="4" t="s">
        <v>108</v>
      </c>
      <c r="U275" s="5"/>
      <c r="V275" s="5">
        <v>60</v>
      </c>
      <c r="W275" s="4" t="s">
        <v>109</v>
      </c>
      <c r="X275" s="45">
        <v>77</v>
      </c>
      <c r="Y275" s="4" t="s">
        <v>525</v>
      </c>
      <c r="Z275" s="4"/>
      <c r="AA275" s="5">
        <v>1000000</v>
      </c>
      <c r="AB275" s="5">
        <v>1000000</v>
      </c>
      <c r="AC275" s="5">
        <v>0</v>
      </c>
      <c r="AD275" s="5">
        <v>1000000</v>
      </c>
      <c r="AE275" s="5">
        <v>0</v>
      </c>
      <c r="AF275" s="5">
        <v>1000000</v>
      </c>
      <c r="AG275" s="5"/>
    </row>
    <row r="276" spans="1:33" ht="38.25" x14ac:dyDescent="0.25">
      <c r="A276" s="4" t="s">
        <v>29</v>
      </c>
      <c r="B276" s="4" t="s">
        <v>103</v>
      </c>
      <c r="C276" s="4" t="s">
        <v>103</v>
      </c>
      <c r="D276" s="4" t="s">
        <v>104</v>
      </c>
      <c r="E276" s="4" t="s">
        <v>111</v>
      </c>
      <c r="F276" s="4" t="s">
        <v>112</v>
      </c>
      <c r="G276" s="4" t="s">
        <v>113</v>
      </c>
      <c r="H276" s="4" t="s">
        <v>103</v>
      </c>
      <c r="I276" s="4" t="s">
        <v>432</v>
      </c>
      <c r="J276" s="5"/>
      <c r="K276" s="5"/>
      <c r="L276" s="4" t="s">
        <v>433</v>
      </c>
      <c r="M276" s="5"/>
      <c r="N276" s="4" t="s">
        <v>107</v>
      </c>
      <c r="O276" s="45">
        <v>85</v>
      </c>
      <c r="P276" s="4" t="s">
        <v>526</v>
      </c>
      <c r="Q276" s="45">
        <v>85</v>
      </c>
      <c r="R276" s="4" t="s">
        <v>8</v>
      </c>
      <c r="S276" s="5">
        <v>1</v>
      </c>
      <c r="T276" s="4" t="s">
        <v>108</v>
      </c>
      <c r="U276" s="5"/>
      <c r="V276" s="5">
        <v>52</v>
      </c>
      <c r="W276" s="4" t="s">
        <v>109</v>
      </c>
      <c r="X276" s="45">
        <v>85</v>
      </c>
      <c r="Y276" s="4" t="s">
        <v>526</v>
      </c>
      <c r="Z276" s="4"/>
      <c r="AA276" s="5">
        <v>1000000</v>
      </c>
      <c r="AB276" s="5">
        <v>1000000</v>
      </c>
      <c r="AC276" s="5">
        <v>0</v>
      </c>
      <c r="AD276" s="5">
        <v>1000000</v>
      </c>
      <c r="AE276" s="5">
        <v>0</v>
      </c>
      <c r="AF276" s="5">
        <v>1000000</v>
      </c>
      <c r="AG276" s="5"/>
    </row>
    <row r="277" spans="1:33" ht="38.25" x14ac:dyDescent="0.25">
      <c r="A277" s="4" t="s">
        <v>29</v>
      </c>
      <c r="B277" s="4" t="s">
        <v>103</v>
      </c>
      <c r="C277" s="4" t="s">
        <v>103</v>
      </c>
      <c r="D277" s="4" t="s">
        <v>104</v>
      </c>
      <c r="E277" s="4" t="s">
        <v>111</v>
      </c>
      <c r="F277" s="4" t="s">
        <v>112</v>
      </c>
      <c r="G277" s="4" t="s">
        <v>113</v>
      </c>
      <c r="H277" s="4" t="s">
        <v>103</v>
      </c>
      <c r="I277" s="4" t="s">
        <v>432</v>
      </c>
      <c r="J277" s="5"/>
      <c r="K277" s="5"/>
      <c r="L277" s="4" t="s">
        <v>433</v>
      </c>
      <c r="M277" s="5"/>
      <c r="N277" s="4" t="s">
        <v>107</v>
      </c>
      <c r="O277" s="45">
        <v>97</v>
      </c>
      <c r="P277" s="4" t="s">
        <v>218</v>
      </c>
      <c r="Q277" s="45">
        <v>97</v>
      </c>
      <c r="R277" s="4" t="s">
        <v>8</v>
      </c>
      <c r="S277" s="5">
        <v>1</v>
      </c>
      <c r="T277" s="4" t="s">
        <v>108</v>
      </c>
      <c r="U277" s="5"/>
      <c r="V277" s="5">
        <v>40</v>
      </c>
      <c r="W277" s="4" t="s">
        <v>109</v>
      </c>
      <c r="X277" s="45">
        <v>97</v>
      </c>
      <c r="Y277" s="4" t="s">
        <v>218</v>
      </c>
      <c r="Z277" s="4"/>
      <c r="AA277" s="5">
        <v>1000000</v>
      </c>
      <c r="AB277" s="5">
        <v>1000000</v>
      </c>
      <c r="AC277" s="5">
        <v>0</v>
      </c>
      <c r="AD277" s="5">
        <v>1000000</v>
      </c>
      <c r="AE277" s="5">
        <v>0</v>
      </c>
      <c r="AF277" s="5">
        <v>1000000</v>
      </c>
      <c r="AG277" s="5"/>
    </row>
    <row r="278" spans="1:33" ht="38.25" x14ac:dyDescent="0.25">
      <c r="A278" s="4" t="s">
        <v>29</v>
      </c>
      <c r="B278" s="4" t="s">
        <v>103</v>
      </c>
      <c r="C278" s="4" t="s">
        <v>103</v>
      </c>
      <c r="D278" s="4" t="s">
        <v>104</v>
      </c>
      <c r="E278" s="4" t="s">
        <v>111</v>
      </c>
      <c r="F278" s="4" t="s">
        <v>112</v>
      </c>
      <c r="G278" s="4" t="s">
        <v>113</v>
      </c>
      <c r="H278" s="4" t="s">
        <v>103</v>
      </c>
      <c r="I278" s="4" t="s">
        <v>432</v>
      </c>
      <c r="J278" s="5"/>
      <c r="K278" s="5"/>
      <c r="L278" s="4" t="s">
        <v>433</v>
      </c>
      <c r="M278" s="5"/>
      <c r="N278" s="4" t="s">
        <v>107</v>
      </c>
      <c r="O278" s="45">
        <v>104</v>
      </c>
      <c r="P278" s="4" t="s">
        <v>250</v>
      </c>
      <c r="Q278" s="45">
        <v>104</v>
      </c>
      <c r="R278" s="4" t="s">
        <v>8</v>
      </c>
      <c r="S278" s="5">
        <v>1</v>
      </c>
      <c r="T278" s="4" t="s">
        <v>108</v>
      </c>
      <c r="U278" s="5"/>
      <c r="V278" s="5">
        <v>33</v>
      </c>
      <c r="W278" s="4" t="s">
        <v>109</v>
      </c>
      <c r="X278" s="45">
        <v>104</v>
      </c>
      <c r="Y278" s="4" t="s">
        <v>250</v>
      </c>
      <c r="Z278" s="4"/>
      <c r="AA278" s="5">
        <v>1000000</v>
      </c>
      <c r="AB278" s="5">
        <v>1000000</v>
      </c>
      <c r="AC278" s="5">
        <v>0</v>
      </c>
      <c r="AD278" s="5">
        <v>1000000</v>
      </c>
      <c r="AE278" s="5">
        <v>0</v>
      </c>
      <c r="AF278" s="5">
        <v>1000000</v>
      </c>
      <c r="AG278" s="5"/>
    </row>
    <row r="279" spans="1:33" ht="38.25" x14ac:dyDescent="0.25">
      <c r="A279" s="4" t="s">
        <v>29</v>
      </c>
      <c r="B279" s="4" t="s">
        <v>103</v>
      </c>
      <c r="C279" s="4" t="s">
        <v>103</v>
      </c>
      <c r="D279" s="4" t="s">
        <v>104</v>
      </c>
      <c r="E279" s="4" t="s">
        <v>111</v>
      </c>
      <c r="F279" s="4" t="s">
        <v>112</v>
      </c>
      <c r="G279" s="4" t="s">
        <v>113</v>
      </c>
      <c r="H279" s="4" t="s">
        <v>103</v>
      </c>
      <c r="I279" s="4" t="s">
        <v>432</v>
      </c>
      <c r="J279" s="5"/>
      <c r="K279" s="5"/>
      <c r="L279" s="4" t="s">
        <v>433</v>
      </c>
      <c r="M279" s="5"/>
      <c r="N279" s="4" t="s">
        <v>107</v>
      </c>
      <c r="O279" s="45">
        <v>114</v>
      </c>
      <c r="P279" s="4" t="s">
        <v>285</v>
      </c>
      <c r="Q279" s="45">
        <v>114</v>
      </c>
      <c r="R279" s="4" t="s">
        <v>8</v>
      </c>
      <c r="S279" s="5">
        <v>1</v>
      </c>
      <c r="T279" s="4" t="s">
        <v>108</v>
      </c>
      <c r="U279" s="5"/>
      <c r="V279" s="5">
        <v>23</v>
      </c>
      <c r="W279" s="4" t="s">
        <v>109</v>
      </c>
      <c r="X279" s="45">
        <v>114</v>
      </c>
      <c r="Y279" s="4" t="s">
        <v>285</v>
      </c>
      <c r="Z279" s="4"/>
      <c r="AA279" s="5">
        <v>1000000</v>
      </c>
      <c r="AB279" s="5">
        <v>1000000</v>
      </c>
      <c r="AC279" s="5">
        <v>0</v>
      </c>
      <c r="AD279" s="5">
        <v>1000000</v>
      </c>
      <c r="AE279" s="5">
        <v>0</v>
      </c>
      <c r="AF279" s="5">
        <v>1000000</v>
      </c>
      <c r="AG279" s="5"/>
    </row>
    <row r="280" spans="1:33" ht="38.25" x14ac:dyDescent="0.25">
      <c r="A280" s="4" t="s">
        <v>29</v>
      </c>
      <c r="B280" s="4" t="s">
        <v>103</v>
      </c>
      <c r="C280" s="4" t="s">
        <v>103</v>
      </c>
      <c r="D280" s="4" t="s">
        <v>104</v>
      </c>
      <c r="E280" s="4" t="s">
        <v>111</v>
      </c>
      <c r="F280" s="4" t="s">
        <v>112</v>
      </c>
      <c r="G280" s="4" t="s">
        <v>113</v>
      </c>
      <c r="H280" s="4" t="s">
        <v>103</v>
      </c>
      <c r="I280" s="4" t="s">
        <v>432</v>
      </c>
      <c r="J280" s="5"/>
      <c r="K280" s="5"/>
      <c r="L280" s="4" t="s">
        <v>433</v>
      </c>
      <c r="M280" s="5"/>
      <c r="N280" s="4" t="s">
        <v>107</v>
      </c>
      <c r="O280" s="45">
        <v>133</v>
      </c>
      <c r="P280" s="4" t="s">
        <v>410</v>
      </c>
      <c r="Q280" s="45">
        <v>133</v>
      </c>
      <c r="R280" s="4" t="s">
        <v>8</v>
      </c>
      <c r="S280" s="5">
        <v>1</v>
      </c>
      <c r="T280" s="4" t="s">
        <v>108</v>
      </c>
      <c r="U280" s="5"/>
      <c r="V280" s="5">
        <v>4</v>
      </c>
      <c r="W280" s="4" t="s">
        <v>109</v>
      </c>
      <c r="X280" s="45">
        <v>133</v>
      </c>
      <c r="Y280" s="4" t="s">
        <v>410</v>
      </c>
      <c r="Z280" s="4"/>
      <c r="AA280" s="5">
        <v>1000000</v>
      </c>
      <c r="AB280" s="5">
        <v>1000000</v>
      </c>
      <c r="AC280" s="5">
        <v>0</v>
      </c>
      <c r="AD280" s="5">
        <v>1000000</v>
      </c>
      <c r="AE280" s="5">
        <v>0</v>
      </c>
      <c r="AF280" s="5">
        <v>1000000</v>
      </c>
      <c r="AG280" s="5"/>
    </row>
    <row r="281" spans="1:33" ht="38.25" x14ac:dyDescent="0.25">
      <c r="A281" s="4" t="s">
        <v>29</v>
      </c>
      <c r="B281" s="4" t="s">
        <v>103</v>
      </c>
      <c r="C281" s="4" t="s">
        <v>103</v>
      </c>
      <c r="D281" s="4" t="s">
        <v>104</v>
      </c>
      <c r="E281" s="4" t="s">
        <v>111</v>
      </c>
      <c r="F281" s="4" t="s">
        <v>112</v>
      </c>
      <c r="G281" s="4" t="s">
        <v>113</v>
      </c>
      <c r="H281" s="4" t="s">
        <v>103</v>
      </c>
      <c r="I281" s="4" t="s">
        <v>432</v>
      </c>
      <c r="J281" s="5"/>
      <c r="K281" s="5"/>
      <c r="L281" s="4" t="s">
        <v>433</v>
      </c>
      <c r="M281" s="5"/>
      <c r="N281" s="4" t="s">
        <v>107</v>
      </c>
      <c r="O281" s="45">
        <v>135</v>
      </c>
      <c r="P281" s="4" t="s">
        <v>426</v>
      </c>
      <c r="Q281" s="45">
        <v>135</v>
      </c>
      <c r="R281" s="4" t="s">
        <v>8</v>
      </c>
      <c r="S281" s="5">
        <v>1</v>
      </c>
      <c r="T281" s="4" t="s">
        <v>108</v>
      </c>
      <c r="U281" s="5"/>
      <c r="V281" s="5">
        <v>2</v>
      </c>
      <c r="W281" s="4" t="s">
        <v>109</v>
      </c>
      <c r="X281" s="45">
        <v>135</v>
      </c>
      <c r="Y281" s="4" t="s">
        <v>426</v>
      </c>
      <c r="Z281" s="4"/>
      <c r="AA281" s="5">
        <v>1000000</v>
      </c>
      <c r="AB281" s="5">
        <v>1000000</v>
      </c>
      <c r="AC281" s="5">
        <v>0</v>
      </c>
      <c r="AD281" s="5">
        <v>1000000</v>
      </c>
      <c r="AE281" s="5">
        <v>0</v>
      </c>
      <c r="AF281" s="5">
        <v>1000000</v>
      </c>
      <c r="AG281" s="5"/>
    </row>
    <row r="282" spans="1:33" ht="409.5" x14ac:dyDescent="0.25">
      <c r="A282" s="4" t="s">
        <v>29</v>
      </c>
      <c r="B282" s="5"/>
      <c r="C282" s="4" t="s">
        <v>103</v>
      </c>
      <c r="D282" s="4" t="s">
        <v>104</v>
      </c>
      <c r="E282" s="4" t="s">
        <v>111</v>
      </c>
      <c r="F282" s="4" t="s">
        <v>112</v>
      </c>
      <c r="G282" s="4" t="s">
        <v>113</v>
      </c>
      <c r="H282" s="4" t="s">
        <v>103</v>
      </c>
      <c r="I282" s="4" t="s">
        <v>432</v>
      </c>
      <c r="J282" s="5"/>
      <c r="K282" s="5"/>
      <c r="L282" s="4" t="s">
        <v>433</v>
      </c>
      <c r="M282" s="5"/>
      <c r="N282" s="4" t="s">
        <v>107</v>
      </c>
      <c r="O282" s="45">
        <v>259</v>
      </c>
      <c r="P282" s="4" t="s">
        <v>180</v>
      </c>
      <c r="Q282" s="45">
        <v>259</v>
      </c>
      <c r="R282" s="4" t="s">
        <v>8</v>
      </c>
      <c r="S282" s="5">
        <v>1</v>
      </c>
      <c r="T282" s="4" t="s">
        <v>369</v>
      </c>
      <c r="U282" s="5"/>
      <c r="V282" s="5">
        <v>243</v>
      </c>
      <c r="W282" s="4" t="s">
        <v>109</v>
      </c>
      <c r="X282" s="45">
        <v>259</v>
      </c>
      <c r="Y282" s="4" t="s">
        <v>180</v>
      </c>
      <c r="Z282" s="5"/>
      <c r="AA282" s="5">
        <v>1000000</v>
      </c>
      <c r="AB282" s="5">
        <v>1000000</v>
      </c>
      <c r="AC282" s="5">
        <v>0</v>
      </c>
      <c r="AD282" s="5">
        <v>1000000</v>
      </c>
      <c r="AE282" s="5">
        <v>0</v>
      </c>
      <c r="AF282" s="5">
        <v>1000000</v>
      </c>
      <c r="AG282" s="5"/>
    </row>
    <row r="283" spans="1:33" ht="38.25" x14ac:dyDescent="0.25">
      <c r="A283" s="4" t="s">
        <v>30</v>
      </c>
      <c r="B283" s="4" t="s">
        <v>103</v>
      </c>
      <c r="C283" s="4" t="s">
        <v>103</v>
      </c>
      <c r="D283" s="4" t="s">
        <v>104</v>
      </c>
      <c r="E283" s="4" t="s">
        <v>111</v>
      </c>
      <c r="F283" s="4" t="s">
        <v>112</v>
      </c>
      <c r="G283" s="4" t="s">
        <v>113</v>
      </c>
      <c r="H283" s="4" t="s">
        <v>103</v>
      </c>
      <c r="I283" s="4" t="s">
        <v>432</v>
      </c>
      <c r="J283" s="5"/>
      <c r="K283" s="5"/>
      <c r="L283" s="4" t="s">
        <v>433</v>
      </c>
      <c r="M283" s="5"/>
      <c r="N283" s="4" t="s">
        <v>107</v>
      </c>
      <c r="O283" s="45">
        <v>82</v>
      </c>
      <c r="P283" s="4" t="s">
        <v>527</v>
      </c>
      <c r="Q283" s="45">
        <v>82</v>
      </c>
      <c r="R283" s="4" t="s">
        <v>8</v>
      </c>
      <c r="S283" s="5">
        <v>1</v>
      </c>
      <c r="T283" s="4" t="s">
        <v>108</v>
      </c>
      <c r="U283" s="5"/>
      <c r="V283" s="5">
        <v>55</v>
      </c>
      <c r="W283" s="4" t="s">
        <v>109</v>
      </c>
      <c r="X283" s="45">
        <v>82</v>
      </c>
      <c r="Y283" s="4" t="s">
        <v>527</v>
      </c>
      <c r="Z283" s="4"/>
      <c r="AA283" s="5">
        <v>1000000</v>
      </c>
      <c r="AB283" s="5">
        <v>1000000</v>
      </c>
      <c r="AC283" s="5">
        <v>0</v>
      </c>
      <c r="AD283" s="5">
        <v>1000000</v>
      </c>
      <c r="AE283" s="5">
        <v>0</v>
      </c>
      <c r="AF283" s="5">
        <v>1000000</v>
      </c>
      <c r="AG283" s="5"/>
    </row>
    <row r="284" spans="1:33" ht="38.25" x14ac:dyDescent="0.25">
      <c r="A284" s="4" t="s">
        <v>30</v>
      </c>
      <c r="B284" s="4" t="s">
        <v>103</v>
      </c>
      <c r="C284" s="4" t="s">
        <v>103</v>
      </c>
      <c r="D284" s="4" t="s">
        <v>104</v>
      </c>
      <c r="E284" s="4" t="s">
        <v>111</v>
      </c>
      <c r="F284" s="4" t="s">
        <v>112</v>
      </c>
      <c r="G284" s="4" t="s">
        <v>113</v>
      </c>
      <c r="H284" s="4" t="s">
        <v>103</v>
      </c>
      <c r="I284" s="4" t="s">
        <v>432</v>
      </c>
      <c r="J284" s="5"/>
      <c r="K284" s="5"/>
      <c r="L284" s="4" t="s">
        <v>433</v>
      </c>
      <c r="M284" s="5"/>
      <c r="N284" s="4" t="s">
        <v>107</v>
      </c>
      <c r="O284" s="45">
        <v>86</v>
      </c>
      <c r="P284" s="4" t="s">
        <v>528</v>
      </c>
      <c r="Q284" s="45">
        <v>86</v>
      </c>
      <c r="R284" s="4" t="s">
        <v>8</v>
      </c>
      <c r="S284" s="5">
        <v>1</v>
      </c>
      <c r="T284" s="4" t="s">
        <v>108</v>
      </c>
      <c r="U284" s="5"/>
      <c r="V284" s="5">
        <v>51</v>
      </c>
      <c r="W284" s="4" t="s">
        <v>109</v>
      </c>
      <c r="X284" s="45">
        <v>86</v>
      </c>
      <c r="Y284" s="4" t="s">
        <v>528</v>
      </c>
      <c r="Z284" s="4"/>
      <c r="AA284" s="5">
        <v>1000000</v>
      </c>
      <c r="AB284" s="5">
        <v>1000000</v>
      </c>
      <c r="AC284" s="5">
        <v>0</v>
      </c>
      <c r="AD284" s="5">
        <v>1000000</v>
      </c>
      <c r="AE284" s="5">
        <v>0</v>
      </c>
      <c r="AF284" s="5">
        <v>1000000</v>
      </c>
      <c r="AG284" s="5"/>
    </row>
    <row r="285" spans="1:33" ht="38.25" x14ac:dyDescent="0.25">
      <c r="A285" s="4" t="s">
        <v>30</v>
      </c>
      <c r="B285" s="4" t="s">
        <v>103</v>
      </c>
      <c r="C285" s="4" t="s">
        <v>103</v>
      </c>
      <c r="D285" s="4" t="s">
        <v>104</v>
      </c>
      <c r="E285" s="4" t="s">
        <v>111</v>
      </c>
      <c r="F285" s="4" t="s">
        <v>112</v>
      </c>
      <c r="G285" s="4" t="s">
        <v>113</v>
      </c>
      <c r="H285" s="4" t="s">
        <v>103</v>
      </c>
      <c r="I285" s="4" t="s">
        <v>432</v>
      </c>
      <c r="J285" s="5"/>
      <c r="K285" s="5"/>
      <c r="L285" s="4" t="s">
        <v>433</v>
      </c>
      <c r="M285" s="5"/>
      <c r="N285" s="4" t="s">
        <v>107</v>
      </c>
      <c r="O285" s="45">
        <v>103</v>
      </c>
      <c r="P285" s="4" t="s">
        <v>251</v>
      </c>
      <c r="Q285" s="45">
        <v>103</v>
      </c>
      <c r="R285" s="4" t="s">
        <v>8</v>
      </c>
      <c r="S285" s="5">
        <v>1</v>
      </c>
      <c r="T285" s="4" t="s">
        <v>108</v>
      </c>
      <c r="U285" s="5"/>
      <c r="V285" s="5">
        <v>34</v>
      </c>
      <c r="W285" s="4" t="s">
        <v>109</v>
      </c>
      <c r="X285" s="45">
        <v>103</v>
      </c>
      <c r="Y285" s="4" t="s">
        <v>251</v>
      </c>
      <c r="Z285" s="4"/>
      <c r="AA285" s="5">
        <v>1000000</v>
      </c>
      <c r="AB285" s="5">
        <v>1000000</v>
      </c>
      <c r="AC285" s="5">
        <v>0</v>
      </c>
      <c r="AD285" s="5">
        <v>1000000</v>
      </c>
      <c r="AE285" s="5">
        <v>0</v>
      </c>
      <c r="AF285" s="5">
        <v>1000000</v>
      </c>
      <c r="AG285" s="5"/>
    </row>
    <row r="286" spans="1:33" ht="38.25" x14ac:dyDescent="0.25">
      <c r="A286" s="4" t="s">
        <v>30</v>
      </c>
      <c r="B286" s="4" t="s">
        <v>103</v>
      </c>
      <c r="C286" s="4" t="s">
        <v>103</v>
      </c>
      <c r="D286" s="4" t="s">
        <v>104</v>
      </c>
      <c r="E286" s="4" t="s">
        <v>111</v>
      </c>
      <c r="F286" s="4" t="s">
        <v>112</v>
      </c>
      <c r="G286" s="4" t="s">
        <v>113</v>
      </c>
      <c r="H286" s="4" t="s">
        <v>103</v>
      </c>
      <c r="I286" s="4" t="s">
        <v>432</v>
      </c>
      <c r="J286" s="5"/>
      <c r="K286" s="5"/>
      <c r="L286" s="4" t="s">
        <v>433</v>
      </c>
      <c r="M286" s="5"/>
      <c r="N286" s="4" t="s">
        <v>107</v>
      </c>
      <c r="O286" s="45">
        <v>110</v>
      </c>
      <c r="P286" s="4" t="s">
        <v>266</v>
      </c>
      <c r="Q286" s="45">
        <v>110</v>
      </c>
      <c r="R286" s="4" t="s">
        <v>8</v>
      </c>
      <c r="S286" s="5">
        <v>1</v>
      </c>
      <c r="T286" s="4" t="s">
        <v>108</v>
      </c>
      <c r="U286" s="5"/>
      <c r="V286" s="5">
        <v>27</v>
      </c>
      <c r="W286" s="4" t="s">
        <v>109</v>
      </c>
      <c r="X286" s="45">
        <v>110</v>
      </c>
      <c r="Y286" s="4" t="s">
        <v>266</v>
      </c>
      <c r="Z286" s="4"/>
      <c r="AA286" s="5">
        <v>1000000</v>
      </c>
      <c r="AB286" s="5">
        <v>1000000</v>
      </c>
      <c r="AC286" s="5">
        <v>0</v>
      </c>
      <c r="AD286" s="5">
        <v>1000000</v>
      </c>
      <c r="AE286" s="5">
        <v>0</v>
      </c>
      <c r="AF286" s="5">
        <v>1000000</v>
      </c>
      <c r="AG286" s="5"/>
    </row>
    <row r="287" spans="1:33" ht="38.25" x14ac:dyDescent="0.25">
      <c r="A287" s="4" t="s">
        <v>30</v>
      </c>
      <c r="B287" s="4" t="s">
        <v>103</v>
      </c>
      <c r="C287" s="4" t="s">
        <v>103</v>
      </c>
      <c r="D287" s="4" t="s">
        <v>104</v>
      </c>
      <c r="E287" s="4" t="s">
        <v>111</v>
      </c>
      <c r="F287" s="4" t="s">
        <v>112</v>
      </c>
      <c r="G287" s="4" t="s">
        <v>113</v>
      </c>
      <c r="H287" s="4" t="s">
        <v>103</v>
      </c>
      <c r="I287" s="4" t="s">
        <v>432</v>
      </c>
      <c r="J287" s="5"/>
      <c r="K287" s="5"/>
      <c r="L287" s="4" t="s">
        <v>433</v>
      </c>
      <c r="M287" s="5"/>
      <c r="N287" s="4" t="s">
        <v>107</v>
      </c>
      <c r="O287" s="45">
        <v>116</v>
      </c>
      <c r="P287" s="4" t="s">
        <v>288</v>
      </c>
      <c r="Q287" s="45">
        <v>116</v>
      </c>
      <c r="R287" s="4" t="s">
        <v>8</v>
      </c>
      <c r="S287" s="5">
        <v>1</v>
      </c>
      <c r="T287" s="4" t="s">
        <v>108</v>
      </c>
      <c r="U287" s="5"/>
      <c r="V287" s="5">
        <v>21</v>
      </c>
      <c r="W287" s="4" t="s">
        <v>109</v>
      </c>
      <c r="X287" s="45">
        <v>116</v>
      </c>
      <c r="Y287" s="4" t="s">
        <v>288</v>
      </c>
      <c r="Z287" s="4"/>
      <c r="AA287" s="5">
        <v>1000000</v>
      </c>
      <c r="AB287" s="5">
        <v>1000000</v>
      </c>
      <c r="AC287" s="5">
        <v>0</v>
      </c>
      <c r="AD287" s="5">
        <v>1000000</v>
      </c>
      <c r="AE287" s="5">
        <v>0</v>
      </c>
      <c r="AF287" s="5">
        <v>1000000</v>
      </c>
      <c r="AG287" s="5"/>
    </row>
    <row r="288" spans="1:33" ht="38.25" x14ac:dyDescent="0.25">
      <c r="A288" s="4" t="s">
        <v>30</v>
      </c>
      <c r="B288" s="4" t="s">
        <v>103</v>
      </c>
      <c r="C288" s="4" t="s">
        <v>103</v>
      </c>
      <c r="D288" s="4" t="s">
        <v>104</v>
      </c>
      <c r="E288" s="4" t="s">
        <v>111</v>
      </c>
      <c r="F288" s="4" t="s">
        <v>112</v>
      </c>
      <c r="G288" s="4" t="s">
        <v>113</v>
      </c>
      <c r="H288" s="4" t="s">
        <v>103</v>
      </c>
      <c r="I288" s="4" t="s">
        <v>432</v>
      </c>
      <c r="J288" s="5"/>
      <c r="K288" s="5"/>
      <c r="L288" s="4" t="s">
        <v>433</v>
      </c>
      <c r="M288" s="5"/>
      <c r="N288" s="4" t="s">
        <v>107</v>
      </c>
      <c r="O288" s="45">
        <v>127</v>
      </c>
      <c r="P288" s="4" t="s">
        <v>342</v>
      </c>
      <c r="Q288" s="45">
        <v>127</v>
      </c>
      <c r="R288" s="4" t="s">
        <v>8</v>
      </c>
      <c r="S288" s="5">
        <v>1</v>
      </c>
      <c r="T288" s="4" t="s">
        <v>108</v>
      </c>
      <c r="U288" s="5"/>
      <c r="V288" s="5">
        <v>10</v>
      </c>
      <c r="W288" s="4" t="s">
        <v>109</v>
      </c>
      <c r="X288" s="45">
        <v>127</v>
      </c>
      <c r="Y288" s="4" t="s">
        <v>342</v>
      </c>
      <c r="Z288" s="4"/>
      <c r="AA288" s="5">
        <v>1000000</v>
      </c>
      <c r="AB288" s="5">
        <v>1000000</v>
      </c>
      <c r="AC288" s="5">
        <v>0</v>
      </c>
      <c r="AD288" s="5">
        <v>1000000</v>
      </c>
      <c r="AE288" s="5">
        <v>0</v>
      </c>
      <c r="AF288" s="5">
        <v>1000000</v>
      </c>
      <c r="AG288" s="5"/>
    </row>
    <row r="289" spans="1:33" ht="51" x14ac:dyDescent="0.25">
      <c r="A289" s="4" t="s">
        <v>31</v>
      </c>
      <c r="B289" s="4" t="s">
        <v>103</v>
      </c>
      <c r="C289" s="4" t="s">
        <v>103</v>
      </c>
      <c r="D289" s="4" t="s">
        <v>104</v>
      </c>
      <c r="E289" s="4" t="s">
        <v>111</v>
      </c>
      <c r="F289" s="4" t="s">
        <v>112</v>
      </c>
      <c r="G289" s="4" t="s">
        <v>113</v>
      </c>
      <c r="H289" s="4" t="s">
        <v>103</v>
      </c>
      <c r="I289" s="4" t="s">
        <v>432</v>
      </c>
      <c r="J289" s="5"/>
      <c r="K289" s="5"/>
      <c r="L289" s="4" t="s">
        <v>433</v>
      </c>
      <c r="M289" s="5"/>
      <c r="N289" s="4" t="s">
        <v>107</v>
      </c>
      <c r="O289" s="45">
        <v>353</v>
      </c>
      <c r="P289" s="4" t="s">
        <v>529</v>
      </c>
      <c r="Q289" s="45">
        <v>353</v>
      </c>
      <c r="R289" s="4" t="s">
        <v>8</v>
      </c>
      <c r="S289" s="5">
        <v>1</v>
      </c>
      <c r="T289" s="4" t="s">
        <v>108</v>
      </c>
      <c r="U289" s="5"/>
      <c r="V289" s="5">
        <v>149</v>
      </c>
      <c r="W289" s="4" t="s">
        <v>109</v>
      </c>
      <c r="X289" s="45">
        <v>353</v>
      </c>
      <c r="Y289" s="4" t="s">
        <v>529</v>
      </c>
      <c r="Z289" s="4"/>
      <c r="AA289" s="5">
        <v>1000000</v>
      </c>
      <c r="AB289" s="5">
        <v>1000000</v>
      </c>
      <c r="AC289" s="5">
        <v>0</v>
      </c>
      <c r="AD289" s="5">
        <v>1000000</v>
      </c>
      <c r="AE289" s="5">
        <v>0</v>
      </c>
      <c r="AF289" s="5">
        <v>1000000</v>
      </c>
      <c r="AG289" s="5"/>
    </row>
    <row r="290" spans="1:33" ht="409.5" x14ac:dyDescent="0.25">
      <c r="A290" s="4" t="s">
        <v>31</v>
      </c>
      <c r="B290" s="5"/>
      <c r="C290" s="4" t="s">
        <v>103</v>
      </c>
      <c r="D290" s="4" t="s">
        <v>104</v>
      </c>
      <c r="E290" s="4" t="s">
        <v>111</v>
      </c>
      <c r="F290" s="4" t="s">
        <v>112</v>
      </c>
      <c r="G290" s="4" t="s">
        <v>113</v>
      </c>
      <c r="H290" s="4" t="s">
        <v>103</v>
      </c>
      <c r="I290" s="4" t="s">
        <v>432</v>
      </c>
      <c r="J290" s="5"/>
      <c r="K290" s="5"/>
      <c r="L290" s="4" t="s">
        <v>433</v>
      </c>
      <c r="M290" s="5"/>
      <c r="N290" s="4" t="s">
        <v>107</v>
      </c>
      <c r="O290" s="45">
        <v>103</v>
      </c>
      <c r="P290" s="4" t="s">
        <v>75</v>
      </c>
      <c r="Q290" s="45">
        <v>103</v>
      </c>
      <c r="R290" s="4" t="s">
        <v>8</v>
      </c>
      <c r="S290" s="5">
        <v>1</v>
      </c>
      <c r="T290" s="4" t="s">
        <v>120</v>
      </c>
      <c r="U290" s="5"/>
      <c r="V290" s="5">
        <v>399</v>
      </c>
      <c r="W290" s="4" t="s">
        <v>109</v>
      </c>
      <c r="X290" s="45">
        <v>103</v>
      </c>
      <c r="Y290" s="4" t="s">
        <v>75</v>
      </c>
      <c r="Z290" s="5"/>
      <c r="AA290" s="5">
        <v>1000000</v>
      </c>
      <c r="AB290" s="5">
        <v>1000000</v>
      </c>
      <c r="AC290" s="5">
        <v>0</v>
      </c>
      <c r="AD290" s="5">
        <v>1000000</v>
      </c>
      <c r="AE290" s="5">
        <v>-44604</v>
      </c>
      <c r="AF290" s="5">
        <v>1000000</v>
      </c>
      <c r="AG290" s="5"/>
    </row>
    <row r="291" spans="1:33" ht="140.25" x14ac:dyDescent="0.25">
      <c r="A291" s="4" t="s">
        <v>71</v>
      </c>
      <c r="B291" s="4" t="s">
        <v>103</v>
      </c>
      <c r="C291" s="4" t="s">
        <v>103</v>
      </c>
      <c r="D291" s="4" t="s">
        <v>104</v>
      </c>
      <c r="E291" s="4" t="s">
        <v>111</v>
      </c>
      <c r="F291" s="4" t="s">
        <v>112</v>
      </c>
      <c r="G291" s="4" t="s">
        <v>113</v>
      </c>
      <c r="H291" s="4" t="s">
        <v>121</v>
      </c>
      <c r="I291" s="4" t="s">
        <v>432</v>
      </c>
      <c r="J291" s="5"/>
      <c r="K291" s="5"/>
      <c r="L291" s="4" t="s">
        <v>433</v>
      </c>
      <c r="M291" s="5"/>
      <c r="N291" s="4" t="s">
        <v>107</v>
      </c>
      <c r="O291" s="45">
        <v>132</v>
      </c>
      <c r="P291" s="4" t="s">
        <v>76</v>
      </c>
      <c r="Q291" s="45">
        <v>132</v>
      </c>
      <c r="R291" s="4" t="s">
        <v>8</v>
      </c>
      <c r="S291" s="5">
        <v>1</v>
      </c>
      <c r="T291" s="4" t="s">
        <v>122</v>
      </c>
      <c r="U291" s="5"/>
      <c r="V291" s="5">
        <v>370</v>
      </c>
      <c r="W291" s="4" t="s">
        <v>109</v>
      </c>
      <c r="X291" s="45">
        <v>132</v>
      </c>
      <c r="Y291" s="4" t="s">
        <v>76</v>
      </c>
      <c r="Z291" s="5"/>
      <c r="AA291" s="5">
        <v>1000000</v>
      </c>
      <c r="AB291" s="5">
        <v>1000000</v>
      </c>
      <c r="AC291" s="5">
        <v>0</v>
      </c>
      <c r="AD291" s="5">
        <v>1000000</v>
      </c>
      <c r="AE291" s="5">
        <v>0</v>
      </c>
      <c r="AF291" s="5">
        <v>1000000</v>
      </c>
      <c r="AG291" s="5"/>
    </row>
    <row r="292" spans="1:33" ht="127.5" x14ac:dyDescent="0.25">
      <c r="A292" s="4" t="s">
        <v>71</v>
      </c>
      <c r="B292" s="4" t="s">
        <v>103</v>
      </c>
      <c r="C292" s="4" t="s">
        <v>103</v>
      </c>
      <c r="D292" s="4" t="s">
        <v>104</v>
      </c>
      <c r="E292" s="4" t="s">
        <v>111</v>
      </c>
      <c r="F292" s="4" t="s">
        <v>112</v>
      </c>
      <c r="G292" s="4" t="s">
        <v>113</v>
      </c>
      <c r="H292" s="4" t="s">
        <v>121</v>
      </c>
      <c r="I292" s="4" t="s">
        <v>432</v>
      </c>
      <c r="J292" s="5"/>
      <c r="K292" s="5"/>
      <c r="L292" s="4" t="s">
        <v>433</v>
      </c>
      <c r="M292" s="5"/>
      <c r="N292" s="4" t="s">
        <v>107</v>
      </c>
      <c r="O292" s="45">
        <v>5</v>
      </c>
      <c r="P292" s="4" t="s">
        <v>187</v>
      </c>
      <c r="Q292" s="45">
        <v>5</v>
      </c>
      <c r="R292" s="4" t="s">
        <v>8</v>
      </c>
      <c r="S292" s="5">
        <v>1</v>
      </c>
      <c r="T292" s="4" t="s">
        <v>370</v>
      </c>
      <c r="U292" s="5"/>
      <c r="V292" s="5">
        <v>131</v>
      </c>
      <c r="W292" s="4" t="s">
        <v>109</v>
      </c>
      <c r="X292" s="45">
        <v>5</v>
      </c>
      <c r="Y292" s="4" t="s">
        <v>187</v>
      </c>
      <c r="Z292" s="5"/>
      <c r="AA292" s="5">
        <v>1000000</v>
      </c>
      <c r="AB292" s="5">
        <v>1000000</v>
      </c>
      <c r="AC292" s="5">
        <v>0</v>
      </c>
      <c r="AD292" s="5">
        <v>1000000</v>
      </c>
      <c r="AE292" s="5">
        <v>0</v>
      </c>
      <c r="AF292" s="5">
        <v>1000000</v>
      </c>
      <c r="AG292" s="5"/>
    </row>
    <row r="293" spans="1:33" ht="127.5" x14ac:dyDescent="0.25">
      <c r="A293" s="4" t="s">
        <v>71</v>
      </c>
      <c r="B293" s="4" t="s">
        <v>103</v>
      </c>
      <c r="C293" s="4" t="s">
        <v>103</v>
      </c>
      <c r="D293" s="4" t="s">
        <v>104</v>
      </c>
      <c r="E293" s="4" t="s">
        <v>111</v>
      </c>
      <c r="F293" s="4" t="s">
        <v>112</v>
      </c>
      <c r="G293" s="4" t="s">
        <v>113</v>
      </c>
      <c r="H293" s="4" t="s">
        <v>121</v>
      </c>
      <c r="I293" s="4" t="s">
        <v>432</v>
      </c>
      <c r="J293" s="5"/>
      <c r="K293" s="5"/>
      <c r="L293" s="4" t="s">
        <v>433</v>
      </c>
      <c r="M293" s="5"/>
      <c r="N293" s="4" t="s">
        <v>107</v>
      </c>
      <c r="O293" s="45">
        <v>20</v>
      </c>
      <c r="P293" s="4" t="s">
        <v>189</v>
      </c>
      <c r="Q293" s="45">
        <v>20</v>
      </c>
      <c r="R293" s="4" t="s">
        <v>8</v>
      </c>
      <c r="S293" s="5">
        <v>1</v>
      </c>
      <c r="T293" s="4" t="s">
        <v>370</v>
      </c>
      <c r="U293" s="5"/>
      <c r="V293" s="5">
        <v>116</v>
      </c>
      <c r="W293" s="4" t="s">
        <v>109</v>
      </c>
      <c r="X293" s="45">
        <v>20</v>
      </c>
      <c r="Y293" s="4" t="s">
        <v>189</v>
      </c>
      <c r="Z293" s="5"/>
      <c r="AA293" s="5">
        <v>1000000</v>
      </c>
      <c r="AB293" s="5">
        <v>1000000</v>
      </c>
      <c r="AC293" s="5">
        <v>0</v>
      </c>
      <c r="AD293" s="5">
        <v>1000000</v>
      </c>
      <c r="AE293" s="5">
        <v>0</v>
      </c>
      <c r="AF293" s="5">
        <v>1000000</v>
      </c>
      <c r="AG293" s="5"/>
    </row>
    <row r="294" spans="1:33" ht="140.25" x14ac:dyDescent="0.25">
      <c r="A294" s="4" t="s">
        <v>71</v>
      </c>
      <c r="B294" s="4" t="s">
        <v>103</v>
      </c>
      <c r="C294" s="4" t="s">
        <v>103</v>
      </c>
      <c r="D294" s="4" t="s">
        <v>104</v>
      </c>
      <c r="E294" s="4" t="s">
        <v>111</v>
      </c>
      <c r="F294" s="4" t="s">
        <v>112</v>
      </c>
      <c r="G294" s="4" t="s">
        <v>113</v>
      </c>
      <c r="H294" s="4" t="s">
        <v>121</v>
      </c>
      <c r="I294" s="4" t="s">
        <v>432</v>
      </c>
      <c r="J294" s="5"/>
      <c r="K294" s="5"/>
      <c r="L294" s="4" t="s">
        <v>433</v>
      </c>
      <c r="M294" s="5"/>
      <c r="N294" s="4" t="s">
        <v>107</v>
      </c>
      <c r="O294" s="45">
        <v>21</v>
      </c>
      <c r="P294" s="4" t="s">
        <v>190</v>
      </c>
      <c r="Q294" s="45">
        <v>21</v>
      </c>
      <c r="R294" s="4" t="s">
        <v>8</v>
      </c>
      <c r="S294" s="5">
        <v>1</v>
      </c>
      <c r="T294" s="4" t="s">
        <v>371</v>
      </c>
      <c r="U294" s="5"/>
      <c r="V294" s="5">
        <v>115</v>
      </c>
      <c r="W294" s="4" t="s">
        <v>109</v>
      </c>
      <c r="X294" s="45">
        <v>21</v>
      </c>
      <c r="Y294" s="4" t="s">
        <v>190</v>
      </c>
      <c r="Z294" s="5"/>
      <c r="AA294" s="5">
        <v>1000000</v>
      </c>
      <c r="AB294" s="5">
        <v>1000000</v>
      </c>
      <c r="AC294" s="5">
        <v>0</v>
      </c>
      <c r="AD294" s="5">
        <v>1000000</v>
      </c>
      <c r="AE294" s="5">
        <v>0</v>
      </c>
      <c r="AF294" s="5">
        <v>1000000</v>
      </c>
      <c r="AG294" s="5"/>
    </row>
    <row r="295" spans="1:33" ht="140.25" x14ac:dyDescent="0.25">
      <c r="A295" s="4" t="s">
        <v>71</v>
      </c>
      <c r="B295" s="4" t="s">
        <v>103</v>
      </c>
      <c r="C295" s="4" t="s">
        <v>103</v>
      </c>
      <c r="D295" s="4" t="s">
        <v>104</v>
      </c>
      <c r="E295" s="4" t="s">
        <v>111</v>
      </c>
      <c r="F295" s="4" t="s">
        <v>112</v>
      </c>
      <c r="G295" s="4" t="s">
        <v>113</v>
      </c>
      <c r="H295" s="4" t="s">
        <v>121</v>
      </c>
      <c r="I295" s="4" t="s">
        <v>432</v>
      </c>
      <c r="J295" s="5"/>
      <c r="K295" s="5"/>
      <c r="L295" s="4" t="s">
        <v>433</v>
      </c>
      <c r="M295" s="5"/>
      <c r="N295" s="4" t="s">
        <v>107</v>
      </c>
      <c r="O295" s="45">
        <v>85</v>
      </c>
      <c r="P295" s="4" t="s">
        <v>199</v>
      </c>
      <c r="Q295" s="45">
        <v>85</v>
      </c>
      <c r="R295" s="4" t="s">
        <v>8</v>
      </c>
      <c r="S295" s="5">
        <v>1</v>
      </c>
      <c r="T295" s="4" t="s">
        <v>372</v>
      </c>
      <c r="U295" s="5"/>
      <c r="V295" s="5">
        <v>52</v>
      </c>
      <c r="W295" s="4" t="s">
        <v>109</v>
      </c>
      <c r="X295" s="45">
        <v>85</v>
      </c>
      <c r="Y295" s="4" t="s">
        <v>199</v>
      </c>
      <c r="Z295" s="5"/>
      <c r="AA295" s="5">
        <v>1000000</v>
      </c>
      <c r="AB295" s="5">
        <v>1000000</v>
      </c>
      <c r="AC295" s="5">
        <v>0</v>
      </c>
      <c r="AD295" s="5">
        <v>1000000</v>
      </c>
      <c r="AE295" s="5">
        <v>0</v>
      </c>
      <c r="AF295" s="5">
        <v>1000000</v>
      </c>
      <c r="AG295" s="5"/>
    </row>
    <row r="296" spans="1:33" ht="102" x14ac:dyDescent="0.25">
      <c r="A296" s="4" t="s">
        <v>71</v>
      </c>
      <c r="B296" s="4" t="s">
        <v>103</v>
      </c>
      <c r="C296" s="4" t="s">
        <v>103</v>
      </c>
      <c r="D296" s="4" t="s">
        <v>104</v>
      </c>
      <c r="E296" s="4" t="s">
        <v>111</v>
      </c>
      <c r="F296" s="4" t="s">
        <v>112</v>
      </c>
      <c r="G296" s="4" t="s">
        <v>113</v>
      </c>
      <c r="H296" s="4" t="s">
        <v>121</v>
      </c>
      <c r="I296" s="4" t="s">
        <v>432</v>
      </c>
      <c r="J296" s="5"/>
      <c r="K296" s="5"/>
      <c r="L296" s="4" t="s">
        <v>433</v>
      </c>
      <c r="M296" s="5"/>
      <c r="N296" s="4" t="s">
        <v>107</v>
      </c>
      <c r="O296" s="45">
        <v>118</v>
      </c>
      <c r="P296" s="4" t="s">
        <v>299</v>
      </c>
      <c r="Q296" s="45">
        <v>118</v>
      </c>
      <c r="R296" s="4" t="s">
        <v>8</v>
      </c>
      <c r="S296" s="5">
        <v>1</v>
      </c>
      <c r="T296" s="4" t="s">
        <v>373</v>
      </c>
      <c r="U296" s="5"/>
      <c r="V296" s="5">
        <v>19</v>
      </c>
      <c r="W296" s="4" t="s">
        <v>109</v>
      </c>
      <c r="X296" s="45">
        <v>118</v>
      </c>
      <c r="Y296" s="4" t="s">
        <v>299</v>
      </c>
      <c r="Z296" s="5"/>
      <c r="AA296" s="5">
        <v>1000000</v>
      </c>
      <c r="AB296" s="5">
        <v>1000000</v>
      </c>
      <c r="AC296" s="5">
        <v>0</v>
      </c>
      <c r="AD296" s="5">
        <v>1000000</v>
      </c>
      <c r="AE296" s="5">
        <v>0</v>
      </c>
      <c r="AF296" s="5">
        <v>1000000</v>
      </c>
      <c r="AG296" s="5"/>
    </row>
    <row r="297" spans="1:33" ht="38.25" x14ac:dyDescent="0.25">
      <c r="A297" s="4" t="s">
        <v>32</v>
      </c>
      <c r="B297" s="4" t="s">
        <v>103</v>
      </c>
      <c r="C297" s="4" t="s">
        <v>103</v>
      </c>
      <c r="D297" s="4" t="s">
        <v>104</v>
      </c>
      <c r="E297" s="4" t="s">
        <v>111</v>
      </c>
      <c r="F297" s="4" t="s">
        <v>112</v>
      </c>
      <c r="G297" s="4" t="s">
        <v>113</v>
      </c>
      <c r="H297" s="4" t="s">
        <v>103</v>
      </c>
      <c r="I297" s="4" t="s">
        <v>432</v>
      </c>
      <c r="J297" s="5"/>
      <c r="K297" s="5"/>
      <c r="L297" s="4" t="s">
        <v>433</v>
      </c>
      <c r="M297" s="5"/>
      <c r="N297" s="4" t="s">
        <v>107</v>
      </c>
      <c r="O297" s="45">
        <v>83</v>
      </c>
      <c r="P297" s="4" t="s">
        <v>530</v>
      </c>
      <c r="Q297" s="45">
        <v>83</v>
      </c>
      <c r="R297" s="4" t="s">
        <v>8</v>
      </c>
      <c r="S297" s="5">
        <v>1</v>
      </c>
      <c r="T297" s="4" t="s">
        <v>108</v>
      </c>
      <c r="U297" s="5"/>
      <c r="V297" s="5">
        <v>54</v>
      </c>
      <c r="W297" s="4" t="s">
        <v>109</v>
      </c>
      <c r="X297" s="45">
        <v>83</v>
      </c>
      <c r="Y297" s="4" t="s">
        <v>530</v>
      </c>
      <c r="Z297" s="4"/>
      <c r="AA297" s="5">
        <v>1000000</v>
      </c>
      <c r="AB297" s="5">
        <v>1000000</v>
      </c>
      <c r="AC297" s="5">
        <v>0</v>
      </c>
      <c r="AD297" s="5">
        <v>1000000</v>
      </c>
      <c r="AE297" s="5">
        <v>0</v>
      </c>
      <c r="AF297" s="5">
        <v>1000000</v>
      </c>
      <c r="AG297" s="5"/>
    </row>
    <row r="298" spans="1:33" ht="38.25" x14ac:dyDescent="0.25">
      <c r="A298" s="4" t="s">
        <v>32</v>
      </c>
      <c r="B298" s="4" t="s">
        <v>103</v>
      </c>
      <c r="C298" s="4" t="s">
        <v>103</v>
      </c>
      <c r="D298" s="4" t="s">
        <v>104</v>
      </c>
      <c r="E298" s="4" t="s">
        <v>111</v>
      </c>
      <c r="F298" s="4" t="s">
        <v>112</v>
      </c>
      <c r="G298" s="4" t="s">
        <v>113</v>
      </c>
      <c r="H298" s="4" t="s">
        <v>103</v>
      </c>
      <c r="I298" s="4" t="s">
        <v>432</v>
      </c>
      <c r="J298" s="5"/>
      <c r="K298" s="5"/>
      <c r="L298" s="4" t="s">
        <v>433</v>
      </c>
      <c r="M298" s="5"/>
      <c r="N298" s="4" t="s">
        <v>107</v>
      </c>
      <c r="O298" s="45">
        <v>83</v>
      </c>
      <c r="P298" s="4" t="s">
        <v>531</v>
      </c>
      <c r="Q298" s="45">
        <v>83</v>
      </c>
      <c r="R298" s="4" t="s">
        <v>8</v>
      </c>
      <c r="S298" s="5">
        <v>1</v>
      </c>
      <c r="T298" s="4" t="s">
        <v>108</v>
      </c>
      <c r="U298" s="5"/>
      <c r="V298" s="5">
        <v>54</v>
      </c>
      <c r="W298" s="4" t="s">
        <v>109</v>
      </c>
      <c r="X298" s="45">
        <v>83</v>
      </c>
      <c r="Y298" s="4" t="s">
        <v>531</v>
      </c>
      <c r="Z298" s="4"/>
      <c r="AA298" s="5">
        <v>1000000</v>
      </c>
      <c r="AB298" s="5">
        <v>1000000</v>
      </c>
      <c r="AC298" s="5">
        <v>0</v>
      </c>
      <c r="AD298" s="5">
        <v>1000000</v>
      </c>
      <c r="AE298" s="5">
        <v>0</v>
      </c>
      <c r="AF298" s="5">
        <v>1000000</v>
      </c>
      <c r="AG298" s="5"/>
    </row>
    <row r="299" spans="1:33" ht="38.25" x14ac:dyDescent="0.25">
      <c r="A299" s="4" t="s">
        <v>32</v>
      </c>
      <c r="B299" s="4" t="s">
        <v>103</v>
      </c>
      <c r="C299" s="4" t="s">
        <v>103</v>
      </c>
      <c r="D299" s="4" t="s">
        <v>104</v>
      </c>
      <c r="E299" s="4" t="s">
        <v>111</v>
      </c>
      <c r="F299" s="4" t="s">
        <v>112</v>
      </c>
      <c r="G299" s="4" t="s">
        <v>113</v>
      </c>
      <c r="H299" s="4" t="s">
        <v>103</v>
      </c>
      <c r="I299" s="4" t="s">
        <v>432</v>
      </c>
      <c r="J299" s="5"/>
      <c r="K299" s="5"/>
      <c r="L299" s="4" t="s">
        <v>433</v>
      </c>
      <c r="M299" s="5"/>
      <c r="N299" s="4" t="s">
        <v>107</v>
      </c>
      <c r="O299" s="45">
        <v>121</v>
      </c>
      <c r="P299" s="4" t="s">
        <v>311</v>
      </c>
      <c r="Q299" s="45">
        <v>121</v>
      </c>
      <c r="R299" s="4" t="s">
        <v>8</v>
      </c>
      <c r="S299" s="5">
        <v>1</v>
      </c>
      <c r="T299" s="4" t="s">
        <v>108</v>
      </c>
      <c r="U299" s="5"/>
      <c r="V299" s="5">
        <v>16</v>
      </c>
      <c r="W299" s="4" t="s">
        <v>109</v>
      </c>
      <c r="X299" s="45">
        <v>121</v>
      </c>
      <c r="Y299" s="4" t="s">
        <v>311</v>
      </c>
      <c r="Z299" s="4"/>
      <c r="AA299" s="5">
        <v>1000000</v>
      </c>
      <c r="AB299" s="5">
        <v>1000000</v>
      </c>
      <c r="AC299" s="5">
        <v>0</v>
      </c>
      <c r="AD299" s="5">
        <v>1000000</v>
      </c>
      <c r="AE299" s="5">
        <v>0</v>
      </c>
      <c r="AF299" s="5">
        <v>1000000</v>
      </c>
      <c r="AG299" s="5"/>
    </row>
    <row r="300" spans="1:33" ht="25.5" x14ac:dyDescent="0.25">
      <c r="A300" s="4" t="s">
        <v>65</v>
      </c>
      <c r="B300" s="4" t="s">
        <v>103</v>
      </c>
      <c r="C300" s="4" t="s">
        <v>103</v>
      </c>
      <c r="D300" s="4" t="s">
        <v>104</v>
      </c>
      <c r="E300" s="4" t="s">
        <v>111</v>
      </c>
      <c r="F300" s="4" t="s">
        <v>112</v>
      </c>
      <c r="G300" s="4" t="s">
        <v>113</v>
      </c>
      <c r="H300" s="4" t="s">
        <v>103</v>
      </c>
      <c r="I300" s="4" t="s">
        <v>432</v>
      </c>
      <c r="J300" s="5"/>
      <c r="K300" s="5"/>
      <c r="L300" s="4" t="s">
        <v>433</v>
      </c>
      <c r="M300" s="5"/>
      <c r="N300" s="4" t="s">
        <v>107</v>
      </c>
      <c r="O300" s="45">
        <v>359</v>
      </c>
      <c r="P300" s="4" t="s">
        <v>123</v>
      </c>
      <c r="Q300" s="45">
        <v>359</v>
      </c>
      <c r="R300" s="4" t="s">
        <v>8</v>
      </c>
      <c r="S300" s="5">
        <v>1</v>
      </c>
      <c r="T300" s="4" t="s">
        <v>108</v>
      </c>
      <c r="U300" s="5"/>
      <c r="V300" s="5">
        <v>508</v>
      </c>
      <c r="W300" s="4" t="s">
        <v>109</v>
      </c>
      <c r="X300" s="45">
        <v>359</v>
      </c>
      <c r="Y300" s="4" t="s">
        <v>123</v>
      </c>
      <c r="Z300" s="5"/>
      <c r="AA300" s="5">
        <v>1000000</v>
      </c>
      <c r="AB300" s="5">
        <v>1000000</v>
      </c>
      <c r="AC300" s="5">
        <v>0</v>
      </c>
      <c r="AD300" s="5">
        <v>1000000</v>
      </c>
      <c r="AE300" s="5">
        <v>0</v>
      </c>
      <c r="AF300" s="5">
        <v>1000000</v>
      </c>
      <c r="AG300" s="5"/>
    </row>
    <row r="301" spans="1:33" ht="178.5" x14ac:dyDescent="0.25">
      <c r="A301" s="4" t="s">
        <v>33</v>
      </c>
      <c r="B301" s="4" t="s">
        <v>103</v>
      </c>
      <c r="C301" s="4" t="s">
        <v>103</v>
      </c>
      <c r="D301" s="4" t="s">
        <v>104</v>
      </c>
      <c r="E301" s="4" t="s">
        <v>111</v>
      </c>
      <c r="F301" s="4" t="s">
        <v>112</v>
      </c>
      <c r="G301" s="4" t="s">
        <v>113</v>
      </c>
      <c r="H301" s="4" t="s">
        <v>110</v>
      </c>
      <c r="I301" s="4" t="s">
        <v>432</v>
      </c>
      <c r="J301" s="5"/>
      <c r="K301" s="5"/>
      <c r="L301" s="4" t="s">
        <v>433</v>
      </c>
      <c r="M301" s="5"/>
      <c r="N301" s="4" t="s">
        <v>107</v>
      </c>
      <c r="O301" s="45">
        <v>269</v>
      </c>
      <c r="P301" s="4" t="s">
        <v>125</v>
      </c>
      <c r="Q301" s="45">
        <v>269</v>
      </c>
      <c r="R301" s="4" t="s">
        <v>8</v>
      </c>
      <c r="S301" s="5">
        <v>1</v>
      </c>
      <c r="T301" s="4" t="s">
        <v>126</v>
      </c>
      <c r="U301" s="5"/>
      <c r="V301" s="5">
        <v>598</v>
      </c>
      <c r="W301" s="4" t="s">
        <v>109</v>
      </c>
      <c r="X301" s="45">
        <v>269</v>
      </c>
      <c r="Y301" s="4" t="s">
        <v>125</v>
      </c>
      <c r="Z301" s="5"/>
      <c r="AA301" s="5">
        <v>1000000</v>
      </c>
      <c r="AB301" s="5">
        <v>1000000</v>
      </c>
      <c r="AC301" s="5">
        <v>0</v>
      </c>
      <c r="AD301" s="5">
        <v>1000000</v>
      </c>
      <c r="AE301" s="5">
        <v>0</v>
      </c>
      <c r="AF301" s="5">
        <v>1000000</v>
      </c>
      <c r="AG301" s="5"/>
    </row>
    <row r="302" spans="1:33" ht="178.5" x14ac:dyDescent="0.25">
      <c r="A302" s="4" t="s">
        <v>33</v>
      </c>
      <c r="B302" s="4" t="s">
        <v>103</v>
      </c>
      <c r="C302" s="4" t="s">
        <v>103</v>
      </c>
      <c r="D302" s="4" t="s">
        <v>104</v>
      </c>
      <c r="E302" s="4" t="s">
        <v>111</v>
      </c>
      <c r="F302" s="4" t="s">
        <v>112</v>
      </c>
      <c r="G302" s="4" t="s">
        <v>113</v>
      </c>
      <c r="H302" s="4" t="s">
        <v>110</v>
      </c>
      <c r="I302" s="4" t="s">
        <v>432</v>
      </c>
      <c r="J302" s="5"/>
      <c r="K302" s="5"/>
      <c r="L302" s="4" t="s">
        <v>433</v>
      </c>
      <c r="M302" s="5"/>
      <c r="N302" s="4" t="s">
        <v>107</v>
      </c>
      <c r="O302" s="45">
        <v>269</v>
      </c>
      <c r="P302" s="4" t="s">
        <v>127</v>
      </c>
      <c r="Q302" s="45">
        <v>269</v>
      </c>
      <c r="R302" s="4" t="s">
        <v>8</v>
      </c>
      <c r="S302" s="5">
        <v>1</v>
      </c>
      <c r="T302" s="4" t="s">
        <v>126</v>
      </c>
      <c r="U302" s="5"/>
      <c r="V302" s="5">
        <v>598</v>
      </c>
      <c r="W302" s="4" t="s">
        <v>109</v>
      </c>
      <c r="X302" s="45">
        <v>269</v>
      </c>
      <c r="Y302" s="4" t="s">
        <v>127</v>
      </c>
      <c r="Z302" s="5"/>
      <c r="AA302" s="5">
        <v>1000000</v>
      </c>
      <c r="AB302" s="5">
        <v>1000000</v>
      </c>
      <c r="AC302" s="5">
        <v>0</v>
      </c>
      <c r="AD302" s="5">
        <v>1000000</v>
      </c>
      <c r="AE302" s="5">
        <v>0</v>
      </c>
      <c r="AF302" s="5">
        <v>1000000</v>
      </c>
      <c r="AG302" s="5"/>
    </row>
    <row r="303" spans="1:33" ht="178.5" x14ac:dyDescent="0.25">
      <c r="A303" s="4" t="s">
        <v>33</v>
      </c>
      <c r="B303" s="4" t="s">
        <v>103</v>
      </c>
      <c r="C303" s="4" t="s">
        <v>103</v>
      </c>
      <c r="D303" s="4" t="s">
        <v>104</v>
      </c>
      <c r="E303" s="4" t="s">
        <v>111</v>
      </c>
      <c r="F303" s="4" t="s">
        <v>112</v>
      </c>
      <c r="G303" s="4" t="s">
        <v>113</v>
      </c>
      <c r="H303" s="4" t="s">
        <v>110</v>
      </c>
      <c r="I303" s="4" t="s">
        <v>432</v>
      </c>
      <c r="J303" s="5"/>
      <c r="K303" s="5"/>
      <c r="L303" s="4" t="s">
        <v>433</v>
      </c>
      <c r="M303" s="5"/>
      <c r="N303" s="4" t="s">
        <v>107</v>
      </c>
      <c r="O303" s="45">
        <v>274</v>
      </c>
      <c r="P303" s="4" t="s">
        <v>128</v>
      </c>
      <c r="Q303" s="45">
        <v>274</v>
      </c>
      <c r="R303" s="4" t="s">
        <v>8</v>
      </c>
      <c r="S303" s="5">
        <v>1</v>
      </c>
      <c r="T303" s="4" t="s">
        <v>126</v>
      </c>
      <c r="U303" s="5"/>
      <c r="V303" s="5">
        <v>593</v>
      </c>
      <c r="W303" s="4" t="s">
        <v>109</v>
      </c>
      <c r="X303" s="45">
        <v>274</v>
      </c>
      <c r="Y303" s="4" t="s">
        <v>128</v>
      </c>
      <c r="Z303" s="5"/>
      <c r="AA303" s="5">
        <v>1000000</v>
      </c>
      <c r="AB303" s="5">
        <v>1000000</v>
      </c>
      <c r="AC303" s="5">
        <v>0</v>
      </c>
      <c r="AD303" s="5">
        <v>1000000</v>
      </c>
      <c r="AE303" s="5">
        <v>0</v>
      </c>
      <c r="AF303" s="5">
        <v>1000000</v>
      </c>
      <c r="AG303" s="5"/>
    </row>
    <row r="304" spans="1:33" ht="153" x14ac:dyDescent="0.25">
      <c r="A304" s="4" t="s">
        <v>33</v>
      </c>
      <c r="B304" s="4" t="s">
        <v>103</v>
      </c>
      <c r="C304" s="4" t="s">
        <v>103</v>
      </c>
      <c r="D304" s="4" t="s">
        <v>104</v>
      </c>
      <c r="E304" s="4" t="s">
        <v>111</v>
      </c>
      <c r="F304" s="4" t="s">
        <v>112</v>
      </c>
      <c r="G304" s="4" t="s">
        <v>113</v>
      </c>
      <c r="H304" s="4" t="s">
        <v>110</v>
      </c>
      <c r="I304" s="4" t="s">
        <v>432</v>
      </c>
      <c r="J304" s="5"/>
      <c r="K304" s="5"/>
      <c r="L304" s="4" t="s">
        <v>433</v>
      </c>
      <c r="M304" s="5"/>
      <c r="N304" s="4" t="s">
        <v>107</v>
      </c>
      <c r="O304" s="45">
        <v>82</v>
      </c>
      <c r="P304" s="4" t="s">
        <v>193</v>
      </c>
      <c r="Q304" s="45">
        <v>82</v>
      </c>
      <c r="R304" s="4" t="s">
        <v>8</v>
      </c>
      <c r="S304" s="5">
        <v>1</v>
      </c>
      <c r="T304" s="4" t="s">
        <v>374</v>
      </c>
      <c r="U304" s="5"/>
      <c r="V304" s="5">
        <v>55</v>
      </c>
      <c r="W304" s="4" t="s">
        <v>109</v>
      </c>
      <c r="X304" s="45">
        <v>82</v>
      </c>
      <c r="Y304" s="4" t="s">
        <v>193</v>
      </c>
      <c r="Z304" s="5"/>
      <c r="AA304" s="5">
        <v>1000000</v>
      </c>
      <c r="AB304" s="5">
        <v>1000000</v>
      </c>
      <c r="AC304" s="5">
        <v>0</v>
      </c>
      <c r="AD304" s="5">
        <v>1000000</v>
      </c>
      <c r="AE304" s="5">
        <v>0</v>
      </c>
      <c r="AF304" s="5">
        <v>1000000</v>
      </c>
      <c r="AG304" s="5"/>
    </row>
    <row r="305" spans="1:33" ht="165.75" x14ac:dyDescent="0.25">
      <c r="A305" s="4" t="s">
        <v>33</v>
      </c>
      <c r="B305" s="4" t="s">
        <v>103</v>
      </c>
      <c r="C305" s="4" t="s">
        <v>103</v>
      </c>
      <c r="D305" s="4" t="s">
        <v>104</v>
      </c>
      <c r="E305" s="4" t="s">
        <v>111</v>
      </c>
      <c r="F305" s="4" t="s">
        <v>112</v>
      </c>
      <c r="G305" s="4" t="s">
        <v>113</v>
      </c>
      <c r="H305" s="4" t="s">
        <v>110</v>
      </c>
      <c r="I305" s="4" t="s">
        <v>432</v>
      </c>
      <c r="J305" s="5"/>
      <c r="K305" s="5"/>
      <c r="L305" s="4" t="s">
        <v>433</v>
      </c>
      <c r="M305" s="5"/>
      <c r="N305" s="4" t="s">
        <v>107</v>
      </c>
      <c r="O305" s="45">
        <v>82</v>
      </c>
      <c r="P305" s="4" t="s">
        <v>194</v>
      </c>
      <c r="Q305" s="45">
        <v>82</v>
      </c>
      <c r="R305" s="4" t="s">
        <v>8</v>
      </c>
      <c r="S305" s="5">
        <v>1</v>
      </c>
      <c r="T305" s="4" t="s">
        <v>375</v>
      </c>
      <c r="U305" s="5"/>
      <c r="V305" s="5">
        <v>55</v>
      </c>
      <c r="W305" s="4" t="s">
        <v>109</v>
      </c>
      <c r="X305" s="45">
        <v>82</v>
      </c>
      <c r="Y305" s="4" t="s">
        <v>194</v>
      </c>
      <c r="Z305" s="5"/>
      <c r="AA305" s="5">
        <v>1000000</v>
      </c>
      <c r="AB305" s="5">
        <v>1000000</v>
      </c>
      <c r="AC305" s="5">
        <v>0</v>
      </c>
      <c r="AD305" s="5">
        <v>1000000</v>
      </c>
      <c r="AE305" s="5">
        <v>0</v>
      </c>
      <c r="AF305" s="5">
        <v>1000000</v>
      </c>
      <c r="AG305" s="5"/>
    </row>
    <row r="306" spans="1:33" ht="165.75" x14ac:dyDescent="0.25">
      <c r="A306" s="4" t="s">
        <v>33</v>
      </c>
      <c r="B306" s="4" t="s">
        <v>103</v>
      </c>
      <c r="C306" s="4" t="s">
        <v>103</v>
      </c>
      <c r="D306" s="4" t="s">
        <v>104</v>
      </c>
      <c r="E306" s="4" t="s">
        <v>111</v>
      </c>
      <c r="F306" s="4" t="s">
        <v>112</v>
      </c>
      <c r="G306" s="4" t="s">
        <v>113</v>
      </c>
      <c r="H306" s="4" t="s">
        <v>110</v>
      </c>
      <c r="I306" s="4" t="s">
        <v>432</v>
      </c>
      <c r="J306" s="5"/>
      <c r="K306" s="5"/>
      <c r="L306" s="4" t="s">
        <v>433</v>
      </c>
      <c r="M306" s="5"/>
      <c r="N306" s="4" t="s">
        <v>107</v>
      </c>
      <c r="O306" s="45">
        <v>82</v>
      </c>
      <c r="P306" s="4" t="s">
        <v>195</v>
      </c>
      <c r="Q306" s="45">
        <v>82</v>
      </c>
      <c r="R306" s="4" t="s">
        <v>8</v>
      </c>
      <c r="S306" s="5">
        <v>1</v>
      </c>
      <c r="T306" s="4" t="s">
        <v>376</v>
      </c>
      <c r="U306" s="5"/>
      <c r="V306" s="5">
        <v>55</v>
      </c>
      <c r="W306" s="4" t="s">
        <v>109</v>
      </c>
      <c r="X306" s="45">
        <v>82</v>
      </c>
      <c r="Y306" s="4" t="s">
        <v>195</v>
      </c>
      <c r="Z306" s="5"/>
      <c r="AA306" s="5">
        <v>1000000</v>
      </c>
      <c r="AB306" s="5">
        <v>1000000</v>
      </c>
      <c r="AC306" s="5">
        <v>0</v>
      </c>
      <c r="AD306" s="5">
        <v>1000000</v>
      </c>
      <c r="AE306" s="5">
        <v>0</v>
      </c>
      <c r="AF306" s="5">
        <v>1000000</v>
      </c>
      <c r="AG306" s="5"/>
    </row>
    <row r="307" spans="1:33" ht="153" x14ac:dyDescent="0.25">
      <c r="A307" s="4" t="s">
        <v>33</v>
      </c>
      <c r="B307" s="4" t="s">
        <v>103</v>
      </c>
      <c r="C307" s="4" t="s">
        <v>103</v>
      </c>
      <c r="D307" s="4" t="s">
        <v>104</v>
      </c>
      <c r="E307" s="4" t="s">
        <v>111</v>
      </c>
      <c r="F307" s="4" t="s">
        <v>112</v>
      </c>
      <c r="G307" s="4" t="s">
        <v>113</v>
      </c>
      <c r="H307" s="4" t="s">
        <v>110</v>
      </c>
      <c r="I307" s="4" t="s">
        <v>432</v>
      </c>
      <c r="J307" s="5"/>
      <c r="K307" s="5"/>
      <c r="L307" s="4" t="s">
        <v>433</v>
      </c>
      <c r="M307" s="5"/>
      <c r="N307" s="4" t="s">
        <v>107</v>
      </c>
      <c r="O307" s="45">
        <v>82</v>
      </c>
      <c r="P307" s="4" t="s">
        <v>196</v>
      </c>
      <c r="Q307" s="45">
        <v>82</v>
      </c>
      <c r="R307" s="4" t="s">
        <v>8</v>
      </c>
      <c r="S307" s="5">
        <v>1</v>
      </c>
      <c r="T307" s="4" t="s">
        <v>377</v>
      </c>
      <c r="U307" s="5"/>
      <c r="V307" s="5">
        <v>55</v>
      </c>
      <c r="W307" s="4" t="s">
        <v>109</v>
      </c>
      <c r="X307" s="45">
        <v>82</v>
      </c>
      <c r="Y307" s="4" t="s">
        <v>196</v>
      </c>
      <c r="Z307" s="5"/>
      <c r="AA307" s="5">
        <v>1000000</v>
      </c>
      <c r="AB307" s="5">
        <v>1000000</v>
      </c>
      <c r="AC307" s="5">
        <v>0</v>
      </c>
      <c r="AD307" s="5">
        <v>1000000</v>
      </c>
      <c r="AE307" s="5">
        <v>0</v>
      </c>
      <c r="AF307" s="5">
        <v>1000000</v>
      </c>
      <c r="AG307" s="5"/>
    </row>
    <row r="308" spans="1:33" ht="114.75" x14ac:dyDescent="0.25">
      <c r="A308" s="4" t="s">
        <v>33</v>
      </c>
      <c r="B308" s="4" t="s">
        <v>103</v>
      </c>
      <c r="C308" s="4" t="s">
        <v>103</v>
      </c>
      <c r="D308" s="4" t="s">
        <v>104</v>
      </c>
      <c r="E308" s="4" t="s">
        <v>111</v>
      </c>
      <c r="F308" s="4" t="s">
        <v>112</v>
      </c>
      <c r="G308" s="4" t="s">
        <v>113</v>
      </c>
      <c r="H308" s="4" t="s">
        <v>110</v>
      </c>
      <c r="I308" s="4" t="s">
        <v>432</v>
      </c>
      <c r="J308" s="5"/>
      <c r="K308" s="5"/>
      <c r="L308" s="4" t="s">
        <v>433</v>
      </c>
      <c r="M308" s="5"/>
      <c r="N308" s="4" t="s">
        <v>107</v>
      </c>
      <c r="O308" s="45">
        <v>118</v>
      </c>
      <c r="P308" s="4" t="s">
        <v>300</v>
      </c>
      <c r="Q308" s="45">
        <v>118</v>
      </c>
      <c r="R308" s="4" t="s">
        <v>8</v>
      </c>
      <c r="S308" s="5">
        <v>1</v>
      </c>
      <c r="T308" s="4" t="s">
        <v>378</v>
      </c>
      <c r="U308" s="5"/>
      <c r="V308" s="5">
        <v>19</v>
      </c>
      <c r="W308" s="4" t="s">
        <v>109</v>
      </c>
      <c r="X308" s="45">
        <v>118</v>
      </c>
      <c r="Y308" s="4" t="s">
        <v>300</v>
      </c>
      <c r="Z308" s="5"/>
      <c r="AA308" s="5">
        <v>1000000</v>
      </c>
      <c r="AB308" s="5">
        <v>1000000</v>
      </c>
      <c r="AC308" s="5">
        <v>0</v>
      </c>
      <c r="AD308" s="5">
        <v>1000000</v>
      </c>
      <c r="AE308" s="5">
        <v>0</v>
      </c>
      <c r="AF308" s="5">
        <v>1000000</v>
      </c>
      <c r="AG308" s="5"/>
    </row>
    <row r="309" spans="1:33" ht="51" x14ac:dyDescent="0.25">
      <c r="A309" s="4" t="s">
        <v>33</v>
      </c>
      <c r="B309" s="4" t="s">
        <v>103</v>
      </c>
      <c r="C309" s="4" t="s">
        <v>103</v>
      </c>
      <c r="D309" s="4" t="s">
        <v>104</v>
      </c>
      <c r="E309" s="4" t="s">
        <v>111</v>
      </c>
      <c r="F309" s="4" t="s">
        <v>112</v>
      </c>
      <c r="G309" s="4" t="s">
        <v>113</v>
      </c>
      <c r="H309" s="4" t="s">
        <v>110</v>
      </c>
      <c r="I309" s="4" t="s">
        <v>432</v>
      </c>
      <c r="J309" s="5"/>
      <c r="K309" s="5"/>
      <c r="L309" s="4" t="s">
        <v>433</v>
      </c>
      <c r="M309" s="5"/>
      <c r="N309" s="4" t="s">
        <v>107</v>
      </c>
      <c r="O309" s="45">
        <v>305</v>
      </c>
      <c r="P309" s="4" t="s">
        <v>129</v>
      </c>
      <c r="Q309" s="45">
        <v>305</v>
      </c>
      <c r="R309" s="4" t="s">
        <v>8</v>
      </c>
      <c r="S309" s="5">
        <v>1</v>
      </c>
      <c r="T309" s="4" t="s">
        <v>108</v>
      </c>
      <c r="U309" s="5"/>
      <c r="V309" s="5">
        <v>562</v>
      </c>
      <c r="W309" s="4" t="s">
        <v>109</v>
      </c>
      <c r="X309" s="45">
        <v>305</v>
      </c>
      <c r="Y309" s="4" t="s">
        <v>129</v>
      </c>
      <c r="Z309" s="5"/>
      <c r="AA309" s="5">
        <v>1000000</v>
      </c>
      <c r="AB309" s="5">
        <v>1000000</v>
      </c>
      <c r="AC309" s="5">
        <v>0</v>
      </c>
      <c r="AD309" s="5">
        <v>1000000</v>
      </c>
      <c r="AE309" s="5">
        <v>0</v>
      </c>
      <c r="AF309" s="5">
        <v>1000000</v>
      </c>
      <c r="AG309" s="5"/>
    </row>
    <row r="310" spans="1:33" ht="51" x14ac:dyDescent="0.25">
      <c r="A310" s="4" t="s">
        <v>33</v>
      </c>
      <c r="B310" s="4" t="s">
        <v>103</v>
      </c>
      <c r="C310" s="4" t="s">
        <v>103</v>
      </c>
      <c r="D310" s="4" t="s">
        <v>104</v>
      </c>
      <c r="E310" s="4" t="s">
        <v>111</v>
      </c>
      <c r="F310" s="4" t="s">
        <v>112</v>
      </c>
      <c r="G310" s="4" t="s">
        <v>113</v>
      </c>
      <c r="H310" s="4" t="s">
        <v>110</v>
      </c>
      <c r="I310" s="4" t="s">
        <v>432</v>
      </c>
      <c r="J310" s="5"/>
      <c r="K310" s="5"/>
      <c r="L310" s="4" t="s">
        <v>433</v>
      </c>
      <c r="M310" s="5"/>
      <c r="N310" s="4" t="s">
        <v>107</v>
      </c>
      <c r="O310" s="45">
        <v>73</v>
      </c>
      <c r="P310" s="4" t="s">
        <v>130</v>
      </c>
      <c r="Q310" s="45">
        <v>73</v>
      </c>
      <c r="R310" s="4" t="s">
        <v>8</v>
      </c>
      <c r="S310" s="5">
        <v>1</v>
      </c>
      <c r="T310" s="4" t="s">
        <v>108</v>
      </c>
      <c r="U310" s="5"/>
      <c r="V310" s="5">
        <v>429</v>
      </c>
      <c r="W310" s="4" t="s">
        <v>109</v>
      </c>
      <c r="X310" s="45">
        <v>73</v>
      </c>
      <c r="Y310" s="4" t="s">
        <v>130</v>
      </c>
      <c r="Z310" s="5"/>
      <c r="AA310" s="5">
        <v>1000000</v>
      </c>
      <c r="AB310" s="5">
        <v>1000000</v>
      </c>
      <c r="AC310" s="5">
        <v>0</v>
      </c>
      <c r="AD310" s="5">
        <v>1000000</v>
      </c>
      <c r="AE310" s="5">
        <v>0</v>
      </c>
      <c r="AF310" s="5">
        <v>1000000</v>
      </c>
      <c r="AG310" s="5"/>
    </row>
    <row r="311" spans="1:33" ht="51" x14ac:dyDescent="0.25">
      <c r="A311" s="4" t="s">
        <v>33</v>
      </c>
      <c r="B311" s="4" t="s">
        <v>103</v>
      </c>
      <c r="C311" s="4" t="s">
        <v>103</v>
      </c>
      <c r="D311" s="4" t="s">
        <v>104</v>
      </c>
      <c r="E311" s="4" t="s">
        <v>111</v>
      </c>
      <c r="F311" s="4" t="s">
        <v>112</v>
      </c>
      <c r="G311" s="4" t="s">
        <v>113</v>
      </c>
      <c r="H311" s="4" t="s">
        <v>110</v>
      </c>
      <c r="I311" s="4" t="s">
        <v>432</v>
      </c>
      <c r="J311" s="5"/>
      <c r="K311" s="5"/>
      <c r="L311" s="4" t="s">
        <v>433</v>
      </c>
      <c r="M311" s="5"/>
      <c r="N311" s="4" t="s">
        <v>107</v>
      </c>
      <c r="O311" s="45">
        <v>54</v>
      </c>
      <c r="P311" s="4" t="s">
        <v>532</v>
      </c>
      <c r="Q311" s="45">
        <v>54</v>
      </c>
      <c r="R311" s="4" t="s">
        <v>8</v>
      </c>
      <c r="S311" s="5">
        <v>1</v>
      </c>
      <c r="T311" s="4" t="s">
        <v>108</v>
      </c>
      <c r="U311" s="5"/>
      <c r="V311" s="5">
        <v>82</v>
      </c>
      <c r="W311" s="4" t="s">
        <v>109</v>
      </c>
      <c r="X311" s="45">
        <v>54</v>
      </c>
      <c r="Y311" s="4" t="s">
        <v>532</v>
      </c>
      <c r="Z311" s="4"/>
      <c r="AA311" s="5">
        <v>1000000</v>
      </c>
      <c r="AB311" s="5">
        <v>1000000</v>
      </c>
      <c r="AC311" s="5">
        <v>0</v>
      </c>
      <c r="AD311" s="5">
        <v>1000000</v>
      </c>
      <c r="AE311" s="5">
        <v>0</v>
      </c>
      <c r="AF311" s="5">
        <v>1000000</v>
      </c>
      <c r="AG311" s="5"/>
    </row>
    <row r="312" spans="1:33" ht="51" x14ac:dyDescent="0.25">
      <c r="A312" s="4" t="s">
        <v>33</v>
      </c>
      <c r="B312" s="4" t="s">
        <v>103</v>
      </c>
      <c r="C312" s="4" t="s">
        <v>103</v>
      </c>
      <c r="D312" s="4" t="s">
        <v>104</v>
      </c>
      <c r="E312" s="4" t="s">
        <v>111</v>
      </c>
      <c r="F312" s="4" t="s">
        <v>112</v>
      </c>
      <c r="G312" s="4" t="s">
        <v>113</v>
      </c>
      <c r="H312" s="4" t="s">
        <v>110</v>
      </c>
      <c r="I312" s="4" t="s">
        <v>432</v>
      </c>
      <c r="J312" s="5"/>
      <c r="K312" s="5"/>
      <c r="L312" s="4" t="s">
        <v>433</v>
      </c>
      <c r="M312" s="5"/>
      <c r="N312" s="4" t="s">
        <v>107</v>
      </c>
      <c r="O312" s="45">
        <v>111</v>
      </c>
      <c r="P312" s="4" t="s">
        <v>267</v>
      </c>
      <c r="Q312" s="45">
        <v>111</v>
      </c>
      <c r="R312" s="4" t="s">
        <v>8</v>
      </c>
      <c r="S312" s="5">
        <v>1</v>
      </c>
      <c r="T312" s="4" t="s">
        <v>108</v>
      </c>
      <c r="U312" s="5"/>
      <c r="V312" s="5">
        <v>26</v>
      </c>
      <c r="W312" s="4" t="s">
        <v>109</v>
      </c>
      <c r="X312" s="45">
        <v>111</v>
      </c>
      <c r="Y312" s="4" t="s">
        <v>267</v>
      </c>
      <c r="Z312" s="4"/>
      <c r="AA312" s="5">
        <v>1000000</v>
      </c>
      <c r="AB312" s="5">
        <v>1000000</v>
      </c>
      <c r="AC312" s="5">
        <v>0</v>
      </c>
      <c r="AD312" s="5">
        <v>1000000</v>
      </c>
      <c r="AE312" s="5">
        <v>0</v>
      </c>
      <c r="AF312" s="5">
        <v>1000000</v>
      </c>
      <c r="AG312" s="5"/>
    </row>
    <row r="313" spans="1:33" ht="51" x14ac:dyDescent="0.25">
      <c r="A313" s="4" t="s">
        <v>33</v>
      </c>
      <c r="B313" s="4" t="s">
        <v>103</v>
      </c>
      <c r="C313" s="4" t="s">
        <v>103</v>
      </c>
      <c r="D313" s="4" t="s">
        <v>104</v>
      </c>
      <c r="E313" s="4" t="s">
        <v>111</v>
      </c>
      <c r="F313" s="4" t="s">
        <v>112</v>
      </c>
      <c r="G313" s="4" t="s">
        <v>113</v>
      </c>
      <c r="H313" s="4" t="s">
        <v>110</v>
      </c>
      <c r="I313" s="4" t="s">
        <v>432</v>
      </c>
      <c r="J313" s="5"/>
      <c r="K313" s="5"/>
      <c r="L313" s="4" t="s">
        <v>433</v>
      </c>
      <c r="M313" s="5"/>
      <c r="N313" s="4" t="s">
        <v>107</v>
      </c>
      <c r="O313" s="45">
        <v>128</v>
      </c>
      <c r="P313" s="4" t="s">
        <v>353</v>
      </c>
      <c r="Q313" s="45">
        <v>128</v>
      </c>
      <c r="R313" s="4" t="s">
        <v>8</v>
      </c>
      <c r="S313" s="5">
        <v>1</v>
      </c>
      <c r="T313" s="4" t="s">
        <v>108</v>
      </c>
      <c r="U313" s="5"/>
      <c r="V313" s="5">
        <v>9</v>
      </c>
      <c r="W313" s="4" t="s">
        <v>109</v>
      </c>
      <c r="X313" s="45">
        <v>128</v>
      </c>
      <c r="Y313" s="4" t="s">
        <v>353</v>
      </c>
      <c r="Z313" s="4"/>
      <c r="AA313" s="5">
        <v>1000000</v>
      </c>
      <c r="AB313" s="5">
        <v>1000000</v>
      </c>
      <c r="AC313" s="5">
        <v>0</v>
      </c>
      <c r="AD313" s="5">
        <v>1000000</v>
      </c>
      <c r="AE313" s="5">
        <v>0</v>
      </c>
      <c r="AF313" s="5">
        <v>1000000</v>
      </c>
      <c r="AG313" s="5"/>
    </row>
    <row r="314" spans="1:33" ht="140.25" x14ac:dyDescent="0.25">
      <c r="A314" s="4" t="s">
        <v>33</v>
      </c>
      <c r="B314" s="5"/>
      <c r="C314" s="4" t="s">
        <v>103</v>
      </c>
      <c r="D314" s="4" t="s">
        <v>104</v>
      </c>
      <c r="E314" s="5"/>
      <c r="F314" s="4" t="s">
        <v>112</v>
      </c>
      <c r="G314" s="4" t="s">
        <v>113</v>
      </c>
      <c r="H314" s="4" t="s">
        <v>110</v>
      </c>
      <c r="I314" s="4" t="s">
        <v>432</v>
      </c>
      <c r="J314" s="5"/>
      <c r="K314" s="5"/>
      <c r="L314" s="4" t="s">
        <v>433</v>
      </c>
      <c r="M314" s="5"/>
      <c r="N314" s="4" t="s">
        <v>107</v>
      </c>
      <c r="O314" s="45">
        <v>152</v>
      </c>
      <c r="P314" s="4" t="s">
        <v>131</v>
      </c>
      <c r="Q314" s="45">
        <v>152</v>
      </c>
      <c r="R314" s="4" t="s">
        <v>8</v>
      </c>
      <c r="S314" s="5">
        <v>1</v>
      </c>
      <c r="T314" s="4" t="s">
        <v>132</v>
      </c>
      <c r="U314" s="5"/>
      <c r="V314" s="5">
        <v>350</v>
      </c>
      <c r="W314" s="4" t="s">
        <v>109</v>
      </c>
      <c r="X314" s="5"/>
      <c r="Y314" s="5"/>
      <c r="Z314" s="5"/>
      <c r="AA314" s="5">
        <v>1000000</v>
      </c>
      <c r="AB314" s="5">
        <v>1000000</v>
      </c>
      <c r="AC314" s="5">
        <v>0</v>
      </c>
      <c r="AD314" s="5">
        <v>1000000</v>
      </c>
      <c r="AE314" s="5">
        <v>0</v>
      </c>
      <c r="AF314" s="5">
        <v>1000000</v>
      </c>
      <c r="AG314" s="5"/>
    </row>
    <row r="315" spans="1:33" ht="140.25" x14ac:dyDescent="0.25">
      <c r="A315" s="4" t="s">
        <v>33</v>
      </c>
      <c r="B315" s="5"/>
      <c r="C315" s="4" t="s">
        <v>103</v>
      </c>
      <c r="D315" s="4" t="s">
        <v>104</v>
      </c>
      <c r="E315" s="4" t="s">
        <v>105</v>
      </c>
      <c r="F315" s="4" t="s">
        <v>112</v>
      </c>
      <c r="G315" s="4" t="s">
        <v>113</v>
      </c>
      <c r="H315" s="4" t="s">
        <v>110</v>
      </c>
      <c r="I315" s="4" t="s">
        <v>432</v>
      </c>
      <c r="J315" s="5"/>
      <c r="K315" s="5"/>
      <c r="L315" s="4" t="s">
        <v>433</v>
      </c>
      <c r="M315" s="5"/>
      <c r="N315" s="4" t="s">
        <v>107</v>
      </c>
      <c r="O315" s="45">
        <v>182</v>
      </c>
      <c r="P315" s="4" t="s">
        <v>174</v>
      </c>
      <c r="Q315" s="45">
        <v>182</v>
      </c>
      <c r="R315" s="4" t="s">
        <v>8</v>
      </c>
      <c r="S315" s="5">
        <v>1</v>
      </c>
      <c r="T315" s="4" t="s">
        <v>173</v>
      </c>
      <c r="U315" s="5"/>
      <c r="V315" s="5">
        <v>320</v>
      </c>
      <c r="W315" s="4" t="s">
        <v>109</v>
      </c>
      <c r="X315" s="5"/>
      <c r="Y315" s="5"/>
      <c r="Z315" s="5"/>
      <c r="AA315" s="5">
        <v>1000000</v>
      </c>
      <c r="AB315" s="5">
        <v>1000000</v>
      </c>
      <c r="AC315" s="5">
        <v>0</v>
      </c>
      <c r="AD315" s="5">
        <v>1000000</v>
      </c>
      <c r="AE315" s="5">
        <v>0</v>
      </c>
      <c r="AF315" s="5">
        <v>1000000</v>
      </c>
      <c r="AG315" s="5"/>
    </row>
    <row r="316" spans="1:33" ht="140.25" x14ac:dyDescent="0.25">
      <c r="A316" s="4" t="s">
        <v>33</v>
      </c>
      <c r="B316" s="5"/>
      <c r="C316" s="4" t="s">
        <v>103</v>
      </c>
      <c r="D316" s="4" t="s">
        <v>104</v>
      </c>
      <c r="E316" s="4" t="s">
        <v>105</v>
      </c>
      <c r="F316" s="4" t="s">
        <v>112</v>
      </c>
      <c r="G316" s="4" t="s">
        <v>113</v>
      </c>
      <c r="H316" s="4" t="s">
        <v>110</v>
      </c>
      <c r="I316" s="4" t="s">
        <v>432</v>
      </c>
      <c r="J316" s="5"/>
      <c r="K316" s="5"/>
      <c r="L316" s="4" t="s">
        <v>433</v>
      </c>
      <c r="M316" s="5"/>
      <c r="N316" s="4" t="s">
        <v>107</v>
      </c>
      <c r="O316" s="45">
        <v>213</v>
      </c>
      <c r="P316" s="4" t="s">
        <v>181</v>
      </c>
      <c r="Q316" s="45">
        <v>213</v>
      </c>
      <c r="R316" s="4" t="s">
        <v>8</v>
      </c>
      <c r="S316" s="5">
        <v>1</v>
      </c>
      <c r="T316" s="4" t="s">
        <v>379</v>
      </c>
      <c r="U316" s="5"/>
      <c r="V316" s="5">
        <v>289</v>
      </c>
      <c r="W316" s="4" t="s">
        <v>109</v>
      </c>
      <c r="X316" s="5"/>
      <c r="Y316" s="5"/>
      <c r="Z316" s="5"/>
      <c r="AA316" s="5">
        <v>1000000</v>
      </c>
      <c r="AB316" s="5">
        <v>1000000</v>
      </c>
      <c r="AC316" s="5">
        <v>0</v>
      </c>
      <c r="AD316" s="5">
        <v>1000000</v>
      </c>
      <c r="AE316" s="5">
        <v>0</v>
      </c>
      <c r="AF316" s="5">
        <v>1000000</v>
      </c>
      <c r="AG316" s="5"/>
    </row>
    <row r="317" spans="1:33" ht="178.5" x14ac:dyDescent="0.25">
      <c r="A317" s="4" t="s">
        <v>34</v>
      </c>
      <c r="B317" s="4" t="s">
        <v>103</v>
      </c>
      <c r="C317" s="4" t="s">
        <v>103</v>
      </c>
      <c r="D317" s="4" t="s">
        <v>104</v>
      </c>
      <c r="E317" s="4" t="s">
        <v>105</v>
      </c>
      <c r="F317" s="4" t="s">
        <v>112</v>
      </c>
      <c r="G317" s="4" t="s">
        <v>113</v>
      </c>
      <c r="H317" s="4" t="s">
        <v>110</v>
      </c>
      <c r="I317" s="4" t="s">
        <v>432</v>
      </c>
      <c r="J317" s="5"/>
      <c r="K317" s="5"/>
      <c r="L317" s="4" t="s">
        <v>433</v>
      </c>
      <c r="M317" s="5"/>
      <c r="N317" s="4" t="s">
        <v>107</v>
      </c>
      <c r="O317" s="45">
        <v>269</v>
      </c>
      <c r="P317" s="4" t="s">
        <v>133</v>
      </c>
      <c r="Q317" s="45">
        <v>269</v>
      </c>
      <c r="R317" s="4" t="s">
        <v>8</v>
      </c>
      <c r="S317" s="5">
        <v>1</v>
      </c>
      <c r="T317" s="4" t="s">
        <v>126</v>
      </c>
      <c r="U317" s="5"/>
      <c r="V317" s="5">
        <v>598</v>
      </c>
      <c r="W317" s="4" t="s">
        <v>109</v>
      </c>
      <c r="X317" s="4" t="s">
        <v>134</v>
      </c>
      <c r="Y317" s="4" t="s">
        <v>135</v>
      </c>
      <c r="Z317" s="5"/>
      <c r="AA317" s="5">
        <v>1000000</v>
      </c>
      <c r="AB317" s="5">
        <v>1000000</v>
      </c>
      <c r="AC317" s="5">
        <v>0</v>
      </c>
      <c r="AD317" s="5">
        <v>1000000</v>
      </c>
      <c r="AE317" s="5">
        <v>0</v>
      </c>
      <c r="AF317" s="5">
        <v>1000000</v>
      </c>
      <c r="AG317" s="5"/>
    </row>
    <row r="318" spans="1:33" ht="63.75" x14ac:dyDescent="0.25">
      <c r="A318" s="4" t="s">
        <v>34</v>
      </c>
      <c r="B318" s="4" t="s">
        <v>103</v>
      </c>
      <c r="C318" s="4" t="s">
        <v>103</v>
      </c>
      <c r="D318" s="4" t="s">
        <v>104</v>
      </c>
      <c r="E318" s="4" t="s">
        <v>105</v>
      </c>
      <c r="F318" s="4" t="s">
        <v>112</v>
      </c>
      <c r="G318" s="4" t="s">
        <v>113</v>
      </c>
      <c r="H318" s="4" t="s">
        <v>110</v>
      </c>
      <c r="I318" s="4" t="s">
        <v>432</v>
      </c>
      <c r="J318" s="5"/>
      <c r="K318" s="5"/>
      <c r="L318" s="4" t="s">
        <v>433</v>
      </c>
      <c r="M318" s="5"/>
      <c r="N318" s="4" t="s">
        <v>107</v>
      </c>
      <c r="O318" s="45">
        <v>128</v>
      </c>
      <c r="P318" s="4" t="s">
        <v>354</v>
      </c>
      <c r="Q318" s="45">
        <v>128</v>
      </c>
      <c r="R318" s="4" t="s">
        <v>8</v>
      </c>
      <c r="S318" s="5">
        <v>1</v>
      </c>
      <c r="T318" s="4" t="s">
        <v>108</v>
      </c>
      <c r="U318" s="5"/>
      <c r="V318" s="5">
        <v>9</v>
      </c>
      <c r="W318" s="4" t="s">
        <v>109</v>
      </c>
      <c r="X318" s="4" t="s">
        <v>338</v>
      </c>
      <c r="Y318" s="4" t="s">
        <v>354</v>
      </c>
      <c r="Z318" s="4"/>
      <c r="AA318" s="5">
        <v>1000000</v>
      </c>
      <c r="AB318" s="5">
        <v>1000000</v>
      </c>
      <c r="AC318" s="5">
        <v>0</v>
      </c>
      <c r="AD318" s="5">
        <v>1000000</v>
      </c>
      <c r="AE318" s="5">
        <v>0</v>
      </c>
      <c r="AF318" s="5">
        <v>1000000</v>
      </c>
      <c r="AG318" s="5"/>
    </row>
    <row r="319" spans="1:33" ht="178.5" x14ac:dyDescent="0.25">
      <c r="A319" s="4" t="s">
        <v>44</v>
      </c>
      <c r="B319" s="4" t="s">
        <v>103</v>
      </c>
      <c r="C319" s="4" t="s">
        <v>103</v>
      </c>
      <c r="D319" s="4" t="s">
        <v>104</v>
      </c>
      <c r="E319" s="4" t="s">
        <v>105</v>
      </c>
      <c r="F319" s="4" t="s">
        <v>112</v>
      </c>
      <c r="G319" s="4" t="s">
        <v>113</v>
      </c>
      <c r="H319" s="4" t="s">
        <v>103</v>
      </c>
      <c r="I319" s="4" t="s">
        <v>432</v>
      </c>
      <c r="J319" s="5"/>
      <c r="K319" s="5"/>
      <c r="L319" s="4" t="s">
        <v>433</v>
      </c>
      <c r="M319" s="5"/>
      <c r="N319" s="4" t="s">
        <v>107</v>
      </c>
      <c r="O319" s="45">
        <v>269</v>
      </c>
      <c r="P319" s="4" t="s">
        <v>136</v>
      </c>
      <c r="Q319" s="45">
        <v>269</v>
      </c>
      <c r="R319" s="4" t="s">
        <v>8</v>
      </c>
      <c r="S319" s="5">
        <v>1</v>
      </c>
      <c r="T319" s="4" t="s">
        <v>126</v>
      </c>
      <c r="U319" s="5"/>
      <c r="V319" s="5">
        <v>598</v>
      </c>
      <c r="W319" s="4" t="s">
        <v>109</v>
      </c>
      <c r="X319" s="4" t="s">
        <v>137</v>
      </c>
      <c r="Y319" s="4" t="s">
        <v>138</v>
      </c>
      <c r="Z319" s="5"/>
      <c r="AA319" s="5">
        <v>1000000</v>
      </c>
      <c r="AB319" s="5">
        <v>1000000</v>
      </c>
      <c r="AC319" s="5">
        <v>0</v>
      </c>
      <c r="AD319" s="5">
        <v>1000000</v>
      </c>
      <c r="AE319" s="5">
        <v>0</v>
      </c>
      <c r="AF319" s="5">
        <v>1000000</v>
      </c>
      <c r="AG319" s="5"/>
    </row>
    <row r="320" spans="1:33" ht="178.5" x14ac:dyDescent="0.25">
      <c r="A320" s="4" t="s">
        <v>44</v>
      </c>
      <c r="B320" s="4" t="s">
        <v>103</v>
      </c>
      <c r="C320" s="4" t="s">
        <v>103</v>
      </c>
      <c r="D320" s="4" t="s">
        <v>104</v>
      </c>
      <c r="E320" s="4" t="s">
        <v>105</v>
      </c>
      <c r="F320" s="4" t="s">
        <v>112</v>
      </c>
      <c r="G320" s="4" t="s">
        <v>113</v>
      </c>
      <c r="H320" s="4" t="s">
        <v>103</v>
      </c>
      <c r="I320" s="4" t="s">
        <v>432</v>
      </c>
      <c r="J320" s="5"/>
      <c r="K320" s="5"/>
      <c r="L320" s="4" t="s">
        <v>433</v>
      </c>
      <c r="M320" s="5"/>
      <c r="N320" s="4" t="s">
        <v>107</v>
      </c>
      <c r="O320" s="45">
        <v>269</v>
      </c>
      <c r="P320" s="4" t="s">
        <v>139</v>
      </c>
      <c r="Q320" s="45">
        <v>269</v>
      </c>
      <c r="R320" s="4" t="s">
        <v>8</v>
      </c>
      <c r="S320" s="5">
        <v>1</v>
      </c>
      <c r="T320" s="4" t="s">
        <v>126</v>
      </c>
      <c r="U320" s="5"/>
      <c r="V320" s="5">
        <v>598</v>
      </c>
      <c r="W320" s="4" t="s">
        <v>109</v>
      </c>
      <c r="X320" s="4" t="s">
        <v>140</v>
      </c>
      <c r="Y320" s="4" t="s">
        <v>141</v>
      </c>
      <c r="Z320" s="5"/>
      <c r="AA320" s="5">
        <v>1000000</v>
      </c>
      <c r="AB320" s="5">
        <v>1000000</v>
      </c>
      <c r="AC320" s="5">
        <v>0</v>
      </c>
      <c r="AD320" s="5">
        <v>1000000</v>
      </c>
      <c r="AE320" s="5">
        <v>0</v>
      </c>
      <c r="AF320" s="5">
        <v>1000000</v>
      </c>
      <c r="AG320" s="5"/>
    </row>
    <row r="321" spans="1:33" ht="51" x14ac:dyDescent="0.25">
      <c r="A321" s="4" t="s">
        <v>44</v>
      </c>
      <c r="B321" s="4" t="s">
        <v>103</v>
      </c>
      <c r="C321" s="4" t="s">
        <v>103</v>
      </c>
      <c r="D321" s="4" t="s">
        <v>104</v>
      </c>
      <c r="E321" s="4" t="s">
        <v>105</v>
      </c>
      <c r="F321" s="4" t="s">
        <v>112</v>
      </c>
      <c r="G321" s="4" t="s">
        <v>113</v>
      </c>
      <c r="H321" s="4" t="s">
        <v>103</v>
      </c>
      <c r="I321" s="4" t="s">
        <v>432</v>
      </c>
      <c r="J321" s="5"/>
      <c r="K321" s="5"/>
      <c r="L321" s="4" t="s">
        <v>433</v>
      </c>
      <c r="M321" s="5"/>
      <c r="N321" s="4" t="s">
        <v>107</v>
      </c>
      <c r="O321" s="45">
        <v>134</v>
      </c>
      <c r="P321" s="4" t="s">
        <v>427</v>
      </c>
      <c r="Q321" s="45">
        <v>134</v>
      </c>
      <c r="R321" s="4" t="s">
        <v>8</v>
      </c>
      <c r="S321" s="5">
        <v>1</v>
      </c>
      <c r="T321" s="4" t="s">
        <v>108</v>
      </c>
      <c r="U321" s="5"/>
      <c r="V321" s="5">
        <v>3</v>
      </c>
      <c r="W321" s="4" t="s">
        <v>109</v>
      </c>
      <c r="X321" s="4" t="s">
        <v>412</v>
      </c>
      <c r="Y321" s="4" t="s">
        <v>427</v>
      </c>
      <c r="Z321" s="5"/>
      <c r="AA321" s="5">
        <v>1000000</v>
      </c>
      <c r="AB321" s="5">
        <v>1000000</v>
      </c>
      <c r="AC321" s="5">
        <v>0</v>
      </c>
      <c r="AD321" s="5">
        <v>1000000</v>
      </c>
      <c r="AE321" s="5">
        <v>0</v>
      </c>
      <c r="AF321" s="5">
        <v>1000000</v>
      </c>
      <c r="AG321" s="5"/>
    </row>
    <row r="322" spans="1:33" ht="51" x14ac:dyDescent="0.25">
      <c r="A322" s="4" t="s">
        <v>44</v>
      </c>
      <c r="B322" s="4" t="s">
        <v>103</v>
      </c>
      <c r="C322" s="4" t="s">
        <v>103</v>
      </c>
      <c r="D322" s="4" t="s">
        <v>104</v>
      </c>
      <c r="E322" s="4" t="s">
        <v>105</v>
      </c>
      <c r="F322" s="4" t="s">
        <v>112</v>
      </c>
      <c r="G322" s="4" t="s">
        <v>113</v>
      </c>
      <c r="H322" s="4" t="s">
        <v>103</v>
      </c>
      <c r="I322" s="4" t="s">
        <v>432</v>
      </c>
      <c r="J322" s="5"/>
      <c r="K322" s="5"/>
      <c r="L322" s="4" t="s">
        <v>433</v>
      </c>
      <c r="M322" s="5"/>
      <c r="N322" s="4" t="s">
        <v>107</v>
      </c>
      <c r="O322" s="45">
        <v>134</v>
      </c>
      <c r="P322" s="4" t="s">
        <v>428</v>
      </c>
      <c r="Q322" s="45">
        <v>134</v>
      </c>
      <c r="R322" s="4" t="s">
        <v>8</v>
      </c>
      <c r="S322" s="5">
        <v>1</v>
      </c>
      <c r="T322" s="4" t="s">
        <v>108</v>
      </c>
      <c r="U322" s="5"/>
      <c r="V322" s="5">
        <v>3</v>
      </c>
      <c r="W322" s="4" t="s">
        <v>109</v>
      </c>
      <c r="X322" s="4" t="s">
        <v>412</v>
      </c>
      <c r="Y322" s="4" t="s">
        <v>428</v>
      </c>
      <c r="Z322" s="5"/>
      <c r="AA322" s="5">
        <v>1000000</v>
      </c>
      <c r="AB322" s="5">
        <v>1000000</v>
      </c>
      <c r="AC322" s="5">
        <v>0</v>
      </c>
      <c r="AD322" s="5">
        <v>1000000</v>
      </c>
      <c r="AE322" s="5">
        <v>0</v>
      </c>
      <c r="AF322" s="5">
        <v>1000000</v>
      </c>
      <c r="AG322" s="5"/>
    </row>
    <row r="323" spans="1:33" ht="51" x14ac:dyDescent="0.25">
      <c r="A323" s="4" t="s">
        <v>44</v>
      </c>
      <c r="B323" s="4" t="s">
        <v>103</v>
      </c>
      <c r="C323" s="4" t="s">
        <v>103</v>
      </c>
      <c r="D323" s="4" t="s">
        <v>104</v>
      </c>
      <c r="E323" s="4" t="s">
        <v>105</v>
      </c>
      <c r="F323" s="4" t="s">
        <v>112</v>
      </c>
      <c r="G323" s="4" t="s">
        <v>113</v>
      </c>
      <c r="H323" s="4" t="s">
        <v>103</v>
      </c>
      <c r="I323" s="4" t="s">
        <v>432</v>
      </c>
      <c r="J323" s="5"/>
      <c r="K323" s="5"/>
      <c r="L323" s="4" t="s">
        <v>433</v>
      </c>
      <c r="M323" s="5"/>
      <c r="N323" s="4" t="s">
        <v>107</v>
      </c>
      <c r="O323" s="45">
        <v>135</v>
      </c>
      <c r="P323" s="4" t="s">
        <v>429</v>
      </c>
      <c r="Q323" s="45">
        <v>135</v>
      </c>
      <c r="R323" s="4" t="s">
        <v>8</v>
      </c>
      <c r="S323" s="5">
        <v>1</v>
      </c>
      <c r="T323" s="4" t="s">
        <v>108</v>
      </c>
      <c r="U323" s="5"/>
      <c r="V323" s="5">
        <v>2</v>
      </c>
      <c r="W323" s="4" t="s">
        <v>109</v>
      </c>
      <c r="X323" s="4" t="s">
        <v>415</v>
      </c>
      <c r="Y323" s="4" t="s">
        <v>429</v>
      </c>
      <c r="Z323" s="5"/>
      <c r="AA323" s="5">
        <v>1000000</v>
      </c>
      <c r="AB323" s="5">
        <v>1000000</v>
      </c>
      <c r="AC323" s="5">
        <v>0</v>
      </c>
      <c r="AD323" s="5">
        <v>1000000</v>
      </c>
      <c r="AE323" s="5">
        <v>0</v>
      </c>
      <c r="AF323" s="5">
        <v>1000000</v>
      </c>
      <c r="AG323" s="5"/>
    </row>
    <row r="324" spans="1:33" ht="25.5" x14ac:dyDescent="0.25">
      <c r="A324" s="4" t="s">
        <v>66</v>
      </c>
      <c r="B324" s="4" t="s">
        <v>103</v>
      </c>
      <c r="C324" s="4" t="s">
        <v>103</v>
      </c>
      <c r="D324" s="4" t="s">
        <v>104</v>
      </c>
      <c r="E324" s="4" t="s">
        <v>105</v>
      </c>
      <c r="F324" s="4" t="s">
        <v>112</v>
      </c>
      <c r="G324" s="4" t="s">
        <v>113</v>
      </c>
      <c r="H324" s="4" t="s">
        <v>103</v>
      </c>
      <c r="I324" s="4" t="s">
        <v>432</v>
      </c>
      <c r="J324" s="5"/>
      <c r="K324" s="5"/>
      <c r="L324" s="4" t="s">
        <v>433</v>
      </c>
      <c r="M324" s="5"/>
      <c r="N324" s="4" t="s">
        <v>107</v>
      </c>
      <c r="O324" s="45">
        <v>27</v>
      </c>
      <c r="P324" s="4" t="s">
        <v>142</v>
      </c>
      <c r="Q324" s="45">
        <v>27</v>
      </c>
      <c r="R324" s="4" t="s">
        <v>8</v>
      </c>
      <c r="S324" s="5">
        <v>1</v>
      </c>
      <c r="T324" s="4" t="s">
        <v>108</v>
      </c>
      <c r="U324" s="5"/>
      <c r="V324" s="5">
        <v>474</v>
      </c>
      <c r="W324" s="4" t="s">
        <v>109</v>
      </c>
      <c r="X324" s="4" t="s">
        <v>143</v>
      </c>
      <c r="Y324" s="4" t="s">
        <v>142</v>
      </c>
      <c r="Z324" s="5"/>
      <c r="AA324" s="5">
        <v>1000000</v>
      </c>
      <c r="AB324" s="5">
        <v>1000000</v>
      </c>
      <c r="AC324" s="5">
        <v>0</v>
      </c>
      <c r="AD324" s="5">
        <v>1000000</v>
      </c>
      <c r="AE324" s="5">
        <v>0</v>
      </c>
      <c r="AF324" s="5">
        <v>1000000</v>
      </c>
      <c r="AG324" s="5"/>
    </row>
    <row r="325" spans="1:33" ht="25.5" x14ac:dyDescent="0.25">
      <c r="A325" s="4" t="s">
        <v>66</v>
      </c>
      <c r="B325" s="4" t="s">
        <v>103</v>
      </c>
      <c r="C325" s="4" t="s">
        <v>103</v>
      </c>
      <c r="D325" s="4" t="s">
        <v>104</v>
      </c>
      <c r="E325" s="4" t="s">
        <v>105</v>
      </c>
      <c r="F325" s="4" t="s">
        <v>112</v>
      </c>
      <c r="G325" s="4" t="s">
        <v>113</v>
      </c>
      <c r="H325" s="4" t="s">
        <v>103</v>
      </c>
      <c r="I325" s="4" t="s">
        <v>432</v>
      </c>
      <c r="J325" s="5"/>
      <c r="K325" s="5"/>
      <c r="L325" s="4" t="s">
        <v>433</v>
      </c>
      <c r="M325" s="5"/>
      <c r="N325" s="4" t="s">
        <v>107</v>
      </c>
      <c r="O325" s="45">
        <v>201</v>
      </c>
      <c r="P325" s="4" t="s">
        <v>533</v>
      </c>
      <c r="Q325" s="45">
        <v>201</v>
      </c>
      <c r="R325" s="4" t="s">
        <v>8</v>
      </c>
      <c r="S325" s="5">
        <v>1</v>
      </c>
      <c r="T325" s="4" t="s">
        <v>108</v>
      </c>
      <c r="U325" s="5"/>
      <c r="V325" s="5">
        <v>301</v>
      </c>
      <c r="W325" s="4" t="s">
        <v>109</v>
      </c>
      <c r="X325" s="4" t="s">
        <v>115</v>
      </c>
      <c r="Y325" s="4" t="s">
        <v>182</v>
      </c>
      <c r="Z325" s="5"/>
      <c r="AA325" s="5">
        <v>1000000</v>
      </c>
      <c r="AB325" s="5">
        <v>1000000</v>
      </c>
      <c r="AC325" s="5">
        <v>0</v>
      </c>
      <c r="AD325" s="5">
        <v>1000000</v>
      </c>
      <c r="AE325" s="5">
        <v>0</v>
      </c>
      <c r="AF325" s="5">
        <v>1000000</v>
      </c>
      <c r="AG325" s="5"/>
    </row>
    <row r="326" spans="1:33" ht="51" x14ac:dyDescent="0.25">
      <c r="A326" s="4" t="s">
        <v>74</v>
      </c>
      <c r="B326" s="4" t="s">
        <v>103</v>
      </c>
      <c r="C326" s="4" t="s">
        <v>103</v>
      </c>
      <c r="D326" s="4" t="s">
        <v>104</v>
      </c>
      <c r="E326" s="4" t="s">
        <v>105</v>
      </c>
      <c r="F326" s="4" t="s">
        <v>112</v>
      </c>
      <c r="G326" s="4" t="s">
        <v>113</v>
      </c>
      <c r="H326" s="4" t="s">
        <v>103</v>
      </c>
      <c r="I326" s="4" t="s">
        <v>432</v>
      </c>
      <c r="J326" s="5"/>
      <c r="K326" s="5"/>
      <c r="L326" s="4" t="s">
        <v>433</v>
      </c>
      <c r="M326" s="5"/>
      <c r="N326" s="4" t="s">
        <v>107</v>
      </c>
      <c r="O326" s="45">
        <v>123</v>
      </c>
      <c r="P326" s="4" t="s">
        <v>312</v>
      </c>
      <c r="Q326" s="45">
        <v>123</v>
      </c>
      <c r="R326" s="4" t="s">
        <v>8</v>
      </c>
      <c r="S326" s="5">
        <v>1</v>
      </c>
      <c r="T326" s="4" t="s">
        <v>108</v>
      </c>
      <c r="U326" s="5"/>
      <c r="V326" s="5">
        <v>14</v>
      </c>
      <c r="W326" s="4" t="s">
        <v>109</v>
      </c>
      <c r="X326" s="4" t="s">
        <v>309</v>
      </c>
      <c r="Y326" s="4" t="s">
        <v>312</v>
      </c>
      <c r="Z326" s="4"/>
      <c r="AA326" s="5">
        <v>1000000</v>
      </c>
      <c r="AB326" s="5">
        <v>1000000</v>
      </c>
      <c r="AC326" s="5">
        <v>0</v>
      </c>
      <c r="AD326" s="5">
        <v>1000000</v>
      </c>
      <c r="AE326" s="5">
        <v>0</v>
      </c>
      <c r="AF326" s="5">
        <v>1000000</v>
      </c>
      <c r="AG326" s="5"/>
    </row>
    <row r="327" spans="1:33" ht="38.25" x14ac:dyDescent="0.25">
      <c r="A327" s="4" t="s">
        <v>35</v>
      </c>
      <c r="B327" s="4" t="s">
        <v>103</v>
      </c>
      <c r="C327" s="4" t="s">
        <v>103</v>
      </c>
      <c r="D327" s="4" t="s">
        <v>104</v>
      </c>
      <c r="E327" s="4" t="s">
        <v>111</v>
      </c>
      <c r="F327" s="4" t="s">
        <v>112</v>
      </c>
      <c r="G327" s="4" t="s">
        <v>113</v>
      </c>
      <c r="H327" s="4" t="s">
        <v>110</v>
      </c>
      <c r="I327" s="4" t="s">
        <v>432</v>
      </c>
      <c r="J327" s="5"/>
      <c r="K327" s="5"/>
      <c r="L327" s="4" t="s">
        <v>433</v>
      </c>
      <c r="M327" s="5"/>
      <c r="N327" s="4" t="s">
        <v>107</v>
      </c>
      <c r="O327" s="45">
        <v>266</v>
      </c>
      <c r="P327" s="4" t="s">
        <v>144</v>
      </c>
      <c r="Q327" s="45">
        <v>266</v>
      </c>
      <c r="R327" s="4" t="s">
        <v>8</v>
      </c>
      <c r="S327" s="5">
        <v>1</v>
      </c>
      <c r="T327" s="4" t="s">
        <v>108</v>
      </c>
      <c r="U327" s="5"/>
      <c r="V327" s="5">
        <v>601</v>
      </c>
      <c r="W327" s="4" t="s">
        <v>109</v>
      </c>
      <c r="X327" s="4" t="s">
        <v>145</v>
      </c>
      <c r="Y327" s="4" t="s">
        <v>144</v>
      </c>
      <c r="Z327" s="5"/>
      <c r="AA327" s="5">
        <v>1000000</v>
      </c>
      <c r="AB327" s="5">
        <v>1000000</v>
      </c>
      <c r="AC327" s="5">
        <v>0</v>
      </c>
      <c r="AD327" s="5">
        <v>1000000</v>
      </c>
      <c r="AE327" s="5">
        <v>0</v>
      </c>
      <c r="AF327" s="5">
        <v>1000000</v>
      </c>
      <c r="AG327" s="5"/>
    </row>
    <row r="328" spans="1:33" ht="38.25" x14ac:dyDescent="0.25">
      <c r="A328" s="4" t="s">
        <v>35</v>
      </c>
      <c r="B328" s="4" t="s">
        <v>103</v>
      </c>
      <c r="C328" s="4" t="s">
        <v>103</v>
      </c>
      <c r="D328" s="4" t="s">
        <v>104</v>
      </c>
      <c r="E328" s="4" t="s">
        <v>111</v>
      </c>
      <c r="F328" s="4" t="s">
        <v>112</v>
      </c>
      <c r="G328" s="4" t="s">
        <v>113</v>
      </c>
      <c r="H328" s="4" t="s">
        <v>110</v>
      </c>
      <c r="I328" s="4" t="s">
        <v>432</v>
      </c>
      <c r="J328" s="5"/>
      <c r="K328" s="5"/>
      <c r="L328" s="4" t="s">
        <v>433</v>
      </c>
      <c r="M328" s="5"/>
      <c r="N328" s="4" t="s">
        <v>107</v>
      </c>
      <c r="O328" s="45">
        <v>6</v>
      </c>
      <c r="P328" s="4" t="s">
        <v>146</v>
      </c>
      <c r="Q328" s="45">
        <v>6</v>
      </c>
      <c r="R328" s="4" t="s">
        <v>8</v>
      </c>
      <c r="S328" s="5">
        <v>1</v>
      </c>
      <c r="T328" s="4" t="s">
        <v>108</v>
      </c>
      <c r="U328" s="5"/>
      <c r="V328" s="5">
        <v>495</v>
      </c>
      <c r="W328" s="4" t="s">
        <v>109</v>
      </c>
      <c r="X328" s="4" t="s">
        <v>147</v>
      </c>
      <c r="Y328" s="4" t="s">
        <v>146</v>
      </c>
      <c r="Z328" s="5"/>
      <c r="AA328" s="5">
        <v>1000000</v>
      </c>
      <c r="AB328" s="5">
        <v>1000000</v>
      </c>
      <c r="AC328" s="5">
        <v>0</v>
      </c>
      <c r="AD328" s="5">
        <v>1000000</v>
      </c>
      <c r="AE328" s="5">
        <v>0</v>
      </c>
      <c r="AF328" s="5">
        <v>1000000</v>
      </c>
      <c r="AG328" s="5"/>
    </row>
    <row r="329" spans="1:33" ht="38.25" x14ac:dyDescent="0.25">
      <c r="A329" s="4" t="s">
        <v>35</v>
      </c>
      <c r="B329" s="4" t="s">
        <v>103</v>
      </c>
      <c r="C329" s="4" t="s">
        <v>103</v>
      </c>
      <c r="D329" s="4" t="s">
        <v>104</v>
      </c>
      <c r="E329" s="4" t="s">
        <v>111</v>
      </c>
      <c r="F329" s="4" t="s">
        <v>112</v>
      </c>
      <c r="G329" s="4" t="s">
        <v>113</v>
      </c>
      <c r="H329" s="4" t="s">
        <v>110</v>
      </c>
      <c r="I329" s="4" t="s">
        <v>432</v>
      </c>
      <c r="J329" s="5"/>
      <c r="K329" s="5"/>
      <c r="L329" s="4" t="s">
        <v>433</v>
      </c>
      <c r="M329" s="5"/>
      <c r="N329" s="4" t="s">
        <v>107</v>
      </c>
      <c r="O329" s="45">
        <v>231</v>
      </c>
      <c r="P329" s="4" t="s">
        <v>534</v>
      </c>
      <c r="Q329" s="45">
        <v>231</v>
      </c>
      <c r="R329" s="4" t="s">
        <v>8</v>
      </c>
      <c r="S329" s="5">
        <v>1</v>
      </c>
      <c r="T329" s="4" t="s">
        <v>108</v>
      </c>
      <c r="U329" s="5"/>
      <c r="V329" s="5">
        <v>271</v>
      </c>
      <c r="W329" s="4" t="s">
        <v>109</v>
      </c>
      <c r="X329" s="4" t="s">
        <v>170</v>
      </c>
      <c r="Y329" s="4" t="s">
        <v>380</v>
      </c>
      <c r="Z329" s="5"/>
      <c r="AA329" s="5">
        <v>1000000</v>
      </c>
      <c r="AB329" s="5">
        <v>1000000</v>
      </c>
      <c r="AC329" s="5">
        <v>0</v>
      </c>
      <c r="AD329" s="5">
        <v>1000000</v>
      </c>
      <c r="AE329" s="5">
        <v>0</v>
      </c>
      <c r="AF329" s="5">
        <v>1000000</v>
      </c>
      <c r="AG329" s="5"/>
    </row>
    <row r="330" spans="1:33" ht="38.25" x14ac:dyDescent="0.25">
      <c r="A330" s="4" t="s">
        <v>35</v>
      </c>
      <c r="B330" s="4" t="s">
        <v>103</v>
      </c>
      <c r="C330" s="4" t="s">
        <v>103</v>
      </c>
      <c r="D330" s="4" t="s">
        <v>104</v>
      </c>
      <c r="E330" s="4" t="s">
        <v>111</v>
      </c>
      <c r="F330" s="4" t="s">
        <v>112</v>
      </c>
      <c r="G330" s="4" t="s">
        <v>113</v>
      </c>
      <c r="H330" s="4" t="s">
        <v>110</v>
      </c>
      <c r="I330" s="4" t="s">
        <v>432</v>
      </c>
      <c r="J330" s="5"/>
      <c r="K330" s="5"/>
      <c r="L330" s="4" t="s">
        <v>433</v>
      </c>
      <c r="M330" s="5"/>
      <c r="N330" s="4" t="s">
        <v>107</v>
      </c>
      <c r="O330" s="45">
        <v>274</v>
      </c>
      <c r="P330" s="4" t="s">
        <v>535</v>
      </c>
      <c r="Q330" s="45">
        <v>274</v>
      </c>
      <c r="R330" s="4" t="s">
        <v>8</v>
      </c>
      <c r="S330" s="5">
        <v>1</v>
      </c>
      <c r="T330" s="4" t="s">
        <v>108</v>
      </c>
      <c r="U330" s="5"/>
      <c r="V330" s="5">
        <v>228</v>
      </c>
      <c r="W330" s="4" t="s">
        <v>109</v>
      </c>
      <c r="X330" s="4" t="s">
        <v>381</v>
      </c>
      <c r="Y330" s="4" t="s">
        <v>382</v>
      </c>
      <c r="Z330" s="5"/>
      <c r="AA330" s="5">
        <v>1000000</v>
      </c>
      <c r="AB330" s="5">
        <v>1000000</v>
      </c>
      <c r="AC330" s="5">
        <v>0</v>
      </c>
      <c r="AD330" s="5">
        <v>1000000</v>
      </c>
      <c r="AE330" s="5">
        <v>0</v>
      </c>
      <c r="AF330" s="5">
        <v>1000000</v>
      </c>
      <c r="AG330" s="5"/>
    </row>
    <row r="331" spans="1:33" ht="38.25" x14ac:dyDescent="0.25">
      <c r="A331" s="4" t="s">
        <v>63</v>
      </c>
      <c r="B331" s="4" t="s">
        <v>103</v>
      </c>
      <c r="C331" s="4" t="s">
        <v>103</v>
      </c>
      <c r="D331" s="4" t="s">
        <v>104</v>
      </c>
      <c r="E331" s="4" t="s">
        <v>111</v>
      </c>
      <c r="F331" s="4" t="s">
        <v>112</v>
      </c>
      <c r="G331" s="4" t="s">
        <v>113</v>
      </c>
      <c r="H331" s="4" t="s">
        <v>110</v>
      </c>
      <c r="I331" s="4" t="s">
        <v>432</v>
      </c>
      <c r="J331" s="5"/>
      <c r="K331" s="5"/>
      <c r="L331" s="4" t="s">
        <v>433</v>
      </c>
      <c r="M331" s="5"/>
      <c r="N331" s="4" t="s">
        <v>107</v>
      </c>
      <c r="O331" s="45">
        <v>92</v>
      </c>
      <c r="P331" s="4" t="s">
        <v>384</v>
      </c>
      <c r="Q331" s="45">
        <v>92</v>
      </c>
      <c r="R331" s="4" t="s">
        <v>8</v>
      </c>
      <c r="S331" s="5">
        <v>1</v>
      </c>
      <c r="T331" s="4" t="s">
        <v>108</v>
      </c>
      <c r="U331" s="5"/>
      <c r="V331" s="5">
        <v>45</v>
      </c>
      <c r="W331" s="4" t="s">
        <v>109</v>
      </c>
      <c r="X331" s="4" t="s">
        <v>383</v>
      </c>
      <c r="Y331" s="4" t="s">
        <v>384</v>
      </c>
      <c r="Z331" s="5"/>
      <c r="AA331" s="5">
        <v>1000000</v>
      </c>
      <c r="AB331" s="5">
        <v>1000000</v>
      </c>
      <c r="AC331" s="5">
        <v>0</v>
      </c>
      <c r="AD331" s="5">
        <v>1000000</v>
      </c>
      <c r="AE331" s="5">
        <v>0</v>
      </c>
      <c r="AF331" s="5">
        <v>1000000</v>
      </c>
      <c r="AG331" s="5"/>
    </row>
    <row r="332" spans="1:33" ht="38.25" x14ac:dyDescent="0.25">
      <c r="A332" s="4" t="s">
        <v>55</v>
      </c>
      <c r="B332" s="4" t="s">
        <v>103</v>
      </c>
      <c r="C332" s="4" t="s">
        <v>103</v>
      </c>
      <c r="D332" s="4" t="s">
        <v>104</v>
      </c>
      <c r="E332" s="4" t="s">
        <v>111</v>
      </c>
      <c r="F332" s="4" t="s">
        <v>112</v>
      </c>
      <c r="G332" s="4" t="s">
        <v>113</v>
      </c>
      <c r="H332" s="4" t="s">
        <v>106</v>
      </c>
      <c r="I332" s="4" t="s">
        <v>432</v>
      </c>
      <c r="J332" s="5"/>
      <c r="K332" s="5"/>
      <c r="L332" s="4" t="s">
        <v>433</v>
      </c>
      <c r="M332" s="5"/>
      <c r="N332" s="4" t="s">
        <v>107</v>
      </c>
      <c r="O332" s="45">
        <v>359</v>
      </c>
      <c r="P332" s="4" t="s">
        <v>148</v>
      </c>
      <c r="Q332" s="45">
        <v>359</v>
      </c>
      <c r="R332" s="4" t="s">
        <v>8</v>
      </c>
      <c r="S332" s="5">
        <v>1</v>
      </c>
      <c r="T332" s="4" t="s">
        <v>108</v>
      </c>
      <c r="U332" s="5"/>
      <c r="V332" s="5">
        <v>508</v>
      </c>
      <c r="W332" s="4" t="s">
        <v>109</v>
      </c>
      <c r="X332" s="4" t="s">
        <v>124</v>
      </c>
      <c r="Y332" s="4" t="s">
        <v>148</v>
      </c>
      <c r="Z332" s="5"/>
      <c r="AA332" s="5">
        <v>1000000</v>
      </c>
      <c r="AB332" s="5">
        <v>1000000</v>
      </c>
      <c r="AC332" s="5">
        <v>0</v>
      </c>
      <c r="AD332" s="5">
        <v>1000000</v>
      </c>
      <c r="AE332" s="5">
        <v>0</v>
      </c>
      <c r="AF332" s="5">
        <v>1000000</v>
      </c>
      <c r="AG332" s="5"/>
    </row>
    <row r="333" spans="1:33" ht="38.25" x14ac:dyDescent="0.25">
      <c r="A333" s="4" t="s">
        <v>55</v>
      </c>
      <c r="B333" s="4" t="s">
        <v>103</v>
      </c>
      <c r="C333" s="4" t="s">
        <v>103</v>
      </c>
      <c r="D333" s="4" t="s">
        <v>104</v>
      </c>
      <c r="E333" s="4" t="s">
        <v>111</v>
      </c>
      <c r="F333" s="4" t="s">
        <v>112</v>
      </c>
      <c r="G333" s="4" t="s">
        <v>113</v>
      </c>
      <c r="H333" s="4" t="s">
        <v>106</v>
      </c>
      <c r="I333" s="4" t="s">
        <v>432</v>
      </c>
      <c r="J333" s="5"/>
      <c r="K333" s="5"/>
      <c r="L333" s="4" t="s">
        <v>433</v>
      </c>
      <c r="M333" s="5"/>
      <c r="N333" s="4" t="s">
        <v>107</v>
      </c>
      <c r="O333" s="45">
        <v>307</v>
      </c>
      <c r="P333" s="4" t="s">
        <v>536</v>
      </c>
      <c r="Q333" s="45">
        <v>307</v>
      </c>
      <c r="R333" s="4" t="s">
        <v>8</v>
      </c>
      <c r="S333" s="5">
        <v>1</v>
      </c>
      <c r="T333" s="4" t="s">
        <v>108</v>
      </c>
      <c r="U333" s="5"/>
      <c r="V333" s="5">
        <v>195</v>
      </c>
      <c r="W333" s="4" t="s">
        <v>109</v>
      </c>
      <c r="X333" s="4" t="s">
        <v>385</v>
      </c>
      <c r="Y333" s="4" t="s">
        <v>386</v>
      </c>
      <c r="Z333" s="5"/>
      <c r="AA333" s="5">
        <v>1000000</v>
      </c>
      <c r="AB333" s="5">
        <v>1000000</v>
      </c>
      <c r="AC333" s="5">
        <v>0</v>
      </c>
      <c r="AD333" s="5">
        <v>1000000</v>
      </c>
      <c r="AE333" s="5">
        <v>0</v>
      </c>
      <c r="AF333" s="5">
        <v>1000000</v>
      </c>
      <c r="AG333" s="5"/>
    </row>
    <row r="334" spans="1:33" ht="38.25" x14ac:dyDescent="0.25">
      <c r="A334" s="4" t="s">
        <v>55</v>
      </c>
      <c r="B334" s="4" t="s">
        <v>103</v>
      </c>
      <c r="C334" s="4" t="s">
        <v>103</v>
      </c>
      <c r="D334" s="4" t="s">
        <v>104</v>
      </c>
      <c r="E334" s="4" t="s">
        <v>111</v>
      </c>
      <c r="F334" s="4" t="s">
        <v>112</v>
      </c>
      <c r="G334" s="4" t="s">
        <v>113</v>
      </c>
      <c r="H334" s="4" t="s">
        <v>106</v>
      </c>
      <c r="I334" s="4" t="s">
        <v>432</v>
      </c>
      <c r="J334" s="5"/>
      <c r="K334" s="5"/>
      <c r="L334" s="4" t="s">
        <v>433</v>
      </c>
      <c r="M334" s="5"/>
      <c r="N334" s="4" t="s">
        <v>107</v>
      </c>
      <c r="O334" s="45">
        <v>50</v>
      </c>
      <c r="P334" s="4" t="s">
        <v>537</v>
      </c>
      <c r="Q334" s="45">
        <v>50</v>
      </c>
      <c r="R334" s="4" t="s">
        <v>8</v>
      </c>
      <c r="S334" s="5">
        <v>1</v>
      </c>
      <c r="T334" s="4" t="s">
        <v>108</v>
      </c>
      <c r="U334" s="5"/>
      <c r="V334" s="5">
        <v>86</v>
      </c>
      <c r="W334" s="4" t="s">
        <v>109</v>
      </c>
      <c r="X334" s="4" t="s">
        <v>387</v>
      </c>
      <c r="Y334" s="4" t="s">
        <v>388</v>
      </c>
      <c r="Z334" s="5"/>
      <c r="AA334" s="5">
        <v>1000000</v>
      </c>
      <c r="AB334" s="5">
        <v>1000000</v>
      </c>
      <c r="AC334" s="5">
        <v>0</v>
      </c>
      <c r="AD334" s="5">
        <v>1000000</v>
      </c>
      <c r="AE334" s="5">
        <v>0</v>
      </c>
      <c r="AF334" s="5">
        <v>1000000</v>
      </c>
      <c r="AG334" s="5"/>
    </row>
    <row r="335" spans="1:33" ht="38.25" x14ac:dyDescent="0.25">
      <c r="A335" s="4" t="s">
        <v>55</v>
      </c>
      <c r="B335" s="4" t="s">
        <v>103</v>
      </c>
      <c r="C335" s="4" t="s">
        <v>103</v>
      </c>
      <c r="D335" s="4" t="s">
        <v>104</v>
      </c>
      <c r="E335" s="4" t="s">
        <v>111</v>
      </c>
      <c r="F335" s="4" t="s">
        <v>112</v>
      </c>
      <c r="G335" s="4" t="s">
        <v>113</v>
      </c>
      <c r="H335" s="4" t="s">
        <v>106</v>
      </c>
      <c r="I335" s="4" t="s">
        <v>432</v>
      </c>
      <c r="J335" s="5"/>
      <c r="K335" s="5"/>
      <c r="L335" s="4" t="s">
        <v>433</v>
      </c>
      <c r="M335" s="5"/>
      <c r="N335" s="4" t="s">
        <v>107</v>
      </c>
      <c r="O335" s="45">
        <v>91</v>
      </c>
      <c r="P335" s="4" t="s">
        <v>538</v>
      </c>
      <c r="Q335" s="45">
        <v>91</v>
      </c>
      <c r="R335" s="4" t="s">
        <v>8</v>
      </c>
      <c r="S335" s="5">
        <v>1</v>
      </c>
      <c r="T335" s="4" t="s">
        <v>108</v>
      </c>
      <c r="U335" s="5"/>
      <c r="V335" s="5">
        <v>46</v>
      </c>
      <c r="W335" s="4" t="s">
        <v>109</v>
      </c>
      <c r="X335" s="4" t="s">
        <v>200</v>
      </c>
      <c r="Y335" s="4" t="s">
        <v>389</v>
      </c>
      <c r="Z335" s="5"/>
      <c r="AA335" s="5">
        <v>1000000</v>
      </c>
      <c r="AB335" s="5">
        <v>1000000</v>
      </c>
      <c r="AC335" s="5">
        <v>0</v>
      </c>
      <c r="AD335" s="5">
        <v>1000000</v>
      </c>
      <c r="AE335" s="5">
        <v>0</v>
      </c>
      <c r="AF335" s="5">
        <v>1000000</v>
      </c>
      <c r="AG335" s="5"/>
    </row>
    <row r="336" spans="1:33" ht="25.5" x14ac:dyDescent="0.25">
      <c r="A336" s="4" t="s">
        <v>183</v>
      </c>
      <c r="B336" s="4" t="s">
        <v>103</v>
      </c>
      <c r="C336" s="4" t="s">
        <v>103</v>
      </c>
      <c r="D336" s="4" t="s">
        <v>104</v>
      </c>
      <c r="E336" s="4" t="s">
        <v>111</v>
      </c>
      <c r="F336" s="4" t="s">
        <v>112</v>
      </c>
      <c r="G336" s="4" t="s">
        <v>113</v>
      </c>
      <c r="H336" s="4" t="s">
        <v>103</v>
      </c>
      <c r="I336" s="4" t="s">
        <v>432</v>
      </c>
      <c r="J336" s="5"/>
      <c r="K336" s="5"/>
      <c r="L336" s="4" t="s">
        <v>433</v>
      </c>
      <c r="M336" s="5"/>
      <c r="N336" s="4" t="s">
        <v>107</v>
      </c>
      <c r="O336" s="45">
        <v>267</v>
      </c>
      <c r="P336" s="4" t="s">
        <v>539</v>
      </c>
      <c r="Q336" s="45">
        <v>267</v>
      </c>
      <c r="R336" s="4" t="s">
        <v>8</v>
      </c>
      <c r="S336" s="5">
        <v>1</v>
      </c>
      <c r="T336" s="4" t="s">
        <v>108</v>
      </c>
      <c r="U336" s="5"/>
      <c r="V336" s="5">
        <v>235</v>
      </c>
      <c r="W336" s="4" t="s">
        <v>109</v>
      </c>
      <c r="X336" s="4" t="s">
        <v>390</v>
      </c>
      <c r="Y336" s="4" t="s">
        <v>391</v>
      </c>
      <c r="Z336" s="5"/>
      <c r="AA336" s="5">
        <v>1000000</v>
      </c>
      <c r="AB336" s="5">
        <v>1000000</v>
      </c>
      <c r="AC336" s="5">
        <v>0</v>
      </c>
      <c r="AD336" s="5">
        <v>1000000</v>
      </c>
      <c r="AE336" s="5">
        <v>0</v>
      </c>
      <c r="AF336" s="5">
        <v>1000000</v>
      </c>
      <c r="AG336" s="5"/>
    </row>
    <row r="337" spans="1:33" ht="38.25" x14ac:dyDescent="0.25">
      <c r="A337" s="4" t="s">
        <v>60</v>
      </c>
      <c r="B337" s="4" t="s">
        <v>103</v>
      </c>
      <c r="C337" s="4" t="s">
        <v>103</v>
      </c>
      <c r="D337" s="4" t="s">
        <v>104</v>
      </c>
      <c r="E337" s="4" t="s">
        <v>111</v>
      </c>
      <c r="F337" s="4" t="s">
        <v>112</v>
      </c>
      <c r="G337" s="4" t="s">
        <v>113</v>
      </c>
      <c r="H337" s="4" t="s">
        <v>110</v>
      </c>
      <c r="I337" s="4" t="s">
        <v>432</v>
      </c>
      <c r="J337" s="5"/>
      <c r="K337" s="5"/>
      <c r="L337" s="4" t="s">
        <v>433</v>
      </c>
      <c r="M337" s="5"/>
      <c r="N337" s="4" t="s">
        <v>107</v>
      </c>
      <c r="O337" s="45">
        <v>10</v>
      </c>
      <c r="P337" s="4" t="s">
        <v>540</v>
      </c>
      <c r="Q337" s="45">
        <v>10</v>
      </c>
      <c r="R337" s="4" t="s">
        <v>8</v>
      </c>
      <c r="S337" s="5">
        <v>1</v>
      </c>
      <c r="T337" s="4" t="s">
        <v>108</v>
      </c>
      <c r="U337" s="5"/>
      <c r="V337" s="5">
        <v>126</v>
      </c>
      <c r="W337" s="4" t="s">
        <v>109</v>
      </c>
      <c r="X337" s="4" t="s">
        <v>392</v>
      </c>
      <c r="Y337" s="4" t="s">
        <v>393</v>
      </c>
      <c r="Z337" s="5"/>
      <c r="AA337" s="5">
        <v>1000000</v>
      </c>
      <c r="AB337" s="5">
        <v>1000000</v>
      </c>
      <c r="AC337" s="5">
        <v>0</v>
      </c>
      <c r="AD337" s="5">
        <v>1000000</v>
      </c>
      <c r="AE337" s="5">
        <v>0</v>
      </c>
      <c r="AF337" s="5">
        <v>1000000</v>
      </c>
      <c r="AG337" s="5"/>
    </row>
    <row r="338" spans="1:33" ht="38.25" x14ac:dyDescent="0.25">
      <c r="A338" s="4" t="s">
        <v>60</v>
      </c>
      <c r="B338" s="4" t="s">
        <v>103</v>
      </c>
      <c r="C338" s="4" t="s">
        <v>103</v>
      </c>
      <c r="D338" s="4" t="s">
        <v>104</v>
      </c>
      <c r="E338" s="4" t="s">
        <v>111</v>
      </c>
      <c r="F338" s="4" t="s">
        <v>112</v>
      </c>
      <c r="G338" s="4" t="s">
        <v>113</v>
      </c>
      <c r="H338" s="4" t="s">
        <v>110</v>
      </c>
      <c r="I338" s="4" t="s">
        <v>432</v>
      </c>
      <c r="J338" s="5"/>
      <c r="K338" s="5"/>
      <c r="L338" s="4" t="s">
        <v>433</v>
      </c>
      <c r="M338" s="5"/>
      <c r="N338" s="4" t="s">
        <v>107</v>
      </c>
      <c r="O338" s="45">
        <v>62</v>
      </c>
      <c r="P338" s="4" t="s">
        <v>541</v>
      </c>
      <c r="Q338" s="45">
        <v>62</v>
      </c>
      <c r="R338" s="4" t="s">
        <v>8</v>
      </c>
      <c r="S338" s="5">
        <v>1</v>
      </c>
      <c r="T338" s="4" t="s">
        <v>108</v>
      </c>
      <c r="U338" s="5"/>
      <c r="V338" s="5">
        <v>75</v>
      </c>
      <c r="W338" s="4" t="s">
        <v>109</v>
      </c>
      <c r="X338" s="4" t="s">
        <v>394</v>
      </c>
      <c r="Y338" s="4" t="s">
        <v>395</v>
      </c>
      <c r="Z338" s="5"/>
      <c r="AA338" s="5">
        <v>1000000</v>
      </c>
      <c r="AB338" s="5">
        <v>1000000</v>
      </c>
      <c r="AC338" s="5">
        <v>0</v>
      </c>
      <c r="AD338" s="5">
        <v>1000000</v>
      </c>
      <c r="AE338" s="5">
        <v>0</v>
      </c>
      <c r="AF338" s="5">
        <v>1000000</v>
      </c>
      <c r="AG338" s="5"/>
    </row>
    <row r="339" spans="1:33" ht="38.25" x14ac:dyDescent="0.25">
      <c r="A339" s="4" t="s">
        <v>60</v>
      </c>
      <c r="B339" s="4" t="s">
        <v>103</v>
      </c>
      <c r="C339" s="4" t="s">
        <v>103</v>
      </c>
      <c r="D339" s="4" t="s">
        <v>104</v>
      </c>
      <c r="E339" s="4" t="s">
        <v>111</v>
      </c>
      <c r="F339" s="4" t="s">
        <v>112</v>
      </c>
      <c r="G339" s="4" t="s">
        <v>113</v>
      </c>
      <c r="H339" s="4" t="s">
        <v>110</v>
      </c>
      <c r="I339" s="4" t="s">
        <v>432</v>
      </c>
      <c r="J339" s="5"/>
      <c r="K339" s="5"/>
      <c r="L339" s="4" t="s">
        <v>433</v>
      </c>
      <c r="M339" s="5"/>
      <c r="N339" s="4" t="s">
        <v>107</v>
      </c>
      <c r="O339" s="45">
        <v>91</v>
      </c>
      <c r="P339" s="4" t="s">
        <v>542</v>
      </c>
      <c r="Q339" s="45">
        <v>91</v>
      </c>
      <c r="R339" s="4" t="s">
        <v>8</v>
      </c>
      <c r="S339" s="5">
        <v>1</v>
      </c>
      <c r="T339" s="4" t="s">
        <v>108</v>
      </c>
      <c r="U339" s="5"/>
      <c r="V339" s="5">
        <v>46</v>
      </c>
      <c r="W339" s="4" t="s">
        <v>109</v>
      </c>
      <c r="X339" s="4" t="s">
        <v>200</v>
      </c>
      <c r="Y339" s="4" t="s">
        <v>396</v>
      </c>
      <c r="Z339" s="5"/>
      <c r="AA339" s="5">
        <v>1000000</v>
      </c>
      <c r="AB339" s="5">
        <v>1000000</v>
      </c>
      <c r="AC339" s="5">
        <v>0</v>
      </c>
      <c r="AD339" s="5">
        <v>1000000</v>
      </c>
      <c r="AE339" s="5">
        <v>0</v>
      </c>
      <c r="AF339" s="5">
        <v>1000000</v>
      </c>
      <c r="AG339" s="5"/>
    </row>
    <row r="340" spans="1:33" ht="165.75" x14ac:dyDescent="0.25">
      <c r="A340" s="4" t="s">
        <v>36</v>
      </c>
      <c r="B340" s="4" t="s">
        <v>103</v>
      </c>
      <c r="C340" s="4" t="s">
        <v>103</v>
      </c>
      <c r="D340" s="4" t="s">
        <v>104</v>
      </c>
      <c r="E340" s="4" t="s">
        <v>105</v>
      </c>
      <c r="F340" s="4" t="s">
        <v>112</v>
      </c>
      <c r="G340" s="4" t="s">
        <v>113</v>
      </c>
      <c r="H340" s="4" t="s">
        <v>103</v>
      </c>
      <c r="I340" s="4" t="s">
        <v>432</v>
      </c>
      <c r="J340" s="5"/>
      <c r="K340" s="5"/>
      <c r="L340" s="4" t="s">
        <v>433</v>
      </c>
      <c r="M340" s="5"/>
      <c r="N340" s="4" t="s">
        <v>107</v>
      </c>
      <c r="O340" s="45">
        <v>31</v>
      </c>
      <c r="P340" s="4" t="s">
        <v>397</v>
      </c>
      <c r="Q340" s="45">
        <v>31</v>
      </c>
      <c r="R340" s="4" t="s">
        <v>8</v>
      </c>
      <c r="S340" s="5">
        <v>1</v>
      </c>
      <c r="T340" s="4" t="s">
        <v>398</v>
      </c>
      <c r="U340" s="5"/>
      <c r="V340" s="5">
        <v>105</v>
      </c>
      <c r="W340" s="4" t="s">
        <v>109</v>
      </c>
      <c r="X340" s="4" t="s">
        <v>399</v>
      </c>
      <c r="Y340" s="4" t="s">
        <v>400</v>
      </c>
      <c r="Z340" s="5"/>
      <c r="AA340" s="5">
        <v>1000000</v>
      </c>
      <c r="AB340" s="5">
        <v>1000000</v>
      </c>
      <c r="AC340" s="5">
        <v>0</v>
      </c>
      <c r="AD340" s="5">
        <v>1000000</v>
      </c>
      <c r="AE340" s="5">
        <v>0</v>
      </c>
      <c r="AF340" s="5">
        <v>1000000</v>
      </c>
      <c r="AG340" s="5"/>
    </row>
    <row r="341" spans="1:33" ht="38.25" x14ac:dyDescent="0.25">
      <c r="A341" s="4" t="s">
        <v>36</v>
      </c>
      <c r="B341" s="4" t="s">
        <v>103</v>
      </c>
      <c r="C341" s="4" t="s">
        <v>103</v>
      </c>
      <c r="D341" s="4" t="s">
        <v>104</v>
      </c>
      <c r="E341" s="4" t="s">
        <v>105</v>
      </c>
      <c r="F341" s="4" t="s">
        <v>112</v>
      </c>
      <c r="G341" s="4" t="s">
        <v>113</v>
      </c>
      <c r="H341" s="4" t="s">
        <v>103</v>
      </c>
      <c r="I341" s="4" t="s">
        <v>432</v>
      </c>
      <c r="J341" s="5"/>
      <c r="K341" s="5"/>
      <c r="L341" s="4" t="s">
        <v>433</v>
      </c>
      <c r="M341" s="5"/>
      <c r="N341" s="4" t="s">
        <v>107</v>
      </c>
      <c r="O341" s="45">
        <v>257</v>
      </c>
      <c r="P341" s="4" t="s">
        <v>543</v>
      </c>
      <c r="Q341" s="45">
        <v>257</v>
      </c>
      <c r="R341" s="4" t="s">
        <v>8</v>
      </c>
      <c r="S341" s="5">
        <v>1</v>
      </c>
      <c r="T341" s="4" t="s">
        <v>108</v>
      </c>
      <c r="U341" s="5"/>
      <c r="V341" s="5">
        <v>245</v>
      </c>
      <c r="W341" s="4" t="s">
        <v>109</v>
      </c>
      <c r="X341" s="4" t="s">
        <v>401</v>
      </c>
      <c r="Y341" s="4" t="s">
        <v>402</v>
      </c>
      <c r="Z341" s="4"/>
      <c r="AA341" s="5">
        <v>1000000</v>
      </c>
      <c r="AB341" s="5">
        <v>1000000</v>
      </c>
      <c r="AC341" s="5">
        <v>0</v>
      </c>
      <c r="AD341" s="5">
        <v>1000000</v>
      </c>
      <c r="AE341" s="5">
        <v>0</v>
      </c>
      <c r="AF341" s="5">
        <v>1000000</v>
      </c>
      <c r="AG341" s="5"/>
    </row>
    <row r="342" spans="1:33" ht="114.75" x14ac:dyDescent="0.25">
      <c r="A342" s="4" t="s">
        <v>37</v>
      </c>
      <c r="B342" s="4" t="s">
        <v>103</v>
      </c>
      <c r="C342" s="4" t="s">
        <v>103</v>
      </c>
      <c r="D342" s="4" t="s">
        <v>104</v>
      </c>
      <c r="E342" s="4" t="s">
        <v>111</v>
      </c>
      <c r="F342" s="4" t="s">
        <v>112</v>
      </c>
      <c r="G342" s="4" t="s">
        <v>113</v>
      </c>
      <c r="H342" s="4" t="s">
        <v>103</v>
      </c>
      <c r="I342" s="4" t="s">
        <v>432</v>
      </c>
      <c r="J342" s="5"/>
      <c r="K342" s="5"/>
      <c r="L342" s="4" t="s">
        <v>433</v>
      </c>
      <c r="M342" s="5"/>
      <c r="N342" s="4" t="s">
        <v>107</v>
      </c>
      <c r="O342" s="45">
        <v>256</v>
      </c>
      <c r="P342" s="4" t="s">
        <v>149</v>
      </c>
      <c r="Q342" s="45">
        <v>256</v>
      </c>
      <c r="R342" s="4" t="s">
        <v>8</v>
      </c>
      <c r="S342" s="5">
        <v>1</v>
      </c>
      <c r="T342" s="4" t="s">
        <v>108</v>
      </c>
      <c r="U342" s="5"/>
      <c r="V342" s="5">
        <v>977</v>
      </c>
      <c r="W342" s="4" t="s">
        <v>109</v>
      </c>
      <c r="X342" s="4" t="s">
        <v>150</v>
      </c>
      <c r="Y342" s="4" t="s">
        <v>149</v>
      </c>
      <c r="Z342" s="4"/>
      <c r="AA342" s="5">
        <v>1000000</v>
      </c>
      <c r="AB342" s="5">
        <v>1000000</v>
      </c>
      <c r="AC342" s="5">
        <v>0</v>
      </c>
      <c r="AD342" s="5">
        <v>1000000</v>
      </c>
      <c r="AE342" s="5">
        <v>0</v>
      </c>
      <c r="AF342" s="5">
        <v>1000000</v>
      </c>
      <c r="AG342" s="5"/>
    </row>
    <row r="343" spans="1:33" ht="114.75" x14ac:dyDescent="0.25">
      <c r="A343" s="4" t="s">
        <v>37</v>
      </c>
      <c r="B343" s="4" t="s">
        <v>103</v>
      </c>
      <c r="C343" s="4" t="s">
        <v>103</v>
      </c>
      <c r="D343" s="4" t="s">
        <v>104</v>
      </c>
      <c r="E343" s="4" t="s">
        <v>111</v>
      </c>
      <c r="F343" s="4" t="s">
        <v>112</v>
      </c>
      <c r="G343" s="4" t="s">
        <v>113</v>
      </c>
      <c r="H343" s="4" t="s">
        <v>103</v>
      </c>
      <c r="I343" s="4" t="s">
        <v>432</v>
      </c>
      <c r="J343" s="5"/>
      <c r="K343" s="5"/>
      <c r="L343" s="4" t="s">
        <v>433</v>
      </c>
      <c r="M343" s="5"/>
      <c r="N343" s="4" t="s">
        <v>107</v>
      </c>
      <c r="O343" s="45">
        <v>256</v>
      </c>
      <c r="P343" s="4" t="s">
        <v>154</v>
      </c>
      <c r="Q343" s="45">
        <v>256</v>
      </c>
      <c r="R343" s="4" t="s">
        <v>8</v>
      </c>
      <c r="S343" s="5">
        <v>1</v>
      </c>
      <c r="T343" s="4" t="s">
        <v>108</v>
      </c>
      <c r="U343" s="5"/>
      <c r="V343" s="5">
        <v>977</v>
      </c>
      <c r="W343" s="4" t="s">
        <v>109</v>
      </c>
      <c r="X343" s="4" t="s">
        <v>150</v>
      </c>
      <c r="Y343" s="4" t="s">
        <v>154</v>
      </c>
      <c r="Z343" s="4"/>
      <c r="AA343" s="5">
        <v>1000000</v>
      </c>
      <c r="AB343" s="5">
        <v>1000000</v>
      </c>
      <c r="AC343" s="5">
        <v>0</v>
      </c>
      <c r="AD343" s="5">
        <v>1000000</v>
      </c>
      <c r="AE343" s="5">
        <v>0</v>
      </c>
      <c r="AF343" s="5">
        <v>1000000</v>
      </c>
      <c r="AG343" s="5"/>
    </row>
    <row r="344" spans="1:33" ht="114.75" x14ac:dyDescent="0.25">
      <c r="A344" s="4" t="s">
        <v>37</v>
      </c>
      <c r="B344" s="4" t="s">
        <v>103</v>
      </c>
      <c r="C344" s="4" t="s">
        <v>103</v>
      </c>
      <c r="D344" s="4" t="s">
        <v>104</v>
      </c>
      <c r="E344" s="4" t="s">
        <v>111</v>
      </c>
      <c r="F344" s="4" t="s">
        <v>112</v>
      </c>
      <c r="G344" s="4" t="s">
        <v>113</v>
      </c>
      <c r="H344" s="4" t="s">
        <v>103</v>
      </c>
      <c r="I344" s="4" t="s">
        <v>432</v>
      </c>
      <c r="J344" s="5"/>
      <c r="K344" s="5"/>
      <c r="L344" s="4" t="s">
        <v>433</v>
      </c>
      <c r="M344" s="5"/>
      <c r="N344" s="4" t="s">
        <v>107</v>
      </c>
      <c r="O344" s="45">
        <v>260</v>
      </c>
      <c r="P344" s="4" t="s">
        <v>151</v>
      </c>
      <c r="Q344" s="45">
        <v>260</v>
      </c>
      <c r="R344" s="4" t="s">
        <v>8</v>
      </c>
      <c r="S344" s="5">
        <v>1</v>
      </c>
      <c r="T344" s="4" t="s">
        <v>108</v>
      </c>
      <c r="U344" s="5"/>
      <c r="V344" s="5">
        <v>973</v>
      </c>
      <c r="W344" s="4" t="s">
        <v>109</v>
      </c>
      <c r="X344" s="4" t="s">
        <v>152</v>
      </c>
      <c r="Y344" s="4" t="s">
        <v>151</v>
      </c>
      <c r="Z344" s="4"/>
      <c r="AA344" s="5">
        <v>1000000</v>
      </c>
      <c r="AB344" s="5">
        <v>1000000</v>
      </c>
      <c r="AC344" s="5">
        <v>0</v>
      </c>
      <c r="AD344" s="5">
        <v>1000000</v>
      </c>
      <c r="AE344" s="5">
        <v>0</v>
      </c>
      <c r="AF344" s="5">
        <v>1000000</v>
      </c>
      <c r="AG344" s="5"/>
    </row>
    <row r="345" spans="1:33" ht="114.75" x14ac:dyDescent="0.25">
      <c r="A345" s="4" t="s">
        <v>37</v>
      </c>
      <c r="B345" s="4" t="s">
        <v>103</v>
      </c>
      <c r="C345" s="4" t="s">
        <v>103</v>
      </c>
      <c r="D345" s="4" t="s">
        <v>104</v>
      </c>
      <c r="E345" s="4" t="s">
        <v>111</v>
      </c>
      <c r="F345" s="4" t="s">
        <v>112</v>
      </c>
      <c r="G345" s="4" t="s">
        <v>113</v>
      </c>
      <c r="H345" s="4" t="s">
        <v>103</v>
      </c>
      <c r="I345" s="4" t="s">
        <v>432</v>
      </c>
      <c r="J345" s="5"/>
      <c r="K345" s="5"/>
      <c r="L345" s="4" t="s">
        <v>433</v>
      </c>
      <c r="M345" s="5"/>
      <c r="N345" s="4" t="s">
        <v>107</v>
      </c>
      <c r="O345" s="45">
        <v>260</v>
      </c>
      <c r="P345" s="4" t="s">
        <v>153</v>
      </c>
      <c r="Q345" s="45">
        <v>260</v>
      </c>
      <c r="R345" s="4" t="s">
        <v>8</v>
      </c>
      <c r="S345" s="5">
        <v>1</v>
      </c>
      <c r="T345" s="4" t="s">
        <v>108</v>
      </c>
      <c r="U345" s="5"/>
      <c r="V345" s="5">
        <v>973</v>
      </c>
      <c r="W345" s="4" t="s">
        <v>109</v>
      </c>
      <c r="X345" s="4" t="s">
        <v>152</v>
      </c>
      <c r="Y345" s="4" t="s">
        <v>153</v>
      </c>
      <c r="Z345" s="4"/>
      <c r="AA345" s="5">
        <v>1000000</v>
      </c>
      <c r="AB345" s="5">
        <v>1000000</v>
      </c>
      <c r="AC345" s="5">
        <v>0</v>
      </c>
      <c r="AD345" s="5">
        <v>1000000</v>
      </c>
      <c r="AE345" s="5">
        <v>0</v>
      </c>
      <c r="AF345" s="5">
        <v>1000000</v>
      </c>
      <c r="AG345" s="5"/>
    </row>
    <row r="346" spans="1:33" ht="114.75" x14ac:dyDescent="0.25">
      <c r="A346" s="4" t="s">
        <v>37</v>
      </c>
      <c r="B346" s="5"/>
      <c r="C346" s="4" t="s">
        <v>103</v>
      </c>
      <c r="D346" s="4" t="s">
        <v>104</v>
      </c>
      <c r="E346" s="4" t="s">
        <v>111</v>
      </c>
      <c r="F346" s="4" t="s">
        <v>112</v>
      </c>
      <c r="G346" s="4" t="s">
        <v>113</v>
      </c>
      <c r="H346" s="4" t="s">
        <v>103</v>
      </c>
      <c r="I346" s="4" t="s">
        <v>432</v>
      </c>
      <c r="J346" s="5"/>
      <c r="K346" s="5"/>
      <c r="L346" s="4" t="s">
        <v>433</v>
      </c>
      <c r="M346" s="5"/>
      <c r="N346" s="4" t="s">
        <v>107</v>
      </c>
      <c r="O346" s="45">
        <v>91</v>
      </c>
      <c r="P346" s="4" t="s">
        <v>156</v>
      </c>
      <c r="Q346" s="45">
        <v>91</v>
      </c>
      <c r="R346" s="4" t="s">
        <v>8</v>
      </c>
      <c r="S346" s="5">
        <v>1</v>
      </c>
      <c r="T346" s="4" t="s">
        <v>38</v>
      </c>
      <c r="U346" s="5"/>
      <c r="V346" s="5">
        <v>776</v>
      </c>
      <c r="W346" s="4" t="s">
        <v>109</v>
      </c>
      <c r="X346" s="4" t="s">
        <v>155</v>
      </c>
      <c r="Y346" s="4" t="s">
        <v>157</v>
      </c>
      <c r="Z346" s="5"/>
      <c r="AA346" s="5">
        <v>1000000</v>
      </c>
      <c r="AB346" s="5">
        <v>1000000</v>
      </c>
      <c r="AC346" s="5">
        <v>0</v>
      </c>
      <c r="AD346" s="5">
        <v>1000000</v>
      </c>
      <c r="AE346" s="5">
        <v>0</v>
      </c>
      <c r="AF346" s="5">
        <v>1000000</v>
      </c>
      <c r="AG346" s="5"/>
    </row>
    <row r="347" spans="1:33" ht="114.75" x14ac:dyDescent="0.25">
      <c r="A347" s="4" t="s">
        <v>37</v>
      </c>
      <c r="B347" s="5"/>
      <c r="C347" s="4" t="s">
        <v>103</v>
      </c>
      <c r="D347" s="4" t="s">
        <v>104</v>
      </c>
      <c r="E347" s="4" t="s">
        <v>111</v>
      </c>
      <c r="F347" s="4" t="s">
        <v>112</v>
      </c>
      <c r="G347" s="4" t="s">
        <v>113</v>
      </c>
      <c r="H347" s="4" t="s">
        <v>103</v>
      </c>
      <c r="I347" s="4" t="s">
        <v>432</v>
      </c>
      <c r="J347" s="5"/>
      <c r="K347" s="5"/>
      <c r="L347" s="4" t="s">
        <v>433</v>
      </c>
      <c r="M347" s="5"/>
      <c r="N347" s="4" t="s">
        <v>107</v>
      </c>
      <c r="O347" s="45">
        <v>91</v>
      </c>
      <c r="P347" s="4" t="s">
        <v>165</v>
      </c>
      <c r="Q347" s="45">
        <v>91</v>
      </c>
      <c r="R347" s="4" t="s">
        <v>8</v>
      </c>
      <c r="S347" s="5">
        <v>1</v>
      </c>
      <c r="T347" s="4" t="s">
        <v>38</v>
      </c>
      <c r="U347" s="5"/>
      <c r="V347" s="5">
        <v>411</v>
      </c>
      <c r="W347" s="4" t="s">
        <v>109</v>
      </c>
      <c r="X347" s="4" t="s">
        <v>67</v>
      </c>
      <c r="Y347" s="4" t="s">
        <v>166</v>
      </c>
      <c r="Z347" s="5"/>
      <c r="AA347" s="5">
        <v>1000000</v>
      </c>
      <c r="AB347" s="5">
        <v>1000000</v>
      </c>
      <c r="AC347" s="5">
        <v>0</v>
      </c>
      <c r="AD347" s="5">
        <v>1000000</v>
      </c>
      <c r="AE347" s="5">
        <v>0</v>
      </c>
      <c r="AF347" s="5">
        <v>1000000</v>
      </c>
      <c r="AG347" s="5"/>
    </row>
    <row r="348" spans="1:33" ht="318.75" x14ac:dyDescent="0.25">
      <c r="A348" s="4" t="s">
        <v>37</v>
      </c>
      <c r="B348" s="5"/>
      <c r="C348" s="4" t="s">
        <v>103</v>
      </c>
      <c r="D348" s="4" t="s">
        <v>104</v>
      </c>
      <c r="E348" s="4" t="s">
        <v>111</v>
      </c>
      <c r="F348" s="4" t="s">
        <v>112</v>
      </c>
      <c r="G348" s="4" t="s">
        <v>113</v>
      </c>
      <c r="H348" s="4" t="s">
        <v>103</v>
      </c>
      <c r="I348" s="4" t="s">
        <v>432</v>
      </c>
      <c r="J348" s="5"/>
      <c r="K348" s="5"/>
      <c r="L348" s="4" t="s">
        <v>433</v>
      </c>
      <c r="M348" s="5"/>
      <c r="N348" s="4" t="s">
        <v>107</v>
      </c>
      <c r="O348" s="45">
        <v>142</v>
      </c>
      <c r="P348" s="4" t="s">
        <v>159</v>
      </c>
      <c r="Q348" s="45">
        <v>142</v>
      </c>
      <c r="R348" s="4" t="s">
        <v>8</v>
      </c>
      <c r="S348" s="5">
        <v>1</v>
      </c>
      <c r="T348" s="4" t="s">
        <v>160</v>
      </c>
      <c r="U348" s="5"/>
      <c r="V348" s="5">
        <v>725</v>
      </c>
      <c r="W348" s="4" t="s">
        <v>109</v>
      </c>
      <c r="X348" s="4" t="s">
        <v>158</v>
      </c>
      <c r="Y348" s="5">
        <v>1</v>
      </c>
      <c r="Z348" s="5"/>
      <c r="AA348" s="5">
        <v>1000000</v>
      </c>
      <c r="AB348" s="5">
        <v>1000000</v>
      </c>
      <c r="AC348" s="5">
        <v>0</v>
      </c>
      <c r="AD348" s="5">
        <v>1000000</v>
      </c>
      <c r="AE348" s="5">
        <v>-1500000</v>
      </c>
      <c r="AF348" s="5">
        <v>1000000</v>
      </c>
      <c r="AG348" s="5"/>
    </row>
    <row r="349" spans="1:33" ht="318.75" x14ac:dyDescent="0.25">
      <c r="A349" s="4" t="s">
        <v>37</v>
      </c>
      <c r="B349" s="5"/>
      <c r="C349" s="4" t="s">
        <v>103</v>
      </c>
      <c r="D349" s="4" t="s">
        <v>104</v>
      </c>
      <c r="E349" s="4" t="s">
        <v>111</v>
      </c>
      <c r="F349" s="4" t="s">
        <v>112</v>
      </c>
      <c r="G349" s="4" t="s">
        <v>113</v>
      </c>
      <c r="H349" s="4" t="s">
        <v>103</v>
      </c>
      <c r="I349" s="4" t="s">
        <v>432</v>
      </c>
      <c r="J349" s="5"/>
      <c r="K349" s="5"/>
      <c r="L349" s="4" t="s">
        <v>433</v>
      </c>
      <c r="M349" s="5"/>
      <c r="N349" s="4" t="s">
        <v>107</v>
      </c>
      <c r="O349" s="45">
        <v>217</v>
      </c>
      <c r="P349" s="4" t="s">
        <v>162</v>
      </c>
      <c r="Q349" s="45">
        <v>217</v>
      </c>
      <c r="R349" s="4" t="s">
        <v>8</v>
      </c>
      <c r="S349" s="5">
        <v>1</v>
      </c>
      <c r="T349" s="4" t="s">
        <v>163</v>
      </c>
      <c r="U349" s="5"/>
      <c r="V349" s="5">
        <v>650</v>
      </c>
      <c r="W349" s="4" t="s">
        <v>109</v>
      </c>
      <c r="X349" s="4" t="s">
        <v>161</v>
      </c>
      <c r="Y349" s="4" t="s">
        <v>164</v>
      </c>
      <c r="Z349" s="5"/>
      <c r="AA349" s="5">
        <v>1000000</v>
      </c>
      <c r="AB349" s="5">
        <v>1000000</v>
      </c>
      <c r="AC349" s="5">
        <v>0</v>
      </c>
      <c r="AD349" s="5">
        <v>1000000</v>
      </c>
      <c r="AE349" s="5">
        <v>-1546326.06</v>
      </c>
      <c r="AF349" s="5">
        <v>1000000</v>
      </c>
      <c r="AG349" s="5"/>
    </row>
    <row r="350" spans="1:33" ht="102" x14ac:dyDescent="0.25">
      <c r="A350" s="4" t="s">
        <v>64</v>
      </c>
      <c r="B350" s="4" t="s">
        <v>103</v>
      </c>
      <c r="C350" s="4" t="s">
        <v>103</v>
      </c>
      <c r="D350" s="4" t="s">
        <v>104</v>
      </c>
      <c r="E350" s="4" t="s">
        <v>111</v>
      </c>
      <c r="F350" s="4" t="s">
        <v>112</v>
      </c>
      <c r="G350" s="4" t="s">
        <v>113</v>
      </c>
      <c r="H350" s="4" t="s">
        <v>110</v>
      </c>
      <c r="I350" s="4" t="s">
        <v>432</v>
      </c>
      <c r="J350" s="5"/>
      <c r="K350" s="5"/>
      <c r="L350" s="4" t="s">
        <v>433</v>
      </c>
      <c r="M350" s="5"/>
      <c r="N350" s="4" t="s">
        <v>107</v>
      </c>
      <c r="O350" s="45">
        <v>347</v>
      </c>
      <c r="P350" s="4" t="s">
        <v>167</v>
      </c>
      <c r="Q350" s="45">
        <v>347</v>
      </c>
      <c r="R350" s="4" t="s">
        <v>8</v>
      </c>
      <c r="S350" s="5">
        <v>1</v>
      </c>
      <c r="T350" s="4" t="s">
        <v>108</v>
      </c>
      <c r="U350" s="5"/>
      <c r="V350" s="5">
        <v>520</v>
      </c>
      <c r="W350" s="4" t="s">
        <v>109</v>
      </c>
      <c r="X350" s="4" t="s">
        <v>168</v>
      </c>
      <c r="Y350" s="4" t="s">
        <v>167</v>
      </c>
      <c r="Z350" s="5"/>
      <c r="AA350" s="5">
        <v>1000000</v>
      </c>
      <c r="AB350" s="5">
        <v>1000000</v>
      </c>
      <c r="AC350" s="5">
        <v>0</v>
      </c>
      <c r="AD350" s="5">
        <v>1000000</v>
      </c>
      <c r="AE350" s="5">
        <v>0</v>
      </c>
      <c r="AF350" s="5">
        <v>1000000</v>
      </c>
      <c r="AG350" s="5"/>
    </row>
    <row r="351" spans="1:33" ht="102" x14ac:dyDescent="0.25">
      <c r="A351" s="4" t="s">
        <v>64</v>
      </c>
      <c r="B351" s="5"/>
      <c r="C351" s="4" t="s">
        <v>103</v>
      </c>
      <c r="D351" s="4" t="s">
        <v>104</v>
      </c>
      <c r="E351" s="4" t="s">
        <v>111</v>
      </c>
      <c r="F351" s="4" t="s">
        <v>112</v>
      </c>
      <c r="G351" s="4" t="s">
        <v>113</v>
      </c>
      <c r="H351" s="4" t="s">
        <v>110</v>
      </c>
      <c r="I351" s="4" t="s">
        <v>432</v>
      </c>
      <c r="J351" s="5"/>
      <c r="K351" s="5"/>
      <c r="L351" s="4" t="s">
        <v>433</v>
      </c>
      <c r="M351" s="5"/>
      <c r="N351" s="4" t="s">
        <v>107</v>
      </c>
      <c r="O351" s="45">
        <v>91</v>
      </c>
      <c r="P351" s="4" t="s">
        <v>169</v>
      </c>
      <c r="Q351" s="45">
        <v>91</v>
      </c>
      <c r="R351" s="4" t="s">
        <v>8</v>
      </c>
      <c r="S351" s="5">
        <v>1</v>
      </c>
      <c r="T351" s="4" t="s">
        <v>38</v>
      </c>
      <c r="U351" s="5"/>
      <c r="V351" s="5">
        <v>411</v>
      </c>
      <c r="W351" s="4" t="s">
        <v>109</v>
      </c>
      <c r="X351" s="4" t="s">
        <v>67</v>
      </c>
      <c r="Y351" s="4" t="s">
        <v>39</v>
      </c>
      <c r="Z351" s="5"/>
      <c r="AA351" s="5">
        <v>1000000</v>
      </c>
      <c r="AB351" s="5">
        <v>1000000</v>
      </c>
      <c r="AC351" s="5">
        <v>0</v>
      </c>
      <c r="AD351" s="5">
        <v>1000000</v>
      </c>
      <c r="AE351" s="5">
        <v>0</v>
      </c>
      <c r="AF351" s="5">
        <v>1000000</v>
      </c>
      <c r="AG351" s="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Unreconciled AR</vt:lpstr>
      <vt:lpstr>All</vt:lpstr>
      <vt:lpstr>Raw Data</vt:lpstr>
      <vt:lpstr>Customer_OS</vt:lpstr>
      <vt:lpstr>GSOS</vt:lpstr>
      <vt:lpstr>test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Shruti</dc:creator>
  <cp:lastModifiedBy>Vishal Sharma</cp:lastModifiedBy>
  <dcterms:created xsi:type="dcterms:W3CDTF">2020-09-23T04:22:08Z</dcterms:created>
  <dcterms:modified xsi:type="dcterms:W3CDTF">2022-05-18T07:21:04Z</dcterms:modified>
</cp:coreProperties>
</file>