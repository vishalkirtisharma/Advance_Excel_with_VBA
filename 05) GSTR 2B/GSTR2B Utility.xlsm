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Vishal Sharma\Desktop\New folder (8)\05) GSTR 2B\GSTR2B\"/>
    </mc:Choice>
  </mc:AlternateContent>
  <xr:revisionPtr revIDLastSave="0" documentId="13_ncr:1_{43CBA192-D64F-4625-A040-F63BFAD96C8A}" xr6:coauthVersionLast="47" xr6:coauthVersionMax="47" xr10:uidLastSave="{00000000-0000-0000-0000-000000000000}"/>
  <workbookProtection workbookAlgorithmName="SHA-512" workbookHashValue="D724bvBZsQ/ARVz8yGYL9Y7iW4PXtPrMcAh5xlH02bcvA3N5mf6kFUBoCH7b+QEq6v6gtYjOrtHEtT23trgDeQ==" workbookSaltValue="srRd4Dgfxqtq0eRz/woC0w==" workbookSpinCount="100000" lockStructure="1"/>
  <bookViews>
    <workbookView showHorizontalScroll="0" showVerticalScroll="0" showSheetTabs="0" xWindow="-120" yWindow="-120" windowWidth="20730" windowHeight="11160" xr2:uid="{00000000-000D-0000-FFFF-FFFF00000000}"/>
  </bookViews>
  <sheets>
    <sheet name="Data_Working" sheetId="8" r:id="rId1"/>
    <sheet name="Supplier Master" sheetId="18" r:id="rId2"/>
    <sheet name="Mismatch_Graph" sheetId="25" r:id="rId3"/>
    <sheet name="Suggested Matched" sheetId="28" r:id="rId4"/>
    <sheet name="Mismatch Invoices" sheetId="19" r:id="rId5"/>
    <sheet name="Summary" sheetId="15" state="veryHidden" r:id="rId6"/>
    <sheet name="Voucher wise" sheetId="24" r:id="rId7"/>
    <sheet name="Dashboard" sheetId="22" r:id="rId8"/>
    <sheet name="Compelteinfo" sheetId="23" r:id="rId9"/>
    <sheet name="Final Recon" sheetId="14" r:id="rId10"/>
  </sheets>
  <functionGroups builtInGroupCount="19"/>
  <definedNames>
    <definedName name="_xlnm._FilterDatabase" localSheetId="9" hidden="1">'Final Recon'!$A$1:$X$1</definedName>
    <definedName name="Events">Data_Working!$L$1</definedName>
    <definedName name="Execption">Data_Working!$D$3</definedName>
    <definedName name="ExternalData_1" localSheetId="9" hidden="1">'Final Recon'!$A$2:$T$154</definedName>
    <definedName name="ExternalData_5" localSheetId="4" hidden="1">'Mismatch Invoices'!$A$3:$T$146</definedName>
    <definedName name="ExternalData_5" localSheetId="1" hidden="1">'Supplier Master'!$A$1:$D$73</definedName>
    <definedName name="ExternalData_6" localSheetId="3" hidden="1">'Suggested Matched'!$A$5:$Q$7</definedName>
    <definedName name="GIT">Data_Working!$C$7</definedName>
    <definedName name="Mismatch">Data_Working!$D$4</definedName>
    <definedName name="Path">Data_Working!$D$1</definedName>
    <definedName name="Purchase">Data_Working!$D$2</definedName>
    <definedName name="Statename">Data_Working!$B$2</definedName>
  </definedNames>
  <calcPr calcId="191029"/>
  <pivotCaches>
    <pivotCache cacheId="0" r:id="rId11"/>
    <pivotCache cacheId="1" r:id="rId12"/>
    <pivotCache cacheId="2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" i="8" l="1"/>
  <c r="D2" i="8"/>
  <c r="D1" i="8"/>
  <c r="C39" i="25"/>
  <c r="C38" i="25"/>
  <c r="C37" i="25"/>
  <c r="C36" i="25"/>
  <c r="C35" i="25"/>
  <c r="C34" i="25"/>
  <c r="C33" i="25"/>
  <c r="C32" i="25"/>
  <c r="C31" i="25"/>
  <c r="C30" i="25"/>
  <c r="C29" i="25"/>
  <c r="C7" i="8"/>
  <c r="D4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C187BAA-E824-4E8A-806A-2ADBF7287C18}" keepAlive="1" name="Query - 2B_Fuzzy_Mismatch" description="Connection to the '2B_Fuzzy_Mismatch' query in the workbook." type="5" refreshedVersion="0" saveData="1">
    <dbPr connection="Provider=Microsoft.Mashup.OleDb.1;Data Source=$Workbook$;Location=2B_Fuzzy_Mismatch;Extended Properties=&quot;&quot;" command="SELECT * FROM [2B_Fuzzy_Mismatch]"/>
  </connection>
  <connection id="2" xr16:uid="{C9EC07E7-8AC3-4716-A7C6-DC0EC0B5C5CE}" keepAlive="1" name="Query - 2B-Data" description="Connection to the '2B-Data' query in the workbook." type="5" refreshedVersion="7" saveData="1">
    <dbPr connection="Provider=Microsoft.Mashup.OleDb.1;Data Source=$Workbook$;Location=2B-Data;Extended Properties=&quot;&quot;" command="SELECT * FROM [2B-Data]"/>
  </connection>
  <connection id="3" xr16:uid="{00000000-0015-0000-FFFF-FFFF00000000}" keepAlive="1" name="Query - Adjustment" description="Connection to the 'Adjustment' query in the workbook." type="5" refreshedVersion="7" saveData="1">
    <dbPr connection="Provider=Microsoft.Mashup.OleDb.1;Data Source=$Workbook$;Location=Adjustment;Extended Properties=&quot;&quot;" command="SELECT * FROM [Adjustment]"/>
  </connection>
  <connection id="4" xr16:uid="{00000000-0015-0000-FFFF-FFFF01000000}" keepAlive="1" name="Query - B2B" description="Connection to the 'B2B' query in the workbook." type="5" refreshedVersion="7" saveData="1">
    <dbPr connection="Provider=Microsoft.Mashup.OleDb.1;Data Source=$Workbook$;Location=B2B;Extended Properties=&quot;&quot;" command="SELECT * FROM [B2B]"/>
  </connection>
  <connection id="5" xr16:uid="{00000000-0015-0000-FFFF-FFFF02000000}" keepAlive="1" name="Query - B2BA" description="Connection to the 'B2BA' query in the workbook." type="5" refreshedVersion="7" saveData="1">
    <dbPr connection="Provider=Microsoft.Mashup.OleDb.1;Data Source=$Workbook$;Location=B2BA;Extended Properties=&quot;&quot;" command="SELECT * FROM [B2BA]"/>
  </connection>
  <connection id="6" xr16:uid="{34CA6CC5-DED4-4C8D-9BF8-66AC1B645348}" keepAlive="1" name="Query - Books_Fuzzy_Mismatch" description="Connection to the 'Books_Fuzzy_Mismatch' query in the workbook." type="5" refreshedVersion="7" saveData="1">
    <dbPr connection="Provider=Microsoft.Mashup.OleDb.1;Data Source=$Workbook$;Location=Books_Fuzzy_Mismatch;Extended Properties=&quot;&quot;" command="SELECT * FROM [Books_Fuzzy_Mismatch]"/>
  </connection>
  <connection id="7" xr16:uid="{00000000-0015-0000-FFFF-FFFF03000000}" keepAlive="1" name="Query - CDNR" description="Connection to the 'CDNR' query in the workbook." type="5" refreshedVersion="7" saveData="1">
    <dbPr connection="Provider=Microsoft.Mashup.OleDb.1;Data Source=$Workbook$;Location=CDNR;Extended Properties=&quot;&quot;" command="SELECT * FROM [CDNR]"/>
  </connection>
  <connection id="8" xr16:uid="{00000000-0015-0000-FFFF-FFFF04000000}" keepAlive="1" name="Query - CDNR_Updated_values" description="Connection to the 'CDNR_Updated_values' query in the workbook." type="5" refreshedVersion="7" saveData="1">
    <dbPr connection="Provider=Microsoft.Mashup.OleDb.1;Data Source=$Workbook$;Location=CDNR_Updated_values;Extended Properties=&quot;&quot;" command="SELECT * FROM [CDNR_Updated_values]"/>
  </connection>
  <connection id="9" xr16:uid="{00000000-0015-0000-FFFF-FFFF05000000}" keepAlive="1" name="Query - CDNRA" description="Connection to the 'CDNRA' query in the workbook." type="5" refreshedVersion="0" saveData="1">
    <dbPr connection="Provider=Microsoft.Mashup.OleDb.1;Data Source=$Workbook$;Location=CDNRA;Extended Properties=&quot;&quot;" command="SELECT * FROM [CDNRA]"/>
  </connection>
  <connection id="10" xr16:uid="{00000000-0015-0000-FFFF-FFFF06000000}" keepAlive="1" name="Query - Dashboard" description="Connection to the 'Dashboard' query in the workbook." type="5" refreshedVersion="7" saveData="1">
    <dbPr connection="Provider=Microsoft.Mashup.OleDb.1;Data Source=$Workbook$;Location=Dashboard;Extended Properties=&quot;&quot;" command="SELECT * FROM [Dashboard]"/>
  </connection>
  <connection id="11" xr16:uid="{00000000-0015-0000-FFFF-FFFF07000000}" keepAlive="1" name="Query - Email-Require" description="Connection to the 'Email-Require' query in the workbook." type="5" refreshedVersion="7" saveData="1">
    <dbPr connection="Provider=Microsoft.Mashup.OleDb.1;Data Source=$Workbook$;Location=Email-Require;Extended Properties=&quot;&quot;" command="SELECT * FROM [Email-Require]"/>
  </connection>
  <connection id="12" xr16:uid="{00000000-0015-0000-FFFF-FFFF08000000}" keepAlive="1" name="Query - Final Recon" description="Connection to the 'Final Recon' query in the workbook." type="5" refreshedVersion="7" saveData="1">
    <dbPr connection="Provider=Microsoft.Mashup.OleDb.1;Data Source=$Workbook$;Location=&quot;Final Recon&quot;;Extended Properties=&quot;&quot;" command="SELECT * FROM [Final Recon]"/>
  </connection>
  <connection id="13" xr16:uid="{00000000-0015-0000-FFFF-FFFF09000000}" keepAlive="1" name="Query - FY" description="Connection to the 'FY' query in the workbook." type="5" refreshedVersion="0" saveData="1">
    <dbPr connection="Provider=Microsoft.Mashup.OleDb.1;Data Source=$Workbook$;Location=FY;Extended Properties=&quot;&quot;" command="SELECT * FROM [FY]"/>
  </connection>
  <connection id="14" xr16:uid="{E169428F-9699-4129-A421-F7A48619E809}" keepAlive="1" name="Query - GIT" description="Connection to the 'GIT' query in the workbook." type="5" refreshedVersion="0" saveData="1">
    <dbPr connection="Provider=Microsoft.Mashup.OleDb.1;Data Source=$Workbook$;Location=GIT;Extended Properties=&quot;&quot;" command="SELECT * FROM [GIT]"/>
  </connection>
  <connection id="15" xr16:uid="{00000000-0015-0000-FFFF-FFFF0A000000}" keepAlive="1" name="Query - IMPG" description="Connection to the 'IMPG' query in the workbook." type="5" refreshedVersion="0" saveData="1">
    <dbPr connection="Provider=Microsoft.Mashup.OleDb.1;Data Source=$Workbook$;Location=IMPG;Extended Properties=&quot;&quot;" command="SELECT * FROM [IMPG]"/>
  </connection>
  <connection id="16" xr16:uid="{5B32F43A-4F1A-45E1-9CF9-BFA0F3BD5D75}" keepAlive="1" name="Query - IMPG-SEZ" description="Connection to the 'IMPG-SEZ' query in the workbook." type="5" refreshedVersion="0" saveData="1">
    <dbPr connection="Provider=Microsoft.Mashup.OleDb.1;Data Source=$Workbook$;Location=IMPG-SEZ;Extended Properties=&quot;&quot;" command="SELECT * FROM [IMPG-SEZ]"/>
  </connection>
  <connection id="17" xr16:uid="{00000000-0015-0000-FFFF-FFFF0B000000}" keepAlive="1" name="Query - Info" description="Connection to the 'Info' query in the workbook." type="5" refreshedVersion="7" saveData="1">
    <dbPr connection="Provider=Microsoft.Mashup.OleDb.1;Data Source=$Workbook$;Location=Info;Extended Properties=&quot;&quot;" command="SELECT * FROM [Info]"/>
  </connection>
  <connection id="18" xr16:uid="{00000000-0015-0000-FFFF-FFFF0C000000}" keepAlive="1" name="Query - Input" description="Connection to the 'Input' query in the workbook." type="5" refreshedVersion="7" saveData="1">
    <dbPr connection="Provider=Microsoft.Mashup.OleDb.1;Data Source=$Workbook$;Location=Input;Extended Properties=&quot;&quot;" command="SELECT * FROM [Input]"/>
  </connection>
  <connection id="19" xr16:uid="{545824EB-AC3F-40B1-910E-1E602F95340C}" keepAlive="1" name="Query - Matched_by_GST_Number" description="Connection to the 'Matched_by_GST_Number' query in the workbook." type="5" refreshedVersion="7" saveData="1">
    <dbPr connection="Provider=Microsoft.Mashup.OleDb.1;Data Source=$Workbook$;Location=Matched_by_GST_Number;Extended Properties=&quot;&quot;" command="SELECT * FROM [Matched_by_GST_Number]"/>
  </connection>
  <connection id="20" xr16:uid="{7939D6E0-3EDA-4616-99E9-277C87CD1613}" keepAlive="1" name="Query - Matched_by_Invoice_Number" description="Connection to the 'Matched_by_Invoice_Number' query in the workbook." type="5" refreshedVersion="7" saveData="1">
    <dbPr connection="Provider=Microsoft.Mashup.OleDb.1;Data Source=$Workbook$;Location=Matched_by_Invoice_Number;Extended Properties=&quot;&quot;" command="SELECT * FROM [Matched_by_Invoice_Number]"/>
  </connection>
  <connection id="21" xr16:uid="{B0A8FF2A-ED28-460A-8647-1213AF786AA1}" keepAlive="1" name="Query - Matched_by_PAN_Number" description="Connection to the 'Matched_by_PAN_Number' query in the workbook." type="5" refreshedVersion="7" saveData="1">
    <dbPr connection="Provider=Microsoft.Mashup.OleDb.1;Data Source=$Workbook$;Location=Matched_by_PAN_Number;Extended Properties=&quot;&quot;" command="SELECT * FROM [Matched_by_PAN_Number]"/>
  </connection>
  <connection id="22" xr16:uid="{77D4B4E6-2A82-4BFA-87EB-DE9788E4B73F}" keepAlive="1" name="Query - Mismatch" description="Connection to the 'Mismatch' query in the workbook." type="5" refreshedVersion="0" saveData="1">
    <dbPr connection="Provider=Microsoft.Mashup.OleDb.1;Data Source=$Workbook$;Location=Mismatch;Extended Properties=&quot;&quot;" command="SELECT * FROM [Mismatch]"/>
  </connection>
  <connection id="23" xr16:uid="{D8AE7EDB-F347-4F96-A895-D71C25B23B6F}" keepAlive="1" name="Query - Mismatch_Graph" description="Connection to the 'Mismatch_Graph' query in the workbook." type="5" refreshedVersion="7" saveData="1">
    <dbPr connection="Provider=Microsoft.Mashup.OleDb.1;Data Source=$Workbook$;Location=Mismatch_Graph;Extended Properties=&quot;&quot;" command="SELECT * FROM [Mismatch_Graph]"/>
  </connection>
  <connection id="24" xr16:uid="{00000000-0015-0000-FFFF-FFFF0D000000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25" xr16:uid="{00000000-0015-0000-FFFF-FFFF0E000000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26" xr16:uid="{00000000-0015-0000-FFFF-FFFF0F000000}" keepAlive="1" name="Query - Parameter3" description="Connection to the 'Parameter3' query in the workbook." type="5" refreshedVersion="0" background="1">
    <dbPr connection="Provider=Microsoft.Mashup.OleDb.1;Data Source=$Workbook$;Location=Parameter3;Extended Properties=&quot;&quot;" command="SELECT * FROM [Parameter3]"/>
  </connection>
  <connection id="27" xr16:uid="{00000000-0015-0000-FFFF-FFFF10000000}" keepAlive="1" name="Query - Parameter4" description="Connection to the 'Parameter4' query in the workbook." type="5" refreshedVersion="0" background="1">
    <dbPr connection="Provider=Microsoft.Mashup.OleDb.1;Data Source=$Workbook$;Location=Parameter4;Extended Properties=&quot;&quot;" command="SELECT * FROM [Parameter4]"/>
  </connection>
  <connection id="28" xr16:uid="{00000000-0015-0000-FFFF-FFFF11000000}" keepAlive="1" name="Query - Parameter5" description="Connection to the 'Parameter5' query in the workbook." type="5" refreshedVersion="0" background="1">
    <dbPr connection="Provider=Microsoft.Mashup.OleDb.1;Data Source=$Workbook$;Location=Parameter5;Extended Properties=&quot;&quot;" command="SELECT * FROM [Parameter5]"/>
  </connection>
  <connection id="29" xr16:uid="{00000000-0015-0000-FFFF-FFFF12000000}" keepAlive="1" name="Query - Parameter6" description="Connection to the 'Parameter6' query in the workbook." type="5" refreshedVersion="0" background="1">
    <dbPr connection="Provider=Microsoft.Mashup.OleDb.1;Data Source=$Workbook$;Location=Parameter6;Extended Properties=&quot;&quot;" command="SELECT * FROM [Parameter6]"/>
  </connection>
  <connection id="30" xr16:uid="{E28E6F3E-D79B-497F-BAE3-20BA2C1C1D93}" keepAlive="1" name="Query - Parameter7" description="Connection to the 'Parameter7' query in the workbook." type="5" refreshedVersion="0" background="1">
    <dbPr connection="Provider=Microsoft.Mashup.OleDb.1;Data Source=$Workbook$;Location=Parameter7;Extended Properties=&quot;&quot;" command="SELECT * FROM [Parameter7]"/>
  </connection>
  <connection id="31" xr16:uid="{7DA4210B-263A-45BA-96F0-907DC07A6C41}" keepAlive="1" name="Query - Parameter8" description="Connection to the 'Parameter8' query in the workbook." type="5" refreshedVersion="0" background="1">
    <dbPr connection="Provider=Microsoft.Mashup.OleDb.1;Data Source=$Workbook$;Location=Parameter8;Extended Properties=&quot;&quot;" command="SELECT * FROM [Parameter8]"/>
  </connection>
  <connection id="32" xr16:uid="{00000000-0015-0000-FFFF-FFFF13000000}" keepAlive="1" name="Query - Purchase" description="Connection to the 'Purchase' query in the workbook." type="5" refreshedVersion="7" saveData="1">
    <dbPr connection="Provider=Microsoft.Mashup.OleDb.1;Data Source=$Workbook$;Location=Purchase;Extended Properties=&quot;&quot;" command="SELECT * FROM [Purchase]"/>
  </connection>
  <connection id="33" xr16:uid="{00000000-0015-0000-FFFF-FFFF14000000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34" xr16:uid="{00000000-0015-0000-FFFF-FFFF15000000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35" xr16:uid="{00000000-0015-0000-FFFF-FFFF16000000}" keepAlive="1" name="Query - Sample File (3)" description="Connection to the 'Sample File (3)' query in the workbook." type="5" refreshedVersion="0" background="1">
    <dbPr connection="Provider=Microsoft.Mashup.OleDb.1;Data Source=$Workbook$;Location=&quot;Sample File (3)&quot;;Extended Properties=&quot;&quot;" command="SELECT * FROM [Sample File (3)]"/>
  </connection>
  <connection id="36" xr16:uid="{00000000-0015-0000-FFFF-FFFF17000000}" keepAlive="1" name="Query - Sample File (4)" description="Connection to the 'Sample File (4)' query in the workbook." type="5" refreshedVersion="0" background="1">
    <dbPr connection="Provider=Microsoft.Mashup.OleDb.1;Data Source=$Workbook$;Location=&quot;Sample File (4)&quot;;Extended Properties=&quot;&quot;" command="SELECT * FROM [Sample File (4)]"/>
  </connection>
  <connection id="37" xr16:uid="{00000000-0015-0000-FFFF-FFFF18000000}" keepAlive="1" name="Query - Sample File (5)" description="Connection to the 'Sample File (5)' query in the workbook." type="5" refreshedVersion="0" background="1">
    <dbPr connection="Provider=Microsoft.Mashup.OleDb.1;Data Source=$Workbook$;Location=&quot;Sample File (5)&quot;;Extended Properties=&quot;&quot;" command="SELECT * FROM [Sample File (5)]"/>
  </connection>
  <connection id="38" xr16:uid="{00000000-0015-0000-FFFF-FFFF19000000}" keepAlive="1" name="Query - Sample File (6)" description="Connection to the 'Sample File (6)' query in the workbook." type="5" refreshedVersion="0" background="1">
    <dbPr connection="Provider=Microsoft.Mashup.OleDb.1;Data Source=$Workbook$;Location=&quot;Sample File (6)&quot;;Extended Properties=&quot;&quot;" command="SELECT * FROM [Sample File (6)]"/>
  </connection>
  <connection id="39" xr16:uid="{429E4F64-E9B4-4708-84FB-08B581642815}" keepAlive="1" name="Query - Sample File (7)" description="Connection to the 'Sample File (7)' query in the workbook." type="5" refreshedVersion="0" background="1">
    <dbPr connection="Provider=Microsoft.Mashup.OleDb.1;Data Source=$Workbook$;Location=&quot;Sample File (7)&quot;;Extended Properties=&quot;&quot;" command="SELECT * FROM [Sample File (7)]"/>
  </connection>
  <connection id="40" xr16:uid="{7E7D00A0-6941-4DC9-AC7A-419B95156AF2}" keepAlive="1" name="Query - Sample File (8)" description="Connection to the 'Sample File (8)' query in the workbook." type="5" refreshedVersion="0" background="1">
    <dbPr connection="Provider=Microsoft.Mashup.OleDb.1;Data Source=$Workbook$;Location=&quot;Sample File (8)&quot;;Extended Properties=&quot;&quot;" command="SELECT * FROM [Sample File (8)]"/>
  </connection>
  <connection id="41" xr16:uid="{7CE4F34E-A105-4C4C-B590-EDE8BEFAE503}" keepAlive="1" name="Query - Sample File (9)" description="Connection to the 'Sample File (9)' query in the workbook." type="5" refreshedVersion="0" background="1">
    <dbPr connection="Provider=Microsoft.Mashup.OleDb.1;Data Source=$Workbook$;Location=&quot;Sample File (9)&quot;;Extended Properties=&quot;&quot;" command="SELECT * FROM [Sample File (9)]"/>
  </connection>
  <connection id="42" xr16:uid="{00000000-0015-0000-FFFF-FFFF1A000000}" keepAlive="1" name="Query - State_list" description="Connection to the 'State_list' query in the workbook." type="5" refreshedVersion="0" saveData="1">
    <dbPr connection="Provider=Microsoft.Mashup.OleDb.1;Data Source=$Workbook$;Location=State_list;Extended Properties=&quot;&quot;" command="SELECT * FROM [State_list]"/>
  </connection>
  <connection id="43" xr16:uid="{00000000-0015-0000-FFFF-FFFF1B000000}" keepAlive="1" name="Query - Suppiler Master for EMAIL" description="Connection to the 'Suppiler Master for EMAIL' query in the workbook." type="5" refreshedVersion="7" saveData="1">
    <dbPr connection="Provider=Microsoft.Mashup.OleDb.1;Data Source=$Workbook$;Location=&quot;Suppiler Master for EMAIL&quot;;Extended Properties=&quot;&quot;" command="SELECT * FROM [Suppiler Master for EMAIL]"/>
  </connection>
  <connection id="44" xr16:uid="{00000000-0015-0000-FFFF-FFFF1C000000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45" xr16:uid="{00000000-0015-0000-FFFF-FFFF1D000000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46" xr16:uid="{00000000-0015-0000-FFFF-FFFF1E000000}" keepAlive="1" name="Query - Transform File (3)" description="Connection to the 'Transform File (3)' query in the workbook." type="5" refreshedVersion="0" background="1">
    <dbPr connection="Provider=Microsoft.Mashup.OleDb.1;Data Source=$Workbook$;Location=&quot;Transform File (3)&quot;;Extended Properties=&quot;&quot;" command="SELECT * FROM [Transform File (3)]"/>
  </connection>
  <connection id="47" xr16:uid="{00000000-0015-0000-FFFF-FFFF1F000000}" keepAlive="1" name="Query - Transform File (4)" description="Connection to the 'Transform File (4)' query in the workbook." type="5" refreshedVersion="0" background="1">
    <dbPr connection="Provider=Microsoft.Mashup.OleDb.1;Data Source=$Workbook$;Location=&quot;Transform File (4)&quot;;Extended Properties=&quot;&quot;" command="SELECT * FROM [Transform File (4)]"/>
  </connection>
  <connection id="48" xr16:uid="{00000000-0015-0000-FFFF-FFFF20000000}" keepAlive="1" name="Query - Transform File (5)" description="Connection to the 'Transform File (5)' query in the workbook." type="5" refreshedVersion="0" background="1">
    <dbPr connection="Provider=Microsoft.Mashup.OleDb.1;Data Source=$Workbook$;Location=&quot;Transform File (5)&quot;;Extended Properties=&quot;&quot;" command="SELECT * FROM [Transform File (5)]"/>
  </connection>
  <connection id="49" xr16:uid="{00000000-0015-0000-FFFF-FFFF21000000}" keepAlive="1" name="Query - Transform File (6)" description="Connection to the 'Transform File (6)' query in the workbook." type="5" refreshedVersion="0" background="1">
    <dbPr connection="Provider=Microsoft.Mashup.OleDb.1;Data Source=$Workbook$;Location=&quot;Transform File (6)&quot;;Extended Properties=&quot;&quot;" command="SELECT * FROM [Transform File (6)]"/>
  </connection>
  <connection id="50" xr16:uid="{ED56BC96-4934-4FF6-9063-8206E3E26B76}" keepAlive="1" name="Query - Transform File (7)" description="Connection to the 'Transform File (7)' query in the workbook." type="5" refreshedVersion="0" background="1">
    <dbPr connection="Provider=Microsoft.Mashup.OleDb.1;Data Source=$Workbook$;Location=&quot;Transform File (7)&quot;;Extended Properties=&quot;&quot;" command="SELECT * FROM [Transform File (7)]"/>
  </connection>
  <connection id="51" xr16:uid="{937774A5-086F-48D2-9A5A-9E5BBDEDBE7C}" keepAlive="1" name="Query - Transform File (8)" description="Connection to the 'Transform File (8)' query in the workbook." type="5" refreshedVersion="0" background="1">
    <dbPr connection="Provider=Microsoft.Mashup.OleDb.1;Data Source=$Workbook$;Location=&quot;Transform File (8)&quot;;Extended Properties=&quot;&quot;" command="SELECT * FROM [Transform File (8)]"/>
  </connection>
  <connection id="52" xr16:uid="{840570EC-AC05-49F7-B9EE-76457F9EBBF3}" keepAlive="1" name="Query - Transform File (9)" description="Connection to the 'Transform File (9)' query in the workbook." type="5" refreshedVersion="0" background="1">
    <dbPr connection="Provider=Microsoft.Mashup.OleDb.1;Data Source=$Workbook$;Location=&quot;Transform File (9)&quot;;Extended Properties=&quot;&quot;" command="SELECT * FROM [Transform File (9)]"/>
  </connection>
  <connection id="53" xr16:uid="{00000000-0015-0000-FFFF-FFFF22000000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54" xr16:uid="{00000000-0015-0000-FFFF-FFFF23000000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  <connection id="55" xr16:uid="{00000000-0015-0000-FFFF-FFFF24000000}" keepAlive="1" name="Query - Transform Sample File (3)" description="Connection to the 'Transform Sample File (3)' query in the workbook." type="5" refreshedVersion="0" background="1">
    <dbPr connection="Provider=Microsoft.Mashup.OleDb.1;Data Source=$Workbook$;Location=&quot;Transform Sample File (3)&quot;;Extended Properties=&quot;&quot;" command="SELECT * FROM [Transform Sample File (3)]"/>
  </connection>
  <connection id="56" xr16:uid="{00000000-0015-0000-FFFF-FFFF25000000}" keepAlive="1" name="Query - Transform Sample File (4)" description="Connection to the 'Transform Sample File (4)' query in the workbook." type="5" refreshedVersion="0" background="1">
    <dbPr connection="Provider=Microsoft.Mashup.OleDb.1;Data Source=$Workbook$;Location=&quot;Transform Sample File (4)&quot;;Extended Properties=&quot;&quot;" command="SELECT * FROM [Transform Sample File (4)]"/>
  </connection>
  <connection id="57" xr16:uid="{00000000-0015-0000-FFFF-FFFF26000000}" keepAlive="1" name="Query - Transform Sample File (5)" description="Connection to the 'Transform Sample File (5)' query in the workbook." type="5" refreshedVersion="0" background="1">
    <dbPr connection="Provider=Microsoft.Mashup.OleDb.1;Data Source=$Workbook$;Location=&quot;Transform Sample File (5)&quot;;Extended Properties=&quot;&quot;" command="SELECT * FROM [Transform Sample File (5)]"/>
  </connection>
  <connection id="58" xr16:uid="{00000000-0015-0000-FFFF-FFFF27000000}" keepAlive="1" name="Query - Transform Sample File (6)" description="Connection to the 'Transform Sample File (6)' query in the workbook." type="5" refreshedVersion="0" background="1">
    <dbPr connection="Provider=Microsoft.Mashup.OleDb.1;Data Source=$Workbook$;Location=&quot;Transform Sample File (6)&quot;;Extended Properties=&quot;&quot;" command="SELECT * FROM [Transform Sample File (6)]"/>
  </connection>
  <connection id="59" xr16:uid="{DDA99EB4-E8D5-40F4-AF6D-F0732ED0474F}" keepAlive="1" name="Query - Transform Sample File (7)" description="Connection to the 'Transform Sample File (7)' query in the workbook." type="5" refreshedVersion="0" background="1">
    <dbPr connection="Provider=Microsoft.Mashup.OleDb.1;Data Source=$Workbook$;Location=&quot;Transform Sample File (7)&quot;;Extended Properties=&quot;&quot;" command="SELECT * FROM [Transform Sample File (7)]"/>
  </connection>
  <connection id="60" xr16:uid="{DB5A9FF3-47DC-4513-9F65-93E23E836BDD}" keepAlive="1" name="Query - Transform Sample File (8)" description="Connection to the 'Transform Sample File (8)' query in the workbook." type="5" refreshedVersion="0" background="1">
    <dbPr connection="Provider=Microsoft.Mashup.OleDb.1;Data Source=$Workbook$;Location=&quot;Transform Sample File (8)&quot;;Extended Properties=&quot;&quot;" command="SELECT * FROM [Transform Sample File (8)]"/>
  </connection>
</connections>
</file>

<file path=xl/sharedStrings.xml><?xml version="1.0" encoding="utf-8"?>
<sst xmlns="http://schemas.openxmlformats.org/spreadsheetml/2006/main" count="2319" uniqueCount="501">
  <si>
    <t>Taxable Value (₹)</t>
  </si>
  <si>
    <t>Integrated Tax(₹)</t>
  </si>
  <si>
    <t>Central Tax(₹)</t>
  </si>
  <si>
    <t>State/UT Tax(₹)</t>
  </si>
  <si>
    <t>Cess(₹)</t>
  </si>
  <si>
    <t>Uttarakhand</t>
  </si>
  <si>
    <t>05AAGCA0510J1Z8</t>
  </si>
  <si>
    <t>05AQZPR4855P1ZK</t>
  </si>
  <si>
    <t>05ACFPG2339H1ZY</t>
  </si>
  <si>
    <t>05AITPR7920D2ZY</t>
  </si>
  <si>
    <t>05AAACB2894G1ZT</t>
  </si>
  <si>
    <t>6</t>
  </si>
  <si>
    <t>02AABCV0012B1ZI</t>
  </si>
  <si>
    <t>36AAACV8607M1ZW</t>
  </si>
  <si>
    <t>06AAACW2192G1ZF</t>
  </si>
  <si>
    <t>05BDZPG6123P2ZV</t>
  </si>
  <si>
    <t>204</t>
  </si>
  <si>
    <t>27AABCS4223P1Z3</t>
  </si>
  <si>
    <t>05BNLPK7265E1ZV</t>
  </si>
  <si>
    <t>05DWIPS5952N1ZP</t>
  </si>
  <si>
    <t>05ABUPC8713H1ZJ</t>
  </si>
  <si>
    <t>05AAACT0086E1ZR</t>
  </si>
  <si>
    <t>05DPVPS8425C1ZF</t>
  </si>
  <si>
    <t>44</t>
  </si>
  <si>
    <t>B2B</t>
  </si>
  <si>
    <t>State</t>
  </si>
  <si>
    <t>Info</t>
  </si>
  <si>
    <t>Remark</t>
  </si>
  <si>
    <t>2B-Data</t>
  </si>
  <si>
    <t>97</t>
  </si>
  <si>
    <t>01</t>
  </si>
  <si>
    <t>128</t>
  </si>
  <si>
    <t>03</t>
  </si>
  <si>
    <t>04</t>
  </si>
  <si>
    <t>02</t>
  </si>
  <si>
    <t>05</t>
  </si>
  <si>
    <t>06</t>
  </si>
  <si>
    <t>1</t>
  </si>
  <si>
    <t>2B Folder</t>
  </si>
  <si>
    <t>Purchase Folder</t>
  </si>
  <si>
    <t>Purchase</t>
  </si>
  <si>
    <t>B2Ba</t>
  </si>
  <si>
    <t>Daksh Cement Agency &amp; Building Material</t>
  </si>
  <si>
    <t>Cdnr</t>
  </si>
  <si>
    <t>Purchase.Voucher no</t>
  </si>
  <si>
    <t>Purchase.Taxable Amt.</t>
  </si>
  <si>
    <t>Purchase.IGST Amt.</t>
  </si>
  <si>
    <t>Purchase.CGST Amt.</t>
  </si>
  <si>
    <t>Purchase.SGST Amt.</t>
  </si>
  <si>
    <t>Purchase.CESS Amt.</t>
  </si>
  <si>
    <t>Purchase.Invoice Amt.</t>
  </si>
  <si>
    <t>As per 2A</t>
  </si>
  <si>
    <t>As per Books</t>
  </si>
  <si>
    <t>Voucher Details</t>
  </si>
  <si>
    <t>Grand Total</t>
  </si>
  <si>
    <t>Not Found in Books/Pending for entry/Not Related to US</t>
  </si>
  <si>
    <t>GSTIN of supplier</t>
  </si>
  <si>
    <t>Trade/Legal name</t>
  </si>
  <si>
    <t>Invoice number</t>
  </si>
  <si>
    <t>Invoice Date</t>
  </si>
  <si>
    <t>Sources</t>
  </si>
  <si>
    <t>Email-ID</t>
  </si>
  <si>
    <t>Company Name</t>
  </si>
  <si>
    <t>Financial Year</t>
  </si>
  <si>
    <t>Events</t>
  </si>
  <si>
    <t>Head</t>
  </si>
  <si>
    <t>#</t>
  </si>
  <si>
    <t>http:///</t>
  </si>
  <si>
    <t xml:space="preserve"> Remark</t>
  </si>
  <si>
    <t>2021-22</t>
  </si>
  <si>
    <t>2017-18</t>
  </si>
  <si>
    <t>2018-19</t>
  </si>
  <si>
    <t>2019-20</t>
  </si>
  <si>
    <t>2020-21</t>
  </si>
  <si>
    <t>2022-23</t>
  </si>
  <si>
    <t>CC</t>
  </si>
  <si>
    <t xml:space="preserve"> Taxable Amount (2B)</t>
  </si>
  <si>
    <t xml:space="preserve"> Input (2B)</t>
  </si>
  <si>
    <t xml:space="preserve"> Cess (2B)</t>
  </si>
  <si>
    <t xml:space="preserve"> Taxable Amount (Books)</t>
  </si>
  <si>
    <t xml:space="preserve"> Input (Books)</t>
  </si>
  <si>
    <t xml:space="preserve"> Cess (Books)</t>
  </si>
  <si>
    <t xml:space="preserve"> Difference (Input)</t>
  </si>
  <si>
    <t xml:space="preserve"> Difference (Cess)</t>
  </si>
  <si>
    <t>26AARCA0340H1ZU</t>
  </si>
  <si>
    <t>05AZTPB3648K1Z1</t>
  </si>
  <si>
    <t>05BPKPK5111E1ZB</t>
  </si>
  <si>
    <t>05FYKPS0202K1ZE</t>
  </si>
  <si>
    <t>05ADAPC5642F1Z5</t>
  </si>
  <si>
    <t>05ADSPV8873F1ZP</t>
  </si>
  <si>
    <t>05AAGFT2089L1ZT</t>
  </si>
  <si>
    <t>05ABYPS3455J1ZX</t>
  </si>
  <si>
    <t>05APYPB2509Q1ZE</t>
  </si>
  <si>
    <t>05AEEFS2751Q1ZL</t>
  </si>
  <si>
    <t>21</t>
  </si>
  <si>
    <t>221</t>
  </si>
  <si>
    <t>162</t>
  </si>
  <si>
    <t>32</t>
  </si>
  <si>
    <t>Not Showing in 2B</t>
  </si>
  <si>
    <t>Purchase Register</t>
  </si>
  <si>
    <t>272</t>
  </si>
  <si>
    <t>356</t>
  </si>
  <si>
    <t>1898</t>
  </si>
  <si>
    <t>222</t>
  </si>
  <si>
    <t>457</t>
  </si>
  <si>
    <t>33AAACD2686A1Z6</t>
  </si>
  <si>
    <t>508</t>
  </si>
  <si>
    <t>1532</t>
  </si>
  <si>
    <t>05BCYPK9624H1Z0</t>
  </si>
  <si>
    <t>1865</t>
  </si>
  <si>
    <t>1889</t>
  </si>
  <si>
    <t>1857</t>
  </si>
  <si>
    <t>1869</t>
  </si>
  <si>
    <t>1911</t>
  </si>
  <si>
    <t>509</t>
  </si>
  <si>
    <t>2077</t>
  </si>
  <si>
    <t>1861</t>
  </si>
  <si>
    <t>2727</t>
  </si>
  <si>
    <t>1895</t>
  </si>
  <si>
    <t>406</t>
  </si>
  <si>
    <t>572</t>
  </si>
  <si>
    <t>05AABCG9199A1ZN</t>
  </si>
  <si>
    <t>Invoices of Last Year Booked in Current Year</t>
  </si>
  <si>
    <t>Import</t>
  </si>
  <si>
    <t>IMPG</t>
  </si>
  <si>
    <t>User Name</t>
  </si>
  <si>
    <t>Vishal Sharma</t>
  </si>
  <si>
    <t>Supply Attract Reverse Charge</t>
  </si>
  <si>
    <t>Place of supply</t>
  </si>
  <si>
    <t>No</t>
  </si>
  <si>
    <t>Himachal Pradesh</t>
  </si>
  <si>
    <t>Tamil Nadu</t>
  </si>
  <si>
    <t>Uttar Pradesh</t>
  </si>
  <si>
    <t>Andaman &amp; Nicobar Islands</t>
  </si>
  <si>
    <t>Andhra Pradesh</t>
  </si>
  <si>
    <t>Arunachal Pradesh</t>
  </si>
  <si>
    <t>Assam</t>
  </si>
  <si>
    <t>Bihar</t>
  </si>
  <si>
    <t>Chandigarh</t>
  </si>
  <si>
    <t>Chhattisgarh</t>
  </si>
  <si>
    <t>Dadra &amp; Nagar Haveli</t>
  </si>
  <si>
    <t>Daman &amp; Diu</t>
  </si>
  <si>
    <t>07</t>
  </si>
  <si>
    <t>Delhi</t>
  </si>
  <si>
    <t>Goa</t>
  </si>
  <si>
    <t>Gujarat</t>
  </si>
  <si>
    <t>Haryana</t>
  </si>
  <si>
    <t>Jammu &amp; Kashmir</t>
  </si>
  <si>
    <t>Jharkhand</t>
  </si>
  <si>
    <t>Karnataka</t>
  </si>
  <si>
    <t>Kerala</t>
  </si>
  <si>
    <t>Lakshdweep</t>
  </si>
  <si>
    <t>Madhya Pradesh</t>
  </si>
  <si>
    <t>Maharashtra</t>
  </si>
  <si>
    <t>Manipur</t>
  </si>
  <si>
    <t>Meghalaya</t>
  </si>
  <si>
    <t>Mizoram</t>
  </si>
  <si>
    <t>Nagaland</t>
  </si>
  <si>
    <t>Odisha</t>
  </si>
  <si>
    <t>Other Territory</t>
  </si>
  <si>
    <t>Pondicherry</t>
  </si>
  <si>
    <t>Punjab</t>
  </si>
  <si>
    <t>08</t>
  </si>
  <si>
    <t>Rajasthan</t>
  </si>
  <si>
    <t>Sikkim</t>
  </si>
  <si>
    <t>Telengana</t>
  </si>
  <si>
    <t>Tripura</t>
  </si>
  <si>
    <t>09</t>
  </si>
  <si>
    <t>West Bengal</t>
  </si>
  <si>
    <t>State Code</t>
  </si>
  <si>
    <t>POS</t>
  </si>
  <si>
    <t>9</t>
  </si>
  <si>
    <t>33</t>
  </si>
  <si>
    <t>Voucher wise Details</t>
  </si>
  <si>
    <t>343</t>
  </si>
  <si>
    <t>2463</t>
  </si>
  <si>
    <t>Row Labels</t>
  </si>
  <si>
    <t>Sum of Difference</t>
  </si>
  <si>
    <t>Sum of Difference2</t>
  </si>
  <si>
    <t/>
  </si>
  <si>
    <t>(2B).Trade/Legal name</t>
  </si>
  <si>
    <t>(2B).Invoice number</t>
  </si>
  <si>
    <t>(2B).Taxable Value (₹)</t>
  </si>
  <si>
    <t>(2B).Integrated Tax(₹)</t>
  </si>
  <si>
    <t>(2B).Central Tax(₹)</t>
  </si>
  <si>
    <t>(2B).State/UT Tax(₹)</t>
  </si>
  <si>
    <t>(2B).Cess(₹)</t>
  </si>
  <si>
    <t>(2B).GSTIN of supplier</t>
  </si>
  <si>
    <t>Suggested Matched</t>
  </si>
  <si>
    <t>Please ensure that match having not 100% Accuracy they. Please check them mannually. Before make changes to your report.</t>
  </si>
  <si>
    <t>Password</t>
  </si>
  <si>
    <t>Role</t>
  </si>
  <si>
    <t>test</t>
  </si>
  <si>
    <t>demo</t>
  </si>
  <si>
    <t>Current_User</t>
  </si>
  <si>
    <t>test2</t>
  </si>
  <si>
    <t>05AJMPB9650L1ZW</t>
  </si>
  <si>
    <t>05EQKPK7730M1ZC</t>
  </si>
  <si>
    <t>05AJMPR4625B1ZC</t>
  </si>
  <si>
    <t>06AADCD8661N1Z6</t>
  </si>
  <si>
    <t>36AAFCE3261P2Z9</t>
  </si>
  <si>
    <t>05AABCL5321P1ZF</t>
  </si>
  <si>
    <t>36AADFL3339E1ZJ</t>
  </si>
  <si>
    <t>05AAACI5950L1ZG</t>
  </si>
  <si>
    <t>05AACFJ5445Q1ZZ</t>
  </si>
  <si>
    <t>05AAJFK2620D1ZV</t>
  </si>
  <si>
    <t>05BZQPP7689N1Z2</t>
  </si>
  <si>
    <t>05BRAPM7772B1ZY</t>
  </si>
  <si>
    <t>05AAACM9418K1ZB</t>
  </si>
  <si>
    <t>01AAACF0109J1ZE</t>
  </si>
  <si>
    <t>27FOJPS2666C1ZM</t>
  </si>
  <si>
    <t>2226/21-22</t>
  </si>
  <si>
    <t>2521/21-22</t>
  </si>
  <si>
    <t>Si-2/609,383</t>
  </si>
  <si>
    <t>Uk03-Fy22-00023</t>
  </si>
  <si>
    <t>Dn22122-0080</t>
  </si>
  <si>
    <t>Dn2/2122-0001</t>
  </si>
  <si>
    <t>989/21-22</t>
  </si>
  <si>
    <t>2022/A01000911,A01000233</t>
  </si>
  <si>
    <t>Dn2/2122-0029</t>
  </si>
  <si>
    <t>2520/21-22</t>
  </si>
  <si>
    <t>1862</t>
  </si>
  <si>
    <t>Om Stationary Mart</t>
  </si>
  <si>
    <t>N125</t>
  </si>
  <si>
    <t>Rddin2100862</t>
  </si>
  <si>
    <t>Iv2022101336</t>
  </si>
  <si>
    <t>4521</t>
  </si>
  <si>
    <t>05AAACB3754B1ZA</t>
  </si>
  <si>
    <t>59000198</t>
  </si>
  <si>
    <t>9392101403</t>
  </si>
  <si>
    <t>Vicgpl/2122/27</t>
  </si>
  <si>
    <t>Apnp/21-22/124</t>
  </si>
  <si>
    <t>Vicgpl/2122/142</t>
  </si>
  <si>
    <t>34AAWCS4590A1Z4</t>
  </si>
  <si>
    <t>Gst059/21-22</t>
  </si>
  <si>
    <t>05AMGPM6436L1ZR</t>
  </si>
  <si>
    <t>1844</t>
  </si>
  <si>
    <t>Ss-0036/21-22</t>
  </si>
  <si>
    <t>1854</t>
  </si>
  <si>
    <t>Rddin2101978</t>
  </si>
  <si>
    <t>05BCZPG8311E1ZJ</t>
  </si>
  <si>
    <t>Pr/79/20-21</t>
  </si>
  <si>
    <t>1499</t>
  </si>
  <si>
    <t>9392103767</t>
  </si>
  <si>
    <t>05ABHFS4750M1ZT</t>
  </si>
  <si>
    <t>20210533</t>
  </si>
  <si>
    <t>1867</t>
  </si>
  <si>
    <t>Apnp/21-22/526</t>
  </si>
  <si>
    <t>1870</t>
  </si>
  <si>
    <t>H05A222101001470</t>
  </si>
  <si>
    <t>1876</t>
  </si>
  <si>
    <t>9392102520</t>
  </si>
  <si>
    <t>1881</t>
  </si>
  <si>
    <t>Rstc/21-22/154</t>
  </si>
  <si>
    <t>1885</t>
  </si>
  <si>
    <t>9392104042</t>
  </si>
  <si>
    <t>1886</t>
  </si>
  <si>
    <t>Jvg/085</t>
  </si>
  <si>
    <t>1154</t>
  </si>
  <si>
    <t>1892</t>
  </si>
  <si>
    <t>Ds00725/2021-22</t>
  </si>
  <si>
    <t>1106/21-22</t>
  </si>
  <si>
    <t>21-22/1784</t>
  </si>
  <si>
    <t>1902</t>
  </si>
  <si>
    <t>H05A222101001737</t>
  </si>
  <si>
    <t>1228</t>
  </si>
  <si>
    <t>001</t>
  </si>
  <si>
    <t>9392105951</t>
  </si>
  <si>
    <t>002</t>
  </si>
  <si>
    <t>1559/Gst/21-22</t>
  </si>
  <si>
    <t>21-22/Tc/0001</t>
  </si>
  <si>
    <t>21-22/Vbd/001931</t>
  </si>
  <si>
    <t>Va21000000000055</t>
  </si>
  <si>
    <t>Va21000000000583</t>
  </si>
  <si>
    <t>59000235</t>
  </si>
  <si>
    <t>Va21000000000723</t>
  </si>
  <si>
    <t>1873</t>
  </si>
  <si>
    <t>Va21000000001017</t>
  </si>
  <si>
    <t>Rddin2104208</t>
  </si>
  <si>
    <t>Va21000000001196</t>
  </si>
  <si>
    <t>05AAPPG3064R1Z7</t>
  </si>
  <si>
    <t>Rkdp/21-22/15088</t>
  </si>
  <si>
    <t>Hald/2122/D0109</t>
  </si>
  <si>
    <t>1897/Gst/21-22</t>
  </si>
  <si>
    <t>21-22/0076</t>
  </si>
  <si>
    <t>Ss01/Loc/01264</t>
  </si>
  <si>
    <t>27AAACG1463E1ZZ</t>
  </si>
  <si>
    <t>B/Gst/21-22/232</t>
  </si>
  <si>
    <t>2913</t>
  </si>
  <si>
    <t>8135030747</t>
  </si>
  <si>
    <t>8135030748</t>
  </si>
  <si>
    <t>Bm2205I000571984</t>
  </si>
  <si>
    <t>8135030822</t>
  </si>
  <si>
    <t>3670</t>
  </si>
  <si>
    <t>Bm2205I000062266</t>
  </si>
  <si>
    <t>21112010010920</t>
  </si>
  <si>
    <t>2874</t>
  </si>
  <si>
    <t>06ACEPL3198C1ZR</t>
  </si>
  <si>
    <t>2022/A01003386</t>
  </si>
  <si>
    <t>F20031104639</t>
  </si>
  <si>
    <t>33AAACN9140P1Z6</t>
  </si>
  <si>
    <t>Si/2122-0084</t>
  </si>
  <si>
    <t>227/21-22</t>
  </si>
  <si>
    <t>Asr/21/22-135</t>
  </si>
  <si>
    <t>Apnp/21-22/218</t>
  </si>
  <si>
    <t>758</t>
  </si>
  <si>
    <t>2021/A01005687</t>
  </si>
  <si>
    <t>Rkdp/21-22/13879</t>
  </si>
  <si>
    <t>Ss-0025/21-22</t>
  </si>
  <si>
    <t>Ss-0010/21-22</t>
  </si>
  <si>
    <t>02AACCN5184H2ZL</t>
  </si>
  <si>
    <t>Mb22122/Gis00132</t>
  </si>
  <si>
    <t>Tec212290</t>
  </si>
  <si>
    <t>Sd-021/2021-22</t>
  </si>
  <si>
    <t>36AABCR5731P1ZY</t>
  </si>
  <si>
    <t>Rpc1/21-22/0245</t>
  </si>
  <si>
    <t>Rddin2100608</t>
  </si>
  <si>
    <t>Iv2022103258</t>
  </si>
  <si>
    <t>F25210000284</t>
  </si>
  <si>
    <t>27AAACC9611L1ZI</t>
  </si>
  <si>
    <t>Xs173852</t>
  </si>
  <si>
    <t>27AFDPD4553M1ZC</t>
  </si>
  <si>
    <t>Dgs/M/067/21-22</t>
  </si>
  <si>
    <t>Rkdp/21-22/14482</t>
  </si>
  <si>
    <t>0000473</t>
  </si>
  <si>
    <t>236/21-22</t>
  </si>
  <si>
    <t>4628</t>
  </si>
  <si>
    <t>05ACDFS1048P1ZW</t>
  </si>
  <si>
    <t>Gst-286</t>
  </si>
  <si>
    <t>Cpx-2/2122-0002</t>
  </si>
  <si>
    <t>27AALCA5924F1ZM</t>
  </si>
  <si>
    <t>Mum004357</t>
  </si>
  <si>
    <t>27ACYFS5944F1ZD</t>
  </si>
  <si>
    <t>988</t>
  </si>
  <si>
    <t>1923</t>
  </si>
  <si>
    <t>21112041000404</t>
  </si>
  <si>
    <t>Sab/20-21/273</t>
  </si>
  <si>
    <t>Source.Name</t>
  </si>
  <si>
    <t>GSTIN</t>
  </si>
  <si>
    <t>Legal Name</t>
  </si>
  <si>
    <t>05AABCC8148B1Z2</t>
  </si>
  <si>
    <t>COOL COSMETICS PRIVATE  LIMITED</t>
  </si>
  <si>
    <t>GST No</t>
  </si>
  <si>
    <t>Approver</t>
  </si>
  <si>
    <t>Owner</t>
  </si>
  <si>
    <t>Subodh</t>
  </si>
  <si>
    <t>Admin</t>
  </si>
  <si>
    <t>05AAACL9593Q1ZO</t>
  </si>
  <si>
    <t>Demo</t>
  </si>
  <si>
    <t>Vishal</t>
  </si>
  <si>
    <t>Any</t>
  </si>
  <si>
    <t>23AAACE6761H1ZS</t>
  </si>
  <si>
    <t>M/S CREATIVE PROPACK LIMITED</t>
  </si>
  <si>
    <t>2012091</t>
  </si>
  <si>
    <t>N</t>
  </si>
  <si>
    <t>IMPZ-SEZ</t>
  </si>
  <si>
    <t>2012625</t>
  </si>
  <si>
    <t>Last Year Invoices Update by Suppiler in Current year 2B</t>
  </si>
  <si>
    <t>Gst-493</t>
  </si>
  <si>
    <t>Incorrect POS (Himachal Pradesh) update instead of Uttarakhand</t>
  </si>
  <si>
    <t>M/S Om Stationery Mart</t>
  </si>
  <si>
    <t>Dcab/00378/21-22</t>
  </si>
  <si>
    <t>2360000426</t>
  </si>
  <si>
    <t>0022/Gst/21-22</t>
  </si>
  <si>
    <t>330/Gst/21-22</t>
  </si>
  <si>
    <t>331/Gst/21-22</t>
  </si>
  <si>
    <t>ACBD Limited</t>
  </si>
  <si>
    <t>Data Import from 2B and merge to one file on 19-May-22 12:32:36 PM</t>
  </si>
  <si>
    <t>B2BA invoice adjust with their B2B invoice on 19-May-22 12:32:36 PM</t>
  </si>
  <si>
    <t>CDNR added to B2B invoice for input on 19-May-22 12:32:36 PM</t>
  </si>
  <si>
    <t>Remove RCM and Other POS for All on 19-May-22 12:32:36 PM</t>
  </si>
  <si>
    <t>Import Purchase Data from folder on 19-May-22 12:32:37 PM</t>
  </si>
  <si>
    <t>Reconcile 2B data with your books on 19-May-22 12:32:37 PM</t>
  </si>
  <si>
    <t>Add require remark with their working on final recon on 19-May-22 12:32:37 PM</t>
  </si>
  <si>
    <t>Create Summary Sheet for Mismatch invoice on 19-May-22 12:32:37 PM</t>
  </si>
  <si>
    <t>Create vendor list for Email of supplier for mismatch invoice on 19-May-22 12:32:37 PM</t>
  </si>
  <si>
    <t>05ABCDEFJHIJ1Z4</t>
  </si>
  <si>
    <t>Abcdc</t>
  </si>
  <si>
    <t>05ABCDEFJHIJ1ZR</t>
  </si>
  <si>
    <t>05ABCDEFJHIJ1ZE</t>
  </si>
  <si>
    <t>27ABCDEFJHIJ1Z7</t>
  </si>
  <si>
    <t>27ABCDEFJHIJ1Z3</t>
  </si>
  <si>
    <t>05ABCDEFJHIJ1ZA</t>
  </si>
  <si>
    <t>06ABCDEFJHIJ1Z0</t>
  </si>
  <si>
    <t>27ABCDEFJHIJ1ZZ</t>
  </si>
  <si>
    <t>27ABCDEFJHIJ1ZL</t>
  </si>
  <si>
    <t>05ABCDEFJHIJ1ZT</t>
  </si>
  <si>
    <t>24ABCDEFJHIJ1Z9</t>
  </si>
  <si>
    <t>09ABCDEFJHIJ1ZA</t>
  </si>
  <si>
    <t>05ABCDEFJHIJ1ZJ</t>
  </si>
  <si>
    <t>Abdefjhijkls</t>
  </si>
  <si>
    <t>36ABCDEFJHIJ1ZW</t>
  </si>
  <si>
    <t>Text</t>
  </si>
  <si>
    <t>2/5/2022</t>
  </si>
  <si>
    <t>3/9/2022</t>
  </si>
  <si>
    <t>Abc/2122-0314</t>
  </si>
  <si>
    <t>Abc/2122-0273</t>
  </si>
  <si>
    <t>Abc/2122-0100</t>
  </si>
  <si>
    <t>Abc/2122-0561</t>
  </si>
  <si>
    <t>Abc/2122-0248</t>
  </si>
  <si>
    <t>Abc/2122-0363</t>
  </si>
  <si>
    <t>Abc/2122-0886</t>
  </si>
  <si>
    <t>Abc/2122-1329</t>
  </si>
  <si>
    <t>Abc/2122-0515</t>
  </si>
  <si>
    <t>Abc/2122-1210</t>
  </si>
  <si>
    <t>Abc/2122-0444</t>
  </si>
  <si>
    <t>Abc/2122-0370</t>
  </si>
  <si>
    <t>Abc/2122-1192</t>
  </si>
  <si>
    <t>Abc/2122-1131</t>
  </si>
  <si>
    <t>Abc/2122-0858</t>
  </si>
  <si>
    <t>Abc/2122-0592</t>
  </si>
  <si>
    <t>Abc/2122-1324</t>
  </si>
  <si>
    <t>Abc/2122-0345</t>
  </si>
  <si>
    <t>Abc/2122-0380</t>
  </si>
  <si>
    <t>Abc/2122-0373</t>
  </si>
  <si>
    <t>Abc/2122-1145</t>
  </si>
  <si>
    <t>Abc/2122-0803</t>
  </si>
  <si>
    <t>Abc/2122-1462</t>
  </si>
  <si>
    <t>Abc/2122-0778</t>
  </si>
  <si>
    <t>Abc/2122-1838</t>
  </si>
  <si>
    <t>Abc/2122-1716</t>
  </si>
  <si>
    <t>Abc/2122-1466</t>
  </si>
  <si>
    <t>Abc/2122-0731</t>
  </si>
  <si>
    <t>Abc/2122-1556</t>
  </si>
  <si>
    <t>Abc/2122-1661</t>
  </si>
  <si>
    <t>Abc/2122-1801</t>
  </si>
  <si>
    <t>Abc/2122-1756</t>
  </si>
  <si>
    <t>Abc/2122-1636</t>
  </si>
  <si>
    <t>Abc/2122-2001</t>
  </si>
  <si>
    <t>Abc/2122-1939</t>
  </si>
  <si>
    <t>Abc/2122-1024</t>
  </si>
  <si>
    <t>Abc/2122-1154</t>
  </si>
  <si>
    <t>Abc/2122-0652</t>
  </si>
  <si>
    <t>Abc/2122-1143</t>
  </si>
  <si>
    <t>Abc/2122-1926</t>
  </si>
  <si>
    <t>Abc/2122-0971</t>
  </si>
  <si>
    <t>Abc/2122-1118</t>
  </si>
  <si>
    <t>Abc/2122-2558</t>
  </si>
  <si>
    <t>Abc/2122-2389</t>
  </si>
  <si>
    <t>Abc/2122-0074</t>
  </si>
  <si>
    <t>Abc/2122-0155</t>
  </si>
  <si>
    <t>Abc/2122-0283</t>
  </si>
  <si>
    <t>Abc/2122-0113</t>
  </si>
  <si>
    <t>Abc/2122-0588</t>
  </si>
  <si>
    <t>Abc/2122-0078</t>
  </si>
  <si>
    <t>Abc/2122-0276</t>
  </si>
  <si>
    <t>Abc/2122-0279</t>
  </si>
  <si>
    <t>Abc/2122-0304</t>
  </si>
  <si>
    <t>Abc/2122-0158</t>
  </si>
  <si>
    <t>Abc/2122-0609</t>
  </si>
  <si>
    <t>Abc/2122-0733</t>
  </si>
  <si>
    <t>Abc/2122-0108</t>
  </si>
  <si>
    <t>Abc/2122-0185</t>
  </si>
  <si>
    <t>Abc/2122-0320</t>
  </si>
  <si>
    <t>Abc/2122-0717</t>
  </si>
  <si>
    <t>Abc/2122-0220</t>
  </si>
  <si>
    <t>Abc/2122-0188</t>
  </si>
  <si>
    <t>Abc/2122-0528</t>
  </si>
  <si>
    <t>Abc/2122-0445</t>
  </si>
  <si>
    <t>Abc/2122-0533</t>
  </si>
  <si>
    <t>Abc/2122-0013</t>
  </si>
  <si>
    <t>Abc/2122-0657</t>
  </si>
  <si>
    <t>Abc/2122-0232</t>
  </si>
  <si>
    <t>Abc/2122-0362</t>
  </si>
  <si>
    <t>Abc/2122-1286</t>
  </si>
  <si>
    <t>Abc/2122-0587</t>
  </si>
  <si>
    <t>Abc/2122-0590</t>
  </si>
  <si>
    <t>Abc/2122-0819</t>
  </si>
  <si>
    <t>Abc/2122-0403</t>
  </si>
  <si>
    <t>Abc/2122-1703</t>
  </si>
  <si>
    <t>Abc/2122-0009</t>
  </si>
  <si>
    <t>Abc/2122-0067</t>
  </si>
  <si>
    <t>Abc/2122-0005</t>
  </si>
  <si>
    <t>Abc/2122-0081</t>
  </si>
  <si>
    <t>Abc/2122-0066</t>
  </si>
  <si>
    <t>Abc/2122-0008</t>
  </si>
  <si>
    <t>Abc/2122-0026</t>
  </si>
  <si>
    <t>Abc/2122-0034</t>
  </si>
  <si>
    <t>Abc/2122-0002</t>
  </si>
  <si>
    <t>Abc/2122-0011</t>
  </si>
  <si>
    <t>Abc/2122-0018</t>
  </si>
  <si>
    <t>Abc/2122-0080</t>
  </si>
  <si>
    <t>Abc/2122-0001</t>
  </si>
  <si>
    <t>Abc/2122-0022</t>
  </si>
  <si>
    <t>Abc/2122-0048</t>
  </si>
  <si>
    <t>Abc/2122-0085</t>
  </si>
  <si>
    <t>Abc/2122-0038</t>
  </si>
  <si>
    <t>Abc/2122-0029</t>
  </si>
  <si>
    <t>Abc/2122-0082</t>
  </si>
  <si>
    <t>123456</t>
  </si>
  <si>
    <t>Abc/2122-0016</t>
  </si>
  <si>
    <t>Abc/2122-0024</t>
  </si>
  <si>
    <t>07ABCDEFJHIJ1ZQ</t>
  </si>
  <si>
    <t>05ABCDEFJHIJ1ZH</t>
  </si>
  <si>
    <t>05ABCDEFJHIJ1Z1</t>
  </si>
  <si>
    <t>05ABCDEFJHIJ1ZF</t>
  </si>
  <si>
    <t>Abc</t>
  </si>
  <si>
    <t>12345</t>
  </si>
  <si>
    <t>05ABCDEFJHIJ1ZY</t>
  </si>
  <si>
    <t>Abcd</t>
  </si>
  <si>
    <t>(Multiple Items)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</si>
</sst>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"/>
  </numFmts>
  <fonts count="1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Calibri"/>
      <family val="2"/>
      <scheme val="minor"/>
    </font>
    <font>
      <b/>
      <u val="double"/>
      <sz val="26"/>
      <color theme="1"/>
      <name val="Calibri"/>
      <family val="2"/>
      <scheme val="minor"/>
    </font>
    <font>
      <sz val="11"/>
      <name val="Calibri"/>
      <family val="2"/>
      <scheme val="minor"/>
    </font>
    <font>
      <b/>
      <u val="double"/>
      <sz val="3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12" fillId="0" borderId="0"/>
  </cellStyleXfs>
  <cellXfs count="94">
    <xf numFmtId="0" fontId="0" fillId="0" borderId="0" xfId="0"/>
    <xf numFmtId="0" fontId="0" fillId="0" borderId="4" xfId="0" applyBorder="1"/>
    <xf numFmtId="0" fontId="0" fillId="0" borderId="1" xfId="0" applyBorder="1"/>
    <xf numFmtId="0" fontId="2" fillId="0" borderId="0" xfId="0" applyFont="1" applyAlignment="1">
      <alignment horizontal="center"/>
    </xf>
    <xf numFmtId="0" fontId="0" fillId="0" borderId="1" xfId="0" applyFill="1" applyBorder="1"/>
    <xf numFmtId="0" fontId="0" fillId="0" borderId="1" xfId="0" applyNumberFormat="1" applyFill="1" applyBorder="1"/>
    <xf numFmtId="0" fontId="3" fillId="0" borderId="0" xfId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1" xfId="0" applyBorder="1" applyAlignment="1">
      <alignment horizontal="left" vertical="top" wrapText="1"/>
    </xf>
    <xf numFmtId="0" fontId="0" fillId="0" borderId="1" xfId="0" applyNumberFormat="1" applyBorder="1" applyAlignment="1">
      <alignment vertical="top" wrapText="1"/>
    </xf>
    <xf numFmtId="0" fontId="0" fillId="0" borderId="0" xfId="0" applyAlignment="1">
      <alignment vertical="top" wrapText="1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NumberFormat="1" applyFont="1" applyFill="1" applyBorder="1" applyAlignment="1">
      <alignment horizontal="center" vertical="center" wrapText="1"/>
    </xf>
    <xf numFmtId="0" fontId="5" fillId="0" borderId="0" xfId="0" applyFont="1" applyFill="1"/>
    <xf numFmtId="0" fontId="0" fillId="0" borderId="1" xfId="0" applyNumberFormat="1" applyBorder="1" applyAlignment="1">
      <alignment wrapText="1"/>
    </xf>
    <xf numFmtId="0" fontId="11" fillId="0" borderId="5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left" vertical="top" wrapText="1"/>
    </xf>
    <xf numFmtId="0" fontId="0" fillId="0" borderId="7" xfId="0" applyBorder="1" applyAlignment="1">
      <alignment wrapText="1"/>
    </xf>
    <xf numFmtId="0" fontId="9" fillId="0" borderId="6" xfId="0" quotePrefix="1" applyFont="1" applyBorder="1" applyAlignment="1">
      <alignment horizontal="left" vertical="top" wrapText="1"/>
    </xf>
    <xf numFmtId="0" fontId="10" fillId="0" borderId="6" xfId="0" quotePrefix="1" applyFont="1" applyBorder="1" applyAlignment="1">
      <alignment wrapText="1"/>
    </xf>
    <xf numFmtId="0" fontId="9" fillId="0" borderId="8" xfId="0" applyFont="1" applyBorder="1" applyAlignment="1">
      <alignment horizontal="left" vertical="top" wrapText="1"/>
    </xf>
    <xf numFmtId="0" fontId="0" fillId="0" borderId="9" xfId="0" applyBorder="1" applyAlignment="1">
      <alignment wrapText="1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4" fontId="0" fillId="0" borderId="1" xfId="0" applyNumberFormat="1" applyBorder="1" applyAlignment="1">
      <alignment vertical="top" wrapText="1"/>
    </xf>
    <xf numFmtId="4" fontId="0" fillId="0" borderId="1" xfId="0" applyNumberFormat="1" applyBorder="1" applyAlignment="1">
      <alignment wrapText="1"/>
    </xf>
    <xf numFmtId="4" fontId="5" fillId="2" borderId="1" xfId="0" applyNumberFormat="1" applyFont="1" applyFill="1" applyBorder="1" applyAlignment="1">
      <alignment horizontal="center" vertical="center" wrapText="1"/>
    </xf>
    <xf numFmtId="0" fontId="0" fillId="0" borderId="3" xfId="0" applyFill="1" applyBorder="1"/>
    <xf numFmtId="14" fontId="0" fillId="0" borderId="0" xfId="0" applyNumberFormat="1"/>
    <xf numFmtId="0" fontId="13" fillId="0" borderId="0" xfId="0" applyFont="1"/>
    <xf numFmtId="0" fontId="0" fillId="0" borderId="0" xfId="0" applyFill="1"/>
    <xf numFmtId="0" fontId="0" fillId="0" borderId="5" xfId="0" applyFill="1" applyBorder="1"/>
    <xf numFmtId="0" fontId="0" fillId="0" borderId="0" xfId="0" applyFill="1" applyBorder="1"/>
    <xf numFmtId="0" fontId="0" fillId="0" borderId="6" xfId="0" applyFill="1" applyBorder="1"/>
    <xf numFmtId="0" fontId="0" fillId="0" borderId="7" xfId="0" applyFill="1" applyBorder="1"/>
    <xf numFmtId="0" fontId="5" fillId="0" borderId="0" xfId="0" applyFont="1" applyFill="1" applyBorder="1"/>
    <xf numFmtId="0" fontId="0" fillId="0" borderId="10" xfId="0" applyFill="1" applyBorder="1"/>
    <xf numFmtId="0" fontId="0" fillId="0" borderId="8" xfId="0" applyFill="1" applyBorder="1"/>
    <xf numFmtId="0" fontId="0" fillId="0" borderId="9" xfId="0" applyFill="1" applyBorder="1"/>
    <xf numFmtId="0" fontId="6" fillId="0" borderId="0" xfId="1" applyFont="1" applyFill="1"/>
    <xf numFmtId="0" fontId="3" fillId="0" borderId="0" xfId="1" applyFill="1" applyBorder="1"/>
    <xf numFmtId="0" fontId="8" fillId="0" borderId="0" xfId="0" applyFont="1" applyFill="1"/>
    <xf numFmtId="0" fontId="3" fillId="0" borderId="0" xfId="1" applyFill="1"/>
    <xf numFmtId="0" fontId="0" fillId="0" borderId="1" xfId="0" applyFill="1" applyBorder="1" applyAlignment="1">
      <alignment horizontal="left" vertical="top" wrapText="1"/>
    </xf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14" fillId="0" borderId="6" xfId="0" applyFont="1" applyFill="1" applyBorder="1"/>
    <xf numFmtId="0" fontId="14" fillId="0" borderId="1" xfId="0" applyFont="1" applyFill="1" applyBorder="1"/>
    <xf numFmtId="0" fontId="14" fillId="0" borderId="1" xfId="0" applyNumberFormat="1" applyFont="1" applyFill="1" applyBorder="1"/>
    <xf numFmtId="0" fontId="14" fillId="0" borderId="7" xfId="0" applyNumberFormat="1" applyFont="1" applyFill="1" applyBorder="1"/>
    <xf numFmtId="10" fontId="0" fillId="0" borderId="0" xfId="0" applyNumberFormat="1"/>
    <xf numFmtId="0" fontId="0" fillId="0" borderId="3" xfId="0" applyFill="1" applyBorder="1" applyAlignment="1">
      <alignment horizontal="center" vertical="center" wrapText="1"/>
    </xf>
    <xf numFmtId="0" fontId="0" fillId="0" borderId="4" xfId="0" applyFill="1" applyBorder="1" applyAlignment="1">
      <alignment horizontal="center" vertical="center" wrapText="1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 wrapText="1"/>
    </xf>
    <xf numFmtId="0" fontId="0" fillId="0" borderId="3" xfId="0" applyBorder="1"/>
    <xf numFmtId="0" fontId="0" fillId="0" borderId="9" xfId="0" applyBorder="1"/>
    <xf numFmtId="0" fontId="0" fillId="0" borderId="8" xfId="0" applyBorder="1"/>
    <xf numFmtId="0" fontId="0" fillId="0" borderId="5" xfId="0" applyBorder="1"/>
    <xf numFmtId="0" fontId="0" fillId="0" borderId="6" xfId="0" applyBorder="1"/>
    <xf numFmtId="0" fontId="0" fillId="0" borderId="2" xfId="0" applyBorder="1"/>
    <xf numFmtId="0" fontId="14" fillId="0" borderId="3" xfId="0" applyFont="1" applyFill="1" applyBorder="1"/>
    <xf numFmtId="0" fontId="14" fillId="0" borderId="4" xfId="0" applyFont="1" applyFill="1" applyBorder="1"/>
    <xf numFmtId="0" fontId="14" fillId="0" borderId="4" xfId="0" applyNumberFormat="1" applyFont="1" applyFill="1" applyBorder="1"/>
    <xf numFmtId="164" fontId="14" fillId="0" borderId="1" xfId="0" applyNumberFormat="1" applyFont="1" applyFill="1" applyBorder="1"/>
    <xf numFmtId="164" fontId="14" fillId="0" borderId="4" xfId="0" applyNumberFormat="1" applyFont="1" applyFill="1" applyBorder="1"/>
    <xf numFmtId="0" fontId="14" fillId="0" borderId="5" xfId="0" applyNumberFormat="1" applyFont="1" applyFill="1" applyBorder="1"/>
    <xf numFmtId="164" fontId="0" fillId="0" borderId="1" xfId="0" applyNumberFormat="1" applyBorder="1"/>
    <xf numFmtId="164" fontId="0" fillId="0" borderId="4" xfId="0" applyNumberFormat="1" applyBorder="1"/>
    <xf numFmtId="0" fontId="0" fillId="0" borderId="3" xfId="0" applyNumberFormat="1" applyBorder="1"/>
    <xf numFmtId="0" fontId="0" fillId="0" borderId="4" xfId="0" applyNumberFormat="1" applyBorder="1"/>
    <xf numFmtId="0" fontId="3" fillId="0" borderId="1" xfId="1" applyBorder="1"/>
    <xf numFmtId="0" fontId="0" fillId="0" borderId="0" xfId="0" applyBorder="1"/>
    <xf numFmtId="0" fontId="0" fillId="0" borderId="0" xfId="0" applyNumberFormat="1" applyBorder="1"/>
    <xf numFmtId="0" fontId="0" fillId="0" borderId="1" xfId="0" quotePrefix="1" applyBorder="1"/>
    <xf numFmtId="0" fontId="0" fillId="0" borderId="4" xfId="0" applyFill="1" applyBorder="1"/>
    <xf numFmtId="0" fontId="3" fillId="0" borderId="4" xfId="1" applyBorder="1"/>
    <xf numFmtId="0" fontId="4" fillId="0" borderId="0" xfId="0" applyFont="1" applyFill="1" applyBorder="1" applyAlignment="1">
      <alignment horizontal="left"/>
    </xf>
    <xf numFmtId="0" fontId="4" fillId="0" borderId="10" xfId="0" applyFont="1" applyFill="1" applyBorder="1" applyAlignment="1">
      <alignment horizontal="left"/>
    </xf>
    <xf numFmtId="0" fontId="0" fillId="0" borderId="2" xfId="0" applyFill="1" applyBorder="1"/>
    <xf numFmtId="0" fontId="3" fillId="0" borderId="2" xfId="1" applyBorder="1"/>
    <xf numFmtId="0" fontId="0" fillId="0" borderId="11" xfId="0" applyNumberFormat="1" applyBorder="1"/>
    <xf numFmtId="0" fontId="0" fillId="0" borderId="12" xfId="0" applyBorder="1"/>
    <xf numFmtId="0" fontId="0" fillId="0" borderId="12" xfId="0" applyNumberFormat="1" applyBorder="1"/>
    <xf numFmtId="0" fontId="4" fillId="0" borderId="0" xfId="0" applyFont="1" applyFill="1" applyBorder="1" applyAlignment="1">
      <alignment horizontal="left"/>
    </xf>
    <xf numFmtId="0" fontId="4" fillId="0" borderId="10" xfId="0" applyFont="1" applyFill="1" applyBorder="1" applyAlignment="1">
      <alignment horizontal="left"/>
    </xf>
    <xf numFmtId="0" fontId="0" fillId="0" borderId="0" xfId="0" applyFill="1" applyAlignment="1">
      <alignment horizontal="center"/>
    </xf>
    <xf numFmtId="0" fontId="15" fillId="0" borderId="0" xfId="0" applyFont="1" applyAlignment="1">
      <alignment horizontal="left" vertical="center"/>
    </xf>
    <xf numFmtId="0" fontId="16" fillId="3" borderId="0" xfId="0" applyFont="1" applyFill="1" applyAlignment="1">
      <alignment horizontal="left"/>
    </xf>
    <xf numFmtId="0" fontId="2" fillId="0" borderId="2" xfId="0" applyFont="1" applyBorder="1" applyAlignment="1">
      <alignment horizontal="center"/>
    </xf>
    <xf numFmtId="0" fontId="2" fillId="0" borderId="0" xfId="0" applyFont="1" applyAlignment="1">
      <alignment horizontal="center"/>
    </xf>
  </cellXfs>
  <cellStyles count="3">
    <cellStyle name="Hyperlink" xfId="1" builtinId="8"/>
    <cellStyle name="Normal" xfId="0" builtinId="0"/>
    <cellStyle name="Normal 3" xfId="2" xr:uid="{00000000-0005-0000-0000-000002000000}"/>
  </cellStyles>
  <dxfs count="220"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4" formatCode="m/d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4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</dxf>
    <dxf>
      <border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</dxf>
    <dxf>
      <border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</dxf>
    <dxf>
      <border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numFmt numFmtId="4" formatCode="#,##0.00"/>
    </dxf>
    <dxf>
      <font>
        <color theme="0"/>
      </font>
      <fill>
        <patternFill patternType="solid">
          <fgColor indexed="64"/>
          <bgColor theme="1"/>
        </patternFill>
      </fill>
      <alignment horizontal="center" vertical="center"/>
    </dxf>
    <dxf>
      <font>
        <color theme="0"/>
      </font>
      <fill>
        <patternFill patternType="solid">
          <fgColor indexed="64"/>
          <bgColor theme="1"/>
        </patternFill>
      </fill>
      <alignment horizontal="center" vertical="center"/>
    </dxf>
    <dxf>
      <font>
        <color theme="0"/>
      </font>
    </dxf>
    <dxf>
      <font>
        <color theme="0"/>
      </font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center"/>
    </dxf>
    <dxf>
      <alignment horizontal="center"/>
    </dxf>
    <dxf>
      <alignment vertical="center"/>
    </dxf>
    <dxf>
      <alignment vertic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  <alignment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mes New Roman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textRotation="0" wrapText="1" indent="0" justifyLastLine="0" shrinkToFit="0" readingOrder="0"/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/d/yyyy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m/d/yyyy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border>
        <top style="thin">
          <color indexed="64"/>
        </top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</dxf>
    <dxf>
      <border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[GSTR2B Utility.xlsm]Mismatch_Graph!PivotTable2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lumMod val="6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6.2237991119934541E-2"/>
              <c:y val="-3.395065478129372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>
              <a:lumMod val="6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2.4002021042088647E-2"/>
              <c:y val="-3.596809956976001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6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2.8749680626204911E-2"/>
              <c:y val="-0.1824935539445235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2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5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6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2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3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4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5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6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Mismatch_Graph!$B$1</c:f>
              <c:strCache>
                <c:ptCount val="1"/>
                <c:pt idx="0">
                  <c:v>Sum of Difference</c:v>
                </c:pt>
              </c:strCache>
            </c:strRef>
          </c:tx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DFE-4630-A063-59DF10916B69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DFE-4630-A063-59DF10916B69}"/>
              </c:ext>
            </c:extLst>
          </c:dPt>
          <c:dPt>
            <c:idx val="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DFE-4630-A063-59DF10916B6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DFE-4630-A063-59DF10916B6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DFE-4630-A063-59DF10916B6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DFE-4630-A063-59DF10916B6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C7E5-4D55-99D0-71689F760EB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7DFE-4630-A063-59DF10916B6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C7E5-4D55-99D0-71689F760EB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7E5-4D55-99D0-71689F760EB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7DFE-4630-A063-59DF10916B6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7DFE-4630-A063-59DF10916B6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7DFE-4630-A063-59DF10916B6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F6A-4377-BCA6-B60DE2860F48}"/>
              </c:ext>
            </c:extLst>
          </c:dPt>
          <c:dLbls>
            <c:dLbl>
              <c:idx val="1"/>
              <c:layout>
                <c:manualLayout>
                  <c:x val="-2.4002021042088647E-2"/>
                  <c:y val="-3.596809956976001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FE-4630-A063-59DF10916B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Mismatch_Graph!$A$2:$A$5</c:f>
              <c:strCache>
                <c:ptCount val="3"/>
                <c:pt idx="0">
                  <c:v>Incorrect POS (Himachal Pradesh) update instead of Uttarakhand</c:v>
                </c:pt>
                <c:pt idx="1">
                  <c:v>Not Found in Books/Pending for entry/Not Related to US</c:v>
                </c:pt>
                <c:pt idx="2">
                  <c:v>Not Showing in 2B</c:v>
                </c:pt>
              </c:strCache>
            </c:strRef>
          </c:cat>
          <c:val>
            <c:numRef>
              <c:f>Mismatch_Graph!$B$2:$B$5</c:f>
              <c:numCache>
                <c:formatCode>General</c:formatCode>
                <c:ptCount val="3"/>
                <c:pt idx="0">
                  <c:v>10044</c:v>
                </c:pt>
                <c:pt idx="1">
                  <c:v>5090890.4400000004</c:v>
                </c:pt>
                <c:pt idx="2">
                  <c:v>-2681717.35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E5-4D55-99D0-71689F760EB5}"/>
            </c:ext>
          </c:extLst>
        </c:ser>
        <c:ser>
          <c:idx val="1"/>
          <c:order val="1"/>
          <c:tx>
            <c:strRef>
              <c:f>Mismatch_Graph!$C$1</c:f>
              <c:strCache>
                <c:ptCount val="1"/>
                <c:pt idx="0">
                  <c:v>Sum of Difference2</c:v>
                </c:pt>
              </c:strCache>
            </c:strRef>
          </c:tx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7DFE-4630-A063-59DF10916B69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7DFE-4630-A063-59DF10916B69}"/>
              </c:ext>
            </c:extLst>
          </c:dPt>
          <c:dPt>
            <c:idx val="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7DFE-4630-A063-59DF10916B6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7DFE-4630-A063-59DF10916B6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7DFE-4630-A063-59DF10916B6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7DFE-4630-A063-59DF10916B6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7DFE-4630-A063-59DF10916B6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7DFE-4630-A063-59DF10916B6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7DFE-4630-A063-59DF10916B6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7DFE-4630-A063-59DF10916B6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7DFE-4630-A063-59DF10916B6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7DFE-4630-A063-59DF10916B6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7DFE-4630-A063-59DF10916B6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2F6A-4377-BCA6-B60DE2860F48}"/>
              </c:ext>
            </c:extLst>
          </c:dPt>
          <c:cat>
            <c:strRef>
              <c:f>Mismatch_Graph!$A$2:$A$5</c:f>
              <c:strCache>
                <c:ptCount val="3"/>
                <c:pt idx="0">
                  <c:v>Incorrect POS (Himachal Pradesh) update instead of Uttarakhand</c:v>
                </c:pt>
                <c:pt idx="1">
                  <c:v>Not Found in Books/Pending for entry/Not Related to US</c:v>
                </c:pt>
                <c:pt idx="2">
                  <c:v>Not Showing in 2B</c:v>
                </c:pt>
              </c:strCache>
            </c:strRef>
          </c:cat>
          <c:val>
            <c:numRef>
              <c:f>Mismatch_Graph!$C$2:$C$5</c:f>
              <c:numCache>
                <c:formatCode>0.00%</c:formatCode>
                <c:ptCount val="3"/>
                <c:pt idx="0">
                  <c:v>4.1517563849551012E-3</c:v>
                </c:pt>
                <c:pt idx="1">
                  <c:v>2.1043545290100441</c:v>
                </c:pt>
                <c:pt idx="2">
                  <c:v>-1.1085062853949994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7E5-4D55-99D0-71689F760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461348175633891"/>
          <c:y val="3.802428406612892E-2"/>
          <c:w val="0.36054421768707479"/>
          <c:h val="0.9320432170095284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1.emf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5" Type="http://schemas.openxmlformats.org/officeDocument/2006/relationships/image" Target="../media/image9.svg"/><Relationship Id="rId4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svg"/><Relationship Id="rId1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sv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svg"/><Relationship Id="rId1" Type="http://schemas.openxmlformats.org/officeDocument/2006/relationships/image" Target="../media/image1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svg"/><Relationship Id="rId1" Type="http://schemas.openxmlformats.org/officeDocument/2006/relationships/image" Target="../media/image16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sv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4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41529</xdr:rowOff>
    </xdr:from>
    <xdr:to>
      <xdr:col>1</xdr:col>
      <xdr:colOff>417576</xdr:colOff>
      <xdr:row>9</xdr:row>
      <xdr:rowOff>155829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0" y="1384554"/>
          <a:ext cx="1436751" cy="495300"/>
          <a:chOff x="171450" y="1384554"/>
          <a:chExt cx="1436751" cy="495300"/>
        </a:xfrm>
      </xdr:grpSpPr>
      <xdr:sp macro="[0]!Refresh_data" textlink="">
        <xdr:nvSpPr>
          <xdr:cNvPr id="25" name="Email1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200025" y="1390650"/>
            <a:ext cx="1408176" cy="485775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         </a:t>
            </a:r>
            <a:r>
              <a:rPr lang="en-US" sz="1100" baseline="0"/>
              <a:t>  </a:t>
            </a:r>
            <a:r>
              <a:rPr lang="en-US" sz="1100"/>
              <a:t>Prepare</a:t>
            </a:r>
            <a:r>
              <a:rPr lang="en-US" sz="1100" baseline="0"/>
              <a:t> </a:t>
            </a:r>
            <a:r>
              <a:rPr lang="en-US" sz="1100"/>
              <a:t>Recon.</a:t>
            </a:r>
          </a:p>
        </xdr:txBody>
      </xdr:sp>
      <xdr:pic macro="[0]!Refresh_data">
        <xdr:nvPicPr>
          <xdr:cNvPr id="6" name="Graphic 5" descr="Database with solid fill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1450" y="1384554"/>
            <a:ext cx="495300" cy="4953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200026</xdr:colOff>
      <xdr:row>29</xdr:row>
      <xdr:rowOff>171451</xdr:rowOff>
    </xdr:from>
    <xdr:to>
      <xdr:col>17</xdr:col>
      <xdr:colOff>381000</xdr:colOff>
      <xdr:row>33</xdr:row>
      <xdr:rowOff>133351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200026" y="5753101"/>
          <a:ext cx="11753849" cy="723900"/>
          <a:chOff x="95251" y="3371849"/>
          <a:chExt cx="11753849" cy="704851"/>
        </a:xfrm>
      </xdr:grpSpPr>
      <xdr:sp macro="" textlink="">
        <xdr:nvSpPr>
          <xdr:cNvPr id="11" name="Help1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95251" y="3371849"/>
            <a:ext cx="1809750" cy="685801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aseline="0"/>
              <a:t>01) Create your Purchase Data and Copy to respective folder of this workbook.</a:t>
            </a:r>
            <a:endParaRPr lang="en-US" sz="1100"/>
          </a:p>
        </xdr:txBody>
      </xdr:sp>
      <xdr:sp macro="" textlink="">
        <xdr:nvSpPr>
          <xdr:cNvPr id="14" name="Help2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2057401" y="3371849"/>
            <a:ext cx="1809750" cy="685801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02) Download</a:t>
            </a:r>
            <a:r>
              <a:rPr lang="en-US" sz="1100" baseline="0"/>
              <a:t> GSTR2B from GST Portal and Copy to their Respective folder.`</a:t>
            </a:r>
            <a:endParaRPr lang="en-US" sz="1100"/>
          </a:p>
        </xdr:txBody>
      </xdr:sp>
      <xdr:sp macro="" textlink="">
        <xdr:nvSpPr>
          <xdr:cNvPr id="15" name="Help3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4019551" y="3371849"/>
            <a:ext cx="1809750" cy="685801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aseline="0"/>
              <a:t>03) Update your </a:t>
            </a:r>
            <a:r>
              <a:rPr lang="en-US" sz="1100" b="0" i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Credential as per</a:t>
            </a:r>
            <a:r>
              <a:rPr lang="en-US" sz="1100" b="0" i="0" baseline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 form require.</a:t>
            </a:r>
            <a:endParaRPr lang="en-US" sz="1100"/>
          </a:p>
        </xdr:txBody>
      </xdr:sp>
      <xdr:sp macro="" textlink="">
        <xdr:nvSpPr>
          <xdr:cNvPr id="16" name="Help4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5962651" y="3390899"/>
            <a:ext cx="1809750" cy="685801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 baseline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04) Click on Prepare Recon and Wait for the process.</a:t>
            </a:r>
            <a:endParaRPr lang="en-US" sz="1100"/>
          </a:p>
        </xdr:txBody>
      </xdr:sp>
      <xdr:sp macro="" textlink="">
        <xdr:nvSpPr>
          <xdr:cNvPr id="17" name="Help5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8001001" y="3381374"/>
            <a:ext cx="1809750" cy="685801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05)</a:t>
            </a:r>
            <a:r>
              <a:rPr lang="en-US" sz="1100" baseline="0"/>
              <a:t> </a:t>
            </a:r>
            <a:r>
              <a:rPr lang="en-US" sz="1100"/>
              <a:t>Go</a:t>
            </a:r>
            <a:r>
              <a:rPr lang="en-US" sz="1100" baseline="0"/>
              <a:t> to Supplier Master of your unmatched party and update their mail id</a:t>
            </a:r>
            <a:endParaRPr lang="en-US" sz="1100"/>
          </a:p>
        </xdr:txBody>
      </xdr:sp>
      <xdr:sp macro="" textlink="">
        <xdr:nvSpPr>
          <xdr:cNvPr id="18" name="Help6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10039350" y="3371849"/>
            <a:ext cx="1809750" cy="685801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06) Click on Send mail button</a:t>
            </a:r>
            <a:r>
              <a:rPr lang="en-US" sz="1100" baseline="0"/>
              <a:t>.</a:t>
            </a:r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0</xdr:row>
          <xdr:rowOff>180975</xdr:rowOff>
        </xdr:from>
        <xdr:to>
          <xdr:col>3</xdr:col>
          <xdr:colOff>295275</xdr:colOff>
          <xdr:row>2</xdr:row>
          <xdr:rowOff>85725</xdr:rowOff>
        </xdr:to>
        <xdr:sp macro="" textlink="">
          <xdr:nvSpPr>
            <xdr:cNvPr id="1027" name="CheckBox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352425</xdr:colOff>
          <xdr:row>1</xdr:row>
          <xdr:rowOff>19050</xdr:rowOff>
        </xdr:from>
        <xdr:to>
          <xdr:col>6</xdr:col>
          <xdr:colOff>381000</xdr:colOff>
          <xdr:row>2</xdr:row>
          <xdr:rowOff>66675</xdr:rowOff>
        </xdr:to>
        <xdr:sp macro="" textlink="">
          <xdr:nvSpPr>
            <xdr:cNvPr id="1029" name="Emailcnf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28575</xdr:colOff>
      <xdr:row>11</xdr:row>
      <xdr:rowOff>38100</xdr:rowOff>
    </xdr:from>
    <xdr:to>
      <xdr:col>1</xdr:col>
      <xdr:colOff>417576</xdr:colOff>
      <xdr:row>13</xdr:row>
      <xdr:rowOff>142875</xdr:rowOff>
    </xdr:to>
    <xdr:grpSp>
      <xdr:nvGrpSpPr>
        <xdr:cNvPr id="13" name="Email1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28575" y="2143125"/>
          <a:ext cx="1408176" cy="485775"/>
          <a:chOff x="5324475" y="923925"/>
          <a:chExt cx="1390650" cy="485775"/>
        </a:xfrm>
      </xdr:grpSpPr>
      <xdr:sp macro="[0]!Send_email_fromexcel" textlink="">
        <xdr:nvSpPr>
          <xdr:cNvPr id="2" name="Email12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5324475" y="923925"/>
            <a:ext cx="1390650" cy="485775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              Send</a:t>
            </a:r>
            <a:r>
              <a:rPr lang="en-US" sz="1100" baseline="0"/>
              <a:t>-Email</a:t>
            </a:r>
            <a:endParaRPr lang="en-US" sz="1100"/>
          </a:p>
        </xdr:txBody>
      </xdr:sp>
      <xdr:sp macro="[0]!Send_email_fromexcel" textlink="">
        <xdr:nvSpPr>
          <xdr:cNvPr id="8" name="Email2" descr="Envelope with solid fill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5375274" y="1017587"/>
            <a:ext cx="412749" cy="288924"/>
          </a:xfrm>
          <a:custGeom>
            <a:avLst/>
            <a:gdLst>
              <a:gd name="connsiteX0" fmla="*/ 0 w 412749"/>
              <a:gd name="connsiteY0" fmla="*/ 0 h 288924"/>
              <a:gd name="connsiteX1" fmla="*/ 0 w 412749"/>
              <a:gd name="connsiteY1" fmla="*/ 288924 h 288924"/>
              <a:gd name="connsiteX2" fmla="*/ 412749 w 412749"/>
              <a:gd name="connsiteY2" fmla="*/ 288924 h 288924"/>
              <a:gd name="connsiteX3" fmla="*/ 412749 w 412749"/>
              <a:gd name="connsiteY3" fmla="*/ 0 h 288924"/>
              <a:gd name="connsiteX4" fmla="*/ 0 w 412749"/>
              <a:gd name="connsiteY4" fmla="*/ 0 h 288924"/>
              <a:gd name="connsiteX5" fmla="*/ 213598 w 412749"/>
              <a:gd name="connsiteY5" fmla="*/ 180062 h 288924"/>
              <a:gd name="connsiteX6" fmla="*/ 199151 w 412749"/>
              <a:gd name="connsiteY6" fmla="*/ 180062 h 288924"/>
              <a:gd name="connsiteX7" fmla="*/ 46434 w 412749"/>
              <a:gd name="connsiteY7" fmla="*/ 30956 h 288924"/>
              <a:gd name="connsiteX8" fmla="*/ 366831 w 412749"/>
              <a:gd name="connsiteY8" fmla="*/ 30956 h 288924"/>
              <a:gd name="connsiteX9" fmla="*/ 213598 w 412749"/>
              <a:gd name="connsiteY9" fmla="*/ 180062 h 288924"/>
              <a:gd name="connsiteX10" fmla="*/ 131564 w 412749"/>
              <a:gd name="connsiteY10" fmla="*/ 142914 h 288924"/>
              <a:gd name="connsiteX11" fmla="*/ 30956 w 412749"/>
              <a:gd name="connsiteY11" fmla="*/ 244038 h 288924"/>
              <a:gd name="connsiteX12" fmla="*/ 30956 w 412749"/>
              <a:gd name="connsiteY12" fmla="*/ 44371 h 288924"/>
              <a:gd name="connsiteX13" fmla="*/ 131564 w 412749"/>
              <a:gd name="connsiteY13" fmla="*/ 142914 h 288924"/>
              <a:gd name="connsiteX14" fmla="*/ 146526 w 412749"/>
              <a:gd name="connsiteY14" fmla="*/ 157361 h 288924"/>
              <a:gd name="connsiteX15" fmla="*/ 185221 w 412749"/>
              <a:gd name="connsiteY15" fmla="*/ 195024 h 288924"/>
              <a:gd name="connsiteX16" fmla="*/ 206891 w 412749"/>
              <a:gd name="connsiteY16" fmla="*/ 203795 h 288924"/>
              <a:gd name="connsiteX17" fmla="*/ 228560 w 412749"/>
              <a:gd name="connsiteY17" fmla="*/ 195024 h 288924"/>
              <a:gd name="connsiteX18" fmla="*/ 267255 w 412749"/>
              <a:gd name="connsiteY18" fmla="*/ 157361 h 288924"/>
              <a:gd name="connsiteX19" fmla="*/ 367347 w 412749"/>
              <a:gd name="connsiteY19" fmla="*/ 257968 h 288924"/>
              <a:gd name="connsiteX20" fmla="*/ 45918 w 412749"/>
              <a:gd name="connsiteY20" fmla="*/ 257968 h 288924"/>
              <a:gd name="connsiteX21" fmla="*/ 146526 w 412749"/>
              <a:gd name="connsiteY21" fmla="*/ 157361 h 288924"/>
              <a:gd name="connsiteX22" fmla="*/ 281185 w 412749"/>
              <a:gd name="connsiteY22" fmla="*/ 142914 h 288924"/>
              <a:gd name="connsiteX23" fmla="*/ 381793 w 412749"/>
              <a:gd name="connsiteY23" fmla="*/ 44886 h 288924"/>
              <a:gd name="connsiteX24" fmla="*/ 381793 w 412749"/>
              <a:gd name="connsiteY24" fmla="*/ 243522 h 288924"/>
              <a:gd name="connsiteX25" fmla="*/ 281185 w 412749"/>
              <a:gd name="connsiteY25" fmla="*/ 142914 h 28892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</a:cxnLst>
            <a:rect l="l" t="t" r="r" b="b"/>
            <a:pathLst>
              <a:path w="412749" h="288924">
                <a:moveTo>
                  <a:pt x="0" y="0"/>
                </a:moveTo>
                <a:lnTo>
                  <a:pt x="0" y="288924"/>
                </a:lnTo>
                <a:lnTo>
                  <a:pt x="412749" y="288924"/>
                </a:lnTo>
                <a:lnTo>
                  <a:pt x="412749" y="0"/>
                </a:lnTo>
                <a:lnTo>
                  <a:pt x="0" y="0"/>
                </a:lnTo>
                <a:close/>
                <a:moveTo>
                  <a:pt x="213598" y="180062"/>
                </a:moveTo>
                <a:cubicBezTo>
                  <a:pt x="209470" y="184189"/>
                  <a:pt x="203279" y="184189"/>
                  <a:pt x="199151" y="180062"/>
                </a:cubicBezTo>
                <a:lnTo>
                  <a:pt x="46434" y="30956"/>
                </a:lnTo>
                <a:lnTo>
                  <a:pt x="366831" y="30956"/>
                </a:lnTo>
                <a:lnTo>
                  <a:pt x="213598" y="180062"/>
                </a:lnTo>
                <a:close/>
                <a:moveTo>
                  <a:pt x="131564" y="142914"/>
                </a:moveTo>
                <a:lnTo>
                  <a:pt x="30956" y="244038"/>
                </a:lnTo>
                <a:lnTo>
                  <a:pt x="30956" y="44371"/>
                </a:lnTo>
                <a:lnTo>
                  <a:pt x="131564" y="142914"/>
                </a:lnTo>
                <a:close/>
                <a:moveTo>
                  <a:pt x="146526" y="157361"/>
                </a:moveTo>
                <a:lnTo>
                  <a:pt x="185221" y="195024"/>
                </a:lnTo>
                <a:cubicBezTo>
                  <a:pt x="191412" y="200699"/>
                  <a:pt x="199151" y="203795"/>
                  <a:pt x="206891" y="203795"/>
                </a:cubicBezTo>
                <a:cubicBezTo>
                  <a:pt x="214630" y="203795"/>
                  <a:pt x="222369" y="200699"/>
                  <a:pt x="228560" y="195024"/>
                </a:cubicBezTo>
                <a:lnTo>
                  <a:pt x="267255" y="157361"/>
                </a:lnTo>
                <a:lnTo>
                  <a:pt x="367347" y="257968"/>
                </a:lnTo>
                <a:lnTo>
                  <a:pt x="45918" y="257968"/>
                </a:lnTo>
                <a:lnTo>
                  <a:pt x="146526" y="157361"/>
                </a:lnTo>
                <a:close/>
                <a:moveTo>
                  <a:pt x="281185" y="142914"/>
                </a:moveTo>
                <a:lnTo>
                  <a:pt x="381793" y="44886"/>
                </a:lnTo>
                <a:lnTo>
                  <a:pt x="381793" y="243522"/>
                </a:lnTo>
                <a:lnTo>
                  <a:pt x="281185" y="142914"/>
                </a:lnTo>
                <a:close/>
              </a:path>
            </a:pathLst>
          </a:custGeom>
          <a:solidFill>
            <a:srgbClr val="000000"/>
          </a:solidFill>
          <a:ln w="5060" cap="flat">
            <a:noFill/>
            <a:prstDash val="solid"/>
            <a:miter/>
          </a:ln>
        </xdr:spPr>
        <xdr:txBody>
          <a:bodyPr rtlCol="0" anchor="ctr"/>
          <a:lstStyle/>
          <a:p>
            <a:endParaRPr lang="en-US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466725</xdr:colOff>
          <xdr:row>1</xdr:row>
          <xdr:rowOff>19050</xdr:rowOff>
        </xdr:from>
        <xdr:to>
          <xdr:col>8</xdr:col>
          <xdr:colOff>419100</xdr:colOff>
          <xdr:row>2</xdr:row>
          <xdr:rowOff>66675</xdr:rowOff>
        </xdr:to>
        <xdr:sp macro="" textlink="">
          <xdr:nvSpPr>
            <xdr:cNvPr id="1032" name="Emaillog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1</xdr:row>
          <xdr:rowOff>9525</xdr:rowOff>
        </xdr:from>
        <xdr:to>
          <xdr:col>10</xdr:col>
          <xdr:colOff>533400</xdr:colOff>
          <xdr:row>2</xdr:row>
          <xdr:rowOff>85725</xdr:rowOff>
        </xdr:to>
        <xdr:sp macro="" textlink="">
          <xdr:nvSpPr>
            <xdr:cNvPr id="1033" name="Fullscreen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600073</xdr:colOff>
          <xdr:row>16</xdr:row>
          <xdr:rowOff>171449</xdr:rowOff>
        </xdr:from>
        <xdr:to>
          <xdr:col>17</xdr:col>
          <xdr:colOff>244141</xdr:colOff>
          <xdr:row>29</xdr:row>
          <xdr:rowOff>161925</xdr:rowOff>
        </xdr:to>
        <xdr:pic>
          <xdr:nvPicPr>
            <xdr:cNvPr id="21" name="Picture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Voucher wise'!$A$3:$B$9" spid="_x0000_s43826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7905748" y="3238499"/>
              <a:ext cx="3911268" cy="250507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0</xdr:col>
      <xdr:colOff>28575</xdr:colOff>
      <xdr:row>14</xdr:row>
      <xdr:rowOff>190499</xdr:rowOff>
    </xdr:from>
    <xdr:to>
      <xdr:col>1</xdr:col>
      <xdr:colOff>417576</xdr:colOff>
      <xdr:row>17</xdr:row>
      <xdr:rowOff>152400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28575" y="2867024"/>
          <a:ext cx="1408176" cy="561976"/>
          <a:chOff x="28575" y="2867024"/>
          <a:chExt cx="1408176" cy="561976"/>
        </a:xfrm>
      </xdr:grpSpPr>
      <xdr:sp macro="[0]!Select_Mismatch" textlink="">
        <xdr:nvSpPr>
          <xdr:cNvPr id="23" name="Email1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28575" y="2943225"/>
            <a:ext cx="1408176" cy="485775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n-US" sz="1100"/>
              <a:t>              Select </a:t>
            </a:r>
            <a:r>
              <a:rPr lang="en-US" sz="1100" baseline="0"/>
              <a:t>Mismatch Invoices</a:t>
            </a:r>
            <a:endParaRPr lang="en-US" sz="1100"/>
          </a:p>
        </xdr:txBody>
      </xdr:sp>
      <xdr:pic macro="[0]!Select_Mismatch">
        <xdr:nvPicPr>
          <xdr:cNvPr id="7" name="Graphic 6" descr="Right pointing backhand index with solid fill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76201" y="2867024"/>
            <a:ext cx="438150" cy="43815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</xdr:colOff>
      <xdr:row>19</xdr:row>
      <xdr:rowOff>85725</xdr:rowOff>
    </xdr:from>
    <xdr:to>
      <xdr:col>1</xdr:col>
      <xdr:colOff>427101</xdr:colOff>
      <xdr:row>21</xdr:row>
      <xdr:rowOff>200024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38100" y="3752850"/>
          <a:ext cx="1408176" cy="495299"/>
          <a:chOff x="38100" y="3752850"/>
          <a:chExt cx="1408176" cy="504824"/>
        </a:xfrm>
      </xdr:grpSpPr>
      <xdr:sp macro="[0]!Select_recon" textlink="">
        <xdr:nvSpPr>
          <xdr:cNvPr id="27" name="Email12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/>
        </xdr:nvSpPr>
        <xdr:spPr>
          <a:xfrm>
            <a:off x="38100" y="3752850"/>
            <a:ext cx="1408176" cy="485775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100"/>
              <a:t>Select 2B</a:t>
            </a:r>
            <a:r>
              <a:rPr lang="en-US" sz="1100">
                <a:solidFill>
                  <a:srgbClr val="00B0F0"/>
                </a:solidFill>
              </a:rPr>
              <a:t>.....</a:t>
            </a:r>
            <a:br>
              <a:rPr lang="en-US" sz="1100"/>
            </a:br>
            <a:r>
              <a:rPr lang="en-US" sz="1100"/>
              <a:t>Recon. Data</a:t>
            </a:r>
          </a:p>
        </xdr:txBody>
      </xdr:sp>
      <xdr:pic macro="[0]!Select_recon">
        <xdr:nvPicPr>
          <xdr:cNvPr id="30" name="Graphic 29" descr="Right pointing backhand index with solid fill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3351" y="3819524"/>
            <a:ext cx="438150" cy="438150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57150</xdr:colOff>
      <xdr:row>0</xdr:row>
      <xdr:rowOff>180975</xdr:rowOff>
    </xdr:from>
    <xdr:to>
      <xdr:col>3</xdr:col>
      <xdr:colOff>381000</xdr:colOff>
      <xdr:row>2</xdr:row>
      <xdr:rowOff>85725</xdr:rowOff>
    </xdr:to>
    <xdr:sp macro="" textlink="">
      <xdr:nvSpPr>
        <xdr:cNvPr id="26" name="CheckBox1" hidden="1">
          <a:extLst>
            <a:ext uri="{63B3BB69-23CF-44E3-9099-C40C66FF867C}">
              <a14:compatExt xmlns:a14="http://schemas.microsoft.com/office/drawing/2010/main" spid="_x0000_s1342"/>
            </a:ex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568779</xdr:colOff>
          <xdr:row>7</xdr:row>
          <xdr:rowOff>66671</xdr:rowOff>
        </xdr:from>
        <xdr:to>
          <xdr:col>10</xdr:col>
          <xdr:colOff>405346</xdr:colOff>
          <xdr:row>29</xdr:row>
          <xdr:rowOff>19050</xdr:rowOff>
        </xdr:to>
        <xdr:pic>
          <xdr:nvPicPr>
            <xdr:cNvPr id="28" name="Picture 27">
              <a:extLst>
                <a:ext uri="{FF2B5EF4-FFF2-40B4-BE49-F238E27FC236}">
                  <a16:creationId xmlns:a16="http://schemas.microsoft.com/office/drawing/2014/main" id="{00000000-0008-0000-0000-00001C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Dashboard!$A$3:$I$9" spid="_x0000_s43827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587954" y="1409696"/>
              <a:ext cx="6123067" cy="419100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10</xdr:col>
      <xdr:colOff>542925</xdr:colOff>
      <xdr:row>11</xdr:row>
      <xdr:rowOff>28575</xdr:rowOff>
    </xdr:from>
    <xdr:to>
      <xdr:col>17</xdr:col>
      <xdr:colOff>609600</xdr:colOff>
      <xdr:row>16</xdr:row>
      <xdr:rowOff>161925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7848600" y="2133600"/>
          <a:ext cx="4333875" cy="1095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1" u="dbl"/>
            <a:t>Remark</a:t>
          </a:r>
          <a:endParaRPr lang="en-US" sz="1100" b="0" u="none"/>
        </a:p>
        <a:p>
          <a:r>
            <a:rPr lang="en-US" sz="1100" b="0" u="none"/>
            <a:t>01) Verify all remark generate during recon. Such as last year invoice etc.</a:t>
          </a:r>
        </a:p>
        <a:p>
          <a:r>
            <a:rPr lang="en-US" sz="1100" b="0" u="none"/>
            <a:t>02) Update accurate email-id for avoid error during mail.</a:t>
          </a:r>
        </a:p>
        <a:p>
          <a:r>
            <a:rPr lang="en-US" sz="1100" b="0" u="none"/>
            <a:t>03) You can save Email log for furhter refernce.</a:t>
          </a:r>
        </a:p>
        <a:p>
          <a:r>
            <a:rPr lang="en-US" sz="1100" b="0" u="none"/>
            <a:t>04) Please highlight immediately, if any error found during recon.</a:t>
          </a:r>
        </a:p>
      </xdr:txBody>
    </xdr:sp>
    <xdr:clientData/>
  </xdr:twoCellAnchor>
  <xdr:twoCellAnchor>
    <xdr:from>
      <xdr:col>0</xdr:col>
      <xdr:colOff>38100</xdr:colOff>
      <xdr:row>23</xdr:row>
      <xdr:rowOff>104775</xdr:rowOff>
    </xdr:from>
    <xdr:to>
      <xdr:col>1</xdr:col>
      <xdr:colOff>427101</xdr:colOff>
      <xdr:row>26</xdr:row>
      <xdr:rowOff>9884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38100" y="4543425"/>
          <a:ext cx="1408176" cy="476609"/>
          <a:chOff x="1123950" y="104775"/>
          <a:chExt cx="1408176" cy="476609"/>
        </a:xfrm>
      </xdr:grpSpPr>
      <xdr:sp macro="[0]!Select_dash2" textlink="">
        <xdr:nvSpPr>
          <xdr:cNvPr id="35" name="Email12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/>
        </xdr:nvSpPr>
        <xdr:spPr>
          <a:xfrm>
            <a:off x="1123950" y="104775"/>
            <a:ext cx="1408176" cy="476609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l"/>
            <a:r>
              <a:rPr lang="en-US" sz="1100"/>
              <a:t>                  Select</a:t>
            </a:r>
            <a:br>
              <a:rPr lang="en-US" sz="1100" baseline="0"/>
            </a:br>
            <a:r>
              <a:rPr lang="en-US" sz="1100" baseline="0"/>
              <a:t>                  Dashboard</a:t>
            </a:r>
            <a:endParaRPr lang="en-US" sz="1100"/>
          </a:p>
        </xdr:txBody>
      </xdr:sp>
      <xdr:sp macro="" textlink="">
        <xdr:nvSpPr>
          <xdr:cNvPr id="20" name="Graphic 35" descr="Right pointing backhand index with solid fill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1265635" y="183458"/>
            <a:ext cx="383381" cy="250856"/>
          </a:xfrm>
          <a:custGeom>
            <a:avLst/>
            <a:gdLst>
              <a:gd name="connsiteX0" fmla="*/ 360561 w 383381"/>
              <a:gd name="connsiteY0" fmla="*/ 62783 h 250856"/>
              <a:gd name="connsiteX1" fmla="*/ 134640 w 383381"/>
              <a:gd name="connsiteY1" fmla="*/ 62783 h 250856"/>
              <a:gd name="connsiteX2" fmla="*/ 219075 w 383381"/>
              <a:gd name="connsiteY2" fmla="*/ 44423 h 250856"/>
              <a:gd name="connsiteX3" fmla="*/ 236418 w 383381"/>
              <a:gd name="connsiteY3" fmla="*/ 17556 h 250856"/>
              <a:gd name="connsiteX4" fmla="*/ 209034 w 383381"/>
              <a:gd name="connsiteY4" fmla="*/ 539 h 250856"/>
              <a:gd name="connsiteX5" fmla="*/ 85804 w 383381"/>
              <a:gd name="connsiteY5" fmla="*/ 27407 h 250856"/>
              <a:gd name="connsiteX6" fmla="*/ 73025 w 383381"/>
              <a:gd name="connsiteY6" fmla="*/ 35915 h 250856"/>
              <a:gd name="connsiteX7" fmla="*/ 34230 w 383381"/>
              <a:gd name="connsiteY7" fmla="*/ 85173 h 250856"/>
              <a:gd name="connsiteX8" fmla="*/ 0 w 383381"/>
              <a:gd name="connsiteY8" fmla="*/ 85173 h 250856"/>
              <a:gd name="connsiteX9" fmla="*/ 0 w 383381"/>
              <a:gd name="connsiteY9" fmla="*/ 215033 h 250856"/>
              <a:gd name="connsiteX10" fmla="*/ 22820 w 383381"/>
              <a:gd name="connsiteY10" fmla="*/ 215033 h 250856"/>
              <a:gd name="connsiteX11" fmla="*/ 118666 w 383381"/>
              <a:gd name="connsiteY11" fmla="*/ 250857 h 250856"/>
              <a:gd name="connsiteX12" fmla="*/ 200819 w 383381"/>
              <a:gd name="connsiteY12" fmla="*/ 250857 h 250856"/>
              <a:gd name="connsiteX13" fmla="*/ 228203 w 383381"/>
              <a:gd name="connsiteY13" fmla="*/ 223989 h 250856"/>
              <a:gd name="connsiteX14" fmla="*/ 220901 w 383381"/>
              <a:gd name="connsiteY14" fmla="*/ 206077 h 250856"/>
              <a:gd name="connsiteX15" fmla="*/ 223639 w 383381"/>
              <a:gd name="connsiteY15" fmla="*/ 206077 h 250856"/>
              <a:gd name="connsiteX16" fmla="*/ 251023 w 383381"/>
              <a:gd name="connsiteY16" fmla="*/ 179209 h 250856"/>
              <a:gd name="connsiteX17" fmla="*/ 243265 w 383381"/>
              <a:gd name="connsiteY17" fmla="*/ 160402 h 250856"/>
              <a:gd name="connsiteX18" fmla="*/ 264716 w 383381"/>
              <a:gd name="connsiteY18" fmla="*/ 134430 h 250856"/>
              <a:gd name="connsiteX19" fmla="*/ 237331 w 383381"/>
              <a:gd name="connsiteY19" fmla="*/ 107562 h 250856"/>
              <a:gd name="connsiteX20" fmla="*/ 360561 w 383381"/>
              <a:gd name="connsiteY20" fmla="*/ 107562 h 250856"/>
              <a:gd name="connsiteX21" fmla="*/ 383381 w 383381"/>
              <a:gd name="connsiteY21" fmla="*/ 85173 h 250856"/>
              <a:gd name="connsiteX22" fmla="*/ 360561 w 383381"/>
              <a:gd name="connsiteY22" fmla="*/ 62783 h 25085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</a:cxnLst>
            <a:rect l="l" t="t" r="r" b="b"/>
            <a:pathLst>
              <a:path w="383381" h="250856">
                <a:moveTo>
                  <a:pt x="360561" y="62783"/>
                </a:moveTo>
                <a:lnTo>
                  <a:pt x="134640" y="62783"/>
                </a:lnTo>
                <a:lnTo>
                  <a:pt x="219075" y="44423"/>
                </a:lnTo>
                <a:cubicBezTo>
                  <a:pt x="231398" y="41736"/>
                  <a:pt x="239157" y="29646"/>
                  <a:pt x="236418" y="17556"/>
                </a:cubicBezTo>
                <a:cubicBezTo>
                  <a:pt x="233680" y="5465"/>
                  <a:pt x="221357" y="-2147"/>
                  <a:pt x="209034" y="539"/>
                </a:cubicBezTo>
                <a:lnTo>
                  <a:pt x="85804" y="27407"/>
                </a:lnTo>
                <a:cubicBezTo>
                  <a:pt x="81240" y="28750"/>
                  <a:pt x="76676" y="31437"/>
                  <a:pt x="73025" y="35915"/>
                </a:cubicBezTo>
                <a:lnTo>
                  <a:pt x="34230" y="85173"/>
                </a:lnTo>
                <a:lnTo>
                  <a:pt x="0" y="85173"/>
                </a:lnTo>
                <a:lnTo>
                  <a:pt x="0" y="215033"/>
                </a:lnTo>
                <a:lnTo>
                  <a:pt x="22820" y="215033"/>
                </a:lnTo>
                <a:cubicBezTo>
                  <a:pt x="55225" y="215033"/>
                  <a:pt x="57507" y="250857"/>
                  <a:pt x="118666" y="250857"/>
                </a:cubicBezTo>
                <a:cubicBezTo>
                  <a:pt x="133271" y="250857"/>
                  <a:pt x="181650" y="250857"/>
                  <a:pt x="200819" y="250857"/>
                </a:cubicBezTo>
                <a:cubicBezTo>
                  <a:pt x="215880" y="250857"/>
                  <a:pt x="228203" y="238766"/>
                  <a:pt x="228203" y="223989"/>
                </a:cubicBezTo>
                <a:cubicBezTo>
                  <a:pt x="228203" y="216824"/>
                  <a:pt x="225465" y="210555"/>
                  <a:pt x="220901" y="206077"/>
                </a:cubicBezTo>
                <a:cubicBezTo>
                  <a:pt x="221813" y="206077"/>
                  <a:pt x="222726" y="206077"/>
                  <a:pt x="223639" y="206077"/>
                </a:cubicBezTo>
                <a:cubicBezTo>
                  <a:pt x="238700" y="206077"/>
                  <a:pt x="251023" y="193987"/>
                  <a:pt x="251023" y="179209"/>
                </a:cubicBezTo>
                <a:cubicBezTo>
                  <a:pt x="251023" y="172045"/>
                  <a:pt x="248285" y="165328"/>
                  <a:pt x="243265" y="160402"/>
                </a:cubicBezTo>
                <a:cubicBezTo>
                  <a:pt x="255588" y="157715"/>
                  <a:pt x="264716" y="146968"/>
                  <a:pt x="264716" y="134430"/>
                </a:cubicBezTo>
                <a:cubicBezTo>
                  <a:pt x="264716" y="119653"/>
                  <a:pt x="252393" y="107562"/>
                  <a:pt x="237331" y="107562"/>
                </a:cubicBezTo>
                <a:lnTo>
                  <a:pt x="360561" y="107562"/>
                </a:lnTo>
                <a:cubicBezTo>
                  <a:pt x="373340" y="107562"/>
                  <a:pt x="383381" y="97711"/>
                  <a:pt x="383381" y="85173"/>
                </a:cubicBezTo>
                <a:cubicBezTo>
                  <a:pt x="383381" y="72634"/>
                  <a:pt x="373340" y="62783"/>
                  <a:pt x="360561" y="62783"/>
                </a:cubicBezTo>
                <a:close/>
              </a:path>
            </a:pathLst>
          </a:custGeom>
          <a:solidFill>
            <a:srgbClr val="000000"/>
          </a:solidFill>
          <a:ln w="4564" cap="flat">
            <a:noFill/>
            <a:prstDash val="solid"/>
            <a:miter/>
          </a:ln>
        </xdr:spPr>
        <xdr:txBody>
          <a:bodyPr rtlCol="0" anchor="ctr"/>
          <a:lstStyle/>
          <a:p>
            <a:endParaRPr lang="en-IN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85725</xdr:rowOff>
    </xdr:from>
    <xdr:to>
      <xdr:col>7</xdr:col>
      <xdr:colOff>188976</xdr:colOff>
      <xdr:row>3</xdr:row>
      <xdr:rowOff>28575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4429125" y="85725"/>
          <a:ext cx="1408176" cy="523875"/>
          <a:chOff x="5105400" y="85725"/>
          <a:chExt cx="1408176" cy="514350"/>
        </a:xfrm>
      </xdr:grpSpPr>
      <xdr:sp macro="[0]!home_select" textlink="">
        <xdr:nvSpPr>
          <xdr:cNvPr id="2" name="Email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/>
        </xdr:nvSpPr>
        <xdr:spPr>
          <a:xfrm>
            <a:off x="5105400" y="114300"/>
            <a:ext cx="1408176" cy="485775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100"/>
              <a:t> Select                          </a:t>
            </a:r>
            <a:r>
              <a:rPr lang="en-US" sz="1100">
                <a:solidFill>
                  <a:srgbClr val="00B0F0"/>
                </a:solidFill>
              </a:rPr>
              <a:t>........</a:t>
            </a:r>
            <a:r>
              <a:rPr lang="en-US" sz="1100"/>
              <a:t>Dashboard</a:t>
            </a:r>
          </a:p>
        </xdr:txBody>
      </xdr:sp>
      <xdr:pic macro="[0]!home_select">
        <xdr:nvPicPr>
          <xdr:cNvPr id="4" name="Graphic 3" descr="Work from home house outline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133975" y="857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228600</xdr:colOff>
      <xdr:row>0</xdr:row>
      <xdr:rowOff>28576</xdr:rowOff>
    </xdr:from>
    <xdr:to>
      <xdr:col>8</xdr:col>
      <xdr:colOff>76200</xdr:colOff>
      <xdr:row>22</xdr:row>
      <xdr:rowOff>161926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0</xdr:row>
      <xdr:rowOff>0</xdr:rowOff>
    </xdr:from>
    <xdr:to>
      <xdr:col>23</xdr:col>
      <xdr:colOff>188976</xdr:colOff>
      <xdr:row>2</xdr:row>
      <xdr:rowOff>133350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26374725" y="0"/>
          <a:ext cx="1408176" cy="514350"/>
          <a:chOff x="5105400" y="85725"/>
          <a:chExt cx="1408176" cy="514350"/>
        </a:xfrm>
      </xdr:grpSpPr>
      <xdr:sp macro="[0]!home_select" textlink="">
        <xdr:nvSpPr>
          <xdr:cNvPr id="3" name="Email1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5105400" y="114300"/>
            <a:ext cx="1408176" cy="485775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100"/>
              <a:t> Select                          </a:t>
            </a:r>
            <a:r>
              <a:rPr lang="en-US" sz="1100">
                <a:solidFill>
                  <a:srgbClr val="00B0F0"/>
                </a:solidFill>
              </a:rPr>
              <a:t>........</a:t>
            </a:r>
            <a:r>
              <a:rPr lang="en-US" sz="1100"/>
              <a:t>Dashboard</a:t>
            </a:r>
          </a:p>
        </xdr:txBody>
      </xdr:sp>
      <xdr:pic macro="[0]!home_select">
        <xdr:nvPicPr>
          <xdr:cNvPr id="4" name="Graphic 3" descr="Work from home house outline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133975" y="857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1</xdr:row>
      <xdr:rowOff>180975</xdr:rowOff>
    </xdr:from>
    <xdr:to>
      <xdr:col>5</xdr:col>
      <xdr:colOff>274701</xdr:colOff>
      <xdr:row>4</xdr:row>
      <xdr:rowOff>123825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5143500" y="609600"/>
          <a:ext cx="1465326" cy="542925"/>
          <a:chOff x="5105400" y="85725"/>
          <a:chExt cx="1408176" cy="514350"/>
        </a:xfrm>
      </xdr:grpSpPr>
      <xdr:sp macro="[0]!home_select" textlink="">
        <xdr:nvSpPr>
          <xdr:cNvPr id="3" name="Email1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5105400" y="114300"/>
            <a:ext cx="1408176" cy="485775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100"/>
              <a:t> Select                          </a:t>
            </a:r>
            <a:r>
              <a:rPr lang="en-US" sz="1100">
                <a:solidFill>
                  <a:srgbClr val="00B0F0"/>
                </a:solidFill>
              </a:rPr>
              <a:t>........</a:t>
            </a:r>
            <a:r>
              <a:rPr lang="en-US" sz="1100"/>
              <a:t>Dashboard</a:t>
            </a:r>
          </a:p>
        </xdr:txBody>
      </xdr:sp>
      <xdr:pic macro="[0]!home_select">
        <xdr:nvPicPr>
          <xdr:cNvPr id="4" name="Graphic 3" descr="Work from home house outline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133975" y="857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123825</xdr:colOff>
      <xdr:row>2</xdr:row>
      <xdr:rowOff>38100</xdr:rowOff>
    </xdr:from>
    <xdr:to>
      <xdr:col>10</xdr:col>
      <xdr:colOff>1532001</xdr:colOff>
      <xdr:row>2</xdr:row>
      <xdr:rowOff>552450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162925" y="419100"/>
          <a:ext cx="1408176" cy="514350"/>
          <a:chOff x="5105400" y="85725"/>
          <a:chExt cx="1408176" cy="514350"/>
        </a:xfrm>
      </xdr:grpSpPr>
      <xdr:sp macro="[0]!home_select" textlink="">
        <xdr:nvSpPr>
          <xdr:cNvPr id="3" name="Email1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5105400" y="114300"/>
            <a:ext cx="1408176" cy="485775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100"/>
              <a:t> Select                          </a:t>
            </a:r>
            <a:r>
              <a:rPr lang="en-US" sz="1100">
                <a:solidFill>
                  <a:srgbClr val="00B0F0"/>
                </a:solidFill>
              </a:rPr>
              <a:t>........</a:t>
            </a:r>
            <a:r>
              <a:rPr lang="en-US" sz="1100"/>
              <a:t>Dashboard</a:t>
            </a:r>
          </a:p>
        </xdr:txBody>
      </xdr:sp>
      <xdr:pic macro="[0]!home_select">
        <xdr:nvPicPr>
          <xdr:cNvPr id="4" name="Graphic 3" descr="Work from home house outline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133975" y="857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0</xdr:row>
      <xdr:rowOff>19050</xdr:rowOff>
    </xdr:from>
    <xdr:to>
      <xdr:col>21</xdr:col>
      <xdr:colOff>1370076</xdr:colOff>
      <xdr:row>1</xdr:row>
      <xdr:rowOff>266700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29165550" y="19050"/>
          <a:ext cx="1370076" cy="514350"/>
          <a:chOff x="5105400" y="85725"/>
          <a:chExt cx="1408176" cy="514350"/>
        </a:xfrm>
      </xdr:grpSpPr>
      <xdr:sp macro="[0]!home_select" textlink="">
        <xdr:nvSpPr>
          <xdr:cNvPr id="3" name="Email1">
            <a:extLst>
              <a:ext uri="{FF2B5EF4-FFF2-40B4-BE49-F238E27FC236}">
                <a16:creationId xmlns:a16="http://schemas.microsoft.com/office/drawing/2014/main" id="{00000000-0008-0000-0900-000003000000}"/>
              </a:ext>
            </a:extLst>
          </xdr:cNvPr>
          <xdr:cNvSpPr/>
        </xdr:nvSpPr>
        <xdr:spPr>
          <a:xfrm>
            <a:off x="5105400" y="114300"/>
            <a:ext cx="1408176" cy="485775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100"/>
              <a:t> Select                          </a:t>
            </a:r>
            <a:r>
              <a:rPr lang="en-US" sz="1100">
                <a:solidFill>
                  <a:srgbClr val="00B0F0"/>
                </a:solidFill>
              </a:rPr>
              <a:t>........</a:t>
            </a:r>
            <a:r>
              <a:rPr lang="en-US" sz="1100"/>
              <a:t>Dashboard</a:t>
            </a:r>
          </a:p>
        </xdr:txBody>
      </xdr:sp>
      <xdr:pic macro="[0]!home_select">
        <xdr:nvPicPr>
          <xdr:cNvPr id="4" name="Graphic 3" descr="Work from home house outline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133975" y="857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shal Sharma" refreshedDate="44700.522887384257" createdVersion="7" refreshedVersion="7" minRefreshableVersion="3" recordCount="143" xr:uid="{CB69892A-1AC8-45A0-B451-C81089D799CA}">
  <cacheSource type="external" connectionId="23"/>
  <cacheFields count="23">
    <cacheField name="GSTIN of supplier" numFmtId="0">
      <sharedItems count="535">
        <s v="05AAACT0086E1ZR"/>
        <s v="05DPVPS8425C1ZF"/>
        <s v="05AEEFS2751Q1ZL"/>
        <s v="33AAACD2686A1Z6"/>
        <s v="05AJMPB9650L1ZW"/>
        <s v="34AAWCS4590A1Z4"/>
        <s v="05AQZPR4855P1ZK"/>
        <s v="05BCZPG8311E1ZJ"/>
        <s v="05ADAPC5642F1Z5"/>
        <s v="05ABHFS4750M1ZT"/>
        <s v="05BZQPP7689N1Z2"/>
        <s v="05AAACI5950L1ZG"/>
        <s v="05APYPB2509Q1ZE"/>
        <s v="05DWIPS5952N1ZP"/>
        <s v="06AADCD8661N1Z6"/>
        <s v="05AACFJ5445Q1ZZ"/>
        <s v="05ABUPC8713H1ZJ"/>
        <s v="05AZTPB3648K1Z1"/>
        <s v="05AABCG9199A1ZN"/>
        <s v="02AABCV0012B1ZI"/>
        <s v="05AMGPM6436L1ZR"/>
        <s v="05AAACB3754B1ZA"/>
        <s v="05AAJFK2620D1ZV"/>
        <s v="05AAPPG3064R1Z7"/>
        <s v="26AARCA0340H1ZU"/>
        <s v="05ABYPS3455J1ZX"/>
        <s v="05AAACB2894G1ZT"/>
        <s v="01AAACF0109J1ZE"/>
        <s v="06ACEPL3198C1ZR"/>
        <s v="05AAGCA0510J1Z8"/>
        <s v="36AAACV8607M1ZW"/>
        <s v="33AAACN9140P1Z6"/>
        <s v="05FYKPS0202K1ZE"/>
        <s v="05BDZPG6123P2ZV"/>
        <s v="05BPKPK5111E1ZB"/>
        <s v="05AJMPR4625B1ZC"/>
        <s v="02AACCN5184H2ZL"/>
        <s v="05EQKPK7730M1ZC"/>
        <s v="05AAGFT2089L1ZT"/>
        <s v="36AAFCE3261P2Z9"/>
        <s v="36AABCR5731P1ZY"/>
        <s v="27AABCS4223P1Z3"/>
        <s v="06AAACW2192G1ZF"/>
        <s v="05ACFPG2339H1ZY"/>
        <s v="05BRAPM7772B1ZY"/>
        <s v="27AAACC9611L1ZI"/>
        <s v="27AAACG1463E1ZZ"/>
        <s v="27AFDPD4553M1ZC"/>
        <s v="05ADSPV8873F1ZP"/>
        <s v="05ACDFS1048P1ZW"/>
        <s v="27AALCA5924F1ZM"/>
        <s v="05AITPR7920D2ZY"/>
        <s v="36AADFL3339E1ZJ"/>
        <s v="05AAACM9418K1ZB"/>
        <s v="27FOJPS2666C1ZM"/>
        <s v="05BCYPK9624H1Z0"/>
        <s v="27ABCDEFJHIJ1Z7"/>
        <s v="27ABCDEFJHIJ1Z3"/>
        <s v="05ABCDEFJHIJ1ZA"/>
        <s v="05ABCDEFJHIJ1Z4"/>
        <s v="05ABCDEFJHIJ1ZR"/>
        <s v="05ABCDEFJHIJ1ZE"/>
        <s v="06ABCDEFJHIJ1Z0"/>
        <s v="24ABCDEFJHIJ1Z9"/>
        <s v="09ABCDEFJHIJ1ZA"/>
        <s v="05ABCDEFJHIJ1ZJ"/>
        <s v="27ABCDEFJHIJ1ZZ"/>
        <s v="27ABCDEFJHIJ1ZL"/>
        <s v="05ABCDEFJHIJ1ZT"/>
        <s v="36ABCDEFJHIJ1ZW"/>
        <s v="IMPG"/>
        <s v="23AAACE6761H1ZS"/>
        <s v="27AAAFD0528L1ZL" u="1"/>
        <s v="29AAACW0197M1ZT" u="1"/>
        <s v="05AAACT1406E1Z1" u="1"/>
        <s v="27AAACG1539P1ZB" u="1"/>
        <s v="27AABCA0755G1ZZ" u="1"/>
        <s v="27AAECD0537A1Z9" u="1"/>
        <s v="27AAACH3690Q1Z0" u="1"/>
        <s v="02ACBFS9865Q1ZD" u="1"/>
        <s v="05AFKPG3887L1ZZ" u="1"/>
        <s v="33AADCK0528K1ZQ" u="1"/>
        <s v="05BYNPP9885N1Z5" u="1"/>
        <s v="05AAACN6345A1ZZ" u="1"/>
        <s v="05AJRPA7924P1ZN" u="1"/>
        <s v="27ACYFS5944F1ZD" u="1"/>
        <s v="09BPFPS7989H1ZW" u="1"/>
        <s v="05DGCPK7829C1ZJ" u="1"/>
        <s v="05AAKFP7355F1Z3" u="1"/>
        <s v="09AADCK5741J1ZA" u="1"/>
        <s v="02AAACI5684H1ZO" u="1"/>
        <s v="33AACCP3772B1ZT" u="1"/>
        <s v="07AAACI6890F1ZG" u="1"/>
        <s v="05AAACB0446L1ZY" u="1"/>
        <s v="05DNIPK9923G1ZR" u="1"/>
        <s v="05DIVPP8899A1ZE" u="1"/>
        <s v="07AZVPR2795M1Z5" u="1"/>
        <s v="05FFSPM3607D1ZF" u="1"/>
        <s v="09AAACH1276N1ZA" u="1"/>
        <s v="27AAACR4104P1Z9" u="1"/>
        <s v="29AADCE2970R1ZX" u="1"/>
        <s v="34AAACB3754B1Z9" u="1"/>
        <s v="06AAICB3650Q1ZA" u="1"/>
        <s v="27AAECT8346F1Z4" u="1"/>
        <s v="07AAECT8346F1Z6" u="1"/>
        <s v="07AAHCA8349N1Z2" u="1"/>
        <s v="27AAACR7573G1Z5" u="1"/>
        <s v="05AACCB3698L1ZC" u="1"/>
        <s v="07AAKPG7607H1ZO" u="1"/>
        <s v="18AAACB3754B3Z1" u="1"/>
        <s v="24AAACB4599E1ZR" u="1"/>
        <s v="24AABCF1120G2ZE" u="1"/>
        <s v="09DJWPK0538M1ZF" u="1"/>
        <s v="05AIXPC5549D1Z5" u="1"/>
        <s v="05CKTPG3649E1Z0" u="1"/>
        <s v="05AUHPR3225K1ZI" u="1"/>
        <s v="06AAHFP0481H1ZB" u="1"/>
        <s v="27AAIPR8007J1ZC" u="1"/>
        <s v="05BGGPK0814F1ZW" u="1"/>
        <s v="05AAACE5238K1ZP" u="1"/>
        <s v="33AAACI7904G2ZT" u="1"/>
        <s v="09AAFCC5784R1ZP" u="1"/>
        <s v="05AAACD8573A1ZZ" u="1"/>
        <s v="05AHIPA7839C1ZM" u="1"/>
        <s v="29AADCE2959C1ZN" u="1"/>
        <s v="05BMTPK7474A2ZT" u="1"/>
        <s v="24AABCG9006E1Z1" u="1"/>
        <s v="24AAHFS1639Q1ZP" u="1"/>
        <s v="29AAACN6334R1ZT" u="1"/>
        <s v="07AABCS7156H1Z8" u="1"/>
        <s v="06AATPW9710A1ZF" u="1"/>
        <s v="09AAJCA2796D1ZI" u="1"/>
        <s v="22AABCI2726B1ZC" u="1"/>
        <s v="24AABFC0922C1ZC" u="1"/>
        <s v="08AAACW2424P1Z1" u="1"/>
        <s v="27AAACS5547H1Z8" u="1"/>
        <s v="07ATKPK5905D1ZS" u="1"/>
        <s v="27AACCC6150G1ZV" u="1"/>
        <s v="24AAICS5091G1Z9" u="1"/>
        <s v="05AAACM7007J2ZN" u="1"/>
        <s v="26AAACT0086E1ZN" u="1"/>
        <s v="33AAGFR2085Q1ZQ" u="1"/>
        <s v="06AAECA0878K1ZJ" u="1"/>
        <s v="05AAIFL1414H1ZP" u="1"/>
        <s v="07AAACI5684H1ZE" u="1"/>
        <s v="27AAECA8157H1Z1" u="1"/>
        <s v="05AICPB2947F1ZR" u="1"/>
        <s v="05AAGCS2020M1ZJ" u="1"/>
        <s v="27CWMPP6362G1Z0" u="1"/>
        <s v="09AACCK4063E1ZP" u="1"/>
        <s v="03AAACD0474C1ZF" u="1"/>
        <s v="05AACCT5318B2ZT" u="1"/>
        <s v="07APAPS2500Q1ZQ" u="1"/>
        <s v="27AAACG1259J1ZM" u="1"/>
        <s v="02ABSFS8540C1Z5" u="1"/>
        <s v="05AAACB5934D1Z4" u="1"/>
        <s v="24AADCP4575F1ZG" u="1"/>
        <s v="29AAACV7454J1ZU" u="1"/>
        <s v="27AAGCS1192L1Z0" u="1"/>
        <s v="05AASPP3207A1Z1" u="1"/>
        <s v="05AADCB1158N1ZO" u="1"/>
        <s v="26AAACT0086E2ZM" u="1"/>
        <s v="05AAMFN6500E2ZJ" u="1"/>
        <s v="05AAQCS5845Q1ZE" u="1"/>
        <s v="05AHTPH4648F1Z5" u="1"/>
        <s v="09ARIPB5168M1ZD" u="1"/>
        <s v="05ABHFM0021D1Z2" u="1"/>
        <s v="27AABCS9228G1Z7" u="1"/>
        <s v="27AAACB3754B1Z4" u="1"/>
        <s v="05AAFCA3154M1ZP" u="1"/>
        <s v="29AAACM9418K1Z1" u="1"/>
        <s v="24AAACD9671M1Z9" u="1"/>
        <s v="05AABCG0297P1ZB" u="1"/>
        <s v="02AAACT0086E1ZX" u="1"/>
        <s v="27AAACY0341B1ZW" u="1"/>
        <s v="05AAHFN7779E1ZY" u="1"/>
        <s v="27AAHCV9555D1ZY" u="1"/>
        <s v="05CEFPK6019A1Z1" u="1"/>
        <s v="27AAAFR4371F1ZB" u="1"/>
        <s v="27AAACG2953R1Z3" u="1"/>
        <s v="27AATCA0822G1ZP" u="1"/>
        <s v="27AAAFB6071E1ZS" u="1"/>
        <s v="05BUFPP5237C1ZU" u="1"/>
        <s v="06AAACI1610D1ZE" u="1"/>
        <s v="05AABCP6598E1Z9" u="1"/>
        <s v="09AOTPA2555D1ZZ" u="1"/>
        <s v="05AJZPG9412C1Z5" u="1"/>
        <s v="33AAXFR7741L1ZE" u="1"/>
        <s v="24AABCP7894F1Z6" u="1"/>
        <s v="05DDEPG1646C1Z4" u="1"/>
        <s v="34AAAFM9102D1ZU" u="1"/>
        <s v="08AAACD0474C1Z5" u="1"/>
        <s v="27AAHFN3121E1ZO" u="1"/>
        <s v="27AAACV1559Q2ZP" u="1"/>
        <s v="27AAAFE6788K1ZW" u="1"/>
        <s v="09AACCE6036D1ZW" u="1"/>
        <s v="24AAFCT2690H1ZA" u="1"/>
        <s v="05EGSPS9740B1ZY" u="1"/>
        <s v="27ASEPA1061D1ZH" u="1"/>
        <s v="24AAACG1539P1ZH" u="1"/>
        <s v="05AAACN2329N1ZG" u="1"/>
        <s v="26AABHG5305F1ZR" u="1"/>
        <s v="05AANFB0330R2ZB" u="1"/>
        <s v="27AAQFP4307D1Z9" u="1"/>
        <s v="27AAKFG9939Q1Z9" u="1"/>
        <s v="05AADCG2096A1Z3" u="1"/>
        <s v="06CBUPR1955G1Z4" u="1"/>
        <s v="36AACCS8670F1Z5" u="1"/>
        <s v="05AWEPK2661D1ZX" u="1"/>
        <s v="06AAECI0497E1ZP" u="1"/>
        <s v="27AAGCC0444D1Z4" u="1"/>
        <s v="05AAACO4716C1ZZ" u="1"/>
        <s v="24AUFPM8287L1ZZ" u="1"/>
        <s v="02AAACE1568L1ZS" u="1"/>
        <s v="27AATFR1905J1ZT" u="1"/>
        <s v="26AAEFA5906D1ZV" u="1"/>
        <s v="27AMJPK3708Q1ZH" u="1"/>
        <s v="05AACCT7089F1Z6" u="1"/>
        <s v="09AAACP0016G1ZX" u="1"/>
        <s v="05DCIPP7230Q1Z0" u="1"/>
        <s v="05AAFCI7707J1ZG" u="1"/>
        <s v="27AACCW1099E1Z9" u="1"/>
        <s v="27AAACR4974P1ZN" u="1"/>
        <s v="27AADPP6627M1Z7" u="1"/>
        <s v="07AACCN0993L1Z4" u="1"/>
        <s v="26AAACE5238K1ZL" u="1"/>
        <s v="05AAFCG1827M1ZJ" u="1"/>
        <s v="29AAJFA9029N1ZT" u="1"/>
        <s v="27ADDFS9275K1ZD" u="1"/>
        <s v="07ADDFS9275K1ZF" u="1"/>
        <s v="24AAACW0731B1Z2" u="1"/>
        <s v="24AABCG3954F1ZU" u="1"/>
        <s v="27AAHFB9445R1ZM" u="1"/>
        <s v="05DAJPK3141J1ZS" u="1"/>
        <s v="05EJPPK2400G1ZH" u="1"/>
        <s v="05AAICS1201N1ZI" u="1"/>
        <s v="05AIJPK2851N2ZY" u="1"/>
        <s v="27ABBPS2431F1ZX" u="1"/>
        <s v="36AAACV8052G1ZA" u="1"/>
        <s v="05AAHCS7324R2ZQ" u="1"/>
        <s v="26AAKCS4412K1Z7" u="1"/>
        <s v="05AABCR1718E1ZV" u="1"/>
        <s v="02AAGFK4023P1ZE" u="1"/>
        <s v="27AAACW0731B1ZW" u="1"/>
        <s v="07AAACG0041L1ZY" u="1"/>
        <s v="09AABCE2669P1Z1" u="1"/>
        <s v="26ABDFA7251P1Z3" u="1"/>
        <s v="27AADCR4639J1Z2" u="1"/>
        <s v="06CKKPG4603D1ZL" u="1"/>
        <s v="05ASZPK6632K1Z2" u="1"/>
        <s v="05AADCV6692F1Z4" u="1"/>
        <s v="09AAFPJ5164K1ZF" u="1"/>
        <s v="27AAOCA4839N1ZY" u="1"/>
        <s v="24AAACP0509Q1ZE" u="1"/>
        <s v="05FGLPS6206N1ZS" u="1"/>
        <s v="07AAGCA4121R1ZH" u="1"/>
        <s v="27AAAPG9498E1ZH" u="1"/>
        <s v="33AABCR1718E1ZW" u="1"/>
        <s v="24AAECP8085H1Z6" u="1"/>
        <s v="24AWEPC9099F1ZF" u="1"/>
        <s v="05ARRPK8760B1ZM" u="1"/>
        <s v="05BVQPA2879D1ZK" u="1"/>
        <s v="26AAECP5758R1ZJ" u="1"/>
        <s v="09AAGCA9521K1ZD" u="1"/>
        <s v="07AADCK0528K1ZL" u="1"/>
        <s v="05AGQPC2836G2ZI" u="1"/>
        <s v="09AAFCE6837M1Z1" u="1"/>
        <s v="24AAGCA0510J1Z8" u="1"/>
        <s v="24AAACL2737Q1Z8" u="1"/>
        <s v="26AAACS7934A1ZL" u="1"/>
        <s v="05AAHCS8120M1Z5" u="1"/>
        <s v="27AAQCA4386A1ZL" u="1"/>
        <s v="33AAACU7416M1Z6" u="1"/>
        <s v="27AAACN3451B1ZY" u="1"/>
        <s v="27AAAFP8067G1Z2" u="1"/>
        <s v="27AAECV3369C1ZB" u="1"/>
        <s v="06AAACI2832F1Z0" u="1"/>
        <s v="36AACCP2591A1ZQ" u="1"/>
        <s v="29AAXFA2457Q1ZF" u="1"/>
        <s v="24AARFB3728K1Z6" u="1"/>
        <s v="07AARCS3210J1Z8" u="1"/>
        <s v="09AAACN3789N1ZQ" u="1"/>
        <s v="05BNLPK7265E1ZV" u="1"/>
        <s v="27AADPR1241B1Z8" u="1"/>
        <s v="27AAGCA2145K1ZP" u="1"/>
        <s v="05AACCD2412N1ZW" u="1"/>
        <s v="05ACEPI8840G1ZP" u="1"/>
        <s v="26AAFCA3154M1ZL" u="1"/>
        <s v="05DLIPS5263P1ZB" u="1"/>
        <s v="27AAACE1568L1ZG" u="1"/>
        <s v="05AAHCG3646E1ZT" u="1"/>
        <s v="24AADCK2177J1ZI" u="1"/>
        <s v="24AALCP5737F1ZA" u="1"/>
        <s v="05AARCS2704D1ZK" u="1"/>
        <s v="04AAECH7029P1Z9" u="1"/>
        <s v="26AABCF1120G1ZB" u="1"/>
        <s v="33BHAPP3085L2Z5" u="1"/>
        <s v="07AAQCS2435Q1ZM" u="1"/>
        <s v="05BLVPJ2838N1ZE" u="1"/>
        <s v="05AFCPC0406M1Z0" u="1"/>
        <s v="09AAFCE9420L1ZA" u="1"/>
        <s v="05BAWPS8324N1ZQ" u="1"/>
        <s v="05AADCP4073G2ZK" u="1"/>
        <s v="27AACCV2946B1ZI" u="1"/>
        <s v="09AAACU1089Q1ZO" u="1"/>
        <s v="05AAGCT7475F1Z4" u="1"/>
        <s v="27AAACD4467B1ZY" u="1"/>
        <s v="27AABCI8200Q1ZA" u="1"/>
        <s v="36AACCM1243J1ZN" u="1"/>
        <s v="05AJNPA4550H1ZG" u="1"/>
        <s v="27AAICA7929F3ZE" u="1"/>
        <s v="05CRFPD4077G1ZZ" u="1"/>
        <s v="18AAACM9418K1Z4" u="1"/>
        <s v="27AAATV2282K1Z5" u="1"/>
        <s v="27AAGCP6644J1Z0" u="1"/>
        <s v="27AAECV8265B1Z8" u="1"/>
        <s v="07AAECD2778B2ZT" u="1"/>
        <s v="27AAACS9778G1ZT" u="1"/>
        <s v="05AABFU3009L1ZB" u="1"/>
        <s v="24AABCA8056G1ZV" u="1"/>
        <s v="02AAACL5500D1ZE" u="1"/>
        <s v="27AAACF7911Q1Z6" u="1"/>
        <s v="05AAJFC9100A2Z3" u="1"/>
        <s v="02AVUPS3525K1Z5" u="1"/>
        <s v="05AAACG1539P1ZH" u="1"/>
        <s v="05DFKPP6023J1Z9" u="1"/>
        <s v="05AABCJ9086F1ZG" u="1"/>
        <s v="27AAACC9212H1ZU" u="1"/>
        <s v="02AAFCA3154M1ZV" u="1"/>
        <s v="08ADPPB9395R1ZE" u="1"/>
        <s v="07AAACF2630E1Z7" u="1"/>
        <s v="27AAHCR3225L1Z6" u="1"/>
        <s v="02AAKCS4412K2ZG" u="1"/>
        <s v="05VVZPK3281L1ZZ" u="1"/>
        <s v="33AAACH2702H1Z7" u="1"/>
        <s v="05AYPPA4037N1Z9" u="1"/>
        <s v="05AFMPH9502F1ZL" u="1"/>
        <s v="05BKQPG5378A1Z6" u="1"/>
        <s v="24AAACG2953R1Z9" u="1"/>
        <s v="05ANEPB9600N2Z1" u="1"/>
        <s v="05FSNPS7611M1Z0" u="1"/>
        <s v="27AAACL9593Q1ZI" u="1"/>
        <s v="33AAHCT6698M1ZI" u="1"/>
        <s v="05AAFCG8736M1Z5" u="1"/>
        <s v="24AABCM4381J1ZG" u="1"/>
        <s v="07AAMFC3203F1ZV" u="1"/>
        <s v="05ABMPA1788L1ZF" u="1"/>
        <s v="05KYUPS0874N1Z7" u="1"/>
        <s v="05FBCPK8773A1ZQ" u="1"/>
        <s v="09ACGPN7966A1ZD" u="1"/>
        <s v="05AEKFS7199J1Z9" u="1"/>
        <s v="37AACCS8581M1ZM" u="1"/>
        <s v="05AYHPK3602M1ZG" u="1"/>
        <s v="02AAFCA3154M2ZU" u="1"/>
        <s v="27AALFS8579D1ZL" u="1"/>
        <s v="19AAACW2192G1Z8" u="1"/>
        <s v="27AHLPP9377R1ZY" u="1"/>
        <s v="05AAHFI4264M1Z4" u="1"/>
        <s v="05ACRPV0941L1Z2" u="1"/>
        <s v="05BPMPK6784F1ZI" u="1"/>
        <s v="05ANLPS5993G1ZD" u="1"/>
        <s v="33BMIPM2558Q1ZG" u="1"/>
        <s v="05ASAPK5863F1ZV" u="1"/>
        <s v="05JXJPS3683E1ZZ" u="1"/>
        <s v="05BNAPS5669B1Z0" u="1"/>
        <s v="05AGNPG2215J2ZL" u="1"/>
        <s v="05EAXPK4941P1ZR" u="1"/>
        <s v="33AALFV5217B1ZG" u="1"/>
        <s v="05AAHFD9680J2Z0" u="1"/>
        <s v="05AACCO4128Q1Z6" u="1"/>
        <s v="05AADCD1478R2Z6" u="1"/>
        <s v="27AABCB2608K1ZT" u="1"/>
        <s v="09ABCFS9763R1Z1" u="1"/>
        <s v="24AABCG4029R2ZC" u="1"/>
        <s v="27AAACC3620K1ZV" u="1"/>
        <s v="09AABCR4435N2ZZ" u="1"/>
        <s v="02AAFCA3154M3ZT" u="1"/>
        <s v="05AAACD0474C1ZB" u="1"/>
        <s v="24AAALP9116D1ZK" u="1"/>
        <s v="27AADCS9990B1Z2" u="1"/>
        <s v="27AFBPP6350G1ZG" u="1"/>
        <s v="05ABVPU9245P1ZE" u="1"/>
        <s v="05AKKPG6530H2ZA" u="1"/>
        <s v="27ADQPC2410F1ZZ" u="1"/>
        <s v="05AACFE0518M1ZO" u="1"/>
        <s v="27AAQFR9994J1ZZ" u="1"/>
        <s v="27AAAFQ0728P1ZY" u="1"/>
        <s v="33AACCO4128Q1Z7" u="1"/>
        <s v="05ESBPS3018B2Z6" u="1"/>
        <s v="05AAAGM0289C1ZP" u="1"/>
        <s v="33AAECT8346F1ZB" u="1"/>
        <s v="05BVSPS9979Q1ZU" u="1"/>
        <s v="33AFNPK5852J1Z4" u="1"/>
        <s v="09AAACB3754B1Z2" u="1"/>
        <s v="05AAOFA9260A1ZO" u="1"/>
        <s v="26AAACV0142R1Z5" u="1"/>
        <s v="05AJSPA8898F1ZO" u="1"/>
        <s v="33AAAPP1879N1ZB" u="1"/>
        <s v="24AAVFR6961J1ZF" u="1"/>
        <s v="05BUZPA5329N1Z1" u="1"/>
        <s v="05EFXPK1933Q1ZL" u="1"/>
        <s v="33AGDPM0868M2Z5" u="1"/>
        <s v="05AADCT0663J1ZE" u="1"/>
        <s v="36AAQCS4259Q1ZB" u="1"/>
        <s v="24AADCS0861R1ZZ" u="1"/>
        <s v="05CDPPS7444Q1ZH" u="1"/>
        <s v="05AABCL5321P1ZF" u="1"/>
        <s v="05AAUCS5477N1ZC" u="1"/>
        <s v="33AACCG3690H2ZO" u="1"/>
        <s v="05AGFPA1040F2ZB" u="1"/>
        <s v="27AAACM0635N1ZE" u="1"/>
        <s v="05BCGPS4279E1ZF" u="1"/>
        <s v="26AAAHM3660C1ZM" u="1"/>
        <s v="05ACEPA1872G1Z3" u="1"/>
        <s v="05AAACZ1386R1ZP" u="1"/>
        <s v="05ASAPK5358B1Z5" u="1"/>
        <s v="26AAIPA3078L1ZM" u="1"/>
        <s v="27AAACO6577D1ZC" u="1"/>
        <s v="33AAQFS1643D1ZC" u="1"/>
        <s v="05BBAPR7266M2Z5" u="1"/>
        <s v="05AGPPV7113A1ZH" u="1"/>
        <s v="33AADCI0078E1Z0" u="1"/>
        <s v="05GTXPS7082E1ZV" u="1"/>
        <s v="05AASFR7512A1ZC" u="1"/>
        <s v="09AAACF0109J1ZY" u="1"/>
        <s v="05AAGFP3101M1ZG" u="1"/>
        <s v="33ALTPB0334Q2ZW" u="1"/>
        <s v="05ACGPH0110G1ZH" u="1"/>
        <s v="05ASNPP0837H1ZL" u="1"/>
        <s v="05AAQPB5599M1Z1" u="1"/>
        <s v="26AAICK8142N1Z0" u="1"/>
        <s v="27AAACB4599E1ZL" u="1"/>
        <s v="07AAACB4599E1ZN" u="1"/>
        <s v="02ALHPK1797Q1ZK" u="1"/>
        <s v="27AAACM3025E1ZZ" u="1"/>
        <s v="05AEIFS7389Q1ZX" u="1"/>
        <s v="05AAACV1559Q1ZW" u="1"/>
        <s v="05DRUPR6189F1ZY" u="1"/>
        <s v="24AAACE1568L1ZM" u="1"/>
        <s v="05AABCI2726B1Z8" u="1"/>
        <s v="18AAACN3789N2ZQ" u="1"/>
        <s v="27AAACA5075E1ZX" u="1"/>
        <s v="05AABCU1990K1Z5" u="1"/>
        <s v="27AABCA8266C1ZT" u="1"/>
        <s v="05AANFP6351J1ZX" u="1"/>
        <s v="05AABCR7106G1ZP" u="1"/>
        <s v="05AAOFR3658K1ZO" u="1"/>
        <s v="27AAFCI7707J1ZA" u="1"/>
        <s v="33ADMFS8289A1ZS" u="1"/>
        <s v="24AALPV9116D1ZK" u="1"/>
        <s v="33AANCM2540H1ZL" u="1"/>
        <s v="37AAACB1376K1ZM" u="1"/>
        <s v="24AAACK3331K1ZT" u="1"/>
        <s v="06AAFCS9908R1ZH" u="1"/>
        <s v="05ABOFS0036M1ZZ" u="1"/>
        <s v="29AAFCC9980M1ZR" u="1"/>
        <s v="33AABCI2726B1Z9" u="1"/>
        <s v="27AACFH0148L1ZF" u="1"/>
        <s v="05AAUPC6659B1ZO" u="1"/>
        <s v="05AIGPG4658L2Z0" u="1"/>
        <s v="09AALFR0783N1ZH" u="1"/>
        <s v="27ABKFA2039A1ZX" u="1"/>
        <s v="24AAACC7939H1ZM" u="1"/>
        <s v="05AABFF8536B2ZS" u="1"/>
        <s v="05AANCS4735N1ZS" u="1"/>
        <s v="33AACCS7106G1ZO" u="1"/>
        <s v="27AAGFT9023N2ZM" u="1"/>
        <s v="27AAFCI2010N1ZO" u="1"/>
        <s v="07AAFFA5690P1ZW" u="1"/>
        <s v="06AAPCA2618E1ZV" u="1"/>
        <s v="05AFSPC3573M1Z2" u="1"/>
        <s v="05ALNPP5652R1Z7" u="1"/>
        <s v="33AAFCA8371A1Z2" u="1"/>
        <s v="26AACPM6232E1Z1" u="1"/>
        <s v="29AAACT0086E1ZH" u="1"/>
        <s v="05AAECA8066H1ZO" u="1"/>
        <s v="05AABCH4197B1ZW" u="1"/>
        <s v="05FCNPS4873K1ZR" u="1"/>
        <s v="27AAPFN9995E1ZE" u="1"/>
        <s v="05AHVPG7032Q1ZP" u="1"/>
        <s v="33AAACB3754B1ZB" u="1"/>
        <s v="05KLPPK6595A1ZN" u="1"/>
        <s v="34AAACN9967E1Z8" u="1"/>
        <s v="05AAICK1334J1ZO" u="1"/>
        <s v="07AAFCP9389K1ZL" u="1"/>
        <s v="09AGNPD2724M1Z5" u="1"/>
        <s v="33ACPPJ8218A2ZT" u="1"/>
        <s v="02AACCN5184H1ZM" u="1"/>
        <s v="02AAICK8142N1ZA" u="1"/>
        <s v="05AAMFN6295L2ZK" u="1"/>
        <s v="08AAACU0748E1ZJ" u="1"/>
        <s v="06ACGPN7966A1ZJ" u="1"/>
        <s v="24AACCB0327L2ZZ" u="1"/>
        <s v="05BBZPK3281L1ZZ" u="1"/>
        <s v="27AAAPD4553D1Z8" u="1"/>
        <s v="29AADCN3544Q1ZU" u="1"/>
        <s v="29AADCS9267P1ZB" u="1"/>
        <s v="05AABCH1561K1ZR" u="1"/>
        <s v="27AAACS8577K2ZO" u="1"/>
        <s v="27AAMCS0859G1Z1" u="1"/>
        <s v="05FNCPS2886C1ZV" u="1"/>
        <s v="05DXCPD6208P1ZD" u="1"/>
        <s v="19AARFS4093A1ZX" u="1"/>
        <s v="23AARCA0340H1Z0" u="1"/>
        <s v="05AHRPB3505B1ZZ" u="1"/>
        <s v="05JESPS4543K1ZN" u="1"/>
        <s v="24AATFB2300F1ZX" u="1"/>
        <s v="07AJKPG8725F1Z4" u="1"/>
        <s v="09AAQCS2435Q1ZI" u="1"/>
        <s v="05AIKPS0173N1ZV" u="1"/>
        <s v="02AACCB8811F1Z6" u="1"/>
        <s v="08AHDPG8646E1ZC" u="1"/>
        <s v="05AACCS1891C1ZN" u="1"/>
        <s v="27AABCE5086G1ZL" u="1"/>
        <s v="27AAJCS0613F1ZM" u="1"/>
        <s v="05AAJCC1918R1Z9" u="1"/>
        <s v="05AIHPK1927D1ZN" u="1"/>
        <s v="27AAECG1292R1Z1" u="1"/>
        <s v="05AIJPC9333K1Z6" u="1"/>
        <s v="05ABBCS3491C1ZM" u="1"/>
        <s v="07AABCF8985D1ZE" u="1"/>
        <s v="05AAACH1004N1Z0" u="1"/>
        <s v="05AJNPV0028M1ZV" u="1"/>
        <s v="08ABFFS4464G1ZZ" u="1"/>
        <s v="27AAACS5390N1ZU" u="1"/>
        <s v="27AAEFA5660J1ZD" u="1"/>
        <s v="05DIPPP1834K1ZU" u="1"/>
        <s v="09AAECV8265B1Z6" u="1"/>
        <s v="05ALGPD8033R1ZT" u="1"/>
        <s v="05AHQPM3122N1Z3" u="1"/>
        <s v="30AACCB8811F1Z7" u="1"/>
        <s v="27AABCC4207H1Z0" u="1"/>
        <s v="05CRUPM7616M1ZZ" u="1"/>
        <s v="29AAACK6745P1ZT" u="1"/>
        <s v="33ADDFS9275K2ZJ" u="1"/>
      </sharedItems>
    </cacheField>
    <cacheField name="Trade/Legal name" numFmtId="0">
      <sharedItems count="5">
        <s v="Abdefjhijkls"/>
        <s v="Abcdc"/>
        <s v="Text"/>
        <s v="Import"/>
        <s v="M/S CREATIVE PROPACK LIMITED"/>
      </sharedItems>
    </cacheField>
    <cacheField name="Invoice number" numFmtId="0">
      <sharedItems/>
    </cacheField>
    <cacheField name="Invoice Date" numFmtId="0">
      <sharedItems containsSemiMixedTypes="0" containsNonDate="0" containsDate="1" containsString="0" minDate="2021-03-03T00:00:00" maxDate="2022-03-16T00:00:00"/>
    </cacheField>
    <cacheField name="Supply Attract Reverse Charge" numFmtId="0">
      <sharedItems containsBlank="1" count="3">
        <m/>
        <s v="No"/>
        <s v="N"/>
      </sharedItems>
    </cacheField>
    <cacheField name="Place of supply" numFmtId="0">
      <sharedItems containsBlank="1" count="3">
        <m/>
        <s v="Uttarakhand"/>
        <s v="Himachal Pradesh"/>
      </sharedItems>
    </cacheField>
    <cacheField name="Taxable Value (₹)" numFmtId="0">
      <sharedItems containsSemiMixedTypes="0" containsString="0" containsNumber="1" minValue="-31681.25" maxValue="4756036"/>
    </cacheField>
    <cacheField name="Integrated Tax(₹)" numFmtId="0">
      <sharedItems containsSemiMixedTypes="0" containsString="0" containsNumber="1" minValue="-5702.63" maxValue="856086" count="18">
        <n v="0"/>
        <n v="81216"/>
        <n v="85860"/>
        <n v="15192"/>
        <n v="611712"/>
        <n v="832424"/>
        <n v="853270"/>
        <n v="856086"/>
        <n v="851298"/>
        <n v="13343.62"/>
        <n v="16560"/>
        <n v="24167.8"/>
        <n v="125424"/>
        <n v="10044"/>
        <n v="-5702.63"/>
        <n v="18000"/>
        <n v="1761"/>
        <n v="84"/>
      </sharedItems>
    </cacheField>
    <cacheField name="Central Tax(₹)" numFmtId="0">
      <sharedItems containsSemiMixedTypes="0" containsString="0" containsNumber="1" minValue="0" maxValue="44400.959999999999" count="23">
        <n v="0"/>
        <n v="44400.959999999999"/>
        <n v="14580"/>
        <n v="19008"/>
        <n v="7257.6"/>
        <n v="7560.18"/>
        <n v="6617.7"/>
        <n v="10103.94"/>
        <n v="8714.34"/>
        <n v="9238.5"/>
        <n v="11750.04"/>
        <n v="7314.3"/>
        <n v="16596"/>
        <n v="7467.12"/>
        <n v="7546.5"/>
        <n v="10519.02"/>
        <n v="10386"/>
        <n v="6687.72"/>
        <n v="10874.16"/>
        <n v="22421.34"/>
        <n v="12059.1"/>
        <n v="425.44"/>
        <n v="322.92"/>
      </sharedItems>
    </cacheField>
    <cacheField name="State/UT Tax(₹)" numFmtId="0">
      <sharedItems containsSemiMixedTypes="0" containsString="0" containsNumber="1" minValue="0" maxValue="44400.959999999999" count="23">
        <n v="0"/>
        <n v="44400.959999999999"/>
        <n v="14580"/>
        <n v="19008"/>
        <n v="7257.6"/>
        <n v="7560.18"/>
        <n v="6617.7"/>
        <n v="10103.94"/>
        <n v="8714.34"/>
        <n v="9238.5"/>
        <n v="11750.04"/>
        <n v="7314.3"/>
        <n v="16596"/>
        <n v="7467.12"/>
        <n v="7546.5"/>
        <n v="10519.02"/>
        <n v="10386"/>
        <n v="6687.72"/>
        <n v="10874.16"/>
        <n v="22421.34"/>
        <n v="12059.1"/>
        <n v="425.44"/>
        <n v="322.92"/>
      </sharedItems>
    </cacheField>
    <cacheField name="Cess(₹)" numFmtId="0">
      <sharedItems containsSemiMixedTypes="0" containsString="0" containsNumber="1" containsInteger="1" minValue="0" maxValue="0" count="1">
        <n v="0"/>
      </sharedItems>
    </cacheField>
    <cacheField name="Purchase.Taxable Amt." numFmtId="0">
      <sharedItems containsSemiMixedTypes="0" containsString="0" containsNumber="1" minValue="-142725" maxValue="1427529.2490000001"/>
    </cacheField>
    <cacheField name="Purchase.IGST Amt." numFmtId="0">
      <sharedItems containsSemiMixedTypes="0" containsString="0" containsNumber="1" minValue="-4140.76" maxValue="189997" count="26">
        <n v="0"/>
        <n v="162864"/>
        <n v="159444"/>
        <n v="171000"/>
        <n v="130500"/>
        <n v="570"/>
        <n v="26100"/>
        <n v="14985"/>
        <n v="189997"/>
        <n v="104214"/>
        <n v="1674"/>
        <n v="43272.9"/>
        <n v="198.9"/>
        <n v="41332"/>
        <n v="28761"/>
        <n v="24579"/>
        <n v="7155"/>
        <n v="127800"/>
        <n v="9684"/>
        <n v="8280"/>
        <n v="90324"/>
        <n v="31583.919999999998"/>
        <n v="-4140.76"/>
        <n v="-528.12"/>
        <n v="-496.8"/>
        <n v="-3387.11"/>
      </sharedItems>
    </cacheField>
    <cacheField name="Purchase.CGST Amt." numFmtId="0">
      <sharedItems containsSemiMixedTypes="0" containsString="0" containsNumber="1" minValue="-12845.25" maxValue="128478"/>
    </cacheField>
    <cacheField name="Purchase.SGST Amt." numFmtId="0">
      <sharedItems containsSemiMixedTypes="0" containsString="0" containsNumber="1" minValue="-12845.25" maxValue="128478"/>
    </cacheField>
    <cacheField name="Purchase.CESS Amt." numFmtId="0">
      <sharedItems containsSemiMixedTypes="0" containsString="0" containsNumber="1" containsInteger="1" minValue="0" maxValue="0" count="1">
        <n v="0"/>
      </sharedItems>
    </cacheField>
    <cacheField name="Purchase.Invoice Amt." numFmtId="0">
      <sharedItems containsSemiMixedTypes="0" containsString="0" containsNumber="1" containsInteger="1" minValue="0" maxValue="1684485"/>
    </cacheField>
    <cacheField name="Remark" numFmtId="0">
      <sharedItems count="20">
        <s v="Not Showing in 2B"/>
        <s v="Not Found in Books/Pending for entry/Not Related to US"/>
        <s v="Incorrect POS (Himachal Pradesh) update instead of Uttarakhand"/>
        <s v="Amount matched bill wise Bill date/GST no need to check" u="1"/>
        <s v="Input To be Taken" u="1"/>
        <s v="GST Number wise Round off (Invoice number/Date Rectification require)" u="1"/>
        <s v="Input To Be Reverse" u="1"/>
        <s v="GIT Invoice for next month" u="1"/>
        <s v="Invoice not received from Supplier" u="1"/>
        <s v="Incorrect POS (Gujarat) update instead of Uttarakhand" u="1"/>
        <s v="Excess Update by Supplier in 2B" u="1"/>
        <s v="GST Number wise matched (Invoice number/Date Rectification require)" u="1"/>
        <s v="Incorrect POS (Maharashtra) update instead of Uttarakhand" u="1"/>
        <s v="Less Update by Supplier in 2B" u="1"/>
        <s v="Need Bill details for Credit note" u="1"/>
        <s v="GST No not mention in Invoice" u="1"/>
        <s v="Confirmation Requiered From HO" u="1"/>
        <s v="Debit note not update by Supplier" u="1"/>
        <s v="Incorrect POS (Rajasthan) update instead of Uttarakhand" u="1"/>
        <s v="Supplier filed late return" u="1"/>
      </sharedItems>
    </cacheField>
    <cacheField name="Sources" numFmtId="0">
      <sharedItems count="5">
        <s v="Purchase Register"/>
        <s v="B2B"/>
        <s v="Cdnr"/>
        <s v="IMPG"/>
        <s v="IMPZ-SEZ"/>
      </sharedItems>
    </cacheField>
    <cacheField name="Purchase.Voucher no" numFmtId="0">
      <sharedItems containsBlank="1"/>
    </cacheField>
    <cacheField name="GST_as_per_2B" numFmtId="0">
      <sharedItems containsSemiMixedTypes="0" containsString="0" containsNumber="1" minValue="-5702.63" maxValue="856086"/>
    </cacheField>
    <cacheField name="GST_as_per_Book" numFmtId="0">
      <sharedItems containsSemiMixedTypes="0" containsString="0" containsNumber="1" minValue="-25690.5" maxValue="256956"/>
    </cacheField>
    <cacheField name="Difference" numFmtId="0">
      <sharedItems containsSemiMixedTypes="0" containsString="0" containsNumber="1" minValue="-256956" maxValue="85608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shal Sharma" refreshedDate="44700.522952199077" createdVersion="7" refreshedVersion="7" minRefreshableVersion="3" recordCount="152" xr:uid="{00000000-000A-0000-FFFF-FFFF01000000}">
  <cacheSource type="external" connectionId="10"/>
  <cacheFields count="15">
    <cacheField name="GSTIN of supplier" numFmtId="0">
      <sharedItems/>
    </cacheField>
    <cacheField name="Trade/Legal name" numFmtId="0">
      <sharedItems count="7">
        <s v="Abdefjhijkls"/>
        <s v="Abcdc"/>
        <s v="Abc"/>
        <s v="Abcd"/>
        <s v="Text"/>
        <s v="Import"/>
        <s v="M/S CREATIVE PROPACK LIMITED"/>
      </sharedItems>
    </cacheField>
    <cacheField name="Invoice number" numFmtId="0">
      <sharedItems/>
    </cacheField>
    <cacheField name="Invoice Date" numFmtId="0">
      <sharedItems containsSemiMixedTypes="0" containsNonDate="0" containsDate="1" containsString="0" minDate="2020-06-10T00:00:00" maxDate="2022-03-16T00:00:00"/>
    </cacheField>
    <cacheField name="Taxable Amount(2B)" numFmtId="0">
      <sharedItems containsSemiMixedTypes="0" containsString="0" containsNumber="1" minValue="-31681.25" maxValue="4756036"/>
    </cacheField>
    <cacheField name="Input(2B)" numFmtId="0">
      <sharedItems containsSemiMixedTypes="0" containsString="0" containsNumber="1" minValue="-5702.63" maxValue="856086"/>
    </cacheField>
    <cacheField name="Cess(2B)" numFmtId="0">
      <sharedItems containsSemiMixedTypes="0" containsString="0" containsNumber="1" containsInteger="1" minValue="0" maxValue="0" count="1">
        <n v="0"/>
      </sharedItems>
    </cacheField>
    <cacheField name="Taxable Amount(Books)" numFmtId="0">
      <sharedItems containsSemiMixedTypes="0" containsString="0" containsNumber="1" minValue="-142725" maxValue="1427529.2490000001"/>
    </cacheField>
    <cacheField name="Input(Books)" numFmtId="0">
      <sharedItems containsSemiMixedTypes="0" containsString="0" containsNumber="1" minValue="-25690.5" maxValue="256956"/>
    </cacheField>
    <cacheField name="Cess(Books)" numFmtId="0">
      <sharedItems containsSemiMixedTypes="0" containsString="0" containsNumber="1" containsInteger="1" minValue="0" maxValue="0" count="1">
        <n v="0"/>
      </sharedItems>
    </cacheField>
    <cacheField name="Remark" numFmtId="0">
      <sharedItems count="63">
        <s v="Not Showing in 2B"/>
        <s v="Invoices of Last Year Booked in Current Year"/>
        <s v="Not Found in Books/Pending for entry/Not Related to US"/>
        <s v="Last Year Invoices Update by Suppiler in Current year 2B"/>
        <s v="Incorrect POS (Himachal Pradesh) update instead of Uttarakhand"/>
        <s v="TCS" u="1"/>
        <s v="Need Bill details for Credit note" u="1"/>
        <s v="Matched But IGST/(CGST&amp;SCGST) Mismatched" u="1"/>
        <s v="Last Year Invoice Amended by Supplier, Need to check last year GSTR1 and add to Execption" u="1"/>
        <s v="Last Year DN Considered By Supplier Current Year" u="1"/>
        <s v="Incorrect POS (Tamil Nadu) update instead of Uttarakhand" u="1"/>
        <s v="GST No not mention in Invoice" u="1"/>
        <s v="test" u="1"/>
        <s v="Matched (But Input taken in CSGT instead of IGST)" u="1"/>
        <s v="Invoice raise incorrectly, reversed by CN in 2B" u="1"/>
        <s v="Ineligible" u="1"/>
        <s v="Incorrect POS (Gujarat) update instead of Uttarakhand" u="1"/>
        <s v="Incorrect POS (Haryana) update instead of Uttarakhand" u="1"/>
        <s v="Incorrect POS (Maharashtra) update instead of Uttarakhand" u="1"/>
        <s v="Invoice recevied in Feb 2022" u="1"/>
        <s v="RCM Invoices" u="1"/>
        <s v="Last Year DN Reverse Current Year" u="1"/>
        <s v="Invoice received in Mar" u="1"/>
        <s v="Invoice Updated In Apr'21 &amp; reverse In May'21" u="1"/>
        <s v="Confirmation Requiered From HO" u="1"/>
        <s v="Wrong update by Transporter, RCM not clicked" u="1"/>
        <s v="Kya pata" u="1"/>
        <s v="Excess Update by Supplier in 2B" u="1"/>
        <s v="Incorrect POS (Uttar Pradesh) update instead of Uttarakhand" u="1"/>
        <s v="Incorrect POS (Delhi) update instead of Uttarakhand" u="1"/>
        <s v="Invoice booked march month" u="1"/>
        <s v="Wrongly Update by Supplier" u="1"/>
        <s v="POS error" u="1"/>
        <s v="Round off" u="1"/>
        <s v="Material Reject By QC DN Raised By US, But Not Updated By Supplier in 2B" u="1"/>
        <s v="GIT 2022-23 (Pending from QC)" u="1"/>
        <s v="Credit Note Raised By Supplier Agst Invoice" u="1"/>
        <s v="Input need to be CSGST as per GST No. While IGST Input taken in Purchase" u="1"/>
        <s v="Input need to be IGST as per GST No. While CSGST Input taken in Purchase" u="1"/>
        <s v="Less Update by Supplier in 2B" u="1"/>
        <s v="Invoices of Last Year taken in GIT but not booked in ERP" u="1"/>
        <s v="ab dekho" u="1"/>
        <s v="Input To Be Reverse" u="1"/>
        <s v="GIT 2022-23 Import" u="1"/>
        <s v="Supplier filed late return" u="1"/>
        <s v="Invoices of Last Year Booked in Current Year but not in GIT" u="1"/>
        <s v="Mai nhi krta" u="1"/>
        <s v="GST Matched but difference in Taxable" u="1"/>
        <s v="Invoice not received from Supplier" u="1"/>
        <s v="Input To be Taken" u="1"/>
        <s v="Invoices of Last Year Booked in Current Year but not include in GIT" u="1"/>
        <s v="TDS" u="1"/>
        <s v="Debit note not update by Supplier" u="1"/>
        <s v="Closed VIA CN" u="1"/>
        <s v="s" u="1"/>
        <s v="wrong update by supplier" u="1"/>
        <s v="Credit Note " u="1"/>
        <s v="Material Received in FEB-2021" u="1"/>
        <s v="Matched" u="1"/>
        <s v="Wrongly Updated By Suppliers (RCM Invoice)" u="1"/>
        <s v="Last Year DN update by supplier in current year" u="1"/>
        <s v="GIT 2022-23" u="1"/>
        <s v="Incorrect POS (Rajasthan) update instead of Uttarakhand" u="1"/>
      </sharedItems>
    </cacheField>
    <cacheField name="Sources" numFmtId="0">
      <sharedItems count="6">
        <s v="Purchase Register"/>
        <s v="B2B"/>
        <s v="B2Ba"/>
        <s v="Cdnr"/>
        <s v="IMPG"/>
        <s v="IMPZ-SEZ"/>
      </sharedItems>
    </cacheField>
    <cacheField name="Purchase.Voucher no" numFmtId="0">
      <sharedItems containsBlank="1"/>
    </cacheField>
    <cacheField name="Difference(Input)" numFmtId="0">
      <sharedItems containsSemiMixedTypes="0" containsString="0" containsNumber="1" minValue="-256956" maxValue="856086"/>
    </cacheField>
    <cacheField name="Difference(Cess)" numFmtId="0">
      <sharedItems containsSemiMixedTypes="0" containsString="0" containsNumber="1" containsInteger="1" minValue="0" maxValue="0" count="1"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shal Sharma" refreshedDate="44700.523137847224" createdVersion="7" refreshedVersion="7" minRefreshableVersion="3" recordCount="152" xr:uid="{00000000-000A-0000-FFFF-FFFF00000000}">
  <cacheSource type="worksheet">
    <worksheetSource name="Final_Recon"/>
  </cacheSource>
  <cacheFields count="20">
    <cacheField name="GSTIN of supplier" numFmtId="0">
      <sharedItems/>
    </cacheField>
    <cacheField name="Trade/Legal name" numFmtId="0">
      <sharedItems/>
    </cacheField>
    <cacheField name="Invoice number" numFmtId="0">
      <sharedItems/>
    </cacheField>
    <cacheField name="Invoice Date" numFmtId="164">
      <sharedItems containsSemiMixedTypes="0" containsNonDate="0" containsDate="1" containsString="0" minDate="2020-06-10T00:00:00" maxDate="2022-03-16T00:00:00"/>
    </cacheField>
    <cacheField name="Supply Attract Reverse Charge" numFmtId="0">
      <sharedItems containsBlank="1"/>
    </cacheField>
    <cacheField name="Place of supply" numFmtId="0">
      <sharedItems containsBlank="1"/>
    </cacheField>
    <cacheField name="Taxable Value (₹)" numFmtId="0">
      <sharedItems containsSemiMixedTypes="0" containsString="0" containsNumber="1" minValue="-31681.25" maxValue="4756036"/>
    </cacheField>
    <cacheField name="Integrated Tax(₹)" numFmtId="0">
      <sharedItems containsSemiMixedTypes="0" containsString="0" containsNumber="1" minValue="-5702.63" maxValue="856086"/>
    </cacheField>
    <cacheField name="Central Tax(₹)" numFmtId="0">
      <sharedItems containsSemiMixedTypes="0" containsString="0" containsNumber="1" minValue="-424.76" maxValue="44400.959999999999"/>
    </cacheField>
    <cacheField name="State/UT Tax(₹)" numFmtId="0">
      <sharedItems containsSemiMixedTypes="0" containsString="0" containsNumber="1" minValue="-424.76" maxValue="44400.959999999999"/>
    </cacheField>
    <cacheField name="Cess(₹)" numFmtId="0">
      <sharedItems containsSemiMixedTypes="0" containsString="0" containsNumber="1" containsInteger="1" minValue="0" maxValue="0"/>
    </cacheField>
    <cacheField name="Purchase.Taxable Amt." numFmtId="0">
      <sharedItems containsSemiMixedTypes="0" containsString="0" containsNumber="1" minValue="-142725" maxValue="1427529.2490000001"/>
    </cacheField>
    <cacheField name="Purchase.IGST Amt." numFmtId="0">
      <sharedItems containsSemiMixedTypes="0" containsString="0" containsNumber="1" minValue="-4140.76" maxValue="189997"/>
    </cacheField>
    <cacheField name="Purchase.CGST Amt." numFmtId="0">
      <sharedItems containsSemiMixedTypes="0" containsString="0" containsNumber="1" minValue="-12845.25" maxValue="128478"/>
    </cacheField>
    <cacheField name="Purchase.SGST Amt." numFmtId="0">
      <sharedItems containsSemiMixedTypes="0" containsString="0" containsNumber="1" minValue="-12845.25" maxValue="128478"/>
    </cacheField>
    <cacheField name="Purchase.CESS Amt." numFmtId="0">
      <sharedItems containsSemiMixedTypes="0" containsString="0" containsNumber="1" containsInteger="1" minValue="0" maxValue="0"/>
    </cacheField>
    <cacheField name="Purchase.Invoice Amt." numFmtId="0">
      <sharedItems containsSemiMixedTypes="0" containsString="0" containsNumber="1" containsInteger="1" minValue="0" maxValue="1684485"/>
    </cacheField>
    <cacheField name="Remark" numFmtId="0">
      <sharedItems containsBlank="1" count="68">
        <s v="Not Showing in 2B"/>
        <s v="Invoices of Last Year Booked in Current Year"/>
        <s v="Not Found in Books/Pending for entry/Not Related to US"/>
        <s v="Last Year Invoices Update by Suppiler in Current year 2B"/>
        <s v="Incorrect POS (Himachal Pradesh) update instead of Uttarakhand"/>
        <m u="1"/>
        <s v="GST Matched but difference in Taxable" u="1"/>
        <s v="Wrong update by Transporter, RCM not clicked" u="1"/>
        <s v="Invoices of Last Year taken in GIT but not booked in ERP" u="1"/>
        <s v="Last Year Invoice Amended by Supplier, Need to check last year GSTR1 and add to Execption" u="1"/>
        <s v="Excess Update by Supplier in 2A" u="1"/>
        <s v="Wrongly Updated By Suppliers (RCM Invoice)" u="1"/>
        <s v="s" u="1"/>
        <s v="RCM Invoices" u="1"/>
        <s v="Not Showing in 2A" u="1"/>
        <s v="Incorrect POS (Tamil Nadu) update instead of Uttarakhand" u="1"/>
        <s v="Incorrect POS (Delhi) update instead of Uttarakhand" u="1"/>
        <s v="ab dekho" u="1"/>
        <s v="Kya pata" u="1"/>
        <s v="Ineligible" u="1"/>
        <s v="Input To be Taken" u="1"/>
        <s v="Input To Be Reverse" u="1"/>
        <s v="Invoices of Last Year Booked in Current Year but not in GIT" u="1"/>
        <s v="Last Year DN Considered By Supplier Current Year" u="1"/>
        <s v="Invoice received in Mar" u="1"/>
        <s v="TDS" u="1"/>
        <s v="Incorrect POS (Uttar Pradesh) update instead of Uttarakhand" u="1"/>
        <s v="Invoice not received from Supplier" u="1"/>
        <s v="Round off" u="1"/>
        <s v="Credit Note Raised By Supplier Agst Invoice" u="1"/>
        <s v="Input need to be CSGST as per GST No. While IGST Input taken in Purchase" u="1"/>
        <s v="Input need to be IGST as per GST No. While CSGST Input taken in Purchase" u="1"/>
        <s v="wrong update by supplier" u="1"/>
        <s v="Invoice recevied in Feb 2022" u="1"/>
        <s v="Matched But IGST/(CGST&amp;SCGST) Mismatched" u="1"/>
        <s v="Invoice Updated In Apr'21 &amp; reverse In May'21" u="1"/>
        <s v="Last Year DN Reverse Current Year" u="1"/>
        <s v="test" u="1"/>
        <s v="Invoices of Last Year Booked in Current Year but not include in GIT" u="1"/>
        <s v="Matched (But Input taken in CSGT instead of IGST)" u="1"/>
        <s v="Incorrect POS (Gujarat) update instead of Uttarakhand" u="1"/>
        <s v="Incorrect POS (Haryana) update instead of Uttarakhand" u="1"/>
        <s v="Excess Update by Supplier in 2B" u="1"/>
        <s v="GIT 2022-23" u="1"/>
        <s v="POS error" u="1"/>
        <s v="Last Year DN update by supplier in current year" u="1"/>
        <s v="Incorrect POS (Maharashtra) update instead of Uttarakhand" u="1"/>
        <s v="Less Update by Supplier in 2A" u="1"/>
        <s v="Invoice raise incorrectly, reversed by CN in 2B" u="1"/>
        <s v="Material Reject By QC DN Raised By US, But Not Updated By Supplier in 2B" u="1"/>
        <s v="Mai nhi krta" u="1"/>
        <s v="GIT 2022-23 (Pending from QC)" u="1"/>
        <s v="TCS" u="1"/>
        <s v="Not Found in Books/Pending for entry" u="1"/>
        <s v="Less Update by Supplier in 2B" u="1"/>
        <s v="Invoice booked march month" u="1"/>
        <s v="Wrongly Update by Supplier" u="1"/>
        <s v="Matched" u="1"/>
        <s v="Credit Note " u="1"/>
        <s v="Closed VIA CN" u="1"/>
        <s v="Need Bill details for Credit note" u="1"/>
        <s v="GIT 2022-23 Import" u="1"/>
        <s v="GST No not mention in Invoice" u="1"/>
        <s v="Material Received in FEB-2021" u="1"/>
        <s v="Confirmation Requiered From HO" u="1"/>
        <s v="Debit note not update by Supplier" u="1"/>
        <s v="Incorrect POS (Rajasthan) update instead of Uttarakhand" u="1"/>
        <s v="Supplier filed late return" u="1"/>
      </sharedItems>
    </cacheField>
    <cacheField name="Sources" numFmtId="0">
      <sharedItems/>
    </cacheField>
    <cacheField name="Purchase.Voucher n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3">
  <r>
    <x v="0"/>
    <x v="0"/>
    <s v="Rddin2100862"/>
    <d v="2021-05-09T00:00:00"/>
    <x v="0"/>
    <x v="0"/>
    <n v="0"/>
    <x v="0"/>
    <x v="0"/>
    <x v="0"/>
    <x v="0"/>
    <n v="578055.36199999996"/>
    <x v="0"/>
    <n v="52025"/>
    <n v="52025"/>
    <x v="0"/>
    <n v="682787"/>
    <x v="0"/>
    <x v="0"/>
    <s v="Abc/2122-0314"/>
    <n v="0"/>
    <n v="104050"/>
    <n v="-104050"/>
  </r>
  <r>
    <x v="1"/>
    <x v="0"/>
    <s v="4521"/>
    <d v="2021-06-16T00:00:00"/>
    <x v="0"/>
    <x v="0"/>
    <n v="0"/>
    <x v="0"/>
    <x v="0"/>
    <x v="0"/>
    <x v="0"/>
    <n v="22000"/>
    <x v="0"/>
    <n v="1980"/>
    <n v="1980"/>
    <x v="0"/>
    <n v="25960"/>
    <x v="0"/>
    <x v="0"/>
    <s v="Abc/2122-0273"/>
    <n v="0"/>
    <n v="3960"/>
    <n v="-3960"/>
  </r>
  <r>
    <x v="2"/>
    <x v="0"/>
    <s v="162"/>
    <d v="2021-04-21T00:00:00"/>
    <x v="0"/>
    <x v="0"/>
    <n v="0"/>
    <x v="0"/>
    <x v="0"/>
    <x v="0"/>
    <x v="0"/>
    <n v="2670"/>
    <x v="0"/>
    <n v="241"/>
    <n v="241"/>
    <x v="0"/>
    <n v="3152"/>
    <x v="0"/>
    <x v="0"/>
    <s v="Abc/2122-0100"/>
    <n v="0"/>
    <n v="482"/>
    <n v="-482"/>
  </r>
  <r>
    <x v="3"/>
    <x v="0"/>
    <s v="9392101403"/>
    <d v="2021-05-13T00:00:00"/>
    <x v="0"/>
    <x v="0"/>
    <n v="0"/>
    <x v="0"/>
    <x v="0"/>
    <x v="0"/>
    <x v="0"/>
    <n v="904800"/>
    <x v="1"/>
    <n v="0"/>
    <n v="0"/>
    <x v="0"/>
    <n v="1068469"/>
    <x v="0"/>
    <x v="0"/>
    <s v="Abc/2122-0561"/>
    <n v="0"/>
    <n v="162864"/>
    <n v="-162864"/>
  </r>
  <r>
    <x v="4"/>
    <x v="0"/>
    <s v="Apnp/21-22/124"/>
    <d v="2021-05-03T00:00:00"/>
    <x v="0"/>
    <x v="0"/>
    <n v="0"/>
    <x v="0"/>
    <x v="0"/>
    <x v="0"/>
    <x v="0"/>
    <n v="194194"/>
    <x v="0"/>
    <n v="11651.64"/>
    <n v="11651.64"/>
    <x v="0"/>
    <n v="217497"/>
    <x v="0"/>
    <x v="0"/>
    <s v="Abc/2122-0248"/>
    <n v="0"/>
    <n v="23303.279999999999"/>
    <n v="-23303.279999999999"/>
  </r>
  <r>
    <x v="5"/>
    <x v="0"/>
    <s v="Gst059/21-22"/>
    <d v="2021-04-28T00:00:00"/>
    <x v="0"/>
    <x v="0"/>
    <n v="0"/>
    <x v="0"/>
    <x v="0"/>
    <x v="0"/>
    <x v="0"/>
    <n v="885800"/>
    <x v="2"/>
    <n v="0"/>
    <n v="0"/>
    <x v="0"/>
    <n v="1045244"/>
    <x v="0"/>
    <x v="0"/>
    <s v="Abc/2122-0363"/>
    <n v="0"/>
    <n v="159444"/>
    <n v="-159444"/>
  </r>
  <r>
    <x v="6"/>
    <x v="0"/>
    <s v="Ss-0036/21-22"/>
    <d v="2021-08-02T00:00:00"/>
    <x v="0"/>
    <x v="0"/>
    <n v="0"/>
    <x v="0"/>
    <x v="0"/>
    <x v="0"/>
    <x v="0"/>
    <n v="4500"/>
    <x v="0"/>
    <n v="405"/>
    <n v="405"/>
    <x v="0"/>
    <n v="5310"/>
    <x v="0"/>
    <x v="0"/>
    <s v="Abc/2122-0561"/>
    <n v="0"/>
    <n v="810"/>
    <n v="-810"/>
  </r>
  <r>
    <x v="0"/>
    <x v="0"/>
    <s v="Rddin2101978"/>
    <d v="2021-07-05T00:00:00"/>
    <x v="0"/>
    <x v="0"/>
    <n v="0"/>
    <x v="0"/>
    <x v="0"/>
    <x v="0"/>
    <x v="0"/>
    <n v="1427529.2490000001"/>
    <x v="0"/>
    <n v="128478"/>
    <n v="128478"/>
    <x v="0"/>
    <n v="1684485"/>
    <x v="0"/>
    <x v="0"/>
    <s v="Abc/2122-0886"/>
    <n v="0"/>
    <n v="256956"/>
    <n v="-256956"/>
  </r>
  <r>
    <x v="7"/>
    <x v="0"/>
    <s v="Pr/79/20-21"/>
    <d v="2021-08-27T00:00:00"/>
    <x v="0"/>
    <x v="0"/>
    <n v="0"/>
    <x v="0"/>
    <x v="0"/>
    <x v="0"/>
    <x v="0"/>
    <n v="19140"/>
    <x v="0"/>
    <n v="1722.6"/>
    <n v="1722.6"/>
    <x v="0"/>
    <n v="22585"/>
    <x v="0"/>
    <x v="0"/>
    <s v="Abc/2122-1329"/>
    <n v="0"/>
    <n v="3445.2"/>
    <n v="-3445.2"/>
  </r>
  <r>
    <x v="8"/>
    <x v="0"/>
    <s v="1499"/>
    <d v="2021-08-02T00:00:00"/>
    <x v="0"/>
    <x v="0"/>
    <n v="0"/>
    <x v="0"/>
    <x v="0"/>
    <x v="0"/>
    <x v="0"/>
    <n v="1075"/>
    <x v="0"/>
    <n v="96.75"/>
    <n v="96.75"/>
    <x v="0"/>
    <n v="1268"/>
    <x v="0"/>
    <x v="0"/>
    <s v="Abc/2122-0515"/>
    <n v="0"/>
    <n v="193.5"/>
    <n v="-193.5"/>
  </r>
  <r>
    <x v="3"/>
    <x v="0"/>
    <s v="9392103767"/>
    <d v="2021-08-06T00:00:00"/>
    <x v="0"/>
    <x v="0"/>
    <n v="0"/>
    <x v="0"/>
    <x v="0"/>
    <x v="0"/>
    <x v="0"/>
    <n v="950000"/>
    <x v="3"/>
    <n v="0"/>
    <n v="0"/>
    <x v="0"/>
    <n v="1121000"/>
    <x v="0"/>
    <x v="0"/>
    <s v="Abc/2122-1210"/>
    <n v="0"/>
    <n v="171000"/>
    <n v="-171000"/>
  </r>
  <r>
    <x v="9"/>
    <x v="0"/>
    <s v="20210533"/>
    <d v="2021-07-21T00:00:00"/>
    <x v="0"/>
    <x v="0"/>
    <n v="0"/>
    <x v="0"/>
    <x v="0"/>
    <x v="0"/>
    <x v="0"/>
    <n v="2310"/>
    <x v="0"/>
    <n v="208"/>
    <n v="208"/>
    <x v="0"/>
    <n v="2726"/>
    <x v="0"/>
    <x v="0"/>
    <s v="Abc/2122-0444"/>
    <n v="0"/>
    <n v="416"/>
    <n v="-416"/>
  </r>
  <r>
    <x v="10"/>
    <x v="0"/>
    <s v="457"/>
    <d v="2021-07-02T00:00:00"/>
    <x v="0"/>
    <x v="0"/>
    <n v="0"/>
    <x v="0"/>
    <x v="0"/>
    <x v="0"/>
    <x v="0"/>
    <n v="11270"/>
    <x v="0"/>
    <n v="948"/>
    <n v="948"/>
    <x v="0"/>
    <n v="13541"/>
    <x v="0"/>
    <x v="0"/>
    <s v="Abc/2122-0370"/>
    <n v="0"/>
    <n v="1896"/>
    <n v="-1896"/>
  </r>
  <r>
    <x v="4"/>
    <x v="0"/>
    <s v="Apnp/21-22/526"/>
    <d v="2021-08-17T00:00:00"/>
    <x v="0"/>
    <x v="0"/>
    <n v="0"/>
    <x v="0"/>
    <x v="0"/>
    <x v="0"/>
    <x v="0"/>
    <n v="215533.25"/>
    <x v="0"/>
    <n v="12932"/>
    <n v="12932"/>
    <x v="0"/>
    <n v="241397"/>
    <x v="0"/>
    <x v="0"/>
    <s v="Abc/2122-1192"/>
    <n v="0"/>
    <n v="25864"/>
    <n v="-25864"/>
  </r>
  <r>
    <x v="11"/>
    <x v="0"/>
    <s v="H05A222101001470"/>
    <d v="2021-08-09T00:00:00"/>
    <x v="0"/>
    <x v="0"/>
    <n v="0"/>
    <x v="0"/>
    <x v="0"/>
    <x v="0"/>
    <x v="0"/>
    <n v="484135.15500000003"/>
    <x v="0"/>
    <n v="43572.160000000003"/>
    <n v="43572.160000000003"/>
    <x v="0"/>
    <n v="571279"/>
    <x v="0"/>
    <x v="0"/>
    <s v="Abc/2122-1131"/>
    <n v="0"/>
    <n v="87144.320000000007"/>
    <n v="-87144.320000000007"/>
  </r>
  <r>
    <x v="3"/>
    <x v="0"/>
    <s v="9392102520"/>
    <d v="2021-06-25T00:00:00"/>
    <x v="0"/>
    <x v="0"/>
    <n v="0"/>
    <x v="0"/>
    <x v="0"/>
    <x v="0"/>
    <x v="0"/>
    <n v="950000"/>
    <x v="3"/>
    <n v="0"/>
    <n v="0"/>
    <x v="0"/>
    <n v="1122121"/>
    <x v="0"/>
    <x v="0"/>
    <s v="Abc/2122-0858"/>
    <n v="0"/>
    <n v="171000"/>
    <n v="-171000"/>
  </r>
  <r>
    <x v="12"/>
    <x v="0"/>
    <s v="Rstc/21-22/154"/>
    <d v="2021-08-14T00:00:00"/>
    <x v="0"/>
    <x v="0"/>
    <n v="0"/>
    <x v="0"/>
    <x v="0"/>
    <x v="0"/>
    <x v="0"/>
    <n v="1961.12"/>
    <x v="0"/>
    <n v="176.5"/>
    <n v="176.5"/>
    <x v="0"/>
    <n v="2314"/>
    <x v="0"/>
    <x v="0"/>
    <s v="Abc/2122-0592"/>
    <n v="0"/>
    <n v="353"/>
    <n v="-353"/>
  </r>
  <r>
    <x v="3"/>
    <x v="0"/>
    <s v="9392104042"/>
    <d v="2021-08-17T00:00:00"/>
    <x v="0"/>
    <x v="0"/>
    <n v="0"/>
    <x v="0"/>
    <x v="0"/>
    <x v="0"/>
    <x v="0"/>
    <n v="725000"/>
    <x v="4"/>
    <n v="0"/>
    <n v="0"/>
    <x v="0"/>
    <n v="855500"/>
    <x v="0"/>
    <x v="0"/>
    <s v="Abc/2122-1324"/>
    <n v="0"/>
    <n v="130500"/>
    <n v="-130500"/>
  </r>
  <r>
    <x v="13"/>
    <x v="0"/>
    <s v="Jvg/085"/>
    <d v="2021-07-01T00:00:00"/>
    <x v="0"/>
    <x v="0"/>
    <n v="0"/>
    <x v="0"/>
    <x v="0"/>
    <x v="0"/>
    <x v="0"/>
    <n v="40000"/>
    <x v="0"/>
    <n v="2400"/>
    <n v="2400"/>
    <x v="0"/>
    <n v="44800"/>
    <x v="0"/>
    <x v="0"/>
    <s v="Abc/2122-0345"/>
    <n v="0"/>
    <n v="4800"/>
    <n v="-4800"/>
  </r>
  <r>
    <x v="8"/>
    <x v="0"/>
    <s v="1154"/>
    <d v="2021-07-07T00:00:00"/>
    <x v="0"/>
    <x v="0"/>
    <n v="0"/>
    <x v="0"/>
    <x v="0"/>
    <x v="0"/>
    <x v="0"/>
    <n v="4276"/>
    <x v="0"/>
    <n v="319.83999999999997"/>
    <n v="319.83999999999997"/>
    <x v="0"/>
    <n v="4916"/>
    <x v="0"/>
    <x v="0"/>
    <s v="Abc/2122-0380"/>
    <n v="0"/>
    <n v="639.67999999999995"/>
    <n v="-639.67999999999995"/>
  </r>
  <r>
    <x v="14"/>
    <x v="0"/>
    <s v="Ds00725/2021-22"/>
    <d v="2021-07-02T00:00:00"/>
    <x v="0"/>
    <x v="0"/>
    <n v="0"/>
    <x v="0"/>
    <x v="0"/>
    <x v="0"/>
    <x v="0"/>
    <n v="4750"/>
    <x v="5"/>
    <n v="0"/>
    <n v="0"/>
    <x v="0"/>
    <n v="5320"/>
    <x v="0"/>
    <x v="0"/>
    <s v="Abc/2122-0373"/>
    <n v="0"/>
    <n v="570"/>
    <n v="-570"/>
  </r>
  <r>
    <x v="15"/>
    <x v="0"/>
    <s v="1106/21-22"/>
    <d v="2021-08-09T00:00:00"/>
    <x v="0"/>
    <x v="0"/>
    <n v="0"/>
    <x v="0"/>
    <x v="0"/>
    <x v="0"/>
    <x v="0"/>
    <n v="217160.4"/>
    <x v="0"/>
    <n v="13029.62"/>
    <n v="13029.62"/>
    <x v="0"/>
    <n v="243220"/>
    <x v="0"/>
    <x v="0"/>
    <s v="Abc/2122-1145"/>
    <n v="0"/>
    <n v="26059.24"/>
    <n v="-26059.24"/>
  </r>
  <r>
    <x v="16"/>
    <x v="0"/>
    <s v="21-22/1784"/>
    <d v="2021-09-24T00:00:00"/>
    <x v="0"/>
    <x v="0"/>
    <n v="0"/>
    <x v="0"/>
    <x v="0"/>
    <x v="0"/>
    <x v="0"/>
    <n v="9567.93"/>
    <x v="0"/>
    <n v="861.11"/>
    <n v="861.11"/>
    <x v="0"/>
    <n v="11290"/>
    <x v="0"/>
    <x v="0"/>
    <s v="Abc/2122-0803"/>
    <n v="0"/>
    <n v="1722.22"/>
    <n v="-1722.22"/>
  </r>
  <r>
    <x v="11"/>
    <x v="0"/>
    <s v="H05A222101001737"/>
    <d v="2021-08-31T00:00:00"/>
    <x v="0"/>
    <x v="0"/>
    <n v="0"/>
    <x v="0"/>
    <x v="0"/>
    <x v="0"/>
    <x v="0"/>
    <n v="307449"/>
    <x v="0"/>
    <n v="27670.41"/>
    <n v="27670.41"/>
    <x v="0"/>
    <n v="362790"/>
    <x v="0"/>
    <x v="0"/>
    <s v="Abc/2122-1462"/>
    <n v="0"/>
    <n v="55340.82"/>
    <n v="-55340.82"/>
  </r>
  <r>
    <x v="17"/>
    <x v="0"/>
    <s v="1228"/>
    <d v="2021-09-21T00:00:00"/>
    <x v="0"/>
    <x v="0"/>
    <n v="0"/>
    <x v="0"/>
    <x v="0"/>
    <x v="0"/>
    <x v="0"/>
    <n v="2500"/>
    <x v="0"/>
    <n v="225"/>
    <n v="225"/>
    <x v="0"/>
    <n v="2950"/>
    <x v="0"/>
    <x v="0"/>
    <s v="Abc/2122-0778"/>
    <n v="0"/>
    <n v="450"/>
    <n v="-450"/>
  </r>
  <r>
    <x v="3"/>
    <x v="0"/>
    <s v="9392105951"/>
    <d v="2021-10-15T00:00:00"/>
    <x v="0"/>
    <x v="0"/>
    <n v="0"/>
    <x v="0"/>
    <x v="0"/>
    <x v="0"/>
    <x v="0"/>
    <n v="145000"/>
    <x v="6"/>
    <n v="0"/>
    <n v="0"/>
    <x v="0"/>
    <n v="171100"/>
    <x v="0"/>
    <x v="0"/>
    <s v="Abc/2122-1838"/>
    <n v="0"/>
    <n v="26100"/>
    <n v="-26100"/>
  </r>
  <r>
    <x v="18"/>
    <x v="0"/>
    <s v="1559/Gst/21-22"/>
    <d v="2021-10-05T00:00:00"/>
    <x v="0"/>
    <x v="0"/>
    <n v="0"/>
    <x v="0"/>
    <x v="0"/>
    <x v="0"/>
    <x v="0"/>
    <n v="101949.5"/>
    <x v="0"/>
    <n v="9175.4599999999991"/>
    <n v="9175.4599999999991"/>
    <x v="0"/>
    <n v="120300"/>
    <x v="0"/>
    <x v="0"/>
    <s v="Abc/2122-1716"/>
    <n v="0"/>
    <n v="18350.919999999998"/>
    <n v="-18350.919999999998"/>
  </r>
  <r>
    <x v="19"/>
    <x v="0"/>
    <s v="21-22/Vbd/001931"/>
    <d v="2021-08-31T00:00:00"/>
    <x v="0"/>
    <x v="0"/>
    <n v="0"/>
    <x v="0"/>
    <x v="0"/>
    <x v="0"/>
    <x v="0"/>
    <n v="83250"/>
    <x v="7"/>
    <n v="0"/>
    <n v="0"/>
    <x v="0"/>
    <n v="98235"/>
    <x v="0"/>
    <x v="0"/>
    <s v="Abc/2122-1466"/>
    <n v="0"/>
    <n v="14985"/>
    <n v="-14985"/>
  </r>
  <r>
    <x v="10"/>
    <x v="0"/>
    <s v="988"/>
    <d v="2021-09-06T00:00:00"/>
    <x v="0"/>
    <x v="0"/>
    <n v="0"/>
    <x v="0"/>
    <x v="0"/>
    <x v="0"/>
    <x v="0"/>
    <n v="4370"/>
    <x v="0"/>
    <n v="297"/>
    <n v="297"/>
    <x v="0"/>
    <n v="4964"/>
    <x v="0"/>
    <x v="0"/>
    <s v="Abc/2122-0731"/>
    <n v="0"/>
    <n v="594"/>
    <n v="-594"/>
  </r>
  <r>
    <x v="20"/>
    <x v="0"/>
    <s v="2077"/>
    <d v="2021-09-15T00:00:00"/>
    <x v="0"/>
    <x v="0"/>
    <n v="0"/>
    <x v="0"/>
    <x v="0"/>
    <x v="0"/>
    <x v="0"/>
    <n v="26532"/>
    <x v="0"/>
    <n v="2387.88"/>
    <n v="2387.88"/>
    <x v="0"/>
    <n v="31308"/>
    <x v="0"/>
    <x v="0"/>
    <s v="Abc/2122-1556"/>
    <n v="0"/>
    <n v="4775.76"/>
    <n v="-4775.76"/>
  </r>
  <r>
    <x v="21"/>
    <x v="0"/>
    <s v="59000235"/>
    <d v="2021-08-30T00:00:00"/>
    <x v="0"/>
    <x v="0"/>
    <n v="0"/>
    <x v="0"/>
    <x v="0"/>
    <x v="0"/>
    <x v="0"/>
    <n v="119644.15"/>
    <x v="0"/>
    <n v="10714.63"/>
    <n v="10714.63"/>
    <x v="0"/>
    <n v="141073"/>
    <x v="0"/>
    <x v="0"/>
    <s v="Abc/2122-1661"/>
    <n v="0"/>
    <n v="21429.26"/>
    <n v="-21429.26"/>
  </r>
  <r>
    <x v="22"/>
    <x v="0"/>
    <s v="1873"/>
    <d v="2021-10-19T00:00:00"/>
    <x v="0"/>
    <x v="0"/>
    <n v="0"/>
    <x v="0"/>
    <x v="0"/>
    <x v="0"/>
    <x v="0"/>
    <n v="45050.14"/>
    <x v="0"/>
    <n v="4054.52"/>
    <n v="4054.52"/>
    <x v="0"/>
    <n v="53159"/>
    <x v="0"/>
    <x v="0"/>
    <s v="Abc/2122-1801"/>
    <n v="0"/>
    <n v="8109.04"/>
    <n v="-8109.04"/>
  </r>
  <r>
    <x v="0"/>
    <x v="0"/>
    <s v="Rddin2104208"/>
    <d v="2021-10-12T00:00:00"/>
    <x v="0"/>
    <x v="0"/>
    <n v="0"/>
    <x v="0"/>
    <x v="0"/>
    <x v="0"/>
    <x v="0"/>
    <n v="329582.39"/>
    <x v="0"/>
    <n v="29662"/>
    <n v="29662"/>
    <x v="0"/>
    <n v="388906"/>
    <x v="0"/>
    <x v="0"/>
    <s v="Abc/2122-1756"/>
    <n v="0"/>
    <n v="59324"/>
    <n v="-59324"/>
  </r>
  <r>
    <x v="23"/>
    <x v="0"/>
    <s v="Rkdp/21-22/15088"/>
    <d v="2021-09-24T00:00:00"/>
    <x v="0"/>
    <x v="0"/>
    <n v="0"/>
    <x v="0"/>
    <x v="0"/>
    <x v="0"/>
    <x v="0"/>
    <n v="106612.56"/>
    <x v="0"/>
    <n v="9595.1299999999992"/>
    <n v="9595.1299999999992"/>
    <x v="0"/>
    <n v="125803"/>
    <x v="0"/>
    <x v="0"/>
    <s v="Abc/2122-1636"/>
    <n v="0"/>
    <n v="19190.259999999998"/>
    <n v="-19190.259999999998"/>
  </r>
  <r>
    <x v="18"/>
    <x v="0"/>
    <s v="1897/Gst/21-22"/>
    <d v="2021-11-19T00:00:00"/>
    <x v="0"/>
    <x v="0"/>
    <n v="0"/>
    <x v="0"/>
    <x v="0"/>
    <x v="0"/>
    <x v="0"/>
    <n v="98787"/>
    <x v="0"/>
    <n v="8890.83"/>
    <n v="8890.83"/>
    <x v="0"/>
    <n v="116569"/>
    <x v="0"/>
    <x v="0"/>
    <s v="Abc/2122-2001"/>
    <n v="0"/>
    <n v="17781.66"/>
    <n v="-17781.66"/>
  </r>
  <r>
    <x v="24"/>
    <x v="0"/>
    <s v="Ss01/Loc/01264"/>
    <d v="2021-10-26T00:00:00"/>
    <x v="0"/>
    <x v="0"/>
    <n v="0"/>
    <x v="0"/>
    <x v="0"/>
    <x v="0"/>
    <x v="0"/>
    <n v="1055540"/>
    <x v="8"/>
    <n v="0"/>
    <n v="0"/>
    <x v="0"/>
    <n v="1245537"/>
    <x v="0"/>
    <x v="0"/>
    <s v="Abc/2122-1939"/>
    <n v="0"/>
    <n v="189997"/>
    <n v="-189997"/>
  </r>
  <r>
    <x v="25"/>
    <x v="0"/>
    <s v="2913"/>
    <d v="2021-11-17T00:00:00"/>
    <x v="0"/>
    <x v="0"/>
    <n v="0"/>
    <x v="0"/>
    <x v="0"/>
    <x v="0"/>
    <x v="0"/>
    <n v="1150"/>
    <x v="0"/>
    <n v="103.5"/>
    <n v="103.5"/>
    <x v="0"/>
    <n v="1357"/>
    <x v="0"/>
    <x v="0"/>
    <s v="Abc/2122-1024"/>
    <n v="0"/>
    <n v="207"/>
    <n v="-207"/>
  </r>
  <r>
    <x v="10"/>
    <x v="0"/>
    <s v="1923"/>
    <d v="2021-12-29T00:00:00"/>
    <x v="0"/>
    <x v="0"/>
    <n v="0"/>
    <x v="0"/>
    <x v="0"/>
    <x v="0"/>
    <x v="0"/>
    <n v="13000"/>
    <x v="0"/>
    <n v="1170"/>
    <n v="1170"/>
    <x v="0"/>
    <n v="15340"/>
    <x v="0"/>
    <x v="0"/>
    <s v="Abc/2122-1154"/>
    <n v="0"/>
    <n v="2340"/>
    <n v="-2340"/>
  </r>
  <r>
    <x v="26"/>
    <x v="0"/>
    <s v="Bm2205I000571984"/>
    <d v="2021-12-27T00:00:00"/>
    <x v="0"/>
    <x v="0"/>
    <n v="0"/>
    <x v="0"/>
    <x v="0"/>
    <x v="0"/>
    <x v="0"/>
    <n v="1801"/>
    <x v="0"/>
    <n v="162"/>
    <n v="162"/>
    <x v="0"/>
    <n v="2125"/>
    <x v="0"/>
    <x v="0"/>
    <s v="Abc/2122-0652"/>
    <n v="0"/>
    <n v="324"/>
    <n v="-324"/>
  </r>
  <r>
    <x v="8"/>
    <x v="0"/>
    <s v="3670"/>
    <d v="2021-12-28T00:00:00"/>
    <x v="0"/>
    <x v="0"/>
    <n v="0"/>
    <x v="0"/>
    <x v="0"/>
    <x v="0"/>
    <x v="0"/>
    <n v="1200"/>
    <x v="0"/>
    <n v="30"/>
    <n v="30"/>
    <x v="0"/>
    <n v="1260"/>
    <x v="0"/>
    <x v="0"/>
    <s v="Abc/2122-1143"/>
    <n v="0"/>
    <n v="60"/>
    <n v="-60"/>
  </r>
  <r>
    <x v="27"/>
    <x v="0"/>
    <s v="21112010010920"/>
    <d v="2021-10-31T00:00:00"/>
    <x v="0"/>
    <x v="0"/>
    <n v="0"/>
    <x v="0"/>
    <x v="0"/>
    <x v="0"/>
    <x v="0"/>
    <n v="578964.04500000004"/>
    <x v="9"/>
    <n v="0"/>
    <n v="0"/>
    <x v="0"/>
    <n v="683178"/>
    <x v="0"/>
    <x v="0"/>
    <s v="Abc/2122-1926"/>
    <n v="0"/>
    <n v="104214"/>
    <n v="-104214"/>
  </r>
  <r>
    <x v="8"/>
    <x v="0"/>
    <s v="2874"/>
    <d v="2021-11-08T00:00:00"/>
    <x v="0"/>
    <x v="0"/>
    <n v="0"/>
    <x v="0"/>
    <x v="0"/>
    <x v="0"/>
    <x v="0"/>
    <n v="1380"/>
    <x v="0"/>
    <n v="124.2"/>
    <n v="124.2"/>
    <x v="0"/>
    <n v="1628"/>
    <x v="0"/>
    <x v="0"/>
    <s v="Abc/2122-0971"/>
    <n v="0"/>
    <n v="248.4"/>
    <n v="-248.4"/>
  </r>
  <r>
    <x v="28"/>
    <x v="0"/>
    <s v="128"/>
    <d v="2021-12-17T00:00:00"/>
    <x v="0"/>
    <x v="0"/>
    <n v="0"/>
    <x v="0"/>
    <x v="0"/>
    <x v="0"/>
    <x v="0"/>
    <n v="9300"/>
    <x v="10"/>
    <n v="0"/>
    <n v="0"/>
    <x v="0"/>
    <n v="10974"/>
    <x v="0"/>
    <x v="0"/>
    <s v="Abc/2122-1118"/>
    <n v="0"/>
    <n v="1674"/>
    <n v="-1674"/>
  </r>
  <r>
    <x v="29"/>
    <x v="0"/>
    <s v="2022/A01003386"/>
    <d v="2022-01-24T00:00:00"/>
    <x v="0"/>
    <x v="0"/>
    <n v="0"/>
    <x v="0"/>
    <x v="0"/>
    <x v="0"/>
    <x v="0"/>
    <n v="601537.03399999999"/>
    <x v="0"/>
    <n v="54138.33"/>
    <n v="54138.33"/>
    <x v="0"/>
    <n v="709814"/>
    <x v="0"/>
    <x v="0"/>
    <s v="Abc/2122-2558"/>
    <n v="0"/>
    <n v="108276.66"/>
    <n v="-108276.66"/>
  </r>
  <r>
    <x v="30"/>
    <x v="0"/>
    <s v="F20031104639"/>
    <d v="2021-12-24T00:00:00"/>
    <x v="0"/>
    <x v="0"/>
    <n v="0"/>
    <x v="0"/>
    <x v="0"/>
    <x v="0"/>
    <x v="0"/>
    <n v="240405"/>
    <x v="11"/>
    <n v="0"/>
    <n v="0"/>
    <x v="0"/>
    <n v="283678"/>
    <x v="0"/>
    <x v="0"/>
    <s v="Abc/2122-2389"/>
    <n v="0"/>
    <n v="43272.9"/>
    <n v="-43272.9"/>
  </r>
  <r>
    <x v="31"/>
    <x v="0"/>
    <s v="Si/2122-0084"/>
    <d v="2021-04-08T00:00:00"/>
    <x v="0"/>
    <x v="0"/>
    <n v="0"/>
    <x v="0"/>
    <x v="0"/>
    <x v="0"/>
    <x v="0"/>
    <n v="1105"/>
    <x v="12"/>
    <n v="0"/>
    <n v="0"/>
    <x v="0"/>
    <n v="1304"/>
    <x v="0"/>
    <x v="0"/>
    <s v="Abc/2122-0074"/>
    <n v="0"/>
    <n v="198.9"/>
    <n v="-198.9"/>
  </r>
  <r>
    <x v="15"/>
    <x v="0"/>
    <s v="227/21-22"/>
    <d v="2021-04-24T00:00:00"/>
    <x v="0"/>
    <x v="0"/>
    <n v="0"/>
    <x v="0"/>
    <x v="0"/>
    <x v="0"/>
    <x v="0"/>
    <n v="125326.39999999999"/>
    <x v="0"/>
    <n v="7519.58"/>
    <n v="7519.58"/>
    <x v="0"/>
    <n v="140506"/>
    <x v="0"/>
    <x v="0"/>
    <s v="Abc/2122-0155"/>
    <n v="0"/>
    <n v="15039.16"/>
    <n v="-15039.16"/>
  </r>
  <r>
    <x v="32"/>
    <x v="0"/>
    <s v="Asr/21/22-135"/>
    <d v="2021-06-17T00:00:00"/>
    <x v="0"/>
    <x v="0"/>
    <n v="0"/>
    <x v="0"/>
    <x v="0"/>
    <x v="0"/>
    <x v="0"/>
    <n v="1600"/>
    <x v="0"/>
    <n v="144"/>
    <n v="144"/>
    <x v="0"/>
    <n v="1888"/>
    <x v="0"/>
    <x v="0"/>
    <s v="Abc/2122-0283"/>
    <n v="0"/>
    <n v="288"/>
    <n v="-288"/>
  </r>
  <r>
    <x v="33"/>
    <x v="0"/>
    <s v="356"/>
    <d v="2021-05-31T00:00:00"/>
    <x v="0"/>
    <x v="0"/>
    <n v="0"/>
    <x v="0"/>
    <x v="0"/>
    <x v="0"/>
    <x v="0"/>
    <n v="79503"/>
    <x v="0"/>
    <n v="7155.27"/>
    <n v="7155.27"/>
    <x v="0"/>
    <n v="93814"/>
    <x v="0"/>
    <x v="0"/>
    <s v="Abc/2122-0113"/>
    <n v="0"/>
    <n v="14310.54"/>
    <n v="-14310.54"/>
  </r>
  <r>
    <x v="4"/>
    <x v="0"/>
    <s v="Apnp/21-22/218"/>
    <d v="2021-06-02T00:00:00"/>
    <x v="0"/>
    <x v="0"/>
    <n v="0"/>
    <x v="0"/>
    <x v="0"/>
    <x v="0"/>
    <x v="0"/>
    <n v="227804.5"/>
    <x v="0"/>
    <n v="13668.27"/>
    <n v="13668.27"/>
    <x v="0"/>
    <n v="255141"/>
    <x v="0"/>
    <x v="0"/>
    <s v="Abc/2122-0588"/>
    <n v="0"/>
    <n v="27336.54"/>
    <n v="-27336.54"/>
  </r>
  <r>
    <x v="34"/>
    <x v="0"/>
    <s v="758"/>
    <d v="2021-04-17T00:00:00"/>
    <x v="0"/>
    <x v="0"/>
    <n v="0"/>
    <x v="0"/>
    <x v="0"/>
    <x v="0"/>
    <x v="0"/>
    <n v="300"/>
    <x v="0"/>
    <n v="27"/>
    <n v="27"/>
    <x v="0"/>
    <n v="354"/>
    <x v="0"/>
    <x v="0"/>
    <s v="Abc/2122-0078"/>
    <n v="0"/>
    <n v="54"/>
    <n v="-54"/>
  </r>
  <r>
    <x v="29"/>
    <x v="0"/>
    <s v="2021/A01005687"/>
    <d v="2021-05-06T00:00:00"/>
    <x v="0"/>
    <x v="0"/>
    <n v="0"/>
    <x v="0"/>
    <x v="0"/>
    <x v="0"/>
    <x v="0"/>
    <n v="551208"/>
    <x v="0"/>
    <n v="49608.72"/>
    <n v="49608.72"/>
    <x v="0"/>
    <n v="651075"/>
    <x v="0"/>
    <x v="0"/>
    <s v="Abc/2122-0276"/>
    <n v="0"/>
    <n v="99217.44"/>
    <n v="-99217.44"/>
  </r>
  <r>
    <x v="23"/>
    <x v="0"/>
    <s v="Rkdp/21-22/13879"/>
    <d v="2021-05-06T00:00:00"/>
    <x v="0"/>
    <x v="0"/>
    <n v="0"/>
    <x v="0"/>
    <x v="0"/>
    <x v="0"/>
    <x v="0"/>
    <n v="122511.48"/>
    <x v="0"/>
    <n v="11026.03"/>
    <n v="11026.03"/>
    <x v="0"/>
    <n v="144564"/>
    <x v="0"/>
    <x v="0"/>
    <s v="Abc/2122-0279"/>
    <n v="0"/>
    <n v="22052.06"/>
    <n v="-22052.06"/>
  </r>
  <r>
    <x v="6"/>
    <x v="0"/>
    <s v="Ss-0025/21-22"/>
    <d v="2021-06-23T00:00:00"/>
    <x v="0"/>
    <x v="0"/>
    <n v="0"/>
    <x v="0"/>
    <x v="0"/>
    <x v="0"/>
    <x v="0"/>
    <n v="1000"/>
    <x v="0"/>
    <n v="90"/>
    <n v="90"/>
    <x v="0"/>
    <n v="1180"/>
    <x v="0"/>
    <x v="0"/>
    <s v="Abc/2122-0304"/>
    <n v="0"/>
    <n v="180"/>
    <n v="-180"/>
  </r>
  <r>
    <x v="6"/>
    <x v="0"/>
    <s v="Ss-0010/21-22"/>
    <d v="2021-05-17T00:00:00"/>
    <x v="0"/>
    <x v="0"/>
    <n v="0"/>
    <x v="0"/>
    <x v="0"/>
    <x v="0"/>
    <x v="0"/>
    <n v="4750"/>
    <x v="0"/>
    <n v="427.5"/>
    <n v="427.5"/>
    <x v="0"/>
    <n v="5605"/>
    <x v="0"/>
    <x v="0"/>
    <s v="Abc/2122-0158"/>
    <n v="0"/>
    <n v="855"/>
    <n v="-855"/>
  </r>
  <r>
    <x v="35"/>
    <x v="0"/>
    <s v="204"/>
    <d v="2021-06-02T00:00:00"/>
    <x v="0"/>
    <x v="0"/>
    <n v="0"/>
    <x v="0"/>
    <x v="0"/>
    <x v="0"/>
    <x v="0"/>
    <n v="39473.279999999999"/>
    <x v="0"/>
    <n v="3553"/>
    <n v="3553"/>
    <x v="0"/>
    <n v="46579"/>
    <x v="0"/>
    <x v="0"/>
    <s v="Abc/2122-0609"/>
    <n v="0"/>
    <n v="7106"/>
    <n v="-7106"/>
  </r>
  <r>
    <x v="36"/>
    <x v="0"/>
    <s v="Mb22122/Gis00132"/>
    <d v="2021-06-17T00:00:00"/>
    <x v="0"/>
    <x v="0"/>
    <n v="0"/>
    <x v="0"/>
    <x v="0"/>
    <x v="0"/>
    <x v="0"/>
    <n v="229620"/>
    <x v="13"/>
    <n v="0"/>
    <n v="0"/>
    <x v="0"/>
    <n v="270952"/>
    <x v="0"/>
    <x v="0"/>
    <s v="Abc/2122-0733"/>
    <n v="0"/>
    <n v="41332"/>
    <n v="-41332"/>
  </r>
  <r>
    <x v="37"/>
    <x v="0"/>
    <s v="222"/>
    <d v="2021-05-01T00:00:00"/>
    <x v="0"/>
    <x v="0"/>
    <n v="0"/>
    <x v="0"/>
    <x v="0"/>
    <x v="0"/>
    <x v="0"/>
    <n v="950"/>
    <x v="0"/>
    <n v="85.5"/>
    <n v="85.5"/>
    <x v="0"/>
    <n v="1121"/>
    <x v="0"/>
    <x v="0"/>
    <s v="Abc/2122-0108"/>
    <n v="0"/>
    <n v="171"/>
    <n v="-171"/>
  </r>
  <r>
    <x v="38"/>
    <x v="0"/>
    <s v="Tec212290"/>
    <d v="2021-04-22T00:00:00"/>
    <x v="0"/>
    <x v="0"/>
    <n v="0"/>
    <x v="0"/>
    <x v="0"/>
    <x v="0"/>
    <x v="0"/>
    <n v="29333"/>
    <x v="0"/>
    <n v="2639.97"/>
    <n v="2639.97"/>
    <x v="0"/>
    <n v="34613"/>
    <x v="0"/>
    <x v="0"/>
    <s v="Abc/2122-0185"/>
    <n v="0"/>
    <n v="5279.94"/>
    <n v="-5279.94"/>
  </r>
  <r>
    <x v="39"/>
    <x v="0"/>
    <s v="Sd-021/2021-22"/>
    <d v="2021-05-08T00:00:00"/>
    <x v="0"/>
    <x v="0"/>
    <n v="0"/>
    <x v="0"/>
    <x v="0"/>
    <x v="0"/>
    <x v="0"/>
    <n v="159785"/>
    <x v="14"/>
    <n v="0"/>
    <n v="0"/>
    <x v="0"/>
    <n v="188735"/>
    <x v="0"/>
    <x v="0"/>
    <s v="Abc/2122-0320"/>
    <n v="0"/>
    <n v="28761"/>
    <n v="-28761"/>
  </r>
  <r>
    <x v="40"/>
    <x v="0"/>
    <s v="Rpc1/21-22/0245"/>
    <d v="2021-06-10T00:00:00"/>
    <x v="0"/>
    <x v="0"/>
    <n v="0"/>
    <x v="0"/>
    <x v="0"/>
    <x v="0"/>
    <x v="0"/>
    <n v="136550"/>
    <x v="15"/>
    <n v="0"/>
    <n v="0"/>
    <x v="0"/>
    <n v="161290"/>
    <x v="0"/>
    <x v="0"/>
    <s v="Abc/2122-0717"/>
    <n v="0"/>
    <n v="24579"/>
    <n v="-24579"/>
  </r>
  <r>
    <x v="0"/>
    <x v="0"/>
    <s v="Rddin2100608"/>
    <d v="2021-04-28T00:00:00"/>
    <x v="0"/>
    <x v="0"/>
    <n v="0"/>
    <x v="0"/>
    <x v="0"/>
    <x v="0"/>
    <x v="0"/>
    <n v="351356.859"/>
    <x v="0"/>
    <n v="31622"/>
    <n v="31622"/>
    <x v="0"/>
    <n v="415016"/>
    <x v="0"/>
    <x v="0"/>
    <s v="Abc/2122-0220"/>
    <n v="0"/>
    <n v="63244"/>
    <n v="-63244"/>
  </r>
  <r>
    <x v="20"/>
    <x v="0"/>
    <s v="1902"/>
    <d v="2021-04-23T00:00:00"/>
    <x v="0"/>
    <x v="0"/>
    <n v="0"/>
    <x v="0"/>
    <x v="0"/>
    <x v="0"/>
    <x v="0"/>
    <n v="37154"/>
    <x v="0"/>
    <n v="3343.86"/>
    <n v="3343.86"/>
    <x v="0"/>
    <n v="43842"/>
    <x v="0"/>
    <x v="0"/>
    <s v="Abc/2122-0188"/>
    <n v="0"/>
    <n v="6687.72"/>
    <n v="-6687.72"/>
  </r>
  <r>
    <x v="41"/>
    <x v="0"/>
    <s v="Iv2022103258"/>
    <d v="2021-05-25T00:00:00"/>
    <x v="0"/>
    <x v="0"/>
    <n v="0"/>
    <x v="0"/>
    <x v="0"/>
    <x v="0"/>
    <x v="0"/>
    <n v="39750"/>
    <x v="16"/>
    <n v="0"/>
    <n v="0"/>
    <x v="0"/>
    <n v="46952"/>
    <x v="0"/>
    <x v="0"/>
    <s v="Abc/2122-0528"/>
    <n v="0"/>
    <n v="7155"/>
    <n v="-7155"/>
  </r>
  <r>
    <x v="42"/>
    <x v="0"/>
    <s v="F25210000284"/>
    <d v="2021-05-19T00:00:00"/>
    <x v="0"/>
    <x v="0"/>
    <n v="0"/>
    <x v="0"/>
    <x v="0"/>
    <x v="0"/>
    <x v="0"/>
    <n v="710000"/>
    <x v="17"/>
    <n v="0"/>
    <n v="0"/>
    <x v="0"/>
    <n v="838638"/>
    <x v="0"/>
    <x v="0"/>
    <s v="Abc/2122-0445"/>
    <n v="0"/>
    <n v="127800"/>
    <n v="-127800"/>
  </r>
  <r>
    <x v="43"/>
    <x v="0"/>
    <s v="572"/>
    <d v="2021-05-29T00:00:00"/>
    <x v="0"/>
    <x v="0"/>
    <n v="0"/>
    <x v="0"/>
    <x v="0"/>
    <x v="0"/>
    <x v="0"/>
    <n v="91376.639999999999"/>
    <x v="0"/>
    <n v="8223.9"/>
    <n v="8223.9"/>
    <x v="0"/>
    <n v="107824"/>
    <x v="0"/>
    <x v="0"/>
    <s v="Abc/2122-0533"/>
    <n v="0"/>
    <n v="16447.8"/>
    <n v="-16447.8"/>
  </r>
  <r>
    <x v="44"/>
    <x v="0"/>
    <s v="6"/>
    <d v="2021-04-08T00:00:00"/>
    <x v="0"/>
    <x v="0"/>
    <n v="0"/>
    <x v="0"/>
    <x v="0"/>
    <x v="0"/>
    <x v="0"/>
    <n v="3675"/>
    <x v="0"/>
    <n v="312"/>
    <n v="312"/>
    <x v="0"/>
    <n v="4299"/>
    <x v="0"/>
    <x v="0"/>
    <s v="Abc/2122-0013"/>
    <n v="0"/>
    <n v="624"/>
    <n v="-624"/>
  </r>
  <r>
    <x v="45"/>
    <x v="0"/>
    <s v="Xs173852"/>
    <d v="2021-05-29T00:00:00"/>
    <x v="0"/>
    <x v="0"/>
    <n v="0"/>
    <x v="0"/>
    <x v="0"/>
    <x v="0"/>
    <x v="0"/>
    <n v="53800"/>
    <x v="18"/>
    <n v="0"/>
    <n v="0"/>
    <x v="0"/>
    <n v="63484"/>
    <x v="0"/>
    <x v="0"/>
    <s v="Abc/2122-0657"/>
    <n v="0"/>
    <n v="9684"/>
    <n v="-9684"/>
  </r>
  <r>
    <x v="46"/>
    <x v="0"/>
    <s v="B/Gst/21-22/232"/>
    <d v="2021-04-19T00:00:00"/>
    <x v="0"/>
    <x v="0"/>
    <n v="0"/>
    <x v="0"/>
    <x v="0"/>
    <x v="0"/>
    <x v="0"/>
    <n v="46000"/>
    <x v="19"/>
    <n v="0"/>
    <n v="0"/>
    <x v="0"/>
    <n v="54280"/>
    <x v="0"/>
    <x v="0"/>
    <s v="Abc/2122-0232"/>
    <n v="0"/>
    <n v="8280"/>
    <n v="-8280"/>
  </r>
  <r>
    <x v="47"/>
    <x v="0"/>
    <s v="Dgs/M/067/21-22"/>
    <d v="2021-05-03T00:00:00"/>
    <x v="0"/>
    <x v="0"/>
    <n v="0"/>
    <x v="0"/>
    <x v="0"/>
    <x v="0"/>
    <x v="0"/>
    <n v="501800"/>
    <x v="20"/>
    <n v="0"/>
    <n v="0"/>
    <x v="0"/>
    <n v="592124"/>
    <x v="0"/>
    <x v="0"/>
    <s v="Abc/2122-0362"/>
    <n v="0"/>
    <n v="90324"/>
    <n v="-90324"/>
  </r>
  <r>
    <x v="23"/>
    <x v="0"/>
    <s v="Rkdp/21-22/14482"/>
    <d v="2021-07-15T00:00:00"/>
    <x v="0"/>
    <x v="0"/>
    <n v="0"/>
    <x v="0"/>
    <x v="0"/>
    <x v="0"/>
    <x v="0"/>
    <n v="9900"/>
    <x v="0"/>
    <n v="891"/>
    <n v="891"/>
    <x v="0"/>
    <n v="11682"/>
    <x v="0"/>
    <x v="0"/>
    <s v="Abc/2122-1286"/>
    <n v="0"/>
    <n v="1782"/>
    <n v="-1782"/>
  </r>
  <r>
    <x v="25"/>
    <x v="0"/>
    <s v="2727"/>
    <d v="2021-08-16T00:00:00"/>
    <x v="0"/>
    <x v="0"/>
    <n v="0"/>
    <x v="0"/>
    <x v="0"/>
    <x v="0"/>
    <x v="0"/>
    <n v="996.8"/>
    <x v="0"/>
    <n v="89.71"/>
    <n v="89.71"/>
    <x v="0"/>
    <n v="1176"/>
    <x v="0"/>
    <x v="0"/>
    <s v="Abc/2122-0587"/>
    <n v="0"/>
    <n v="179.42"/>
    <n v="-179.42"/>
  </r>
  <r>
    <x v="48"/>
    <x v="0"/>
    <s v="0000473"/>
    <d v="2021-08-27T00:00:00"/>
    <x v="0"/>
    <x v="0"/>
    <n v="0"/>
    <x v="0"/>
    <x v="0"/>
    <x v="0"/>
    <x v="0"/>
    <n v="2925"/>
    <x v="0"/>
    <n v="263.25"/>
    <n v="263.25"/>
    <x v="0"/>
    <n v="3452"/>
    <x v="0"/>
    <x v="0"/>
    <s v="Abc/2122-0590"/>
    <n v="0"/>
    <n v="526.5"/>
    <n v="-526.5"/>
  </r>
  <r>
    <x v="15"/>
    <x v="0"/>
    <s v="236/21-22"/>
    <d v="2021-04-26T00:00:00"/>
    <x v="0"/>
    <x v="0"/>
    <n v="0"/>
    <x v="0"/>
    <x v="0"/>
    <x v="0"/>
    <x v="0"/>
    <n v="114900.54"/>
    <x v="0"/>
    <n v="6894.03"/>
    <n v="6894.03"/>
    <x v="0"/>
    <n v="128818"/>
    <x v="0"/>
    <x v="0"/>
    <s v="Abc/2122-0819"/>
    <n v="0"/>
    <n v="13788.06"/>
    <n v="-13788.06"/>
  </r>
  <r>
    <x v="1"/>
    <x v="0"/>
    <s v="4628"/>
    <d v="2021-07-14T00:00:00"/>
    <x v="0"/>
    <x v="0"/>
    <n v="0"/>
    <x v="0"/>
    <x v="0"/>
    <x v="0"/>
    <x v="0"/>
    <n v="22800"/>
    <x v="0"/>
    <n v="2052"/>
    <n v="2052"/>
    <x v="0"/>
    <n v="26904"/>
    <x v="0"/>
    <x v="0"/>
    <s v="Abc/2122-0403"/>
    <n v="0"/>
    <n v="4104"/>
    <n v="-4104"/>
  </r>
  <r>
    <x v="49"/>
    <x v="0"/>
    <s v="Gst-286"/>
    <d v="2021-07-29T00:00:00"/>
    <x v="0"/>
    <x v="0"/>
    <n v="0"/>
    <x v="0"/>
    <x v="0"/>
    <x v="0"/>
    <x v="0"/>
    <n v="245000"/>
    <x v="0"/>
    <n v="22050"/>
    <n v="22050"/>
    <x v="0"/>
    <n v="289100"/>
    <x v="0"/>
    <x v="0"/>
    <s v="Cpx-2/2122-0002"/>
    <n v="0"/>
    <n v="44100"/>
    <n v="-44100"/>
  </r>
  <r>
    <x v="50"/>
    <x v="0"/>
    <s v="Mum004357"/>
    <d v="2021-09-29T00:00:00"/>
    <x v="0"/>
    <x v="0"/>
    <n v="0"/>
    <x v="0"/>
    <x v="0"/>
    <x v="0"/>
    <x v="0"/>
    <n v="175466.2"/>
    <x v="21"/>
    <n v="0"/>
    <n v="0"/>
    <x v="0"/>
    <n v="207050"/>
    <x v="0"/>
    <x v="0"/>
    <s v="Abc/2122-1703"/>
    <n v="0"/>
    <n v="31583.919999999998"/>
    <n v="-31583.919999999998"/>
  </r>
  <r>
    <x v="51"/>
    <x v="0"/>
    <s v="32"/>
    <d v="2022-02-01T00:00:00"/>
    <x v="0"/>
    <x v="0"/>
    <n v="0"/>
    <x v="0"/>
    <x v="0"/>
    <x v="0"/>
    <x v="0"/>
    <n v="-3000"/>
    <x v="0"/>
    <n v="-270"/>
    <n v="-270"/>
    <x v="0"/>
    <n v="3540"/>
    <x v="0"/>
    <x v="0"/>
    <s v="Abc/2122-0009"/>
    <n v="0"/>
    <n v="-540"/>
    <n v="540"/>
  </r>
  <r>
    <x v="15"/>
    <x v="0"/>
    <s v="2226/21-22"/>
    <d v="2021-12-16T00:00:00"/>
    <x v="0"/>
    <x v="0"/>
    <n v="0"/>
    <x v="0"/>
    <x v="0"/>
    <x v="0"/>
    <x v="0"/>
    <n v="-1082.7"/>
    <x v="0"/>
    <n v="-64.959999999999994"/>
    <n v="-64.959999999999994"/>
    <x v="0"/>
    <n v="1213"/>
    <x v="0"/>
    <x v="0"/>
    <s v="Abc/2122-0067"/>
    <n v="0"/>
    <n v="-129.91999999999999"/>
    <n v="129.91999999999999"/>
  </r>
  <r>
    <x v="18"/>
    <x v="0"/>
    <s v="0022/Gst/21-22"/>
    <d v="2021-04-28T00:00:00"/>
    <x v="0"/>
    <x v="0"/>
    <n v="0"/>
    <x v="0"/>
    <x v="0"/>
    <x v="0"/>
    <x v="0"/>
    <n v="-1618.8"/>
    <x v="0"/>
    <n v="-97.13"/>
    <n v="-97.13"/>
    <x v="0"/>
    <n v="1813"/>
    <x v="0"/>
    <x v="0"/>
    <s v="Abc/2122-0005"/>
    <n v="0"/>
    <n v="-194.26"/>
    <n v="194.26"/>
  </r>
  <r>
    <x v="15"/>
    <x v="0"/>
    <s v="2521/21-22"/>
    <d v="2022-01-20T00:00:00"/>
    <x v="0"/>
    <x v="0"/>
    <n v="0"/>
    <x v="0"/>
    <x v="0"/>
    <x v="0"/>
    <x v="0"/>
    <n v="-484.2"/>
    <x v="0"/>
    <n v="-43.58"/>
    <n v="-43.58"/>
    <x v="0"/>
    <n v="571"/>
    <x v="0"/>
    <x v="0"/>
    <s v="Abc/2122-0081"/>
    <n v="0"/>
    <n v="-87.16"/>
    <n v="87.16"/>
  </r>
  <r>
    <x v="18"/>
    <x v="0"/>
    <s v="330/Gst/21-22"/>
    <d v="2022-03-15T00:00:00"/>
    <x v="0"/>
    <x v="0"/>
    <n v="0"/>
    <x v="0"/>
    <x v="0"/>
    <x v="0"/>
    <x v="0"/>
    <n v="-1072.2"/>
    <x v="0"/>
    <n v="-64.33"/>
    <n v="-64.33"/>
    <x v="0"/>
    <n v="1201"/>
    <x v="0"/>
    <x v="0"/>
    <s v="Abc/2122-0066"/>
    <n v="0"/>
    <n v="-128.66"/>
    <n v="128.66"/>
  </r>
  <r>
    <x v="20"/>
    <x v="0"/>
    <s v="1"/>
    <d v="2021-05-19T00:00:00"/>
    <x v="0"/>
    <x v="0"/>
    <n v="0"/>
    <x v="0"/>
    <x v="0"/>
    <x v="0"/>
    <x v="0"/>
    <n v="-65205"/>
    <x v="0"/>
    <n v="-5868.45"/>
    <n v="-5868.45"/>
    <x v="0"/>
    <n v="76942"/>
    <x v="0"/>
    <x v="0"/>
    <s v="Abc/2122-0008"/>
    <n v="0"/>
    <n v="-11736.9"/>
    <n v="11736.9"/>
  </r>
  <r>
    <x v="51"/>
    <x v="0"/>
    <s v="33"/>
    <d v="2022-02-01T00:00:00"/>
    <x v="0"/>
    <x v="0"/>
    <n v="0"/>
    <x v="0"/>
    <x v="0"/>
    <x v="0"/>
    <x v="0"/>
    <n v="-16000"/>
    <x v="0"/>
    <n v="-1440"/>
    <n v="-1440"/>
    <x v="0"/>
    <n v="18880"/>
    <x v="0"/>
    <x v="0"/>
    <s v="Abc/2122-0026"/>
    <n v="0"/>
    <n v="-2880"/>
    <n v="2880"/>
  </r>
  <r>
    <x v="52"/>
    <x v="0"/>
    <s v="Si-2/609,383"/>
    <d v="2021-07-28T00:00:00"/>
    <x v="0"/>
    <x v="0"/>
    <n v="0"/>
    <x v="0"/>
    <x v="0"/>
    <x v="0"/>
    <x v="0"/>
    <n v="-23004.18"/>
    <x v="22"/>
    <n v="0"/>
    <n v="0"/>
    <x v="0"/>
    <n v="27145"/>
    <x v="0"/>
    <x v="0"/>
    <s v="Abc/2122-0034"/>
    <n v="0"/>
    <n v="-4140.76"/>
    <n v="4140.76"/>
  </r>
  <r>
    <x v="47"/>
    <x v="0"/>
    <s v="9"/>
    <d v="2022-02-01T00:00:00"/>
    <x v="0"/>
    <x v="0"/>
    <n v="0"/>
    <x v="0"/>
    <x v="0"/>
    <x v="0"/>
    <x v="0"/>
    <n v="-2934"/>
    <x v="23"/>
    <n v="0"/>
    <n v="0"/>
    <x v="0"/>
    <n v="3462"/>
    <x v="0"/>
    <x v="0"/>
    <s v="Abc/2122-0074"/>
    <n v="0"/>
    <n v="-528.12"/>
    <n v="528.12"/>
  </r>
  <r>
    <x v="35"/>
    <x v="0"/>
    <s v="21"/>
    <d v="2021-04-14T00:00:00"/>
    <x v="0"/>
    <x v="0"/>
    <n v="0"/>
    <x v="0"/>
    <x v="0"/>
    <x v="0"/>
    <x v="0"/>
    <n v="-7503.6"/>
    <x v="0"/>
    <n v="-675.32"/>
    <n v="-675.32"/>
    <x v="0"/>
    <n v="8854"/>
    <x v="0"/>
    <x v="0"/>
    <s v="Abc/2122-0002"/>
    <n v="0"/>
    <n v="-1350.64"/>
    <n v="1350.64"/>
  </r>
  <r>
    <x v="53"/>
    <x v="0"/>
    <s v="Uk03-Fy22-00023"/>
    <d v="2021-05-08T00:00:00"/>
    <x v="0"/>
    <x v="0"/>
    <n v="0"/>
    <x v="0"/>
    <x v="0"/>
    <x v="0"/>
    <x v="0"/>
    <n v="-589.79999999999995"/>
    <x v="0"/>
    <n v="-53.08"/>
    <n v="-53.08"/>
    <x v="0"/>
    <n v="696"/>
    <x v="0"/>
    <x v="0"/>
    <s v="Abc/2122-0011"/>
    <n v="0"/>
    <n v="-106.16"/>
    <n v="106.16"/>
  </r>
  <r>
    <x v="15"/>
    <x v="0"/>
    <s v="44"/>
    <d v="2021-06-30T00:00:00"/>
    <x v="0"/>
    <x v="0"/>
    <n v="0"/>
    <x v="0"/>
    <x v="0"/>
    <x v="0"/>
    <x v="0"/>
    <n v="-1288.5"/>
    <x v="0"/>
    <n v="-77.31"/>
    <n v="-77.31"/>
    <x v="0"/>
    <n v="1443"/>
    <x v="0"/>
    <x v="0"/>
    <s v="Abc/2122-0018"/>
    <n v="0"/>
    <n v="-154.62"/>
    <n v="154.62"/>
  </r>
  <r>
    <x v="35"/>
    <x v="0"/>
    <s v="Dn22122-0080"/>
    <d v="2022-01-28T00:00:00"/>
    <x v="0"/>
    <x v="0"/>
    <n v="0"/>
    <x v="0"/>
    <x v="0"/>
    <x v="0"/>
    <x v="0"/>
    <n v="-35750"/>
    <x v="0"/>
    <n v="-3217.5"/>
    <n v="-3217.5"/>
    <x v="0"/>
    <n v="42185"/>
    <x v="0"/>
    <x v="0"/>
    <s v="Abc/2122-0080"/>
    <n v="0"/>
    <n v="-6435"/>
    <n v="6435"/>
  </r>
  <r>
    <x v="54"/>
    <x v="0"/>
    <s v="Dn2/2122-0001"/>
    <d v="2021-04-17T00:00:00"/>
    <x v="0"/>
    <x v="0"/>
    <n v="0"/>
    <x v="0"/>
    <x v="0"/>
    <x v="0"/>
    <x v="0"/>
    <n v="-2760"/>
    <x v="24"/>
    <n v="0"/>
    <n v="0"/>
    <x v="0"/>
    <n v="3257"/>
    <x v="0"/>
    <x v="0"/>
    <s v="Abc/2122-0001"/>
    <n v="0"/>
    <n v="-496.8"/>
    <n v="496.8"/>
  </r>
  <r>
    <x v="15"/>
    <x v="0"/>
    <s v="989/21-22"/>
    <d v="2021-07-26T00:00:00"/>
    <x v="0"/>
    <x v="0"/>
    <n v="0"/>
    <x v="0"/>
    <x v="0"/>
    <x v="0"/>
    <x v="0"/>
    <n v="-290"/>
    <x v="0"/>
    <n v="-17.399999999999999"/>
    <n v="-17.399999999999999"/>
    <x v="0"/>
    <n v="325"/>
    <x v="0"/>
    <x v="0"/>
    <s v="Abc/2122-0022"/>
    <n v="0"/>
    <n v="-34.799999999999997"/>
    <n v="34.799999999999997"/>
  </r>
  <r>
    <x v="27"/>
    <x v="0"/>
    <s v="21112041000404"/>
    <d v="2021-10-24T00:00:00"/>
    <x v="0"/>
    <x v="0"/>
    <n v="0"/>
    <x v="0"/>
    <x v="0"/>
    <x v="0"/>
    <x v="0"/>
    <n v="-18817.3"/>
    <x v="25"/>
    <n v="0"/>
    <n v="0"/>
    <x v="0"/>
    <n v="22204"/>
    <x v="0"/>
    <x v="0"/>
    <s v="Abc/2122-0048"/>
    <n v="0"/>
    <n v="-3387.11"/>
    <n v="3387.11"/>
  </r>
  <r>
    <x v="18"/>
    <x v="0"/>
    <s v="331/Gst/21-22"/>
    <d v="2022-03-15T00:00:00"/>
    <x v="0"/>
    <x v="0"/>
    <n v="0"/>
    <x v="0"/>
    <x v="0"/>
    <x v="0"/>
    <x v="0"/>
    <n v="-2026.4"/>
    <x v="0"/>
    <n v="-182.38"/>
    <n v="-182.38"/>
    <x v="0"/>
    <n v="2391"/>
    <x v="0"/>
    <x v="0"/>
    <s v="Abc/2122-0085"/>
    <n v="0"/>
    <n v="-364.76"/>
    <n v="364.76"/>
  </r>
  <r>
    <x v="29"/>
    <x v="0"/>
    <s v="2022/A01000911,A01000233"/>
    <d v="2021-08-17T00:00:00"/>
    <x v="0"/>
    <x v="0"/>
    <n v="0"/>
    <x v="0"/>
    <x v="0"/>
    <x v="0"/>
    <x v="0"/>
    <n v="-142725"/>
    <x v="0"/>
    <n v="-12845.25"/>
    <n v="-12845.25"/>
    <x v="0"/>
    <n v="168416"/>
    <x v="0"/>
    <x v="0"/>
    <s v="Abc/2122-0038"/>
    <n v="0"/>
    <n v="-25690.5"/>
    <n v="25690.5"/>
  </r>
  <r>
    <x v="55"/>
    <x v="0"/>
    <s v="Dn2/2122-0029"/>
    <d v="2021-08-14T00:00:00"/>
    <x v="0"/>
    <x v="0"/>
    <n v="0"/>
    <x v="0"/>
    <x v="0"/>
    <x v="0"/>
    <x v="0"/>
    <n v="-40000"/>
    <x v="0"/>
    <n v="-3600"/>
    <n v="-3600"/>
    <x v="0"/>
    <n v="47200"/>
    <x v="0"/>
    <x v="0"/>
    <s v="Abc/2122-0029"/>
    <n v="0"/>
    <n v="-7200"/>
    <n v="7200"/>
  </r>
  <r>
    <x v="15"/>
    <x v="0"/>
    <s v="2520/21-22"/>
    <d v="2022-01-20T00:00:00"/>
    <x v="0"/>
    <x v="0"/>
    <n v="0"/>
    <x v="0"/>
    <x v="0"/>
    <x v="0"/>
    <x v="0"/>
    <n v="-1581"/>
    <x v="0"/>
    <n v="-142.30000000000001"/>
    <n v="-142.30000000000001"/>
    <x v="0"/>
    <n v="1866"/>
    <x v="0"/>
    <x v="0"/>
    <s v="Abc/2122-0082"/>
    <n v="0"/>
    <n v="-284.60000000000002"/>
    <n v="284.60000000000002"/>
  </r>
  <r>
    <x v="56"/>
    <x v="1"/>
    <s v="N125"/>
    <d v="2021-04-27T00:00:00"/>
    <x v="1"/>
    <x v="1"/>
    <n v="451200"/>
    <x v="1"/>
    <x v="0"/>
    <x v="0"/>
    <x v="0"/>
    <n v="0"/>
    <x v="0"/>
    <n v="0"/>
    <n v="0"/>
    <x v="0"/>
    <n v="0"/>
    <x v="1"/>
    <x v="1"/>
    <m/>
    <n v="81216"/>
    <n v="0"/>
    <n v="81216"/>
  </r>
  <r>
    <x v="57"/>
    <x v="1"/>
    <s v="Iv2022101336"/>
    <d v="2021-04-24T00:00:00"/>
    <x v="1"/>
    <x v="1"/>
    <n v="477000"/>
    <x v="2"/>
    <x v="0"/>
    <x v="0"/>
    <x v="0"/>
    <n v="0"/>
    <x v="0"/>
    <n v="0"/>
    <n v="0"/>
    <x v="0"/>
    <n v="0"/>
    <x v="1"/>
    <x v="1"/>
    <m/>
    <n v="85860"/>
    <n v="0"/>
    <n v="85860"/>
  </r>
  <r>
    <x v="58"/>
    <x v="1"/>
    <s v="59000198"/>
    <d v="2021-04-03T00:00:00"/>
    <x v="1"/>
    <x v="1"/>
    <n v="493344.08"/>
    <x v="0"/>
    <x v="1"/>
    <x v="1"/>
    <x v="0"/>
    <n v="0"/>
    <x v="0"/>
    <n v="0"/>
    <n v="0"/>
    <x v="0"/>
    <n v="0"/>
    <x v="1"/>
    <x v="1"/>
    <m/>
    <n v="88801.919999999998"/>
    <n v="0"/>
    <n v="88801.919999999998"/>
  </r>
  <r>
    <x v="59"/>
    <x v="1"/>
    <s v="Vicgpl/2122/27"/>
    <d v="2021-04-05T00:00:00"/>
    <x v="1"/>
    <x v="1"/>
    <n v="162000"/>
    <x v="0"/>
    <x v="2"/>
    <x v="2"/>
    <x v="0"/>
    <n v="0"/>
    <x v="0"/>
    <n v="0"/>
    <n v="0"/>
    <x v="0"/>
    <n v="0"/>
    <x v="1"/>
    <x v="1"/>
    <m/>
    <n v="29160"/>
    <n v="0"/>
    <n v="29160"/>
  </r>
  <r>
    <x v="59"/>
    <x v="1"/>
    <s v="Vicgpl/2122/142"/>
    <d v="2021-04-15T00:00:00"/>
    <x v="1"/>
    <x v="1"/>
    <n v="211200"/>
    <x v="0"/>
    <x v="3"/>
    <x v="3"/>
    <x v="0"/>
    <n v="0"/>
    <x v="0"/>
    <n v="0"/>
    <n v="0"/>
    <x v="0"/>
    <n v="0"/>
    <x v="1"/>
    <x v="1"/>
    <m/>
    <n v="38016"/>
    <n v="0"/>
    <n v="38016"/>
  </r>
  <r>
    <x v="60"/>
    <x v="1"/>
    <s v="1844"/>
    <d v="2021-04-05T00:00:00"/>
    <x v="1"/>
    <x v="1"/>
    <n v="80640"/>
    <x v="0"/>
    <x v="4"/>
    <x v="4"/>
    <x v="0"/>
    <n v="0"/>
    <x v="0"/>
    <n v="0"/>
    <n v="0"/>
    <x v="0"/>
    <n v="0"/>
    <x v="1"/>
    <x v="1"/>
    <m/>
    <n v="14515.2"/>
    <n v="0"/>
    <n v="14515.2"/>
  </r>
  <r>
    <x v="60"/>
    <x v="1"/>
    <s v="1854"/>
    <d v="2021-04-08T00:00:00"/>
    <x v="1"/>
    <x v="1"/>
    <n v="84002"/>
    <x v="0"/>
    <x v="5"/>
    <x v="5"/>
    <x v="0"/>
    <n v="0"/>
    <x v="0"/>
    <n v="0"/>
    <n v="0"/>
    <x v="0"/>
    <n v="0"/>
    <x v="1"/>
    <x v="1"/>
    <m/>
    <n v="15120.36"/>
    <n v="0"/>
    <n v="15120.36"/>
  </r>
  <r>
    <x v="60"/>
    <x v="1"/>
    <s v="1857"/>
    <d v="2021-04-09T00:00:00"/>
    <x v="1"/>
    <x v="1"/>
    <n v="73530"/>
    <x v="0"/>
    <x v="6"/>
    <x v="6"/>
    <x v="0"/>
    <n v="0"/>
    <x v="0"/>
    <n v="0"/>
    <n v="0"/>
    <x v="0"/>
    <n v="0"/>
    <x v="1"/>
    <x v="1"/>
    <m/>
    <n v="13235.4"/>
    <n v="0"/>
    <n v="13235.4"/>
  </r>
  <r>
    <x v="60"/>
    <x v="1"/>
    <s v="1861"/>
    <d v="2021-04-10T00:00:00"/>
    <x v="1"/>
    <x v="1"/>
    <n v="73530"/>
    <x v="0"/>
    <x v="6"/>
    <x v="6"/>
    <x v="0"/>
    <n v="0"/>
    <x v="0"/>
    <n v="0"/>
    <n v="0"/>
    <x v="0"/>
    <n v="0"/>
    <x v="1"/>
    <x v="1"/>
    <m/>
    <n v="13235.4"/>
    <n v="0"/>
    <n v="13235.4"/>
  </r>
  <r>
    <x v="60"/>
    <x v="1"/>
    <s v="1862"/>
    <d v="2021-04-10T00:00:00"/>
    <x v="1"/>
    <x v="1"/>
    <n v="112266"/>
    <x v="0"/>
    <x v="7"/>
    <x v="7"/>
    <x v="0"/>
    <n v="0"/>
    <x v="0"/>
    <n v="0"/>
    <n v="0"/>
    <x v="0"/>
    <n v="0"/>
    <x v="1"/>
    <x v="1"/>
    <m/>
    <n v="20207.88"/>
    <n v="0"/>
    <n v="20207.88"/>
  </r>
  <r>
    <x v="60"/>
    <x v="1"/>
    <s v="1865"/>
    <d v="2021-04-12T00:00:00"/>
    <x v="1"/>
    <x v="1"/>
    <n v="112266"/>
    <x v="0"/>
    <x v="7"/>
    <x v="7"/>
    <x v="0"/>
    <n v="0"/>
    <x v="0"/>
    <n v="0"/>
    <n v="0"/>
    <x v="0"/>
    <n v="0"/>
    <x v="1"/>
    <x v="1"/>
    <m/>
    <n v="20207.88"/>
    <n v="0"/>
    <n v="20207.88"/>
  </r>
  <r>
    <x v="60"/>
    <x v="1"/>
    <s v="1867"/>
    <d v="2021-04-12T00:00:00"/>
    <x v="1"/>
    <x v="1"/>
    <n v="96826"/>
    <x v="0"/>
    <x v="8"/>
    <x v="8"/>
    <x v="0"/>
    <n v="0"/>
    <x v="0"/>
    <n v="0"/>
    <n v="0"/>
    <x v="0"/>
    <n v="0"/>
    <x v="1"/>
    <x v="1"/>
    <m/>
    <n v="17428.68"/>
    <n v="0"/>
    <n v="17428.68"/>
  </r>
  <r>
    <x v="60"/>
    <x v="1"/>
    <s v="1869"/>
    <d v="2021-04-13T00:00:00"/>
    <x v="1"/>
    <x v="1"/>
    <n v="102650"/>
    <x v="0"/>
    <x v="9"/>
    <x v="9"/>
    <x v="0"/>
    <n v="0"/>
    <x v="0"/>
    <n v="0"/>
    <n v="0"/>
    <x v="0"/>
    <n v="0"/>
    <x v="1"/>
    <x v="1"/>
    <m/>
    <n v="18477"/>
    <n v="0"/>
    <n v="18477"/>
  </r>
  <r>
    <x v="60"/>
    <x v="1"/>
    <s v="1870"/>
    <d v="2021-04-13T00:00:00"/>
    <x v="1"/>
    <x v="1"/>
    <n v="112266"/>
    <x v="0"/>
    <x v="7"/>
    <x v="7"/>
    <x v="0"/>
    <n v="0"/>
    <x v="0"/>
    <n v="0"/>
    <n v="0"/>
    <x v="0"/>
    <n v="0"/>
    <x v="1"/>
    <x v="1"/>
    <m/>
    <n v="20207.88"/>
    <n v="0"/>
    <n v="20207.88"/>
  </r>
  <r>
    <x v="60"/>
    <x v="1"/>
    <s v="1876"/>
    <d v="2021-04-15T00:00:00"/>
    <x v="1"/>
    <x v="1"/>
    <n v="130556"/>
    <x v="0"/>
    <x v="10"/>
    <x v="10"/>
    <x v="0"/>
    <n v="0"/>
    <x v="0"/>
    <n v="0"/>
    <n v="0"/>
    <x v="0"/>
    <n v="0"/>
    <x v="1"/>
    <x v="1"/>
    <m/>
    <n v="23500.080000000002"/>
    <n v="0"/>
    <n v="23500.080000000002"/>
  </r>
  <r>
    <x v="60"/>
    <x v="1"/>
    <s v="1881"/>
    <d v="2021-04-15T00:00:00"/>
    <x v="1"/>
    <x v="1"/>
    <n v="81270"/>
    <x v="0"/>
    <x v="11"/>
    <x v="11"/>
    <x v="0"/>
    <n v="0"/>
    <x v="0"/>
    <n v="0"/>
    <n v="0"/>
    <x v="0"/>
    <n v="0"/>
    <x v="1"/>
    <x v="1"/>
    <m/>
    <n v="14628.6"/>
    <n v="0"/>
    <n v="14628.6"/>
  </r>
  <r>
    <x v="60"/>
    <x v="1"/>
    <s v="1885"/>
    <d v="2021-04-16T00:00:00"/>
    <x v="1"/>
    <x v="1"/>
    <n v="84002"/>
    <x v="0"/>
    <x v="5"/>
    <x v="5"/>
    <x v="0"/>
    <n v="0"/>
    <x v="0"/>
    <n v="0"/>
    <n v="0"/>
    <x v="0"/>
    <n v="0"/>
    <x v="1"/>
    <x v="1"/>
    <m/>
    <n v="15120.36"/>
    <n v="0"/>
    <n v="15120.36"/>
  </r>
  <r>
    <x v="60"/>
    <x v="1"/>
    <s v="1886"/>
    <d v="2021-04-17T00:00:00"/>
    <x v="1"/>
    <x v="1"/>
    <n v="184400"/>
    <x v="0"/>
    <x v="12"/>
    <x v="12"/>
    <x v="0"/>
    <n v="0"/>
    <x v="0"/>
    <n v="0"/>
    <n v="0"/>
    <x v="0"/>
    <n v="0"/>
    <x v="1"/>
    <x v="1"/>
    <m/>
    <n v="33192"/>
    <n v="0"/>
    <n v="33192"/>
  </r>
  <r>
    <x v="60"/>
    <x v="1"/>
    <s v="1889"/>
    <d v="2021-04-17T00:00:00"/>
    <x v="1"/>
    <x v="1"/>
    <n v="82968"/>
    <x v="0"/>
    <x v="13"/>
    <x v="13"/>
    <x v="0"/>
    <n v="0"/>
    <x v="0"/>
    <n v="0"/>
    <n v="0"/>
    <x v="0"/>
    <n v="0"/>
    <x v="1"/>
    <x v="1"/>
    <m/>
    <n v="14934.24"/>
    <n v="0"/>
    <n v="14934.24"/>
  </r>
  <r>
    <x v="60"/>
    <x v="1"/>
    <s v="1892"/>
    <d v="2021-04-19T00:00:00"/>
    <x v="1"/>
    <x v="1"/>
    <n v="83850"/>
    <x v="0"/>
    <x v="14"/>
    <x v="14"/>
    <x v="0"/>
    <n v="0"/>
    <x v="0"/>
    <n v="0"/>
    <n v="0"/>
    <x v="0"/>
    <n v="0"/>
    <x v="1"/>
    <x v="1"/>
    <m/>
    <n v="15093"/>
    <n v="0"/>
    <n v="15093"/>
  </r>
  <r>
    <x v="60"/>
    <x v="1"/>
    <s v="1895"/>
    <d v="2021-04-19T00:00:00"/>
    <x v="1"/>
    <x v="1"/>
    <n v="116878"/>
    <x v="0"/>
    <x v="15"/>
    <x v="15"/>
    <x v="0"/>
    <n v="0"/>
    <x v="0"/>
    <n v="0"/>
    <n v="0"/>
    <x v="0"/>
    <n v="0"/>
    <x v="1"/>
    <x v="1"/>
    <m/>
    <n v="21038.04"/>
    <n v="0"/>
    <n v="21038.04"/>
  </r>
  <r>
    <x v="60"/>
    <x v="1"/>
    <s v="1898"/>
    <d v="2021-04-20T00:00:00"/>
    <x v="1"/>
    <x v="1"/>
    <n v="115400"/>
    <x v="0"/>
    <x v="16"/>
    <x v="16"/>
    <x v="0"/>
    <n v="0"/>
    <x v="0"/>
    <n v="0"/>
    <n v="0"/>
    <x v="0"/>
    <n v="0"/>
    <x v="1"/>
    <x v="1"/>
    <m/>
    <n v="20772"/>
    <n v="0"/>
    <n v="20772"/>
  </r>
  <r>
    <x v="60"/>
    <x v="1"/>
    <s v="1902"/>
    <d v="2021-04-23T00:00:00"/>
    <x v="1"/>
    <x v="1"/>
    <n v="74308"/>
    <x v="0"/>
    <x v="17"/>
    <x v="17"/>
    <x v="0"/>
    <n v="0"/>
    <x v="0"/>
    <n v="0"/>
    <n v="0"/>
    <x v="0"/>
    <n v="0"/>
    <x v="1"/>
    <x v="1"/>
    <m/>
    <n v="13375.44"/>
    <n v="0"/>
    <n v="13375.44"/>
  </r>
  <r>
    <x v="60"/>
    <x v="1"/>
    <s v="1911"/>
    <d v="2021-04-28T00:00:00"/>
    <x v="1"/>
    <x v="1"/>
    <n v="120824"/>
    <x v="0"/>
    <x v="18"/>
    <x v="18"/>
    <x v="0"/>
    <n v="0"/>
    <x v="0"/>
    <n v="0"/>
    <n v="0"/>
    <x v="0"/>
    <n v="0"/>
    <x v="1"/>
    <x v="1"/>
    <m/>
    <n v="21748.32"/>
    <n v="0"/>
    <n v="21748.32"/>
  </r>
  <r>
    <x v="61"/>
    <x v="1"/>
    <s v="001"/>
    <d v="2021-04-30T00:00:00"/>
    <x v="1"/>
    <x v="1"/>
    <n v="249126"/>
    <x v="0"/>
    <x v="19"/>
    <x v="19"/>
    <x v="0"/>
    <n v="0"/>
    <x v="0"/>
    <n v="0"/>
    <n v="0"/>
    <x v="0"/>
    <n v="0"/>
    <x v="1"/>
    <x v="1"/>
    <m/>
    <n v="44842.68"/>
    <n v="0"/>
    <n v="44842.68"/>
  </r>
  <r>
    <x v="61"/>
    <x v="1"/>
    <s v="002"/>
    <d v="2021-04-30T00:00:00"/>
    <x v="1"/>
    <x v="1"/>
    <n v="133990"/>
    <x v="0"/>
    <x v="20"/>
    <x v="20"/>
    <x v="0"/>
    <n v="0"/>
    <x v="0"/>
    <n v="0"/>
    <n v="0"/>
    <x v="0"/>
    <n v="0"/>
    <x v="1"/>
    <x v="1"/>
    <m/>
    <n v="24118.2"/>
    <n v="0"/>
    <n v="24118.2"/>
  </r>
  <r>
    <x v="62"/>
    <x v="1"/>
    <s v="21-22/Tc/0001"/>
    <d v="2021-04-01T00:00:00"/>
    <x v="1"/>
    <x v="1"/>
    <n v="84400"/>
    <x v="3"/>
    <x v="0"/>
    <x v="0"/>
    <x v="0"/>
    <n v="0"/>
    <x v="0"/>
    <n v="0"/>
    <n v="0"/>
    <x v="0"/>
    <n v="0"/>
    <x v="1"/>
    <x v="1"/>
    <m/>
    <n v="15192"/>
    <n v="0"/>
    <n v="15192"/>
  </r>
  <r>
    <x v="63"/>
    <x v="1"/>
    <s v="Va21000000000055"/>
    <d v="2021-04-03T00:00:00"/>
    <x v="1"/>
    <x v="1"/>
    <n v="3398400"/>
    <x v="4"/>
    <x v="0"/>
    <x v="0"/>
    <x v="0"/>
    <n v="0"/>
    <x v="0"/>
    <n v="0"/>
    <n v="0"/>
    <x v="0"/>
    <n v="0"/>
    <x v="1"/>
    <x v="1"/>
    <m/>
    <n v="611712"/>
    <n v="0"/>
    <n v="611712"/>
  </r>
  <r>
    <x v="63"/>
    <x v="1"/>
    <s v="Va21000000000583"/>
    <d v="2021-04-16T00:00:00"/>
    <x v="1"/>
    <x v="1"/>
    <n v="4624576"/>
    <x v="5"/>
    <x v="0"/>
    <x v="0"/>
    <x v="0"/>
    <n v="0"/>
    <x v="0"/>
    <n v="0"/>
    <n v="0"/>
    <x v="0"/>
    <n v="0"/>
    <x v="1"/>
    <x v="1"/>
    <m/>
    <n v="832424"/>
    <n v="0"/>
    <n v="832424"/>
  </r>
  <r>
    <x v="63"/>
    <x v="1"/>
    <s v="Va21000000000723"/>
    <d v="2021-04-19T00:00:00"/>
    <x v="1"/>
    <x v="1"/>
    <n v="4740386"/>
    <x v="6"/>
    <x v="0"/>
    <x v="0"/>
    <x v="0"/>
    <n v="0"/>
    <x v="0"/>
    <n v="0"/>
    <n v="0"/>
    <x v="0"/>
    <n v="0"/>
    <x v="1"/>
    <x v="1"/>
    <m/>
    <n v="853270"/>
    <n v="0"/>
    <n v="853270"/>
  </r>
  <r>
    <x v="63"/>
    <x v="1"/>
    <s v="Va21000000001017"/>
    <d v="2021-04-24T00:00:00"/>
    <x v="1"/>
    <x v="1"/>
    <n v="4756036"/>
    <x v="7"/>
    <x v="0"/>
    <x v="0"/>
    <x v="0"/>
    <n v="0"/>
    <x v="0"/>
    <n v="0"/>
    <n v="0"/>
    <x v="0"/>
    <n v="0"/>
    <x v="1"/>
    <x v="1"/>
    <m/>
    <n v="856086"/>
    <n v="0"/>
    <n v="856086"/>
  </r>
  <r>
    <x v="63"/>
    <x v="1"/>
    <s v="Va21000000001196"/>
    <d v="2021-04-29T00:00:00"/>
    <x v="1"/>
    <x v="1"/>
    <n v="4729430"/>
    <x v="8"/>
    <x v="0"/>
    <x v="0"/>
    <x v="0"/>
    <n v="0"/>
    <x v="0"/>
    <n v="0"/>
    <n v="0"/>
    <x v="0"/>
    <n v="0"/>
    <x v="1"/>
    <x v="1"/>
    <m/>
    <n v="851298"/>
    <n v="0"/>
    <n v="851298"/>
  </r>
  <r>
    <x v="64"/>
    <x v="1"/>
    <s v="Hald/2122/D0109"/>
    <d v="2021-04-08T00:00:00"/>
    <x v="1"/>
    <x v="1"/>
    <n v="74131.199999999997"/>
    <x v="9"/>
    <x v="0"/>
    <x v="0"/>
    <x v="0"/>
    <n v="0"/>
    <x v="0"/>
    <n v="0"/>
    <n v="0"/>
    <x v="0"/>
    <n v="0"/>
    <x v="1"/>
    <x v="1"/>
    <m/>
    <n v="13343.62"/>
    <n v="0"/>
    <n v="13343.62"/>
  </r>
  <r>
    <x v="65"/>
    <x v="1"/>
    <s v="21-22/0076"/>
    <d v="2021-04-08T00:00:00"/>
    <x v="1"/>
    <x v="1"/>
    <n v="4727.16"/>
    <x v="0"/>
    <x v="21"/>
    <x v="21"/>
    <x v="0"/>
    <n v="0"/>
    <x v="0"/>
    <n v="0"/>
    <n v="0"/>
    <x v="0"/>
    <n v="0"/>
    <x v="1"/>
    <x v="1"/>
    <m/>
    <n v="850.88"/>
    <n v="0"/>
    <n v="850.88"/>
  </r>
  <r>
    <x v="66"/>
    <x v="1"/>
    <s v="B/Gst/21-22/232"/>
    <d v="2021-04-19T00:00:00"/>
    <x v="1"/>
    <x v="1"/>
    <n v="92000"/>
    <x v="10"/>
    <x v="0"/>
    <x v="0"/>
    <x v="0"/>
    <n v="0"/>
    <x v="0"/>
    <n v="0"/>
    <n v="0"/>
    <x v="0"/>
    <n v="0"/>
    <x v="1"/>
    <x v="1"/>
    <m/>
    <n v="16560"/>
    <n v="0"/>
    <n v="16560"/>
  </r>
  <r>
    <x v="67"/>
    <x v="1"/>
    <s v="8135030747"/>
    <d v="2021-04-15T00:00:00"/>
    <x v="1"/>
    <x v="1"/>
    <n v="134265.60000000001"/>
    <x v="11"/>
    <x v="0"/>
    <x v="0"/>
    <x v="0"/>
    <n v="0"/>
    <x v="0"/>
    <n v="0"/>
    <n v="0"/>
    <x v="0"/>
    <n v="0"/>
    <x v="1"/>
    <x v="1"/>
    <m/>
    <n v="24167.8"/>
    <n v="0"/>
    <n v="24167.8"/>
  </r>
  <r>
    <x v="67"/>
    <x v="1"/>
    <s v="8135030748"/>
    <d v="2021-04-15T00:00:00"/>
    <x v="1"/>
    <x v="1"/>
    <n v="696800"/>
    <x v="12"/>
    <x v="0"/>
    <x v="0"/>
    <x v="0"/>
    <n v="0"/>
    <x v="0"/>
    <n v="0"/>
    <n v="0"/>
    <x v="0"/>
    <n v="0"/>
    <x v="1"/>
    <x v="1"/>
    <m/>
    <n v="125424"/>
    <n v="0"/>
    <n v="125424"/>
  </r>
  <r>
    <x v="67"/>
    <x v="1"/>
    <s v="8135030822"/>
    <d v="2021-04-20T00:00:00"/>
    <x v="1"/>
    <x v="1"/>
    <n v="696800"/>
    <x v="12"/>
    <x v="0"/>
    <x v="0"/>
    <x v="0"/>
    <n v="0"/>
    <x v="0"/>
    <n v="0"/>
    <n v="0"/>
    <x v="0"/>
    <n v="0"/>
    <x v="1"/>
    <x v="1"/>
    <m/>
    <n v="125424"/>
    <n v="0"/>
    <n v="125424"/>
  </r>
  <r>
    <x v="68"/>
    <x v="1"/>
    <s v="Bm2205I000062266"/>
    <d v="2021-04-27T00:00:00"/>
    <x v="1"/>
    <x v="1"/>
    <n v="3588"/>
    <x v="0"/>
    <x v="22"/>
    <x v="22"/>
    <x v="0"/>
    <n v="0"/>
    <x v="0"/>
    <n v="0"/>
    <n v="0"/>
    <x v="0"/>
    <n v="0"/>
    <x v="1"/>
    <x v="1"/>
    <m/>
    <n v="645.84"/>
    <n v="0"/>
    <n v="645.84"/>
  </r>
  <r>
    <x v="63"/>
    <x v="1"/>
    <s v="Gst-493"/>
    <d v="2021-03-03T00:00:00"/>
    <x v="1"/>
    <x v="2"/>
    <n v="55800"/>
    <x v="13"/>
    <x v="0"/>
    <x v="0"/>
    <x v="0"/>
    <n v="0"/>
    <x v="0"/>
    <n v="0"/>
    <n v="0"/>
    <x v="0"/>
    <n v="0"/>
    <x v="2"/>
    <x v="1"/>
    <m/>
    <n v="10044"/>
    <n v="0"/>
    <n v="10044"/>
  </r>
  <r>
    <x v="69"/>
    <x v="2"/>
    <s v="2360000426"/>
    <d v="2021-04-27T00:00:00"/>
    <x v="1"/>
    <x v="1"/>
    <n v="-31681.25"/>
    <x v="14"/>
    <x v="0"/>
    <x v="0"/>
    <x v="0"/>
    <n v="0"/>
    <x v="0"/>
    <n v="0"/>
    <n v="0"/>
    <x v="0"/>
    <n v="0"/>
    <x v="1"/>
    <x v="2"/>
    <m/>
    <n v="-5702.63"/>
    <n v="0"/>
    <n v="-5702.63"/>
  </r>
  <r>
    <x v="69"/>
    <x v="2"/>
    <s v="2360000426"/>
    <d v="2021-04-27T00:00:00"/>
    <x v="1"/>
    <x v="1"/>
    <n v="-31681.25"/>
    <x v="14"/>
    <x v="0"/>
    <x v="0"/>
    <x v="0"/>
    <n v="0"/>
    <x v="0"/>
    <n v="0"/>
    <n v="0"/>
    <x v="0"/>
    <n v="0"/>
    <x v="1"/>
    <x v="2"/>
    <m/>
    <n v="-5702.63"/>
    <n v="0"/>
    <n v="-5702.63"/>
  </r>
  <r>
    <x v="70"/>
    <x v="3"/>
    <s v="123456"/>
    <d v="2021-04-06T00:00:00"/>
    <x v="1"/>
    <x v="1"/>
    <n v="100000"/>
    <x v="15"/>
    <x v="0"/>
    <x v="0"/>
    <x v="0"/>
    <n v="0"/>
    <x v="0"/>
    <n v="0"/>
    <n v="0"/>
    <x v="0"/>
    <n v="0"/>
    <x v="1"/>
    <x v="3"/>
    <m/>
    <n v="18000"/>
    <n v="0"/>
    <n v="18000"/>
  </r>
  <r>
    <x v="70"/>
    <x v="3"/>
    <s v="123456"/>
    <d v="2021-04-06T00:00:00"/>
    <x v="1"/>
    <x v="1"/>
    <n v="100000"/>
    <x v="15"/>
    <x v="0"/>
    <x v="0"/>
    <x v="0"/>
    <n v="0"/>
    <x v="0"/>
    <n v="0"/>
    <n v="0"/>
    <x v="0"/>
    <n v="0"/>
    <x v="1"/>
    <x v="3"/>
    <m/>
    <n v="18000"/>
    <n v="0"/>
    <n v="18000"/>
  </r>
  <r>
    <x v="71"/>
    <x v="4"/>
    <s v="2012091"/>
    <d v="2021-10-27T00:00:00"/>
    <x v="2"/>
    <x v="1"/>
    <n v="9786"/>
    <x v="16"/>
    <x v="0"/>
    <x v="0"/>
    <x v="0"/>
    <n v="0"/>
    <x v="0"/>
    <n v="0"/>
    <n v="0"/>
    <x v="0"/>
    <n v="0"/>
    <x v="1"/>
    <x v="4"/>
    <m/>
    <n v="1761"/>
    <n v="0"/>
    <n v="1761"/>
  </r>
  <r>
    <x v="71"/>
    <x v="4"/>
    <s v="2012625"/>
    <d v="2021-11-11T00:00:00"/>
    <x v="2"/>
    <x v="1"/>
    <n v="466"/>
    <x v="17"/>
    <x v="0"/>
    <x v="0"/>
    <x v="0"/>
    <n v="0"/>
    <x v="0"/>
    <n v="0"/>
    <n v="0"/>
    <x v="0"/>
    <n v="0"/>
    <x v="1"/>
    <x v="4"/>
    <m/>
    <n v="84"/>
    <n v="0"/>
    <n v="8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2">
  <r>
    <s v="05AAACT0086E1ZR"/>
    <x v="0"/>
    <s v="Rddin2100862"/>
    <d v="2021-05-09T00:00:00"/>
    <n v="0"/>
    <n v="0"/>
    <x v="0"/>
    <n v="578055.36199999996"/>
    <n v="104050"/>
    <x v="0"/>
    <x v="0"/>
    <x v="0"/>
    <s v="Abc/2122-0314"/>
    <n v="-104050"/>
    <x v="0"/>
  </r>
  <r>
    <s v="05DPVPS8425C1ZF"/>
    <x v="0"/>
    <s v="4521"/>
    <d v="2021-06-16T00:00:00"/>
    <n v="0"/>
    <n v="0"/>
    <x v="0"/>
    <n v="22000"/>
    <n v="3960"/>
    <x v="0"/>
    <x v="0"/>
    <x v="0"/>
    <s v="Abc/2122-0273"/>
    <n v="-3960"/>
    <x v="0"/>
  </r>
  <r>
    <s v="05AEEFS2751Q1ZL"/>
    <x v="0"/>
    <s v="162"/>
    <d v="2021-04-21T00:00:00"/>
    <n v="0"/>
    <n v="0"/>
    <x v="0"/>
    <n v="2670"/>
    <n v="482"/>
    <x v="0"/>
    <x v="0"/>
    <x v="0"/>
    <s v="Abc/2122-0100"/>
    <n v="-482"/>
    <x v="0"/>
  </r>
  <r>
    <s v="33AAACD2686A1Z6"/>
    <x v="0"/>
    <s v="9392101403"/>
    <d v="2021-05-13T00:00:00"/>
    <n v="0"/>
    <n v="0"/>
    <x v="0"/>
    <n v="904800"/>
    <n v="162864"/>
    <x v="0"/>
    <x v="0"/>
    <x v="0"/>
    <s v="Abc/2122-0561"/>
    <n v="-162864"/>
    <x v="0"/>
  </r>
  <r>
    <s v="05AJMPB9650L1ZW"/>
    <x v="0"/>
    <s v="Apnp/21-22/124"/>
    <d v="2021-05-03T00:00:00"/>
    <n v="0"/>
    <n v="0"/>
    <x v="0"/>
    <n v="194194"/>
    <n v="23303.279999999999"/>
    <x v="0"/>
    <x v="0"/>
    <x v="0"/>
    <s v="Abc/2122-0248"/>
    <n v="-23303.279999999999"/>
    <x v="0"/>
  </r>
  <r>
    <s v="34AAWCS4590A1Z4"/>
    <x v="0"/>
    <s v="Gst059/21-22"/>
    <d v="2021-04-28T00:00:00"/>
    <n v="0"/>
    <n v="0"/>
    <x v="0"/>
    <n v="885800"/>
    <n v="159444"/>
    <x v="0"/>
    <x v="0"/>
    <x v="0"/>
    <s v="Abc/2122-0363"/>
    <n v="-159444"/>
    <x v="0"/>
  </r>
  <r>
    <s v="05AQZPR4855P1ZK"/>
    <x v="0"/>
    <s v="Ss-0036/21-22"/>
    <d v="2021-08-02T00:00:00"/>
    <n v="0"/>
    <n v="0"/>
    <x v="0"/>
    <n v="4500"/>
    <n v="810"/>
    <x v="0"/>
    <x v="0"/>
    <x v="0"/>
    <s v="Abc/2122-0561"/>
    <n v="-810"/>
    <x v="0"/>
  </r>
  <r>
    <s v="05AAACT0086E1ZR"/>
    <x v="0"/>
    <s v="Rddin2101978"/>
    <d v="2021-07-05T00:00:00"/>
    <n v="0"/>
    <n v="0"/>
    <x v="0"/>
    <n v="1427529.2490000001"/>
    <n v="256956"/>
    <x v="0"/>
    <x v="0"/>
    <x v="0"/>
    <s v="Abc/2122-0886"/>
    <n v="-256956"/>
    <x v="0"/>
  </r>
  <r>
    <s v="05BCZPG8311E1ZJ"/>
    <x v="0"/>
    <s v="Pr/79/20-21"/>
    <d v="2021-08-27T00:00:00"/>
    <n v="0"/>
    <n v="0"/>
    <x v="0"/>
    <n v="19140"/>
    <n v="3445.2"/>
    <x v="0"/>
    <x v="0"/>
    <x v="0"/>
    <s v="Abc/2122-1329"/>
    <n v="-3445.2"/>
    <x v="0"/>
  </r>
  <r>
    <s v="05ADAPC5642F1Z5"/>
    <x v="0"/>
    <s v="1499"/>
    <d v="2021-08-02T00:00:00"/>
    <n v="0"/>
    <n v="0"/>
    <x v="0"/>
    <n v="1075"/>
    <n v="193.5"/>
    <x v="0"/>
    <x v="0"/>
    <x v="0"/>
    <s v="Abc/2122-0515"/>
    <n v="-193.5"/>
    <x v="0"/>
  </r>
  <r>
    <s v="33AAACD2686A1Z6"/>
    <x v="0"/>
    <s v="9392103767"/>
    <d v="2021-08-06T00:00:00"/>
    <n v="0"/>
    <n v="0"/>
    <x v="0"/>
    <n v="950000"/>
    <n v="171000"/>
    <x v="0"/>
    <x v="0"/>
    <x v="0"/>
    <s v="Abc/2122-1210"/>
    <n v="-171000"/>
    <x v="0"/>
  </r>
  <r>
    <s v="05ABHFS4750M1ZT"/>
    <x v="0"/>
    <s v="20210533"/>
    <d v="2021-07-21T00:00:00"/>
    <n v="0"/>
    <n v="0"/>
    <x v="0"/>
    <n v="2310"/>
    <n v="416"/>
    <x v="0"/>
    <x v="0"/>
    <x v="0"/>
    <s v="Abc/2122-0444"/>
    <n v="-416"/>
    <x v="0"/>
  </r>
  <r>
    <s v="05BZQPP7689N1Z2"/>
    <x v="0"/>
    <s v="457"/>
    <d v="2021-07-02T00:00:00"/>
    <n v="0"/>
    <n v="0"/>
    <x v="0"/>
    <n v="11270"/>
    <n v="1896"/>
    <x v="0"/>
    <x v="0"/>
    <x v="0"/>
    <s v="Abc/2122-0370"/>
    <n v="-1896"/>
    <x v="0"/>
  </r>
  <r>
    <s v="05AJMPB9650L1ZW"/>
    <x v="0"/>
    <s v="Apnp/21-22/526"/>
    <d v="2021-08-17T00:00:00"/>
    <n v="0"/>
    <n v="0"/>
    <x v="0"/>
    <n v="215533.25"/>
    <n v="25864"/>
    <x v="0"/>
    <x v="0"/>
    <x v="0"/>
    <s v="Abc/2122-1192"/>
    <n v="-25864"/>
    <x v="0"/>
  </r>
  <r>
    <s v="05AAACI5950L1ZG"/>
    <x v="0"/>
    <s v="H05A222101001470"/>
    <d v="2021-08-09T00:00:00"/>
    <n v="0"/>
    <n v="0"/>
    <x v="0"/>
    <n v="484135.15500000003"/>
    <n v="87144.320000000007"/>
    <x v="0"/>
    <x v="0"/>
    <x v="0"/>
    <s v="Abc/2122-1131"/>
    <n v="-87144.320000000007"/>
    <x v="0"/>
  </r>
  <r>
    <s v="33AAACD2686A1Z6"/>
    <x v="0"/>
    <s v="9392102520"/>
    <d v="2021-06-25T00:00:00"/>
    <n v="0"/>
    <n v="0"/>
    <x v="0"/>
    <n v="950000"/>
    <n v="171000"/>
    <x v="0"/>
    <x v="0"/>
    <x v="0"/>
    <s v="Abc/2122-0858"/>
    <n v="-171000"/>
    <x v="0"/>
  </r>
  <r>
    <s v="05APYPB2509Q1ZE"/>
    <x v="0"/>
    <s v="Rstc/21-22/154"/>
    <d v="2021-08-14T00:00:00"/>
    <n v="0"/>
    <n v="0"/>
    <x v="0"/>
    <n v="1961.12"/>
    <n v="353"/>
    <x v="0"/>
    <x v="0"/>
    <x v="0"/>
    <s v="Abc/2122-0592"/>
    <n v="-353"/>
    <x v="0"/>
  </r>
  <r>
    <s v="33AAACD2686A1Z6"/>
    <x v="0"/>
    <s v="9392104042"/>
    <d v="2021-08-17T00:00:00"/>
    <n v="0"/>
    <n v="0"/>
    <x v="0"/>
    <n v="725000"/>
    <n v="130500"/>
    <x v="0"/>
    <x v="0"/>
    <x v="0"/>
    <s v="Abc/2122-1324"/>
    <n v="-130500"/>
    <x v="0"/>
  </r>
  <r>
    <s v="05DWIPS5952N1ZP"/>
    <x v="0"/>
    <s v="Jvg/085"/>
    <d v="2021-07-01T00:00:00"/>
    <n v="0"/>
    <n v="0"/>
    <x v="0"/>
    <n v="40000"/>
    <n v="4800"/>
    <x v="0"/>
    <x v="0"/>
    <x v="0"/>
    <s v="Abc/2122-0345"/>
    <n v="-4800"/>
    <x v="0"/>
  </r>
  <r>
    <s v="05ADAPC5642F1Z5"/>
    <x v="0"/>
    <s v="1154"/>
    <d v="2021-07-07T00:00:00"/>
    <n v="0"/>
    <n v="0"/>
    <x v="0"/>
    <n v="4276"/>
    <n v="639.67999999999995"/>
    <x v="0"/>
    <x v="0"/>
    <x v="0"/>
    <s v="Abc/2122-0380"/>
    <n v="-639.67999999999995"/>
    <x v="0"/>
  </r>
  <r>
    <s v="06AADCD8661N1Z6"/>
    <x v="0"/>
    <s v="Ds00725/2021-22"/>
    <d v="2021-07-02T00:00:00"/>
    <n v="0"/>
    <n v="0"/>
    <x v="0"/>
    <n v="4750"/>
    <n v="570"/>
    <x v="0"/>
    <x v="0"/>
    <x v="0"/>
    <s v="Abc/2122-0373"/>
    <n v="-570"/>
    <x v="0"/>
  </r>
  <r>
    <s v="05AACFJ5445Q1ZZ"/>
    <x v="0"/>
    <s v="1106/21-22"/>
    <d v="2021-08-09T00:00:00"/>
    <n v="0"/>
    <n v="0"/>
    <x v="0"/>
    <n v="217160.4"/>
    <n v="26059.24"/>
    <x v="0"/>
    <x v="0"/>
    <x v="0"/>
    <s v="Abc/2122-1145"/>
    <n v="-26059.24"/>
    <x v="0"/>
  </r>
  <r>
    <s v="05ABUPC8713H1ZJ"/>
    <x v="0"/>
    <s v="21-22/1784"/>
    <d v="2021-09-24T00:00:00"/>
    <n v="0"/>
    <n v="0"/>
    <x v="0"/>
    <n v="9567.93"/>
    <n v="1722.22"/>
    <x v="0"/>
    <x v="0"/>
    <x v="0"/>
    <s v="Abc/2122-0803"/>
    <n v="-1722.22"/>
    <x v="0"/>
  </r>
  <r>
    <s v="05AAACI5950L1ZG"/>
    <x v="0"/>
    <s v="H05A222101001737"/>
    <d v="2021-08-31T00:00:00"/>
    <n v="0"/>
    <n v="0"/>
    <x v="0"/>
    <n v="307449"/>
    <n v="55340.82"/>
    <x v="0"/>
    <x v="0"/>
    <x v="0"/>
    <s v="Abc/2122-1462"/>
    <n v="-55340.82"/>
    <x v="0"/>
  </r>
  <r>
    <s v="05AZTPB3648K1Z1"/>
    <x v="0"/>
    <s v="1228"/>
    <d v="2021-09-21T00:00:00"/>
    <n v="0"/>
    <n v="0"/>
    <x v="0"/>
    <n v="2500"/>
    <n v="450"/>
    <x v="0"/>
    <x v="0"/>
    <x v="0"/>
    <s v="Abc/2122-0778"/>
    <n v="-450"/>
    <x v="0"/>
  </r>
  <r>
    <s v="33AAACD2686A1Z6"/>
    <x v="0"/>
    <s v="9392105951"/>
    <d v="2021-10-15T00:00:00"/>
    <n v="0"/>
    <n v="0"/>
    <x v="0"/>
    <n v="145000"/>
    <n v="26100"/>
    <x v="0"/>
    <x v="0"/>
    <x v="0"/>
    <s v="Abc/2122-1838"/>
    <n v="-26100"/>
    <x v="0"/>
  </r>
  <r>
    <s v="05AABCG9199A1ZN"/>
    <x v="0"/>
    <s v="1559/Gst/21-22"/>
    <d v="2021-10-05T00:00:00"/>
    <n v="0"/>
    <n v="0"/>
    <x v="0"/>
    <n v="101949.5"/>
    <n v="18350.919999999998"/>
    <x v="0"/>
    <x v="0"/>
    <x v="0"/>
    <s v="Abc/2122-1716"/>
    <n v="-18350.919999999998"/>
    <x v="0"/>
  </r>
  <r>
    <s v="02AABCV0012B1ZI"/>
    <x v="0"/>
    <s v="21-22/Vbd/001931"/>
    <d v="2021-08-31T00:00:00"/>
    <n v="0"/>
    <n v="0"/>
    <x v="0"/>
    <n v="83250"/>
    <n v="14985"/>
    <x v="0"/>
    <x v="0"/>
    <x v="0"/>
    <s v="Abc/2122-1466"/>
    <n v="-14985"/>
    <x v="0"/>
  </r>
  <r>
    <s v="05BZQPP7689N1Z2"/>
    <x v="0"/>
    <s v="988"/>
    <d v="2021-09-06T00:00:00"/>
    <n v="0"/>
    <n v="0"/>
    <x v="0"/>
    <n v="4370"/>
    <n v="594"/>
    <x v="0"/>
    <x v="0"/>
    <x v="0"/>
    <s v="Abc/2122-0731"/>
    <n v="-594"/>
    <x v="0"/>
  </r>
  <r>
    <s v="05AMGPM6436L1ZR"/>
    <x v="0"/>
    <s v="2077"/>
    <d v="2021-09-15T00:00:00"/>
    <n v="0"/>
    <n v="0"/>
    <x v="0"/>
    <n v="26532"/>
    <n v="4775.76"/>
    <x v="0"/>
    <x v="0"/>
    <x v="0"/>
    <s v="Abc/2122-1556"/>
    <n v="-4775.76"/>
    <x v="0"/>
  </r>
  <r>
    <s v="05AAACB3754B1ZA"/>
    <x v="0"/>
    <s v="59000235"/>
    <d v="2021-08-30T00:00:00"/>
    <n v="0"/>
    <n v="0"/>
    <x v="0"/>
    <n v="119644.15"/>
    <n v="21429.26"/>
    <x v="0"/>
    <x v="0"/>
    <x v="0"/>
    <s v="Abc/2122-1661"/>
    <n v="-21429.26"/>
    <x v="0"/>
  </r>
  <r>
    <s v="05AAJFK2620D1ZV"/>
    <x v="0"/>
    <s v="1873"/>
    <d v="2021-10-19T00:00:00"/>
    <n v="0"/>
    <n v="0"/>
    <x v="0"/>
    <n v="45050.14"/>
    <n v="8109.04"/>
    <x v="0"/>
    <x v="0"/>
    <x v="0"/>
    <s v="Abc/2122-1801"/>
    <n v="-8109.04"/>
    <x v="0"/>
  </r>
  <r>
    <s v="05AAACT0086E1ZR"/>
    <x v="0"/>
    <s v="Rddin2104208"/>
    <d v="2021-10-12T00:00:00"/>
    <n v="0"/>
    <n v="0"/>
    <x v="0"/>
    <n v="329582.39"/>
    <n v="59324"/>
    <x v="0"/>
    <x v="0"/>
    <x v="0"/>
    <s v="Abc/2122-1756"/>
    <n v="-59324"/>
    <x v="0"/>
  </r>
  <r>
    <s v="05AAPPG3064R1Z7"/>
    <x v="0"/>
    <s v="Rkdp/21-22/15088"/>
    <d v="2021-09-24T00:00:00"/>
    <n v="0"/>
    <n v="0"/>
    <x v="0"/>
    <n v="106612.56"/>
    <n v="19190.259999999998"/>
    <x v="0"/>
    <x v="0"/>
    <x v="0"/>
    <s v="Abc/2122-1636"/>
    <n v="-19190.259999999998"/>
    <x v="0"/>
  </r>
  <r>
    <s v="05AABCG9199A1ZN"/>
    <x v="0"/>
    <s v="1897/Gst/21-22"/>
    <d v="2021-11-19T00:00:00"/>
    <n v="0"/>
    <n v="0"/>
    <x v="0"/>
    <n v="98787"/>
    <n v="17781.66"/>
    <x v="0"/>
    <x v="0"/>
    <x v="0"/>
    <s v="Abc/2122-2001"/>
    <n v="-17781.66"/>
    <x v="0"/>
  </r>
  <r>
    <s v="26AARCA0340H1ZU"/>
    <x v="0"/>
    <s v="Ss01/Loc/01264"/>
    <d v="2021-10-26T00:00:00"/>
    <n v="0"/>
    <n v="0"/>
    <x v="0"/>
    <n v="1055540"/>
    <n v="189997"/>
    <x v="0"/>
    <x v="0"/>
    <x v="0"/>
    <s v="Abc/2122-1939"/>
    <n v="-189997"/>
    <x v="0"/>
  </r>
  <r>
    <s v="05ABYPS3455J1ZX"/>
    <x v="0"/>
    <s v="2913"/>
    <d v="2021-11-17T00:00:00"/>
    <n v="0"/>
    <n v="0"/>
    <x v="0"/>
    <n v="1150"/>
    <n v="207"/>
    <x v="0"/>
    <x v="0"/>
    <x v="0"/>
    <s v="Abc/2122-1024"/>
    <n v="-207"/>
    <x v="0"/>
  </r>
  <r>
    <s v="05BZQPP7689N1Z2"/>
    <x v="0"/>
    <s v="1923"/>
    <d v="2021-12-29T00:00:00"/>
    <n v="0"/>
    <n v="0"/>
    <x v="0"/>
    <n v="13000"/>
    <n v="2340"/>
    <x v="0"/>
    <x v="0"/>
    <x v="0"/>
    <s v="Abc/2122-1154"/>
    <n v="-2340"/>
    <x v="0"/>
  </r>
  <r>
    <s v="05AAACB2894G1ZT"/>
    <x v="0"/>
    <s v="Bm2205I000571984"/>
    <d v="2021-12-27T00:00:00"/>
    <n v="0"/>
    <n v="0"/>
    <x v="0"/>
    <n v="1801"/>
    <n v="324"/>
    <x v="0"/>
    <x v="0"/>
    <x v="0"/>
    <s v="Abc/2122-0652"/>
    <n v="-324"/>
    <x v="0"/>
  </r>
  <r>
    <s v="05ADAPC5642F1Z5"/>
    <x v="0"/>
    <s v="3670"/>
    <d v="2021-12-28T00:00:00"/>
    <n v="0"/>
    <n v="0"/>
    <x v="0"/>
    <n v="1200"/>
    <n v="60"/>
    <x v="0"/>
    <x v="0"/>
    <x v="0"/>
    <s v="Abc/2122-1143"/>
    <n v="-60"/>
    <x v="0"/>
  </r>
  <r>
    <s v="01AAACF0109J1ZE"/>
    <x v="0"/>
    <s v="21112010010920"/>
    <d v="2021-10-31T00:00:00"/>
    <n v="0"/>
    <n v="0"/>
    <x v="0"/>
    <n v="578964.04500000004"/>
    <n v="104214"/>
    <x v="0"/>
    <x v="0"/>
    <x v="0"/>
    <s v="Abc/2122-1926"/>
    <n v="-104214"/>
    <x v="0"/>
  </r>
  <r>
    <s v="05ADAPC5642F1Z5"/>
    <x v="0"/>
    <s v="2874"/>
    <d v="2021-11-08T00:00:00"/>
    <n v="0"/>
    <n v="0"/>
    <x v="0"/>
    <n v="1380"/>
    <n v="248.4"/>
    <x v="0"/>
    <x v="0"/>
    <x v="0"/>
    <s v="Abc/2122-0971"/>
    <n v="-248.4"/>
    <x v="0"/>
  </r>
  <r>
    <s v="06ACEPL3198C1ZR"/>
    <x v="0"/>
    <s v="128"/>
    <d v="2021-12-17T00:00:00"/>
    <n v="0"/>
    <n v="0"/>
    <x v="0"/>
    <n v="9300"/>
    <n v="1674"/>
    <x v="0"/>
    <x v="0"/>
    <x v="0"/>
    <s v="Abc/2122-1118"/>
    <n v="-1674"/>
    <x v="0"/>
  </r>
  <r>
    <s v="05AAGCA0510J1Z8"/>
    <x v="0"/>
    <s v="2022/A01003386"/>
    <d v="2022-01-24T00:00:00"/>
    <n v="0"/>
    <n v="0"/>
    <x v="0"/>
    <n v="601537.03399999999"/>
    <n v="108276.66"/>
    <x v="0"/>
    <x v="0"/>
    <x v="0"/>
    <s v="Abc/2122-2558"/>
    <n v="-108276.66"/>
    <x v="0"/>
  </r>
  <r>
    <s v="36AAACV8607M1ZW"/>
    <x v="0"/>
    <s v="F20031104639"/>
    <d v="2021-12-24T00:00:00"/>
    <n v="0"/>
    <n v="0"/>
    <x v="0"/>
    <n v="240405"/>
    <n v="43272.9"/>
    <x v="0"/>
    <x v="0"/>
    <x v="0"/>
    <s v="Abc/2122-2389"/>
    <n v="-43272.9"/>
    <x v="0"/>
  </r>
  <r>
    <s v="33AAACN9140P1Z6"/>
    <x v="0"/>
    <s v="Si/2122-0084"/>
    <d v="2021-04-08T00:00:00"/>
    <n v="0"/>
    <n v="0"/>
    <x v="0"/>
    <n v="1105"/>
    <n v="198.9"/>
    <x v="0"/>
    <x v="0"/>
    <x v="0"/>
    <s v="Abc/2122-0074"/>
    <n v="-198.9"/>
    <x v="0"/>
  </r>
  <r>
    <s v="05AABCL5321P1ZF"/>
    <x v="0"/>
    <s v="1532"/>
    <d v="2021-03-31T00:00:00"/>
    <n v="0"/>
    <n v="0"/>
    <x v="0"/>
    <n v="12050"/>
    <n v="2169"/>
    <x v="0"/>
    <x v="1"/>
    <x v="0"/>
    <s v="Abc/2122-0016"/>
    <n v="-2169"/>
    <x v="0"/>
  </r>
  <r>
    <s v="05AACFJ5445Q1ZZ"/>
    <x v="0"/>
    <s v="227/21-22"/>
    <d v="2021-04-24T00:00:00"/>
    <n v="0"/>
    <n v="0"/>
    <x v="0"/>
    <n v="125326.39999999999"/>
    <n v="15039.16"/>
    <x v="0"/>
    <x v="0"/>
    <x v="0"/>
    <s v="Abc/2122-0155"/>
    <n v="-15039.16"/>
    <x v="0"/>
  </r>
  <r>
    <s v="05FYKPS0202K1ZE"/>
    <x v="0"/>
    <s v="Asr/21/22-135"/>
    <d v="2021-06-17T00:00:00"/>
    <n v="0"/>
    <n v="0"/>
    <x v="0"/>
    <n v="1600"/>
    <n v="288"/>
    <x v="0"/>
    <x v="0"/>
    <x v="0"/>
    <s v="Abc/2122-0283"/>
    <n v="-288"/>
    <x v="0"/>
  </r>
  <r>
    <s v="05BDZPG6123P2ZV"/>
    <x v="0"/>
    <s v="356"/>
    <d v="2021-05-31T00:00:00"/>
    <n v="0"/>
    <n v="0"/>
    <x v="0"/>
    <n v="79503"/>
    <n v="14310.54"/>
    <x v="0"/>
    <x v="0"/>
    <x v="0"/>
    <s v="Abc/2122-0113"/>
    <n v="-14310.54"/>
    <x v="0"/>
  </r>
  <r>
    <s v="05AJMPB9650L1ZW"/>
    <x v="0"/>
    <s v="Apnp/21-22/218"/>
    <d v="2021-06-02T00:00:00"/>
    <n v="0"/>
    <n v="0"/>
    <x v="0"/>
    <n v="227804.5"/>
    <n v="27336.54"/>
    <x v="0"/>
    <x v="0"/>
    <x v="0"/>
    <s v="Abc/2122-0588"/>
    <n v="-27336.54"/>
    <x v="0"/>
  </r>
  <r>
    <s v="05BPKPK5111E1ZB"/>
    <x v="0"/>
    <s v="758"/>
    <d v="2021-04-17T00:00:00"/>
    <n v="0"/>
    <n v="0"/>
    <x v="0"/>
    <n v="300"/>
    <n v="54"/>
    <x v="0"/>
    <x v="0"/>
    <x v="0"/>
    <s v="Abc/2122-0078"/>
    <n v="-54"/>
    <x v="0"/>
  </r>
  <r>
    <s v="05AAGCA0510J1Z8"/>
    <x v="0"/>
    <s v="2021/A01005687"/>
    <d v="2021-05-06T00:00:00"/>
    <n v="0"/>
    <n v="0"/>
    <x v="0"/>
    <n v="551208"/>
    <n v="99217.44"/>
    <x v="0"/>
    <x v="0"/>
    <x v="0"/>
    <s v="Abc/2122-0276"/>
    <n v="-99217.44"/>
    <x v="0"/>
  </r>
  <r>
    <s v="05AAPPG3064R1Z7"/>
    <x v="0"/>
    <s v="Rkdp/21-22/13879"/>
    <d v="2021-05-06T00:00:00"/>
    <n v="0"/>
    <n v="0"/>
    <x v="0"/>
    <n v="122511.48"/>
    <n v="22052.06"/>
    <x v="0"/>
    <x v="0"/>
    <x v="0"/>
    <s v="Abc/2122-0279"/>
    <n v="-22052.06"/>
    <x v="0"/>
  </r>
  <r>
    <s v="05AQZPR4855P1ZK"/>
    <x v="0"/>
    <s v="Ss-0025/21-22"/>
    <d v="2021-06-23T00:00:00"/>
    <n v="0"/>
    <n v="0"/>
    <x v="0"/>
    <n v="1000"/>
    <n v="180"/>
    <x v="0"/>
    <x v="0"/>
    <x v="0"/>
    <s v="Abc/2122-0304"/>
    <n v="-180"/>
    <x v="0"/>
  </r>
  <r>
    <s v="05AQZPR4855P1ZK"/>
    <x v="0"/>
    <s v="Ss-0010/21-22"/>
    <d v="2021-05-17T00:00:00"/>
    <n v="0"/>
    <n v="0"/>
    <x v="0"/>
    <n v="4750"/>
    <n v="855"/>
    <x v="0"/>
    <x v="0"/>
    <x v="0"/>
    <s v="Abc/2122-0158"/>
    <n v="-855"/>
    <x v="0"/>
  </r>
  <r>
    <s v="05AJMPR4625B1ZC"/>
    <x v="0"/>
    <s v="204"/>
    <d v="2021-06-02T00:00:00"/>
    <n v="0"/>
    <n v="0"/>
    <x v="0"/>
    <n v="39473.279999999999"/>
    <n v="7106"/>
    <x v="0"/>
    <x v="0"/>
    <x v="0"/>
    <s v="Abc/2122-0609"/>
    <n v="-7106"/>
    <x v="0"/>
  </r>
  <r>
    <s v="02AACCN5184H2ZL"/>
    <x v="0"/>
    <s v="Mb22122/Gis00132"/>
    <d v="2021-06-17T00:00:00"/>
    <n v="0"/>
    <n v="0"/>
    <x v="0"/>
    <n v="229620"/>
    <n v="41332"/>
    <x v="0"/>
    <x v="0"/>
    <x v="0"/>
    <s v="Abc/2122-0733"/>
    <n v="-41332"/>
    <x v="0"/>
  </r>
  <r>
    <s v="05EQKPK7730M1ZC"/>
    <x v="0"/>
    <s v="222"/>
    <d v="2021-05-01T00:00:00"/>
    <n v="0"/>
    <n v="0"/>
    <x v="0"/>
    <n v="950"/>
    <n v="171"/>
    <x v="0"/>
    <x v="0"/>
    <x v="0"/>
    <s v="Abc/2122-0108"/>
    <n v="-171"/>
    <x v="0"/>
  </r>
  <r>
    <s v="05AAGFT2089L1ZT"/>
    <x v="0"/>
    <s v="Tec212290"/>
    <d v="2021-04-22T00:00:00"/>
    <n v="0"/>
    <n v="0"/>
    <x v="0"/>
    <n v="29333"/>
    <n v="5279.94"/>
    <x v="0"/>
    <x v="0"/>
    <x v="0"/>
    <s v="Abc/2122-0185"/>
    <n v="-5279.94"/>
    <x v="0"/>
  </r>
  <r>
    <s v="36AAFCE3261P2Z9"/>
    <x v="0"/>
    <s v="Sd-021/2021-22"/>
    <d v="2021-05-08T00:00:00"/>
    <n v="0"/>
    <n v="0"/>
    <x v="0"/>
    <n v="159785"/>
    <n v="28761"/>
    <x v="0"/>
    <x v="0"/>
    <x v="0"/>
    <s v="Abc/2122-0320"/>
    <n v="-28761"/>
    <x v="0"/>
  </r>
  <r>
    <s v="36AABCR5731P1ZY"/>
    <x v="0"/>
    <s v="Rpc1/21-22/0245"/>
    <d v="2021-06-10T00:00:00"/>
    <n v="0"/>
    <n v="0"/>
    <x v="0"/>
    <n v="136550"/>
    <n v="24579"/>
    <x v="0"/>
    <x v="0"/>
    <x v="0"/>
    <s v="Abc/2122-0717"/>
    <n v="-24579"/>
    <x v="0"/>
  </r>
  <r>
    <s v="05AAACT0086E1ZR"/>
    <x v="0"/>
    <s v="Rddin2100608"/>
    <d v="2021-04-28T00:00:00"/>
    <n v="0"/>
    <n v="0"/>
    <x v="0"/>
    <n v="351356.859"/>
    <n v="63244"/>
    <x v="0"/>
    <x v="0"/>
    <x v="0"/>
    <s v="Abc/2122-0220"/>
    <n v="-63244"/>
    <x v="0"/>
  </r>
  <r>
    <s v="05AMGPM6436L1ZR"/>
    <x v="0"/>
    <s v="1902"/>
    <d v="2021-04-23T00:00:00"/>
    <n v="0"/>
    <n v="0"/>
    <x v="0"/>
    <n v="37154"/>
    <n v="6687.72"/>
    <x v="0"/>
    <x v="0"/>
    <x v="0"/>
    <s v="Abc/2122-0188"/>
    <n v="-6687.72"/>
    <x v="0"/>
  </r>
  <r>
    <s v="27AABCS4223P1Z3"/>
    <x v="0"/>
    <s v="Iv2022103258"/>
    <d v="2021-05-25T00:00:00"/>
    <n v="0"/>
    <n v="0"/>
    <x v="0"/>
    <n v="39750"/>
    <n v="7155"/>
    <x v="0"/>
    <x v="0"/>
    <x v="0"/>
    <s v="Abc/2122-0528"/>
    <n v="-7155"/>
    <x v="0"/>
  </r>
  <r>
    <s v="06AAACW2192G1ZF"/>
    <x v="0"/>
    <s v="F25210000284"/>
    <d v="2021-05-19T00:00:00"/>
    <n v="0"/>
    <n v="0"/>
    <x v="0"/>
    <n v="710000"/>
    <n v="127800"/>
    <x v="0"/>
    <x v="0"/>
    <x v="0"/>
    <s v="Abc/2122-0445"/>
    <n v="-127800"/>
    <x v="0"/>
  </r>
  <r>
    <s v="05ACFPG2339H1ZY"/>
    <x v="0"/>
    <s v="572"/>
    <d v="2021-05-29T00:00:00"/>
    <n v="0"/>
    <n v="0"/>
    <x v="0"/>
    <n v="91376.639999999999"/>
    <n v="16447.8"/>
    <x v="0"/>
    <x v="0"/>
    <x v="0"/>
    <s v="Abc/2122-0533"/>
    <n v="-16447.8"/>
    <x v="0"/>
  </r>
  <r>
    <s v="05BRAPM7772B1ZY"/>
    <x v="0"/>
    <s v="6"/>
    <d v="2021-04-08T00:00:00"/>
    <n v="0"/>
    <n v="0"/>
    <x v="0"/>
    <n v="3675"/>
    <n v="624"/>
    <x v="0"/>
    <x v="0"/>
    <x v="0"/>
    <s v="Abc/2122-0013"/>
    <n v="-624"/>
    <x v="0"/>
  </r>
  <r>
    <s v="27AAACC9611L1ZI"/>
    <x v="0"/>
    <s v="Xs173852"/>
    <d v="2021-05-29T00:00:00"/>
    <n v="0"/>
    <n v="0"/>
    <x v="0"/>
    <n v="53800"/>
    <n v="9684"/>
    <x v="0"/>
    <x v="0"/>
    <x v="0"/>
    <s v="Abc/2122-0657"/>
    <n v="-9684"/>
    <x v="0"/>
  </r>
  <r>
    <s v="27AAACG1463E1ZZ"/>
    <x v="0"/>
    <s v="B/Gst/21-22/232"/>
    <d v="2021-04-19T00:00:00"/>
    <n v="0"/>
    <n v="0"/>
    <x v="0"/>
    <n v="46000"/>
    <n v="8280"/>
    <x v="0"/>
    <x v="0"/>
    <x v="0"/>
    <s v="Abc/2122-0232"/>
    <n v="-8280"/>
    <x v="0"/>
  </r>
  <r>
    <s v="27ACYFS5944F1ZD"/>
    <x v="0"/>
    <s v="Sab/20-21/273"/>
    <d v="2021-03-22T00:00:00"/>
    <n v="0"/>
    <n v="0"/>
    <x v="0"/>
    <n v="25750"/>
    <n v="4635"/>
    <x v="0"/>
    <x v="1"/>
    <x v="0"/>
    <s v="Abc/2122-0024"/>
    <n v="-4635"/>
    <x v="0"/>
  </r>
  <r>
    <s v="27AFDPD4553M1ZC"/>
    <x v="0"/>
    <s v="Dgs/M/067/21-22"/>
    <d v="2021-05-03T00:00:00"/>
    <n v="0"/>
    <n v="0"/>
    <x v="0"/>
    <n v="501800"/>
    <n v="90324"/>
    <x v="0"/>
    <x v="0"/>
    <x v="0"/>
    <s v="Abc/2122-0362"/>
    <n v="-90324"/>
    <x v="0"/>
  </r>
  <r>
    <s v="05AAPPG3064R1Z7"/>
    <x v="0"/>
    <s v="Rkdp/21-22/14482"/>
    <d v="2021-07-15T00:00:00"/>
    <n v="0"/>
    <n v="0"/>
    <x v="0"/>
    <n v="9900"/>
    <n v="1782"/>
    <x v="0"/>
    <x v="0"/>
    <x v="0"/>
    <s v="Abc/2122-1286"/>
    <n v="-1782"/>
    <x v="0"/>
  </r>
  <r>
    <s v="05ABYPS3455J1ZX"/>
    <x v="0"/>
    <s v="2727"/>
    <d v="2021-08-16T00:00:00"/>
    <n v="0"/>
    <n v="0"/>
    <x v="0"/>
    <n v="996.8"/>
    <n v="179.42"/>
    <x v="0"/>
    <x v="0"/>
    <x v="0"/>
    <s v="Abc/2122-0587"/>
    <n v="-179.42"/>
    <x v="0"/>
  </r>
  <r>
    <s v="05ADSPV8873F1ZP"/>
    <x v="0"/>
    <s v="0000473"/>
    <d v="2021-08-27T00:00:00"/>
    <n v="0"/>
    <n v="0"/>
    <x v="0"/>
    <n v="2925"/>
    <n v="526.5"/>
    <x v="0"/>
    <x v="0"/>
    <x v="0"/>
    <s v="Abc/2122-0590"/>
    <n v="-526.5"/>
    <x v="0"/>
  </r>
  <r>
    <s v="05AACFJ5445Q1ZZ"/>
    <x v="0"/>
    <s v="236/21-22"/>
    <d v="2021-04-26T00:00:00"/>
    <n v="0"/>
    <n v="0"/>
    <x v="0"/>
    <n v="114900.54"/>
    <n v="13788.06"/>
    <x v="0"/>
    <x v="0"/>
    <x v="0"/>
    <s v="Abc/2122-0819"/>
    <n v="-13788.06"/>
    <x v="0"/>
  </r>
  <r>
    <s v="05DPVPS8425C1ZF"/>
    <x v="0"/>
    <s v="4628"/>
    <d v="2021-07-14T00:00:00"/>
    <n v="0"/>
    <n v="0"/>
    <x v="0"/>
    <n v="22800"/>
    <n v="4104"/>
    <x v="0"/>
    <x v="0"/>
    <x v="0"/>
    <s v="Abc/2122-0403"/>
    <n v="-4104"/>
    <x v="0"/>
  </r>
  <r>
    <s v="05ACDFS1048P1ZW"/>
    <x v="0"/>
    <s v="Gst-286"/>
    <d v="2021-07-29T00:00:00"/>
    <n v="0"/>
    <n v="0"/>
    <x v="0"/>
    <n v="245000"/>
    <n v="44100"/>
    <x v="0"/>
    <x v="0"/>
    <x v="0"/>
    <s v="Cpx-2/2122-0002"/>
    <n v="-44100"/>
    <x v="0"/>
  </r>
  <r>
    <s v="27AALCA5924F1ZM"/>
    <x v="0"/>
    <s v="Mum004357"/>
    <d v="2021-09-29T00:00:00"/>
    <n v="0"/>
    <n v="0"/>
    <x v="0"/>
    <n v="175466.2"/>
    <n v="31583.919999999998"/>
    <x v="0"/>
    <x v="0"/>
    <x v="0"/>
    <s v="Abc/2122-1703"/>
    <n v="-31583.919999999998"/>
    <x v="0"/>
  </r>
  <r>
    <s v="05AITPR7920D2ZY"/>
    <x v="0"/>
    <s v="32"/>
    <d v="2022-02-01T00:00:00"/>
    <n v="0"/>
    <n v="0"/>
    <x v="0"/>
    <n v="-3000"/>
    <n v="-540"/>
    <x v="0"/>
    <x v="0"/>
    <x v="0"/>
    <s v="Abc/2122-0009"/>
    <n v="540"/>
    <x v="0"/>
  </r>
  <r>
    <s v="05AACFJ5445Q1ZZ"/>
    <x v="0"/>
    <s v="2226/21-22"/>
    <d v="2021-12-16T00:00:00"/>
    <n v="0"/>
    <n v="0"/>
    <x v="0"/>
    <n v="-1082.7"/>
    <n v="-129.91999999999999"/>
    <x v="0"/>
    <x v="0"/>
    <x v="0"/>
    <s v="Abc/2122-0067"/>
    <n v="129.91999999999999"/>
    <x v="0"/>
  </r>
  <r>
    <s v="05AABCG9199A1ZN"/>
    <x v="0"/>
    <s v="0022/Gst/21-22"/>
    <d v="2021-04-28T00:00:00"/>
    <n v="0"/>
    <n v="0"/>
    <x v="0"/>
    <n v="-1618.8"/>
    <n v="-194.26"/>
    <x v="0"/>
    <x v="0"/>
    <x v="0"/>
    <s v="Abc/2122-0005"/>
    <n v="194.26"/>
    <x v="0"/>
  </r>
  <r>
    <s v="05AACFJ5445Q1ZZ"/>
    <x v="0"/>
    <s v="2521/21-22"/>
    <d v="2022-01-20T00:00:00"/>
    <n v="0"/>
    <n v="0"/>
    <x v="0"/>
    <n v="-484.2"/>
    <n v="-87.16"/>
    <x v="0"/>
    <x v="0"/>
    <x v="0"/>
    <s v="Abc/2122-0081"/>
    <n v="87.16"/>
    <x v="0"/>
  </r>
  <r>
    <s v="05AABCG9199A1ZN"/>
    <x v="0"/>
    <s v="330/Gst/21-22"/>
    <d v="2022-03-15T00:00:00"/>
    <n v="0"/>
    <n v="0"/>
    <x v="0"/>
    <n v="-1072.2"/>
    <n v="-128.66"/>
    <x v="0"/>
    <x v="0"/>
    <x v="0"/>
    <s v="Abc/2122-0066"/>
    <n v="128.66"/>
    <x v="0"/>
  </r>
  <r>
    <s v="05AMGPM6436L1ZR"/>
    <x v="0"/>
    <s v="1"/>
    <d v="2021-05-19T00:00:00"/>
    <n v="0"/>
    <n v="0"/>
    <x v="0"/>
    <n v="-65205"/>
    <n v="-11736.9"/>
    <x v="0"/>
    <x v="0"/>
    <x v="0"/>
    <s v="Abc/2122-0008"/>
    <n v="11736.9"/>
    <x v="0"/>
  </r>
  <r>
    <s v="05AITPR7920D2ZY"/>
    <x v="0"/>
    <s v="33"/>
    <d v="2022-02-01T00:00:00"/>
    <n v="0"/>
    <n v="0"/>
    <x v="0"/>
    <n v="-16000"/>
    <n v="-2880"/>
    <x v="0"/>
    <x v="0"/>
    <x v="0"/>
    <s v="Abc/2122-0026"/>
    <n v="2880"/>
    <x v="0"/>
  </r>
  <r>
    <s v="36AADFL3339E1ZJ"/>
    <x v="0"/>
    <s v="Si-2/609,383"/>
    <d v="2021-07-28T00:00:00"/>
    <n v="0"/>
    <n v="0"/>
    <x v="0"/>
    <n v="-23004.18"/>
    <n v="-4140.76"/>
    <x v="0"/>
    <x v="0"/>
    <x v="0"/>
    <s v="Abc/2122-0034"/>
    <n v="4140.76"/>
    <x v="0"/>
  </r>
  <r>
    <s v="27AFDPD4553M1ZC"/>
    <x v="0"/>
    <s v="9"/>
    <d v="2022-02-01T00:00:00"/>
    <n v="0"/>
    <n v="0"/>
    <x v="0"/>
    <n v="-2934"/>
    <n v="-528.12"/>
    <x v="0"/>
    <x v="0"/>
    <x v="0"/>
    <s v="Abc/2122-0074"/>
    <n v="528.12"/>
    <x v="0"/>
  </r>
  <r>
    <s v="05AJMPR4625B1ZC"/>
    <x v="0"/>
    <s v="21"/>
    <d v="2021-04-14T00:00:00"/>
    <n v="0"/>
    <n v="0"/>
    <x v="0"/>
    <n v="-7503.6"/>
    <n v="-1350.64"/>
    <x v="0"/>
    <x v="0"/>
    <x v="0"/>
    <s v="Abc/2122-0002"/>
    <n v="1350.64"/>
    <x v="0"/>
  </r>
  <r>
    <s v="05AAACM9418K1ZB"/>
    <x v="0"/>
    <s v="Uk03-Fy22-00023"/>
    <d v="2021-05-08T00:00:00"/>
    <n v="0"/>
    <n v="0"/>
    <x v="0"/>
    <n v="-589.79999999999995"/>
    <n v="-106.16"/>
    <x v="0"/>
    <x v="0"/>
    <x v="0"/>
    <s v="Abc/2122-0011"/>
    <n v="106.16"/>
    <x v="0"/>
  </r>
  <r>
    <s v="05AACFJ5445Q1ZZ"/>
    <x v="0"/>
    <s v="44"/>
    <d v="2021-06-30T00:00:00"/>
    <n v="0"/>
    <n v="0"/>
    <x v="0"/>
    <n v="-1288.5"/>
    <n v="-154.62"/>
    <x v="0"/>
    <x v="0"/>
    <x v="0"/>
    <s v="Abc/2122-0018"/>
    <n v="154.62"/>
    <x v="0"/>
  </r>
  <r>
    <s v="05AJMPR4625B1ZC"/>
    <x v="0"/>
    <s v="Dn22122-0080"/>
    <d v="2022-01-28T00:00:00"/>
    <n v="0"/>
    <n v="0"/>
    <x v="0"/>
    <n v="-35750"/>
    <n v="-6435"/>
    <x v="0"/>
    <x v="0"/>
    <x v="0"/>
    <s v="Abc/2122-0080"/>
    <n v="6435"/>
    <x v="0"/>
  </r>
  <r>
    <s v="27FOJPS2666C1ZM"/>
    <x v="0"/>
    <s v="Dn2/2122-0001"/>
    <d v="2021-04-17T00:00:00"/>
    <n v="0"/>
    <n v="0"/>
    <x v="0"/>
    <n v="-2760"/>
    <n v="-496.8"/>
    <x v="0"/>
    <x v="0"/>
    <x v="0"/>
    <s v="Abc/2122-0001"/>
    <n v="496.8"/>
    <x v="0"/>
  </r>
  <r>
    <s v="05AACFJ5445Q1ZZ"/>
    <x v="0"/>
    <s v="989/21-22"/>
    <d v="2021-07-26T00:00:00"/>
    <n v="0"/>
    <n v="0"/>
    <x v="0"/>
    <n v="-290"/>
    <n v="-34.799999999999997"/>
    <x v="0"/>
    <x v="0"/>
    <x v="0"/>
    <s v="Abc/2122-0022"/>
    <n v="34.799999999999997"/>
    <x v="0"/>
  </r>
  <r>
    <s v="01AAACF0109J1ZE"/>
    <x v="0"/>
    <s v="21112041000404"/>
    <d v="2021-10-24T00:00:00"/>
    <n v="0"/>
    <n v="0"/>
    <x v="0"/>
    <n v="-18817.3"/>
    <n v="-3387.11"/>
    <x v="0"/>
    <x v="0"/>
    <x v="0"/>
    <s v="Abc/2122-0048"/>
    <n v="3387.11"/>
    <x v="0"/>
  </r>
  <r>
    <s v="05AABCG9199A1ZN"/>
    <x v="0"/>
    <s v="331/Gst/21-22"/>
    <d v="2022-03-15T00:00:00"/>
    <n v="0"/>
    <n v="0"/>
    <x v="0"/>
    <n v="-2026.4"/>
    <n v="-364.76"/>
    <x v="0"/>
    <x v="0"/>
    <x v="0"/>
    <s v="Abc/2122-0085"/>
    <n v="364.76"/>
    <x v="0"/>
  </r>
  <r>
    <s v="05AAGCA0510J1Z8"/>
    <x v="0"/>
    <s v="2022/A01000911,A01000233"/>
    <d v="2021-08-17T00:00:00"/>
    <n v="0"/>
    <n v="0"/>
    <x v="0"/>
    <n v="-142725"/>
    <n v="-25690.5"/>
    <x v="0"/>
    <x v="0"/>
    <x v="0"/>
    <s v="Abc/2122-0038"/>
    <n v="25690.5"/>
    <x v="0"/>
  </r>
  <r>
    <s v="05BCYPK9624H1Z0"/>
    <x v="0"/>
    <s v="Dn2/2122-0029"/>
    <d v="2021-08-14T00:00:00"/>
    <n v="0"/>
    <n v="0"/>
    <x v="0"/>
    <n v="-40000"/>
    <n v="-7200"/>
    <x v="0"/>
    <x v="0"/>
    <x v="0"/>
    <s v="Abc/2122-0029"/>
    <n v="7200"/>
    <x v="0"/>
  </r>
  <r>
    <s v="05AACFJ5445Q1ZZ"/>
    <x v="0"/>
    <s v="2520/21-22"/>
    <d v="2022-01-20T00:00:00"/>
    <n v="0"/>
    <n v="0"/>
    <x v="0"/>
    <n v="-1581"/>
    <n v="-284.60000000000002"/>
    <x v="0"/>
    <x v="0"/>
    <x v="0"/>
    <s v="Abc/2122-0082"/>
    <n v="284.60000000000002"/>
    <x v="0"/>
  </r>
  <r>
    <s v="27ABCDEFJHIJ1Z7"/>
    <x v="1"/>
    <s v="N125"/>
    <d v="2021-04-27T00:00:00"/>
    <n v="451200"/>
    <n v="81216"/>
    <x v="0"/>
    <n v="0"/>
    <n v="0"/>
    <x v="0"/>
    <x v="2"/>
    <x v="1"/>
    <m/>
    <n v="81216"/>
    <x v="0"/>
  </r>
  <r>
    <s v="27ABCDEFJHIJ1Z3"/>
    <x v="1"/>
    <s v="Iv2022101336"/>
    <d v="2021-04-24T00:00:00"/>
    <n v="477000"/>
    <n v="85860"/>
    <x v="0"/>
    <n v="0"/>
    <n v="0"/>
    <x v="0"/>
    <x v="2"/>
    <x v="1"/>
    <m/>
    <n v="85860"/>
    <x v="0"/>
  </r>
  <r>
    <s v="05ABCDEFJHIJ1ZA"/>
    <x v="1"/>
    <s v="59000198"/>
    <d v="2021-04-03T00:00:00"/>
    <n v="493344.08"/>
    <n v="88801.919999999998"/>
    <x v="0"/>
    <n v="0"/>
    <n v="0"/>
    <x v="0"/>
    <x v="2"/>
    <x v="1"/>
    <m/>
    <n v="88801.919999999998"/>
    <x v="0"/>
  </r>
  <r>
    <s v="07ABCDEFJHIJ1ZQ"/>
    <x v="1"/>
    <s v="221"/>
    <d v="2021-01-27T00:00:00"/>
    <n v="82178"/>
    <n v="14792.04"/>
    <x v="0"/>
    <n v="0"/>
    <n v="0"/>
    <x v="0"/>
    <x v="3"/>
    <x v="1"/>
    <m/>
    <n v="14792.04"/>
    <x v="0"/>
  </r>
  <r>
    <s v="05ABCDEFJHIJ1Z4"/>
    <x v="1"/>
    <s v="Vicgpl/2122/27"/>
    <d v="2021-04-05T00:00:00"/>
    <n v="162000"/>
    <n v="29160"/>
    <x v="0"/>
    <n v="0"/>
    <n v="0"/>
    <x v="0"/>
    <x v="2"/>
    <x v="1"/>
    <m/>
    <n v="29160"/>
    <x v="0"/>
  </r>
  <r>
    <s v="05ABCDEFJHIJ1Z4"/>
    <x v="1"/>
    <s v="Vicgpl/2122/142"/>
    <d v="2021-04-15T00:00:00"/>
    <n v="211200"/>
    <n v="38016"/>
    <x v="0"/>
    <n v="0"/>
    <n v="0"/>
    <x v="0"/>
    <x v="2"/>
    <x v="1"/>
    <m/>
    <n v="38016"/>
    <x v="0"/>
  </r>
  <r>
    <s v="05ABCDEFJHIJ1ZR"/>
    <x v="1"/>
    <s v="1844"/>
    <d v="2021-04-05T00:00:00"/>
    <n v="80640"/>
    <n v="14515.2"/>
    <x v="0"/>
    <n v="0"/>
    <n v="0"/>
    <x v="0"/>
    <x v="2"/>
    <x v="1"/>
    <m/>
    <n v="14515.2"/>
    <x v="0"/>
  </r>
  <r>
    <s v="05ABCDEFJHIJ1ZR"/>
    <x v="1"/>
    <s v="1854"/>
    <d v="2021-04-08T00:00:00"/>
    <n v="84002"/>
    <n v="15120.36"/>
    <x v="0"/>
    <n v="0"/>
    <n v="0"/>
    <x v="0"/>
    <x v="2"/>
    <x v="1"/>
    <m/>
    <n v="15120.36"/>
    <x v="0"/>
  </r>
  <r>
    <s v="05ABCDEFJHIJ1ZR"/>
    <x v="1"/>
    <s v="1857"/>
    <d v="2021-04-09T00:00:00"/>
    <n v="73530"/>
    <n v="13235.4"/>
    <x v="0"/>
    <n v="0"/>
    <n v="0"/>
    <x v="0"/>
    <x v="2"/>
    <x v="1"/>
    <m/>
    <n v="13235.4"/>
    <x v="0"/>
  </r>
  <r>
    <s v="05ABCDEFJHIJ1ZR"/>
    <x v="1"/>
    <s v="1861"/>
    <d v="2021-04-10T00:00:00"/>
    <n v="73530"/>
    <n v="13235.4"/>
    <x v="0"/>
    <n v="0"/>
    <n v="0"/>
    <x v="0"/>
    <x v="2"/>
    <x v="1"/>
    <m/>
    <n v="13235.4"/>
    <x v="0"/>
  </r>
  <r>
    <s v="05ABCDEFJHIJ1ZR"/>
    <x v="1"/>
    <s v="1862"/>
    <d v="2021-04-10T00:00:00"/>
    <n v="112266"/>
    <n v="20207.88"/>
    <x v="0"/>
    <n v="0"/>
    <n v="0"/>
    <x v="0"/>
    <x v="2"/>
    <x v="1"/>
    <m/>
    <n v="20207.88"/>
    <x v="0"/>
  </r>
  <r>
    <s v="05ABCDEFJHIJ1ZR"/>
    <x v="1"/>
    <s v="1865"/>
    <d v="2021-04-12T00:00:00"/>
    <n v="112266"/>
    <n v="20207.88"/>
    <x v="0"/>
    <n v="0"/>
    <n v="0"/>
    <x v="0"/>
    <x v="2"/>
    <x v="1"/>
    <m/>
    <n v="20207.88"/>
    <x v="0"/>
  </r>
  <r>
    <s v="05ABCDEFJHIJ1ZR"/>
    <x v="1"/>
    <s v="1867"/>
    <d v="2021-04-12T00:00:00"/>
    <n v="96826"/>
    <n v="17428.68"/>
    <x v="0"/>
    <n v="0"/>
    <n v="0"/>
    <x v="0"/>
    <x v="2"/>
    <x v="1"/>
    <m/>
    <n v="17428.68"/>
    <x v="0"/>
  </r>
  <r>
    <s v="05ABCDEFJHIJ1ZR"/>
    <x v="1"/>
    <s v="1869"/>
    <d v="2021-04-13T00:00:00"/>
    <n v="102650"/>
    <n v="18477"/>
    <x v="0"/>
    <n v="0"/>
    <n v="0"/>
    <x v="0"/>
    <x v="2"/>
    <x v="1"/>
    <m/>
    <n v="18477"/>
    <x v="0"/>
  </r>
  <r>
    <s v="05ABCDEFJHIJ1ZR"/>
    <x v="1"/>
    <s v="1870"/>
    <d v="2021-04-13T00:00:00"/>
    <n v="112266"/>
    <n v="20207.88"/>
    <x v="0"/>
    <n v="0"/>
    <n v="0"/>
    <x v="0"/>
    <x v="2"/>
    <x v="1"/>
    <m/>
    <n v="20207.88"/>
    <x v="0"/>
  </r>
  <r>
    <s v="05ABCDEFJHIJ1ZR"/>
    <x v="1"/>
    <s v="1876"/>
    <d v="2021-04-15T00:00:00"/>
    <n v="130556"/>
    <n v="23500.080000000002"/>
    <x v="0"/>
    <n v="0"/>
    <n v="0"/>
    <x v="0"/>
    <x v="2"/>
    <x v="1"/>
    <m/>
    <n v="23500.080000000002"/>
    <x v="0"/>
  </r>
  <r>
    <s v="05ABCDEFJHIJ1ZR"/>
    <x v="1"/>
    <s v="1881"/>
    <d v="2021-04-15T00:00:00"/>
    <n v="81270"/>
    <n v="14628.6"/>
    <x v="0"/>
    <n v="0"/>
    <n v="0"/>
    <x v="0"/>
    <x v="2"/>
    <x v="1"/>
    <m/>
    <n v="14628.6"/>
    <x v="0"/>
  </r>
  <r>
    <s v="05ABCDEFJHIJ1ZR"/>
    <x v="1"/>
    <s v="1885"/>
    <d v="2021-04-16T00:00:00"/>
    <n v="84002"/>
    <n v="15120.36"/>
    <x v="0"/>
    <n v="0"/>
    <n v="0"/>
    <x v="0"/>
    <x v="2"/>
    <x v="1"/>
    <m/>
    <n v="15120.36"/>
    <x v="0"/>
  </r>
  <r>
    <s v="05ABCDEFJHIJ1ZR"/>
    <x v="1"/>
    <s v="1886"/>
    <d v="2021-04-17T00:00:00"/>
    <n v="184400"/>
    <n v="33192"/>
    <x v="0"/>
    <n v="0"/>
    <n v="0"/>
    <x v="0"/>
    <x v="2"/>
    <x v="1"/>
    <m/>
    <n v="33192"/>
    <x v="0"/>
  </r>
  <r>
    <s v="05ABCDEFJHIJ1ZR"/>
    <x v="1"/>
    <s v="1889"/>
    <d v="2021-04-17T00:00:00"/>
    <n v="82968"/>
    <n v="14934.24"/>
    <x v="0"/>
    <n v="0"/>
    <n v="0"/>
    <x v="0"/>
    <x v="2"/>
    <x v="1"/>
    <m/>
    <n v="14934.24"/>
    <x v="0"/>
  </r>
  <r>
    <s v="05ABCDEFJHIJ1ZR"/>
    <x v="1"/>
    <s v="1892"/>
    <d v="2021-04-19T00:00:00"/>
    <n v="83850"/>
    <n v="15093"/>
    <x v="0"/>
    <n v="0"/>
    <n v="0"/>
    <x v="0"/>
    <x v="2"/>
    <x v="1"/>
    <m/>
    <n v="15093"/>
    <x v="0"/>
  </r>
  <r>
    <s v="05ABCDEFJHIJ1ZR"/>
    <x v="1"/>
    <s v="1895"/>
    <d v="2021-04-19T00:00:00"/>
    <n v="116878"/>
    <n v="21038.04"/>
    <x v="0"/>
    <n v="0"/>
    <n v="0"/>
    <x v="0"/>
    <x v="2"/>
    <x v="1"/>
    <m/>
    <n v="21038.04"/>
    <x v="0"/>
  </r>
  <r>
    <s v="05ABCDEFJHIJ1ZR"/>
    <x v="1"/>
    <s v="1898"/>
    <d v="2021-04-20T00:00:00"/>
    <n v="115400"/>
    <n v="20772"/>
    <x v="0"/>
    <n v="0"/>
    <n v="0"/>
    <x v="0"/>
    <x v="2"/>
    <x v="1"/>
    <m/>
    <n v="20772"/>
    <x v="0"/>
  </r>
  <r>
    <s v="05ABCDEFJHIJ1ZR"/>
    <x v="1"/>
    <s v="1902"/>
    <d v="2021-04-23T00:00:00"/>
    <n v="74308"/>
    <n v="13375.44"/>
    <x v="0"/>
    <n v="0"/>
    <n v="0"/>
    <x v="0"/>
    <x v="2"/>
    <x v="1"/>
    <m/>
    <n v="13375.44"/>
    <x v="0"/>
  </r>
  <r>
    <s v="05ABCDEFJHIJ1ZR"/>
    <x v="1"/>
    <s v="1911"/>
    <d v="2021-04-28T00:00:00"/>
    <n v="120824"/>
    <n v="21748.32"/>
    <x v="0"/>
    <n v="0"/>
    <n v="0"/>
    <x v="0"/>
    <x v="2"/>
    <x v="1"/>
    <m/>
    <n v="21748.32"/>
    <x v="0"/>
  </r>
  <r>
    <s v="05ABCDEFJHIJ1ZE"/>
    <x v="1"/>
    <s v="001"/>
    <d v="2021-04-30T00:00:00"/>
    <n v="249126"/>
    <n v="44842.68"/>
    <x v="0"/>
    <n v="0"/>
    <n v="0"/>
    <x v="0"/>
    <x v="2"/>
    <x v="1"/>
    <m/>
    <n v="44842.68"/>
    <x v="0"/>
  </r>
  <r>
    <s v="05ABCDEFJHIJ1ZE"/>
    <x v="1"/>
    <s v="002"/>
    <d v="2021-04-30T00:00:00"/>
    <n v="133990"/>
    <n v="24118.2"/>
    <x v="0"/>
    <n v="0"/>
    <n v="0"/>
    <x v="0"/>
    <x v="2"/>
    <x v="1"/>
    <m/>
    <n v="24118.2"/>
    <x v="0"/>
  </r>
  <r>
    <s v="06ABCDEFJHIJ1Z0"/>
    <x v="1"/>
    <s v="21-22/Tc/0001"/>
    <d v="2021-04-01T00:00:00"/>
    <n v="84400"/>
    <n v="15192"/>
    <x v="0"/>
    <n v="0"/>
    <n v="0"/>
    <x v="0"/>
    <x v="2"/>
    <x v="1"/>
    <m/>
    <n v="15192"/>
    <x v="0"/>
  </r>
  <r>
    <s v="05ABCDEFJHIJ1ZH"/>
    <x v="1"/>
    <s v="406"/>
    <d v="2021-02-28T00:00:00"/>
    <n v="812"/>
    <n v="146.16"/>
    <x v="0"/>
    <n v="0"/>
    <n v="0"/>
    <x v="0"/>
    <x v="3"/>
    <x v="1"/>
    <m/>
    <n v="146.16"/>
    <x v="0"/>
  </r>
  <r>
    <s v="24ABCDEFJHIJ1Z9"/>
    <x v="1"/>
    <s v="Va21000000000055"/>
    <d v="2021-04-03T00:00:00"/>
    <n v="3398400"/>
    <n v="611712"/>
    <x v="0"/>
    <n v="0"/>
    <n v="0"/>
    <x v="0"/>
    <x v="2"/>
    <x v="1"/>
    <m/>
    <n v="611712"/>
    <x v="0"/>
  </r>
  <r>
    <s v="24ABCDEFJHIJ1Z9"/>
    <x v="1"/>
    <s v="Va21000000000583"/>
    <d v="2021-04-16T00:00:00"/>
    <n v="4624576"/>
    <n v="832424"/>
    <x v="0"/>
    <n v="0"/>
    <n v="0"/>
    <x v="0"/>
    <x v="2"/>
    <x v="1"/>
    <m/>
    <n v="832424"/>
    <x v="0"/>
  </r>
  <r>
    <s v="24ABCDEFJHIJ1Z9"/>
    <x v="1"/>
    <s v="Va21000000000723"/>
    <d v="2021-04-19T00:00:00"/>
    <n v="4740386"/>
    <n v="853270"/>
    <x v="0"/>
    <n v="0"/>
    <n v="0"/>
    <x v="0"/>
    <x v="2"/>
    <x v="1"/>
    <m/>
    <n v="853270"/>
    <x v="0"/>
  </r>
  <r>
    <s v="24ABCDEFJHIJ1Z9"/>
    <x v="1"/>
    <s v="Va21000000001017"/>
    <d v="2021-04-24T00:00:00"/>
    <n v="4756036"/>
    <n v="856086"/>
    <x v="0"/>
    <n v="0"/>
    <n v="0"/>
    <x v="0"/>
    <x v="2"/>
    <x v="1"/>
    <m/>
    <n v="856086"/>
    <x v="0"/>
  </r>
  <r>
    <s v="24ABCDEFJHIJ1Z9"/>
    <x v="1"/>
    <s v="Va21000000001196"/>
    <d v="2021-04-29T00:00:00"/>
    <n v="4729430"/>
    <n v="851298"/>
    <x v="0"/>
    <n v="0"/>
    <n v="0"/>
    <x v="0"/>
    <x v="2"/>
    <x v="1"/>
    <m/>
    <n v="851298"/>
    <x v="0"/>
  </r>
  <r>
    <s v="09ABCDEFJHIJ1ZA"/>
    <x v="1"/>
    <s v="Hald/2122/D0109"/>
    <d v="2021-04-08T00:00:00"/>
    <n v="74131.199999999997"/>
    <n v="13343.62"/>
    <x v="0"/>
    <n v="0"/>
    <n v="0"/>
    <x v="0"/>
    <x v="2"/>
    <x v="1"/>
    <m/>
    <n v="13343.62"/>
    <x v="0"/>
  </r>
  <r>
    <s v="05ABCDEFJHIJ1ZJ"/>
    <x v="1"/>
    <s v="21-22/0076"/>
    <d v="2021-04-08T00:00:00"/>
    <n v="4727.16"/>
    <n v="850.88"/>
    <x v="0"/>
    <n v="0"/>
    <n v="0"/>
    <x v="0"/>
    <x v="2"/>
    <x v="1"/>
    <m/>
    <n v="850.88"/>
    <x v="0"/>
  </r>
  <r>
    <s v="27ABCDEFJHIJ1ZZ"/>
    <x v="1"/>
    <s v="B/Gst/21-22/232"/>
    <d v="2021-04-19T00:00:00"/>
    <n v="92000"/>
    <n v="16560"/>
    <x v="0"/>
    <n v="0"/>
    <n v="0"/>
    <x v="0"/>
    <x v="2"/>
    <x v="1"/>
    <m/>
    <n v="16560"/>
    <x v="0"/>
  </r>
  <r>
    <s v="27ABCDEFJHIJ1ZL"/>
    <x v="1"/>
    <s v="8135030747"/>
    <d v="2021-04-15T00:00:00"/>
    <n v="134265.60000000001"/>
    <n v="24167.8"/>
    <x v="0"/>
    <n v="0"/>
    <n v="0"/>
    <x v="0"/>
    <x v="2"/>
    <x v="1"/>
    <m/>
    <n v="24167.8"/>
    <x v="0"/>
  </r>
  <r>
    <s v="27ABCDEFJHIJ1ZL"/>
    <x v="1"/>
    <s v="8135030748"/>
    <d v="2021-04-15T00:00:00"/>
    <n v="696800"/>
    <n v="125424"/>
    <x v="0"/>
    <n v="0"/>
    <n v="0"/>
    <x v="0"/>
    <x v="2"/>
    <x v="1"/>
    <m/>
    <n v="125424"/>
    <x v="0"/>
  </r>
  <r>
    <s v="27ABCDEFJHIJ1ZL"/>
    <x v="1"/>
    <s v="8135030822"/>
    <d v="2021-04-20T00:00:00"/>
    <n v="696800"/>
    <n v="125424"/>
    <x v="0"/>
    <n v="0"/>
    <n v="0"/>
    <x v="0"/>
    <x v="2"/>
    <x v="1"/>
    <m/>
    <n v="125424"/>
    <x v="0"/>
  </r>
  <r>
    <s v="05ABCDEFJHIJ1ZT"/>
    <x v="1"/>
    <s v="Bm2205I000062266"/>
    <d v="2021-04-27T00:00:00"/>
    <n v="3588"/>
    <n v="645.84"/>
    <x v="0"/>
    <n v="0"/>
    <n v="0"/>
    <x v="0"/>
    <x v="2"/>
    <x v="1"/>
    <m/>
    <n v="645.84"/>
    <x v="0"/>
  </r>
  <r>
    <s v="24ABCDEFJHIJ1Z9"/>
    <x v="1"/>
    <s v="Gst-493"/>
    <d v="2021-03-03T00:00:00"/>
    <n v="55800"/>
    <n v="10044"/>
    <x v="0"/>
    <n v="0"/>
    <n v="0"/>
    <x v="0"/>
    <x v="4"/>
    <x v="1"/>
    <m/>
    <n v="10044"/>
    <x v="0"/>
  </r>
  <r>
    <s v="05ABCDEFJHIJ1Z1"/>
    <x v="1"/>
    <s v="508"/>
    <d v="2021-01-05T00:00:00"/>
    <n v="4000"/>
    <n v="720"/>
    <x v="0"/>
    <n v="0"/>
    <n v="0"/>
    <x v="0"/>
    <x v="3"/>
    <x v="1"/>
    <m/>
    <n v="720"/>
    <x v="0"/>
  </r>
  <r>
    <s v="05ABCDEFJHIJ1Z1"/>
    <x v="1"/>
    <s v="509"/>
    <d v="2021-01-05T00:00:00"/>
    <n v="7200"/>
    <n v="1296"/>
    <x v="0"/>
    <n v="0"/>
    <n v="0"/>
    <x v="0"/>
    <x v="3"/>
    <x v="1"/>
    <m/>
    <n v="1296"/>
    <x v="0"/>
  </r>
  <r>
    <s v="05ABCDEFJHIJ1ZF"/>
    <x v="2"/>
    <s v="12345"/>
    <d v="2020-06-10T00:00:00"/>
    <n v="182692"/>
    <n v="32884"/>
    <x v="0"/>
    <n v="0"/>
    <n v="0"/>
    <x v="0"/>
    <x v="3"/>
    <x v="2"/>
    <m/>
    <n v="32884"/>
    <x v="0"/>
  </r>
  <r>
    <s v="05ABCDEFJHIJ1ZY"/>
    <x v="3"/>
    <s v="1"/>
    <d v="2020-10-01T00:00:00"/>
    <n v="-4719.5"/>
    <n v="-849.52"/>
    <x v="0"/>
    <n v="0"/>
    <n v="0"/>
    <x v="0"/>
    <x v="3"/>
    <x v="3"/>
    <m/>
    <n v="-849.52"/>
    <x v="0"/>
  </r>
  <r>
    <s v="05ABCDEFJHIJ1ZY"/>
    <x v="3"/>
    <s v="1"/>
    <d v="2020-10-01T00:00:00"/>
    <n v="-4719.5"/>
    <n v="-849.52"/>
    <x v="0"/>
    <n v="0"/>
    <n v="0"/>
    <x v="0"/>
    <x v="3"/>
    <x v="3"/>
    <m/>
    <n v="-849.52"/>
    <x v="0"/>
  </r>
  <r>
    <s v="36ABCDEFJHIJ1ZW"/>
    <x v="4"/>
    <s v="2360000426"/>
    <d v="2021-04-27T00:00:00"/>
    <n v="-31681.25"/>
    <n v="-5702.63"/>
    <x v="0"/>
    <n v="0"/>
    <n v="0"/>
    <x v="0"/>
    <x v="2"/>
    <x v="3"/>
    <m/>
    <n v="-5702.63"/>
    <x v="0"/>
  </r>
  <r>
    <s v="36ABCDEFJHIJ1ZW"/>
    <x v="4"/>
    <s v="2360000426"/>
    <d v="2021-04-27T00:00:00"/>
    <n v="-31681.25"/>
    <n v="-5702.63"/>
    <x v="0"/>
    <n v="0"/>
    <n v="0"/>
    <x v="0"/>
    <x v="2"/>
    <x v="3"/>
    <m/>
    <n v="-5702.63"/>
    <x v="0"/>
  </r>
  <r>
    <s v="IMPG"/>
    <x v="5"/>
    <s v="123456"/>
    <d v="2021-04-06T00:00:00"/>
    <n v="100000"/>
    <n v="18000"/>
    <x v="0"/>
    <n v="0"/>
    <n v="0"/>
    <x v="0"/>
    <x v="2"/>
    <x v="4"/>
    <m/>
    <n v="18000"/>
    <x v="0"/>
  </r>
  <r>
    <s v="IMPG"/>
    <x v="5"/>
    <s v="123456"/>
    <d v="2021-04-06T00:00:00"/>
    <n v="100000"/>
    <n v="18000"/>
    <x v="0"/>
    <n v="0"/>
    <n v="0"/>
    <x v="0"/>
    <x v="2"/>
    <x v="4"/>
    <m/>
    <n v="18000"/>
    <x v="0"/>
  </r>
  <r>
    <s v="23AAACE6761H1ZS"/>
    <x v="6"/>
    <s v="2012091"/>
    <d v="2021-10-27T00:00:00"/>
    <n v="9786"/>
    <n v="1761"/>
    <x v="0"/>
    <n v="0"/>
    <n v="0"/>
    <x v="0"/>
    <x v="2"/>
    <x v="5"/>
    <m/>
    <n v="1761"/>
    <x v="0"/>
  </r>
  <r>
    <s v="23AAACE6761H1ZS"/>
    <x v="6"/>
    <s v="2012625"/>
    <d v="2021-11-11T00:00:00"/>
    <n v="466"/>
    <n v="84"/>
    <x v="0"/>
    <n v="0"/>
    <n v="0"/>
    <x v="0"/>
    <x v="2"/>
    <x v="5"/>
    <m/>
    <n v="84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2">
  <r>
    <s v="05AAACT0086E1ZR"/>
    <s v="Abdefjhijkls"/>
    <s v="Rddin2100862"/>
    <d v="2021-05-09T00:00:00"/>
    <m/>
    <m/>
    <n v="0"/>
    <n v="0"/>
    <n v="0"/>
    <n v="0"/>
    <n v="0"/>
    <n v="578055.36199999996"/>
    <n v="0"/>
    <n v="52025"/>
    <n v="52025"/>
    <n v="0"/>
    <n v="682787"/>
    <x v="0"/>
    <s v="Purchase Register"/>
    <s v="Abc/2122-0314"/>
  </r>
  <r>
    <s v="05DPVPS8425C1ZF"/>
    <s v="Abdefjhijkls"/>
    <s v="4521"/>
    <d v="2021-06-16T00:00:00"/>
    <m/>
    <m/>
    <n v="0"/>
    <n v="0"/>
    <n v="0"/>
    <n v="0"/>
    <n v="0"/>
    <n v="22000"/>
    <n v="0"/>
    <n v="1980"/>
    <n v="1980"/>
    <n v="0"/>
    <n v="25960"/>
    <x v="0"/>
    <s v="Purchase Register"/>
    <s v="Abc/2122-0273"/>
  </r>
  <r>
    <s v="05AEEFS2751Q1ZL"/>
    <s v="Abdefjhijkls"/>
    <s v="162"/>
    <d v="2021-04-21T00:00:00"/>
    <m/>
    <m/>
    <n v="0"/>
    <n v="0"/>
    <n v="0"/>
    <n v="0"/>
    <n v="0"/>
    <n v="2670"/>
    <n v="0"/>
    <n v="241"/>
    <n v="241"/>
    <n v="0"/>
    <n v="3152"/>
    <x v="0"/>
    <s v="Purchase Register"/>
    <s v="Abc/2122-0100"/>
  </r>
  <r>
    <s v="33AAACD2686A1Z6"/>
    <s v="Abdefjhijkls"/>
    <s v="9392101403"/>
    <d v="2021-05-13T00:00:00"/>
    <m/>
    <m/>
    <n v="0"/>
    <n v="0"/>
    <n v="0"/>
    <n v="0"/>
    <n v="0"/>
    <n v="904800"/>
    <n v="162864"/>
    <n v="0"/>
    <n v="0"/>
    <n v="0"/>
    <n v="1068469"/>
    <x v="0"/>
    <s v="Purchase Register"/>
    <s v="Abc/2122-0561"/>
  </r>
  <r>
    <s v="05AJMPB9650L1ZW"/>
    <s v="Abdefjhijkls"/>
    <s v="Apnp/21-22/124"/>
    <d v="2021-05-03T00:00:00"/>
    <m/>
    <m/>
    <n v="0"/>
    <n v="0"/>
    <n v="0"/>
    <n v="0"/>
    <n v="0"/>
    <n v="194194"/>
    <n v="0"/>
    <n v="11651.64"/>
    <n v="11651.64"/>
    <n v="0"/>
    <n v="217497"/>
    <x v="0"/>
    <s v="Purchase Register"/>
    <s v="Abc/2122-0248"/>
  </r>
  <r>
    <s v="34AAWCS4590A1Z4"/>
    <s v="Abdefjhijkls"/>
    <s v="Gst059/21-22"/>
    <d v="2021-04-28T00:00:00"/>
    <m/>
    <m/>
    <n v="0"/>
    <n v="0"/>
    <n v="0"/>
    <n v="0"/>
    <n v="0"/>
    <n v="885800"/>
    <n v="159444"/>
    <n v="0"/>
    <n v="0"/>
    <n v="0"/>
    <n v="1045244"/>
    <x v="0"/>
    <s v="Purchase Register"/>
    <s v="Abc/2122-0363"/>
  </r>
  <r>
    <s v="05AQZPR4855P1ZK"/>
    <s v="Abdefjhijkls"/>
    <s v="Ss-0036/21-22"/>
    <d v="2021-08-02T00:00:00"/>
    <m/>
    <m/>
    <n v="0"/>
    <n v="0"/>
    <n v="0"/>
    <n v="0"/>
    <n v="0"/>
    <n v="4500"/>
    <n v="0"/>
    <n v="405"/>
    <n v="405"/>
    <n v="0"/>
    <n v="5310"/>
    <x v="0"/>
    <s v="Purchase Register"/>
    <s v="Abc/2122-0561"/>
  </r>
  <r>
    <s v="05AAACT0086E1ZR"/>
    <s v="Abdefjhijkls"/>
    <s v="Rddin2101978"/>
    <d v="2021-07-05T00:00:00"/>
    <m/>
    <m/>
    <n v="0"/>
    <n v="0"/>
    <n v="0"/>
    <n v="0"/>
    <n v="0"/>
    <n v="1427529.2490000001"/>
    <n v="0"/>
    <n v="128478"/>
    <n v="128478"/>
    <n v="0"/>
    <n v="1684485"/>
    <x v="0"/>
    <s v="Purchase Register"/>
    <s v="Abc/2122-0886"/>
  </r>
  <r>
    <s v="05BCZPG8311E1ZJ"/>
    <s v="Abdefjhijkls"/>
    <s v="Pr/79/20-21"/>
    <d v="2021-08-27T00:00:00"/>
    <m/>
    <m/>
    <n v="0"/>
    <n v="0"/>
    <n v="0"/>
    <n v="0"/>
    <n v="0"/>
    <n v="19140"/>
    <n v="0"/>
    <n v="1722.6"/>
    <n v="1722.6"/>
    <n v="0"/>
    <n v="22585"/>
    <x v="0"/>
    <s v="Purchase Register"/>
    <s v="Abc/2122-1329"/>
  </r>
  <r>
    <s v="05ADAPC5642F1Z5"/>
    <s v="Abdefjhijkls"/>
    <s v="1499"/>
    <d v="2021-08-02T00:00:00"/>
    <m/>
    <m/>
    <n v="0"/>
    <n v="0"/>
    <n v="0"/>
    <n v="0"/>
    <n v="0"/>
    <n v="1075"/>
    <n v="0"/>
    <n v="96.75"/>
    <n v="96.75"/>
    <n v="0"/>
    <n v="1268"/>
    <x v="0"/>
    <s v="Purchase Register"/>
    <s v="Abc/2122-0515"/>
  </r>
  <r>
    <s v="33AAACD2686A1Z6"/>
    <s v="Abdefjhijkls"/>
    <s v="9392103767"/>
    <d v="2021-08-06T00:00:00"/>
    <m/>
    <m/>
    <n v="0"/>
    <n v="0"/>
    <n v="0"/>
    <n v="0"/>
    <n v="0"/>
    <n v="950000"/>
    <n v="171000"/>
    <n v="0"/>
    <n v="0"/>
    <n v="0"/>
    <n v="1121000"/>
    <x v="0"/>
    <s v="Purchase Register"/>
    <s v="Abc/2122-1210"/>
  </r>
  <r>
    <s v="05ABHFS4750M1ZT"/>
    <s v="Abdefjhijkls"/>
    <s v="20210533"/>
    <d v="2021-07-21T00:00:00"/>
    <m/>
    <m/>
    <n v="0"/>
    <n v="0"/>
    <n v="0"/>
    <n v="0"/>
    <n v="0"/>
    <n v="2310"/>
    <n v="0"/>
    <n v="208"/>
    <n v="208"/>
    <n v="0"/>
    <n v="2726"/>
    <x v="0"/>
    <s v="Purchase Register"/>
    <s v="Abc/2122-0444"/>
  </r>
  <r>
    <s v="05BZQPP7689N1Z2"/>
    <s v="Abdefjhijkls"/>
    <s v="457"/>
    <d v="2021-07-02T00:00:00"/>
    <m/>
    <m/>
    <n v="0"/>
    <n v="0"/>
    <n v="0"/>
    <n v="0"/>
    <n v="0"/>
    <n v="11270"/>
    <n v="0"/>
    <n v="948"/>
    <n v="948"/>
    <n v="0"/>
    <n v="13541"/>
    <x v="0"/>
    <s v="Purchase Register"/>
    <s v="Abc/2122-0370"/>
  </r>
  <r>
    <s v="05AJMPB9650L1ZW"/>
    <s v="Abdefjhijkls"/>
    <s v="Apnp/21-22/526"/>
    <d v="2021-08-17T00:00:00"/>
    <m/>
    <m/>
    <n v="0"/>
    <n v="0"/>
    <n v="0"/>
    <n v="0"/>
    <n v="0"/>
    <n v="215533.25"/>
    <n v="0"/>
    <n v="12932"/>
    <n v="12932"/>
    <n v="0"/>
    <n v="241397"/>
    <x v="0"/>
    <s v="Purchase Register"/>
    <s v="Abc/2122-1192"/>
  </r>
  <r>
    <s v="05AAACI5950L1ZG"/>
    <s v="Abdefjhijkls"/>
    <s v="H05A222101001470"/>
    <d v="2021-08-09T00:00:00"/>
    <m/>
    <m/>
    <n v="0"/>
    <n v="0"/>
    <n v="0"/>
    <n v="0"/>
    <n v="0"/>
    <n v="484135.15500000003"/>
    <n v="0"/>
    <n v="43572.160000000003"/>
    <n v="43572.160000000003"/>
    <n v="0"/>
    <n v="571279"/>
    <x v="0"/>
    <s v="Purchase Register"/>
    <s v="Abc/2122-1131"/>
  </r>
  <r>
    <s v="33AAACD2686A1Z6"/>
    <s v="Abdefjhijkls"/>
    <s v="9392102520"/>
    <d v="2021-06-25T00:00:00"/>
    <m/>
    <m/>
    <n v="0"/>
    <n v="0"/>
    <n v="0"/>
    <n v="0"/>
    <n v="0"/>
    <n v="950000"/>
    <n v="171000"/>
    <n v="0"/>
    <n v="0"/>
    <n v="0"/>
    <n v="1122121"/>
    <x v="0"/>
    <s v="Purchase Register"/>
    <s v="Abc/2122-0858"/>
  </r>
  <r>
    <s v="05APYPB2509Q1ZE"/>
    <s v="Abdefjhijkls"/>
    <s v="Rstc/21-22/154"/>
    <d v="2021-08-14T00:00:00"/>
    <m/>
    <m/>
    <n v="0"/>
    <n v="0"/>
    <n v="0"/>
    <n v="0"/>
    <n v="0"/>
    <n v="1961.12"/>
    <n v="0"/>
    <n v="176.5"/>
    <n v="176.5"/>
    <n v="0"/>
    <n v="2314"/>
    <x v="0"/>
    <s v="Purchase Register"/>
    <s v="Abc/2122-0592"/>
  </r>
  <r>
    <s v="33AAACD2686A1Z6"/>
    <s v="Abdefjhijkls"/>
    <s v="9392104042"/>
    <d v="2021-08-17T00:00:00"/>
    <m/>
    <m/>
    <n v="0"/>
    <n v="0"/>
    <n v="0"/>
    <n v="0"/>
    <n v="0"/>
    <n v="725000"/>
    <n v="130500"/>
    <n v="0"/>
    <n v="0"/>
    <n v="0"/>
    <n v="855500"/>
    <x v="0"/>
    <s v="Purchase Register"/>
    <s v="Abc/2122-1324"/>
  </r>
  <r>
    <s v="05DWIPS5952N1ZP"/>
    <s v="Abdefjhijkls"/>
    <s v="Jvg/085"/>
    <d v="2021-07-01T00:00:00"/>
    <m/>
    <m/>
    <n v="0"/>
    <n v="0"/>
    <n v="0"/>
    <n v="0"/>
    <n v="0"/>
    <n v="40000"/>
    <n v="0"/>
    <n v="2400"/>
    <n v="2400"/>
    <n v="0"/>
    <n v="44800"/>
    <x v="0"/>
    <s v="Purchase Register"/>
    <s v="Abc/2122-0345"/>
  </r>
  <r>
    <s v="05ADAPC5642F1Z5"/>
    <s v="Abdefjhijkls"/>
    <s v="1154"/>
    <d v="2021-07-07T00:00:00"/>
    <m/>
    <m/>
    <n v="0"/>
    <n v="0"/>
    <n v="0"/>
    <n v="0"/>
    <n v="0"/>
    <n v="4276"/>
    <n v="0"/>
    <n v="319.83999999999997"/>
    <n v="319.83999999999997"/>
    <n v="0"/>
    <n v="4916"/>
    <x v="0"/>
    <s v="Purchase Register"/>
    <s v="Abc/2122-0380"/>
  </r>
  <r>
    <s v="06AADCD8661N1Z6"/>
    <s v="Abdefjhijkls"/>
    <s v="Ds00725/2021-22"/>
    <d v="2021-07-02T00:00:00"/>
    <m/>
    <m/>
    <n v="0"/>
    <n v="0"/>
    <n v="0"/>
    <n v="0"/>
    <n v="0"/>
    <n v="4750"/>
    <n v="570"/>
    <n v="0"/>
    <n v="0"/>
    <n v="0"/>
    <n v="5320"/>
    <x v="0"/>
    <s v="Purchase Register"/>
    <s v="Abc/2122-0373"/>
  </r>
  <r>
    <s v="05AACFJ5445Q1ZZ"/>
    <s v="Abdefjhijkls"/>
    <s v="1106/21-22"/>
    <d v="2021-08-09T00:00:00"/>
    <m/>
    <m/>
    <n v="0"/>
    <n v="0"/>
    <n v="0"/>
    <n v="0"/>
    <n v="0"/>
    <n v="217160.4"/>
    <n v="0"/>
    <n v="13029.62"/>
    <n v="13029.62"/>
    <n v="0"/>
    <n v="243220"/>
    <x v="0"/>
    <s v="Purchase Register"/>
    <s v="Abc/2122-1145"/>
  </r>
  <r>
    <s v="05ABUPC8713H1ZJ"/>
    <s v="Abdefjhijkls"/>
    <s v="21-22/1784"/>
    <d v="2021-09-24T00:00:00"/>
    <m/>
    <m/>
    <n v="0"/>
    <n v="0"/>
    <n v="0"/>
    <n v="0"/>
    <n v="0"/>
    <n v="9567.93"/>
    <n v="0"/>
    <n v="861.11"/>
    <n v="861.11"/>
    <n v="0"/>
    <n v="11290"/>
    <x v="0"/>
    <s v="Purchase Register"/>
    <s v="Abc/2122-0803"/>
  </r>
  <r>
    <s v="05AAACI5950L1ZG"/>
    <s v="Abdefjhijkls"/>
    <s v="H05A222101001737"/>
    <d v="2021-08-31T00:00:00"/>
    <m/>
    <m/>
    <n v="0"/>
    <n v="0"/>
    <n v="0"/>
    <n v="0"/>
    <n v="0"/>
    <n v="307449"/>
    <n v="0"/>
    <n v="27670.41"/>
    <n v="27670.41"/>
    <n v="0"/>
    <n v="362790"/>
    <x v="0"/>
    <s v="Purchase Register"/>
    <s v="Abc/2122-1462"/>
  </r>
  <r>
    <s v="05AZTPB3648K1Z1"/>
    <s v="Abdefjhijkls"/>
    <s v="1228"/>
    <d v="2021-09-21T00:00:00"/>
    <m/>
    <m/>
    <n v="0"/>
    <n v="0"/>
    <n v="0"/>
    <n v="0"/>
    <n v="0"/>
    <n v="2500"/>
    <n v="0"/>
    <n v="225"/>
    <n v="225"/>
    <n v="0"/>
    <n v="2950"/>
    <x v="0"/>
    <s v="Purchase Register"/>
    <s v="Abc/2122-0778"/>
  </r>
  <r>
    <s v="33AAACD2686A1Z6"/>
    <s v="Abdefjhijkls"/>
    <s v="9392105951"/>
    <d v="2021-10-15T00:00:00"/>
    <m/>
    <m/>
    <n v="0"/>
    <n v="0"/>
    <n v="0"/>
    <n v="0"/>
    <n v="0"/>
    <n v="145000"/>
    <n v="26100"/>
    <n v="0"/>
    <n v="0"/>
    <n v="0"/>
    <n v="171100"/>
    <x v="0"/>
    <s v="Purchase Register"/>
    <s v="Abc/2122-1838"/>
  </r>
  <r>
    <s v="05AABCG9199A1ZN"/>
    <s v="Abdefjhijkls"/>
    <s v="1559/Gst/21-22"/>
    <d v="2021-10-05T00:00:00"/>
    <m/>
    <m/>
    <n v="0"/>
    <n v="0"/>
    <n v="0"/>
    <n v="0"/>
    <n v="0"/>
    <n v="101949.5"/>
    <n v="0"/>
    <n v="9175.4599999999991"/>
    <n v="9175.4599999999991"/>
    <n v="0"/>
    <n v="120300"/>
    <x v="0"/>
    <s v="Purchase Register"/>
    <s v="Abc/2122-1716"/>
  </r>
  <r>
    <s v="02AABCV0012B1ZI"/>
    <s v="Abdefjhijkls"/>
    <s v="21-22/Vbd/001931"/>
    <d v="2021-08-31T00:00:00"/>
    <m/>
    <m/>
    <n v="0"/>
    <n v="0"/>
    <n v="0"/>
    <n v="0"/>
    <n v="0"/>
    <n v="83250"/>
    <n v="14985"/>
    <n v="0"/>
    <n v="0"/>
    <n v="0"/>
    <n v="98235"/>
    <x v="0"/>
    <s v="Purchase Register"/>
    <s v="Abc/2122-1466"/>
  </r>
  <r>
    <s v="05BZQPP7689N1Z2"/>
    <s v="Abdefjhijkls"/>
    <s v="988"/>
    <d v="2021-09-06T00:00:00"/>
    <m/>
    <m/>
    <n v="0"/>
    <n v="0"/>
    <n v="0"/>
    <n v="0"/>
    <n v="0"/>
    <n v="4370"/>
    <n v="0"/>
    <n v="297"/>
    <n v="297"/>
    <n v="0"/>
    <n v="4964"/>
    <x v="0"/>
    <s v="Purchase Register"/>
    <s v="Abc/2122-0731"/>
  </r>
  <r>
    <s v="05AMGPM6436L1ZR"/>
    <s v="Abdefjhijkls"/>
    <s v="2077"/>
    <d v="2021-09-15T00:00:00"/>
    <m/>
    <m/>
    <n v="0"/>
    <n v="0"/>
    <n v="0"/>
    <n v="0"/>
    <n v="0"/>
    <n v="26532"/>
    <n v="0"/>
    <n v="2387.88"/>
    <n v="2387.88"/>
    <n v="0"/>
    <n v="31308"/>
    <x v="0"/>
    <s v="Purchase Register"/>
    <s v="Abc/2122-1556"/>
  </r>
  <r>
    <s v="05AAACB3754B1ZA"/>
    <s v="Abdefjhijkls"/>
    <s v="59000235"/>
    <d v="2021-08-30T00:00:00"/>
    <m/>
    <m/>
    <n v="0"/>
    <n v="0"/>
    <n v="0"/>
    <n v="0"/>
    <n v="0"/>
    <n v="119644.15"/>
    <n v="0"/>
    <n v="10714.63"/>
    <n v="10714.63"/>
    <n v="0"/>
    <n v="141073"/>
    <x v="0"/>
    <s v="Purchase Register"/>
    <s v="Abc/2122-1661"/>
  </r>
  <r>
    <s v="05AAJFK2620D1ZV"/>
    <s v="Abdefjhijkls"/>
    <s v="1873"/>
    <d v="2021-10-19T00:00:00"/>
    <m/>
    <m/>
    <n v="0"/>
    <n v="0"/>
    <n v="0"/>
    <n v="0"/>
    <n v="0"/>
    <n v="45050.14"/>
    <n v="0"/>
    <n v="4054.52"/>
    <n v="4054.52"/>
    <n v="0"/>
    <n v="53159"/>
    <x v="0"/>
    <s v="Purchase Register"/>
    <s v="Abc/2122-1801"/>
  </r>
  <r>
    <s v="05AAACT0086E1ZR"/>
    <s v="Abdefjhijkls"/>
    <s v="Rddin2104208"/>
    <d v="2021-10-12T00:00:00"/>
    <m/>
    <m/>
    <n v="0"/>
    <n v="0"/>
    <n v="0"/>
    <n v="0"/>
    <n v="0"/>
    <n v="329582.39"/>
    <n v="0"/>
    <n v="29662"/>
    <n v="29662"/>
    <n v="0"/>
    <n v="388906"/>
    <x v="0"/>
    <s v="Purchase Register"/>
    <s v="Abc/2122-1756"/>
  </r>
  <r>
    <s v="05AAPPG3064R1Z7"/>
    <s v="Abdefjhijkls"/>
    <s v="Rkdp/21-22/15088"/>
    <d v="2021-09-24T00:00:00"/>
    <m/>
    <m/>
    <n v="0"/>
    <n v="0"/>
    <n v="0"/>
    <n v="0"/>
    <n v="0"/>
    <n v="106612.56"/>
    <n v="0"/>
    <n v="9595.1299999999992"/>
    <n v="9595.1299999999992"/>
    <n v="0"/>
    <n v="125803"/>
    <x v="0"/>
    <s v="Purchase Register"/>
    <s v="Abc/2122-1636"/>
  </r>
  <r>
    <s v="05AABCG9199A1ZN"/>
    <s v="Abdefjhijkls"/>
    <s v="1897/Gst/21-22"/>
    <d v="2021-11-19T00:00:00"/>
    <m/>
    <m/>
    <n v="0"/>
    <n v="0"/>
    <n v="0"/>
    <n v="0"/>
    <n v="0"/>
    <n v="98787"/>
    <n v="0"/>
    <n v="8890.83"/>
    <n v="8890.83"/>
    <n v="0"/>
    <n v="116569"/>
    <x v="0"/>
    <s v="Purchase Register"/>
    <s v="Abc/2122-2001"/>
  </r>
  <r>
    <s v="26AARCA0340H1ZU"/>
    <s v="Abdefjhijkls"/>
    <s v="Ss01/Loc/01264"/>
    <d v="2021-10-26T00:00:00"/>
    <m/>
    <m/>
    <n v="0"/>
    <n v="0"/>
    <n v="0"/>
    <n v="0"/>
    <n v="0"/>
    <n v="1055540"/>
    <n v="189997"/>
    <n v="0"/>
    <n v="0"/>
    <n v="0"/>
    <n v="1245537"/>
    <x v="0"/>
    <s v="Purchase Register"/>
    <s v="Abc/2122-1939"/>
  </r>
  <r>
    <s v="05ABYPS3455J1ZX"/>
    <s v="Abdefjhijkls"/>
    <s v="2913"/>
    <d v="2021-11-17T00:00:00"/>
    <m/>
    <m/>
    <n v="0"/>
    <n v="0"/>
    <n v="0"/>
    <n v="0"/>
    <n v="0"/>
    <n v="1150"/>
    <n v="0"/>
    <n v="103.5"/>
    <n v="103.5"/>
    <n v="0"/>
    <n v="1357"/>
    <x v="0"/>
    <s v="Purchase Register"/>
    <s v="Abc/2122-1024"/>
  </r>
  <r>
    <s v="05BZQPP7689N1Z2"/>
    <s v="Abdefjhijkls"/>
    <s v="1923"/>
    <d v="2021-12-29T00:00:00"/>
    <m/>
    <m/>
    <n v="0"/>
    <n v="0"/>
    <n v="0"/>
    <n v="0"/>
    <n v="0"/>
    <n v="13000"/>
    <n v="0"/>
    <n v="1170"/>
    <n v="1170"/>
    <n v="0"/>
    <n v="15340"/>
    <x v="0"/>
    <s v="Purchase Register"/>
    <s v="Abc/2122-1154"/>
  </r>
  <r>
    <s v="05AAACB2894G1ZT"/>
    <s v="Abdefjhijkls"/>
    <s v="Bm2205I000571984"/>
    <d v="2021-12-27T00:00:00"/>
    <m/>
    <m/>
    <n v="0"/>
    <n v="0"/>
    <n v="0"/>
    <n v="0"/>
    <n v="0"/>
    <n v="1801"/>
    <n v="0"/>
    <n v="162"/>
    <n v="162"/>
    <n v="0"/>
    <n v="2125"/>
    <x v="0"/>
    <s v="Purchase Register"/>
    <s v="Abc/2122-0652"/>
  </r>
  <r>
    <s v="05ADAPC5642F1Z5"/>
    <s v="Abdefjhijkls"/>
    <s v="3670"/>
    <d v="2021-12-28T00:00:00"/>
    <m/>
    <m/>
    <n v="0"/>
    <n v="0"/>
    <n v="0"/>
    <n v="0"/>
    <n v="0"/>
    <n v="1200"/>
    <n v="0"/>
    <n v="30"/>
    <n v="30"/>
    <n v="0"/>
    <n v="1260"/>
    <x v="0"/>
    <s v="Purchase Register"/>
    <s v="Abc/2122-1143"/>
  </r>
  <r>
    <s v="01AAACF0109J1ZE"/>
    <s v="Abdefjhijkls"/>
    <s v="21112010010920"/>
    <d v="2021-10-31T00:00:00"/>
    <m/>
    <m/>
    <n v="0"/>
    <n v="0"/>
    <n v="0"/>
    <n v="0"/>
    <n v="0"/>
    <n v="578964.04500000004"/>
    <n v="104214"/>
    <n v="0"/>
    <n v="0"/>
    <n v="0"/>
    <n v="683178"/>
    <x v="0"/>
    <s v="Purchase Register"/>
    <s v="Abc/2122-1926"/>
  </r>
  <r>
    <s v="05ADAPC5642F1Z5"/>
    <s v="Abdefjhijkls"/>
    <s v="2874"/>
    <d v="2021-11-08T00:00:00"/>
    <m/>
    <m/>
    <n v="0"/>
    <n v="0"/>
    <n v="0"/>
    <n v="0"/>
    <n v="0"/>
    <n v="1380"/>
    <n v="0"/>
    <n v="124.2"/>
    <n v="124.2"/>
    <n v="0"/>
    <n v="1628"/>
    <x v="0"/>
    <s v="Purchase Register"/>
    <s v="Abc/2122-0971"/>
  </r>
  <r>
    <s v="06ACEPL3198C1ZR"/>
    <s v="Abdefjhijkls"/>
    <s v="128"/>
    <d v="2021-12-17T00:00:00"/>
    <m/>
    <m/>
    <n v="0"/>
    <n v="0"/>
    <n v="0"/>
    <n v="0"/>
    <n v="0"/>
    <n v="9300"/>
    <n v="1674"/>
    <n v="0"/>
    <n v="0"/>
    <n v="0"/>
    <n v="10974"/>
    <x v="0"/>
    <s v="Purchase Register"/>
    <s v="Abc/2122-1118"/>
  </r>
  <r>
    <s v="05AAGCA0510J1Z8"/>
    <s v="Abdefjhijkls"/>
    <s v="2022/A01003386"/>
    <d v="2022-01-24T00:00:00"/>
    <m/>
    <m/>
    <n v="0"/>
    <n v="0"/>
    <n v="0"/>
    <n v="0"/>
    <n v="0"/>
    <n v="601537.03399999999"/>
    <n v="0"/>
    <n v="54138.33"/>
    <n v="54138.33"/>
    <n v="0"/>
    <n v="709814"/>
    <x v="0"/>
    <s v="Purchase Register"/>
    <s v="Abc/2122-2558"/>
  </r>
  <r>
    <s v="36AAACV8607M1ZW"/>
    <s v="Abdefjhijkls"/>
    <s v="F20031104639"/>
    <d v="2021-12-24T00:00:00"/>
    <m/>
    <m/>
    <n v="0"/>
    <n v="0"/>
    <n v="0"/>
    <n v="0"/>
    <n v="0"/>
    <n v="240405"/>
    <n v="43272.9"/>
    <n v="0"/>
    <n v="0"/>
    <n v="0"/>
    <n v="283678"/>
    <x v="0"/>
    <s v="Purchase Register"/>
    <s v="Abc/2122-2389"/>
  </r>
  <r>
    <s v="33AAACN9140P1Z6"/>
    <s v="Abdefjhijkls"/>
    <s v="Si/2122-0084"/>
    <d v="2021-04-08T00:00:00"/>
    <m/>
    <m/>
    <n v="0"/>
    <n v="0"/>
    <n v="0"/>
    <n v="0"/>
    <n v="0"/>
    <n v="1105"/>
    <n v="198.9"/>
    <n v="0"/>
    <n v="0"/>
    <n v="0"/>
    <n v="1304"/>
    <x v="0"/>
    <s v="Purchase Register"/>
    <s v="Abc/2122-0074"/>
  </r>
  <r>
    <s v="05AABCL5321P1ZF"/>
    <s v="Abdefjhijkls"/>
    <s v="1532"/>
    <d v="2021-03-31T00:00:00"/>
    <m/>
    <m/>
    <n v="0"/>
    <n v="0"/>
    <n v="0"/>
    <n v="0"/>
    <n v="0"/>
    <n v="12050"/>
    <n v="0"/>
    <n v="1084.5"/>
    <n v="1084.5"/>
    <n v="0"/>
    <n v="14219"/>
    <x v="1"/>
    <s v="Purchase Register"/>
    <s v="Abc/2122-0016"/>
  </r>
  <r>
    <s v="05AACFJ5445Q1ZZ"/>
    <s v="Abdefjhijkls"/>
    <s v="227/21-22"/>
    <d v="2021-04-24T00:00:00"/>
    <m/>
    <m/>
    <n v="0"/>
    <n v="0"/>
    <n v="0"/>
    <n v="0"/>
    <n v="0"/>
    <n v="125326.39999999999"/>
    <n v="0"/>
    <n v="7519.58"/>
    <n v="7519.58"/>
    <n v="0"/>
    <n v="140506"/>
    <x v="0"/>
    <s v="Purchase Register"/>
    <s v="Abc/2122-0155"/>
  </r>
  <r>
    <s v="05FYKPS0202K1ZE"/>
    <s v="Abdefjhijkls"/>
    <s v="Asr/21/22-135"/>
    <d v="2021-06-17T00:00:00"/>
    <m/>
    <m/>
    <n v="0"/>
    <n v="0"/>
    <n v="0"/>
    <n v="0"/>
    <n v="0"/>
    <n v="1600"/>
    <n v="0"/>
    <n v="144"/>
    <n v="144"/>
    <n v="0"/>
    <n v="1888"/>
    <x v="0"/>
    <s v="Purchase Register"/>
    <s v="Abc/2122-0283"/>
  </r>
  <r>
    <s v="05BDZPG6123P2ZV"/>
    <s v="Abdefjhijkls"/>
    <s v="356"/>
    <d v="2021-05-31T00:00:00"/>
    <m/>
    <m/>
    <n v="0"/>
    <n v="0"/>
    <n v="0"/>
    <n v="0"/>
    <n v="0"/>
    <n v="79503"/>
    <n v="0"/>
    <n v="7155.27"/>
    <n v="7155.27"/>
    <n v="0"/>
    <n v="93814"/>
    <x v="0"/>
    <s v="Purchase Register"/>
    <s v="Abc/2122-0113"/>
  </r>
  <r>
    <s v="05AJMPB9650L1ZW"/>
    <s v="Abdefjhijkls"/>
    <s v="Apnp/21-22/218"/>
    <d v="2021-06-02T00:00:00"/>
    <m/>
    <m/>
    <n v="0"/>
    <n v="0"/>
    <n v="0"/>
    <n v="0"/>
    <n v="0"/>
    <n v="227804.5"/>
    <n v="0"/>
    <n v="13668.27"/>
    <n v="13668.27"/>
    <n v="0"/>
    <n v="255141"/>
    <x v="0"/>
    <s v="Purchase Register"/>
    <s v="Abc/2122-0588"/>
  </r>
  <r>
    <s v="05BPKPK5111E1ZB"/>
    <s v="Abdefjhijkls"/>
    <s v="758"/>
    <d v="2021-04-17T00:00:00"/>
    <m/>
    <m/>
    <n v="0"/>
    <n v="0"/>
    <n v="0"/>
    <n v="0"/>
    <n v="0"/>
    <n v="300"/>
    <n v="0"/>
    <n v="27"/>
    <n v="27"/>
    <n v="0"/>
    <n v="354"/>
    <x v="0"/>
    <s v="Purchase Register"/>
    <s v="Abc/2122-0078"/>
  </r>
  <r>
    <s v="05AAGCA0510J1Z8"/>
    <s v="Abdefjhijkls"/>
    <s v="2021/A01005687"/>
    <d v="2021-05-06T00:00:00"/>
    <m/>
    <m/>
    <n v="0"/>
    <n v="0"/>
    <n v="0"/>
    <n v="0"/>
    <n v="0"/>
    <n v="551208"/>
    <n v="0"/>
    <n v="49608.72"/>
    <n v="49608.72"/>
    <n v="0"/>
    <n v="651075"/>
    <x v="0"/>
    <s v="Purchase Register"/>
    <s v="Abc/2122-0276"/>
  </r>
  <r>
    <s v="05AAPPG3064R1Z7"/>
    <s v="Abdefjhijkls"/>
    <s v="Rkdp/21-22/13879"/>
    <d v="2021-05-06T00:00:00"/>
    <m/>
    <m/>
    <n v="0"/>
    <n v="0"/>
    <n v="0"/>
    <n v="0"/>
    <n v="0"/>
    <n v="122511.48"/>
    <n v="0"/>
    <n v="11026.03"/>
    <n v="11026.03"/>
    <n v="0"/>
    <n v="144564"/>
    <x v="0"/>
    <s v="Purchase Register"/>
    <s v="Abc/2122-0279"/>
  </r>
  <r>
    <s v="05AQZPR4855P1ZK"/>
    <s v="Abdefjhijkls"/>
    <s v="Ss-0025/21-22"/>
    <d v="2021-06-23T00:00:00"/>
    <m/>
    <m/>
    <n v="0"/>
    <n v="0"/>
    <n v="0"/>
    <n v="0"/>
    <n v="0"/>
    <n v="1000"/>
    <n v="0"/>
    <n v="90"/>
    <n v="90"/>
    <n v="0"/>
    <n v="1180"/>
    <x v="0"/>
    <s v="Purchase Register"/>
    <s v="Abc/2122-0304"/>
  </r>
  <r>
    <s v="05AQZPR4855P1ZK"/>
    <s v="Abdefjhijkls"/>
    <s v="Ss-0010/21-22"/>
    <d v="2021-05-17T00:00:00"/>
    <m/>
    <m/>
    <n v="0"/>
    <n v="0"/>
    <n v="0"/>
    <n v="0"/>
    <n v="0"/>
    <n v="4750"/>
    <n v="0"/>
    <n v="427.5"/>
    <n v="427.5"/>
    <n v="0"/>
    <n v="5605"/>
    <x v="0"/>
    <s v="Purchase Register"/>
    <s v="Abc/2122-0158"/>
  </r>
  <r>
    <s v="05AJMPR4625B1ZC"/>
    <s v="Abdefjhijkls"/>
    <s v="204"/>
    <d v="2021-06-02T00:00:00"/>
    <m/>
    <m/>
    <n v="0"/>
    <n v="0"/>
    <n v="0"/>
    <n v="0"/>
    <n v="0"/>
    <n v="39473.279999999999"/>
    <n v="0"/>
    <n v="3553"/>
    <n v="3553"/>
    <n v="0"/>
    <n v="46579"/>
    <x v="0"/>
    <s v="Purchase Register"/>
    <s v="Abc/2122-0609"/>
  </r>
  <r>
    <s v="02AACCN5184H2ZL"/>
    <s v="Abdefjhijkls"/>
    <s v="Mb22122/Gis00132"/>
    <d v="2021-06-17T00:00:00"/>
    <m/>
    <m/>
    <n v="0"/>
    <n v="0"/>
    <n v="0"/>
    <n v="0"/>
    <n v="0"/>
    <n v="229620"/>
    <n v="41332"/>
    <n v="0"/>
    <n v="0"/>
    <n v="0"/>
    <n v="270952"/>
    <x v="0"/>
    <s v="Purchase Register"/>
    <s v="Abc/2122-0733"/>
  </r>
  <r>
    <s v="05EQKPK7730M1ZC"/>
    <s v="Abdefjhijkls"/>
    <s v="222"/>
    <d v="2021-05-01T00:00:00"/>
    <m/>
    <m/>
    <n v="0"/>
    <n v="0"/>
    <n v="0"/>
    <n v="0"/>
    <n v="0"/>
    <n v="950"/>
    <n v="0"/>
    <n v="85.5"/>
    <n v="85.5"/>
    <n v="0"/>
    <n v="1121"/>
    <x v="0"/>
    <s v="Purchase Register"/>
    <s v="Abc/2122-0108"/>
  </r>
  <r>
    <s v="05AAGFT2089L1ZT"/>
    <s v="Abdefjhijkls"/>
    <s v="Tec212290"/>
    <d v="2021-04-22T00:00:00"/>
    <m/>
    <m/>
    <n v="0"/>
    <n v="0"/>
    <n v="0"/>
    <n v="0"/>
    <n v="0"/>
    <n v="29333"/>
    <n v="0"/>
    <n v="2639.97"/>
    <n v="2639.97"/>
    <n v="0"/>
    <n v="34613"/>
    <x v="0"/>
    <s v="Purchase Register"/>
    <s v="Abc/2122-0185"/>
  </r>
  <r>
    <s v="36AAFCE3261P2Z9"/>
    <s v="Abdefjhijkls"/>
    <s v="Sd-021/2021-22"/>
    <d v="2021-05-08T00:00:00"/>
    <m/>
    <m/>
    <n v="0"/>
    <n v="0"/>
    <n v="0"/>
    <n v="0"/>
    <n v="0"/>
    <n v="159785"/>
    <n v="28761"/>
    <n v="0"/>
    <n v="0"/>
    <n v="0"/>
    <n v="188735"/>
    <x v="0"/>
    <s v="Purchase Register"/>
    <s v="Abc/2122-0320"/>
  </r>
  <r>
    <s v="36AABCR5731P1ZY"/>
    <s v="Abdefjhijkls"/>
    <s v="Rpc1/21-22/0245"/>
    <d v="2021-06-10T00:00:00"/>
    <m/>
    <m/>
    <n v="0"/>
    <n v="0"/>
    <n v="0"/>
    <n v="0"/>
    <n v="0"/>
    <n v="136550"/>
    <n v="24579"/>
    <n v="0"/>
    <n v="0"/>
    <n v="0"/>
    <n v="161290"/>
    <x v="0"/>
    <s v="Purchase Register"/>
    <s v="Abc/2122-0717"/>
  </r>
  <r>
    <s v="05AAACT0086E1ZR"/>
    <s v="Abdefjhijkls"/>
    <s v="Rddin2100608"/>
    <d v="2021-04-28T00:00:00"/>
    <m/>
    <m/>
    <n v="0"/>
    <n v="0"/>
    <n v="0"/>
    <n v="0"/>
    <n v="0"/>
    <n v="351356.859"/>
    <n v="0"/>
    <n v="31622"/>
    <n v="31622"/>
    <n v="0"/>
    <n v="415016"/>
    <x v="0"/>
    <s v="Purchase Register"/>
    <s v="Abc/2122-0220"/>
  </r>
  <r>
    <s v="05AMGPM6436L1ZR"/>
    <s v="Abdefjhijkls"/>
    <s v="1902"/>
    <d v="2021-04-23T00:00:00"/>
    <m/>
    <m/>
    <n v="0"/>
    <n v="0"/>
    <n v="0"/>
    <n v="0"/>
    <n v="0"/>
    <n v="37154"/>
    <n v="0"/>
    <n v="3343.86"/>
    <n v="3343.86"/>
    <n v="0"/>
    <n v="43842"/>
    <x v="0"/>
    <s v="Purchase Register"/>
    <s v="Abc/2122-0188"/>
  </r>
  <r>
    <s v="27AABCS4223P1Z3"/>
    <s v="Abdefjhijkls"/>
    <s v="Iv2022103258"/>
    <d v="2021-05-25T00:00:00"/>
    <m/>
    <m/>
    <n v="0"/>
    <n v="0"/>
    <n v="0"/>
    <n v="0"/>
    <n v="0"/>
    <n v="39750"/>
    <n v="7155"/>
    <n v="0"/>
    <n v="0"/>
    <n v="0"/>
    <n v="46952"/>
    <x v="0"/>
    <s v="Purchase Register"/>
    <s v="Abc/2122-0528"/>
  </r>
  <r>
    <s v="06AAACW2192G1ZF"/>
    <s v="Abdefjhijkls"/>
    <s v="F25210000284"/>
    <d v="2021-05-19T00:00:00"/>
    <m/>
    <m/>
    <n v="0"/>
    <n v="0"/>
    <n v="0"/>
    <n v="0"/>
    <n v="0"/>
    <n v="710000"/>
    <n v="127800"/>
    <n v="0"/>
    <n v="0"/>
    <n v="0"/>
    <n v="838638"/>
    <x v="0"/>
    <s v="Purchase Register"/>
    <s v="Abc/2122-0445"/>
  </r>
  <r>
    <s v="05ACFPG2339H1ZY"/>
    <s v="Abdefjhijkls"/>
    <s v="572"/>
    <d v="2021-05-29T00:00:00"/>
    <m/>
    <m/>
    <n v="0"/>
    <n v="0"/>
    <n v="0"/>
    <n v="0"/>
    <n v="0"/>
    <n v="91376.639999999999"/>
    <n v="0"/>
    <n v="8223.9"/>
    <n v="8223.9"/>
    <n v="0"/>
    <n v="107824"/>
    <x v="0"/>
    <s v="Purchase Register"/>
    <s v="Abc/2122-0533"/>
  </r>
  <r>
    <s v="05BRAPM7772B1ZY"/>
    <s v="Abdefjhijkls"/>
    <s v="6"/>
    <d v="2021-04-08T00:00:00"/>
    <m/>
    <m/>
    <n v="0"/>
    <n v="0"/>
    <n v="0"/>
    <n v="0"/>
    <n v="0"/>
    <n v="3675"/>
    <n v="0"/>
    <n v="312"/>
    <n v="312"/>
    <n v="0"/>
    <n v="4299"/>
    <x v="0"/>
    <s v="Purchase Register"/>
    <s v="Abc/2122-0013"/>
  </r>
  <r>
    <s v="27AAACC9611L1ZI"/>
    <s v="Abdefjhijkls"/>
    <s v="Xs173852"/>
    <d v="2021-05-29T00:00:00"/>
    <m/>
    <m/>
    <n v="0"/>
    <n v="0"/>
    <n v="0"/>
    <n v="0"/>
    <n v="0"/>
    <n v="53800"/>
    <n v="9684"/>
    <n v="0"/>
    <n v="0"/>
    <n v="0"/>
    <n v="63484"/>
    <x v="0"/>
    <s v="Purchase Register"/>
    <s v="Abc/2122-0657"/>
  </r>
  <r>
    <s v="27AAACG1463E1ZZ"/>
    <s v="Abdefjhijkls"/>
    <s v="B/Gst/21-22/232"/>
    <d v="2021-04-19T00:00:00"/>
    <m/>
    <m/>
    <n v="0"/>
    <n v="0"/>
    <n v="0"/>
    <n v="0"/>
    <n v="0"/>
    <n v="46000"/>
    <n v="8280"/>
    <n v="0"/>
    <n v="0"/>
    <n v="0"/>
    <n v="54280"/>
    <x v="0"/>
    <s v="Purchase Register"/>
    <s v="Abc/2122-0232"/>
  </r>
  <r>
    <s v="27ACYFS5944F1ZD"/>
    <s v="Abdefjhijkls"/>
    <s v="Sab/20-21/273"/>
    <d v="2021-03-22T00:00:00"/>
    <m/>
    <m/>
    <n v="0"/>
    <n v="0"/>
    <n v="0"/>
    <n v="0"/>
    <n v="0"/>
    <n v="25750"/>
    <n v="4635"/>
    <n v="0"/>
    <n v="0"/>
    <n v="0"/>
    <n v="30385"/>
    <x v="1"/>
    <s v="Purchase Register"/>
    <s v="Abc/2122-0024"/>
  </r>
  <r>
    <s v="27AFDPD4553M1ZC"/>
    <s v="Abdefjhijkls"/>
    <s v="Dgs/M/067/21-22"/>
    <d v="2021-05-03T00:00:00"/>
    <m/>
    <m/>
    <n v="0"/>
    <n v="0"/>
    <n v="0"/>
    <n v="0"/>
    <n v="0"/>
    <n v="501800"/>
    <n v="90324"/>
    <n v="0"/>
    <n v="0"/>
    <n v="0"/>
    <n v="592124"/>
    <x v="0"/>
    <s v="Purchase Register"/>
    <s v="Abc/2122-0362"/>
  </r>
  <r>
    <s v="05AAPPG3064R1Z7"/>
    <s v="Abdefjhijkls"/>
    <s v="Rkdp/21-22/14482"/>
    <d v="2021-07-15T00:00:00"/>
    <m/>
    <m/>
    <n v="0"/>
    <n v="0"/>
    <n v="0"/>
    <n v="0"/>
    <n v="0"/>
    <n v="9900"/>
    <n v="0"/>
    <n v="891"/>
    <n v="891"/>
    <n v="0"/>
    <n v="11682"/>
    <x v="0"/>
    <s v="Purchase Register"/>
    <s v="Abc/2122-1286"/>
  </r>
  <r>
    <s v="05ABYPS3455J1ZX"/>
    <s v="Abdefjhijkls"/>
    <s v="2727"/>
    <d v="2021-08-16T00:00:00"/>
    <m/>
    <m/>
    <n v="0"/>
    <n v="0"/>
    <n v="0"/>
    <n v="0"/>
    <n v="0"/>
    <n v="996.8"/>
    <n v="0"/>
    <n v="89.71"/>
    <n v="89.71"/>
    <n v="0"/>
    <n v="1176"/>
    <x v="0"/>
    <s v="Purchase Register"/>
    <s v="Abc/2122-0587"/>
  </r>
  <r>
    <s v="05ADSPV8873F1ZP"/>
    <s v="Abdefjhijkls"/>
    <s v="0000473"/>
    <d v="2021-08-27T00:00:00"/>
    <m/>
    <m/>
    <n v="0"/>
    <n v="0"/>
    <n v="0"/>
    <n v="0"/>
    <n v="0"/>
    <n v="2925"/>
    <n v="0"/>
    <n v="263.25"/>
    <n v="263.25"/>
    <n v="0"/>
    <n v="3452"/>
    <x v="0"/>
    <s v="Purchase Register"/>
    <s v="Abc/2122-0590"/>
  </r>
  <r>
    <s v="05AACFJ5445Q1ZZ"/>
    <s v="Abdefjhijkls"/>
    <s v="236/21-22"/>
    <d v="2021-04-26T00:00:00"/>
    <m/>
    <m/>
    <n v="0"/>
    <n v="0"/>
    <n v="0"/>
    <n v="0"/>
    <n v="0"/>
    <n v="114900.54"/>
    <n v="0"/>
    <n v="6894.03"/>
    <n v="6894.03"/>
    <n v="0"/>
    <n v="128818"/>
    <x v="0"/>
    <s v="Purchase Register"/>
    <s v="Abc/2122-0819"/>
  </r>
  <r>
    <s v="05DPVPS8425C1ZF"/>
    <s v="Abdefjhijkls"/>
    <s v="4628"/>
    <d v="2021-07-14T00:00:00"/>
    <m/>
    <m/>
    <n v="0"/>
    <n v="0"/>
    <n v="0"/>
    <n v="0"/>
    <n v="0"/>
    <n v="22800"/>
    <n v="0"/>
    <n v="2052"/>
    <n v="2052"/>
    <n v="0"/>
    <n v="26904"/>
    <x v="0"/>
    <s v="Purchase Register"/>
    <s v="Abc/2122-0403"/>
  </r>
  <r>
    <s v="05ACDFS1048P1ZW"/>
    <s v="Abdefjhijkls"/>
    <s v="Gst-286"/>
    <d v="2021-07-29T00:00:00"/>
    <m/>
    <m/>
    <n v="0"/>
    <n v="0"/>
    <n v="0"/>
    <n v="0"/>
    <n v="0"/>
    <n v="245000"/>
    <n v="0"/>
    <n v="22050"/>
    <n v="22050"/>
    <n v="0"/>
    <n v="289100"/>
    <x v="0"/>
    <s v="Purchase Register"/>
    <s v="Cpx-2/2122-0002"/>
  </r>
  <r>
    <s v="27AALCA5924F1ZM"/>
    <s v="Abdefjhijkls"/>
    <s v="Mum004357"/>
    <d v="2021-09-29T00:00:00"/>
    <m/>
    <m/>
    <n v="0"/>
    <n v="0"/>
    <n v="0"/>
    <n v="0"/>
    <n v="0"/>
    <n v="175466.2"/>
    <n v="31583.919999999998"/>
    <n v="0"/>
    <n v="0"/>
    <n v="0"/>
    <n v="207050"/>
    <x v="0"/>
    <s v="Purchase Register"/>
    <s v="Abc/2122-1703"/>
  </r>
  <r>
    <s v="05AITPR7920D2ZY"/>
    <s v="Abdefjhijkls"/>
    <s v="32"/>
    <d v="2022-02-01T00:00:00"/>
    <m/>
    <m/>
    <n v="0"/>
    <n v="0"/>
    <n v="0"/>
    <n v="0"/>
    <n v="0"/>
    <n v="-3000"/>
    <n v="0"/>
    <n v="-270"/>
    <n v="-270"/>
    <n v="0"/>
    <n v="3540"/>
    <x v="0"/>
    <s v="Purchase Register"/>
    <s v="Abc/2122-0009"/>
  </r>
  <r>
    <s v="05AACFJ5445Q1ZZ"/>
    <s v="Abdefjhijkls"/>
    <s v="2226/21-22"/>
    <d v="2021-12-16T00:00:00"/>
    <m/>
    <m/>
    <n v="0"/>
    <n v="0"/>
    <n v="0"/>
    <n v="0"/>
    <n v="0"/>
    <n v="-1082.7"/>
    <n v="0"/>
    <n v="-64.959999999999994"/>
    <n v="-64.959999999999994"/>
    <n v="0"/>
    <n v="1213"/>
    <x v="0"/>
    <s v="Purchase Register"/>
    <s v="Abc/2122-0067"/>
  </r>
  <r>
    <s v="05AABCG9199A1ZN"/>
    <s v="Abdefjhijkls"/>
    <s v="0022/Gst/21-22"/>
    <d v="2021-04-28T00:00:00"/>
    <m/>
    <m/>
    <n v="0"/>
    <n v="0"/>
    <n v="0"/>
    <n v="0"/>
    <n v="0"/>
    <n v="-1618.8"/>
    <n v="0"/>
    <n v="-97.13"/>
    <n v="-97.13"/>
    <n v="0"/>
    <n v="1813"/>
    <x v="0"/>
    <s v="Purchase Register"/>
    <s v="Abc/2122-0005"/>
  </r>
  <r>
    <s v="05AACFJ5445Q1ZZ"/>
    <s v="Abdefjhijkls"/>
    <s v="2521/21-22"/>
    <d v="2022-01-20T00:00:00"/>
    <m/>
    <m/>
    <n v="0"/>
    <n v="0"/>
    <n v="0"/>
    <n v="0"/>
    <n v="0"/>
    <n v="-484.2"/>
    <n v="0"/>
    <n v="-43.58"/>
    <n v="-43.58"/>
    <n v="0"/>
    <n v="571"/>
    <x v="0"/>
    <s v="Purchase Register"/>
    <s v="Abc/2122-0081"/>
  </r>
  <r>
    <s v="05AABCG9199A1ZN"/>
    <s v="Abdefjhijkls"/>
    <s v="330/Gst/21-22"/>
    <d v="2022-03-15T00:00:00"/>
    <m/>
    <m/>
    <n v="0"/>
    <n v="0"/>
    <n v="0"/>
    <n v="0"/>
    <n v="0"/>
    <n v="-1072.2"/>
    <n v="0"/>
    <n v="-64.33"/>
    <n v="-64.33"/>
    <n v="0"/>
    <n v="1201"/>
    <x v="0"/>
    <s v="Purchase Register"/>
    <s v="Abc/2122-0066"/>
  </r>
  <r>
    <s v="05AMGPM6436L1ZR"/>
    <s v="Abdefjhijkls"/>
    <s v="1"/>
    <d v="2021-05-19T00:00:00"/>
    <m/>
    <m/>
    <n v="0"/>
    <n v="0"/>
    <n v="0"/>
    <n v="0"/>
    <n v="0"/>
    <n v="-65205"/>
    <n v="0"/>
    <n v="-5868.45"/>
    <n v="-5868.45"/>
    <n v="0"/>
    <n v="76942"/>
    <x v="0"/>
    <s v="Purchase Register"/>
    <s v="Abc/2122-0008"/>
  </r>
  <r>
    <s v="05AITPR7920D2ZY"/>
    <s v="Abdefjhijkls"/>
    <s v="33"/>
    <d v="2022-02-01T00:00:00"/>
    <m/>
    <m/>
    <n v="0"/>
    <n v="0"/>
    <n v="0"/>
    <n v="0"/>
    <n v="0"/>
    <n v="-16000"/>
    <n v="0"/>
    <n v="-1440"/>
    <n v="-1440"/>
    <n v="0"/>
    <n v="18880"/>
    <x v="0"/>
    <s v="Purchase Register"/>
    <s v="Abc/2122-0026"/>
  </r>
  <r>
    <s v="36AADFL3339E1ZJ"/>
    <s v="Abdefjhijkls"/>
    <s v="Si-2/609,383"/>
    <d v="2021-07-28T00:00:00"/>
    <m/>
    <m/>
    <n v="0"/>
    <n v="0"/>
    <n v="0"/>
    <n v="0"/>
    <n v="0"/>
    <n v="-23004.18"/>
    <n v="-4140.76"/>
    <n v="0"/>
    <n v="0"/>
    <n v="0"/>
    <n v="27145"/>
    <x v="0"/>
    <s v="Purchase Register"/>
    <s v="Abc/2122-0034"/>
  </r>
  <r>
    <s v="27AFDPD4553M1ZC"/>
    <s v="Abdefjhijkls"/>
    <s v="9"/>
    <d v="2022-02-01T00:00:00"/>
    <m/>
    <m/>
    <n v="0"/>
    <n v="0"/>
    <n v="0"/>
    <n v="0"/>
    <n v="0"/>
    <n v="-2934"/>
    <n v="-528.12"/>
    <n v="0"/>
    <n v="0"/>
    <n v="0"/>
    <n v="3462"/>
    <x v="0"/>
    <s v="Purchase Register"/>
    <s v="Abc/2122-0074"/>
  </r>
  <r>
    <s v="05AJMPR4625B1ZC"/>
    <s v="Abdefjhijkls"/>
    <s v="21"/>
    <d v="2021-04-14T00:00:00"/>
    <m/>
    <m/>
    <n v="0"/>
    <n v="0"/>
    <n v="0"/>
    <n v="0"/>
    <n v="0"/>
    <n v="-7503.6"/>
    <n v="0"/>
    <n v="-675.32"/>
    <n v="-675.32"/>
    <n v="0"/>
    <n v="8854"/>
    <x v="0"/>
    <s v="Purchase Register"/>
    <s v="Abc/2122-0002"/>
  </r>
  <r>
    <s v="05AAACM9418K1ZB"/>
    <s v="Abdefjhijkls"/>
    <s v="Uk03-Fy22-00023"/>
    <d v="2021-05-08T00:00:00"/>
    <m/>
    <m/>
    <n v="0"/>
    <n v="0"/>
    <n v="0"/>
    <n v="0"/>
    <n v="0"/>
    <n v="-589.79999999999995"/>
    <n v="0"/>
    <n v="-53.08"/>
    <n v="-53.08"/>
    <n v="0"/>
    <n v="696"/>
    <x v="0"/>
    <s v="Purchase Register"/>
    <s v="Abc/2122-0011"/>
  </r>
  <r>
    <s v="05AACFJ5445Q1ZZ"/>
    <s v="Abdefjhijkls"/>
    <s v="44"/>
    <d v="2021-06-30T00:00:00"/>
    <m/>
    <m/>
    <n v="0"/>
    <n v="0"/>
    <n v="0"/>
    <n v="0"/>
    <n v="0"/>
    <n v="-1288.5"/>
    <n v="0"/>
    <n v="-77.31"/>
    <n v="-77.31"/>
    <n v="0"/>
    <n v="1443"/>
    <x v="0"/>
    <s v="Purchase Register"/>
    <s v="Abc/2122-0018"/>
  </r>
  <r>
    <s v="05AJMPR4625B1ZC"/>
    <s v="Abdefjhijkls"/>
    <s v="Dn22122-0080"/>
    <d v="2022-01-28T00:00:00"/>
    <m/>
    <m/>
    <n v="0"/>
    <n v="0"/>
    <n v="0"/>
    <n v="0"/>
    <n v="0"/>
    <n v="-35750"/>
    <n v="0"/>
    <n v="-3217.5"/>
    <n v="-3217.5"/>
    <n v="0"/>
    <n v="42185"/>
    <x v="0"/>
    <s v="Purchase Register"/>
    <s v="Abc/2122-0080"/>
  </r>
  <r>
    <s v="27FOJPS2666C1ZM"/>
    <s v="Abdefjhijkls"/>
    <s v="Dn2/2122-0001"/>
    <d v="2021-04-17T00:00:00"/>
    <m/>
    <m/>
    <n v="0"/>
    <n v="0"/>
    <n v="0"/>
    <n v="0"/>
    <n v="0"/>
    <n v="-2760"/>
    <n v="-496.8"/>
    <n v="0"/>
    <n v="0"/>
    <n v="0"/>
    <n v="3257"/>
    <x v="0"/>
    <s v="Purchase Register"/>
    <s v="Abc/2122-0001"/>
  </r>
  <r>
    <s v="05AACFJ5445Q1ZZ"/>
    <s v="Abdefjhijkls"/>
    <s v="989/21-22"/>
    <d v="2021-07-26T00:00:00"/>
    <m/>
    <m/>
    <n v="0"/>
    <n v="0"/>
    <n v="0"/>
    <n v="0"/>
    <n v="0"/>
    <n v="-290"/>
    <n v="0"/>
    <n v="-17.399999999999999"/>
    <n v="-17.399999999999999"/>
    <n v="0"/>
    <n v="325"/>
    <x v="0"/>
    <s v="Purchase Register"/>
    <s v="Abc/2122-0022"/>
  </r>
  <r>
    <s v="01AAACF0109J1ZE"/>
    <s v="Abdefjhijkls"/>
    <s v="21112041000404"/>
    <d v="2021-10-24T00:00:00"/>
    <m/>
    <m/>
    <n v="0"/>
    <n v="0"/>
    <n v="0"/>
    <n v="0"/>
    <n v="0"/>
    <n v="-18817.3"/>
    <n v="-3387.11"/>
    <n v="0"/>
    <n v="0"/>
    <n v="0"/>
    <n v="22204"/>
    <x v="0"/>
    <s v="Purchase Register"/>
    <s v="Abc/2122-0048"/>
  </r>
  <r>
    <s v="05AABCG9199A1ZN"/>
    <s v="Abdefjhijkls"/>
    <s v="331/Gst/21-22"/>
    <d v="2022-03-15T00:00:00"/>
    <m/>
    <m/>
    <n v="0"/>
    <n v="0"/>
    <n v="0"/>
    <n v="0"/>
    <n v="0"/>
    <n v="-2026.4"/>
    <n v="0"/>
    <n v="-182.38"/>
    <n v="-182.38"/>
    <n v="0"/>
    <n v="2391"/>
    <x v="0"/>
    <s v="Purchase Register"/>
    <s v="Abc/2122-0085"/>
  </r>
  <r>
    <s v="05AAGCA0510J1Z8"/>
    <s v="Abdefjhijkls"/>
    <s v="2022/A01000911,A01000233"/>
    <d v="2021-08-17T00:00:00"/>
    <m/>
    <m/>
    <n v="0"/>
    <n v="0"/>
    <n v="0"/>
    <n v="0"/>
    <n v="0"/>
    <n v="-142725"/>
    <n v="0"/>
    <n v="-12845.25"/>
    <n v="-12845.25"/>
    <n v="0"/>
    <n v="168416"/>
    <x v="0"/>
    <s v="Purchase Register"/>
    <s v="Abc/2122-0038"/>
  </r>
  <r>
    <s v="05BCYPK9624H1Z0"/>
    <s v="Abdefjhijkls"/>
    <s v="Dn2/2122-0029"/>
    <d v="2021-08-14T00:00:00"/>
    <m/>
    <m/>
    <n v="0"/>
    <n v="0"/>
    <n v="0"/>
    <n v="0"/>
    <n v="0"/>
    <n v="-40000"/>
    <n v="0"/>
    <n v="-3600"/>
    <n v="-3600"/>
    <n v="0"/>
    <n v="47200"/>
    <x v="0"/>
    <s v="Purchase Register"/>
    <s v="Abc/2122-0029"/>
  </r>
  <r>
    <s v="05AACFJ5445Q1ZZ"/>
    <s v="Abdefjhijkls"/>
    <s v="2520/21-22"/>
    <d v="2022-01-20T00:00:00"/>
    <m/>
    <m/>
    <n v="0"/>
    <n v="0"/>
    <n v="0"/>
    <n v="0"/>
    <n v="0"/>
    <n v="-1581"/>
    <n v="0"/>
    <n v="-142.30000000000001"/>
    <n v="-142.30000000000001"/>
    <n v="0"/>
    <n v="1866"/>
    <x v="0"/>
    <s v="Purchase Register"/>
    <s v="Abc/2122-0082"/>
  </r>
  <r>
    <s v="27ABCDEFJHIJ1Z7"/>
    <s v="Abcdc"/>
    <s v="N125"/>
    <d v="2021-04-27T00:00:00"/>
    <s v="No"/>
    <s v="Uttarakhand"/>
    <n v="451200"/>
    <n v="81216"/>
    <n v="0"/>
    <n v="0"/>
    <n v="0"/>
    <n v="0"/>
    <n v="0"/>
    <n v="0"/>
    <n v="0"/>
    <n v="0"/>
    <n v="0"/>
    <x v="2"/>
    <s v="B2B"/>
    <m/>
  </r>
  <r>
    <s v="27ABCDEFJHIJ1Z3"/>
    <s v="Abcdc"/>
    <s v="Iv2022101336"/>
    <d v="2021-04-24T00:00:00"/>
    <s v="No"/>
    <s v="Uttarakhand"/>
    <n v="477000"/>
    <n v="85860"/>
    <n v="0"/>
    <n v="0"/>
    <n v="0"/>
    <n v="0"/>
    <n v="0"/>
    <n v="0"/>
    <n v="0"/>
    <n v="0"/>
    <n v="0"/>
    <x v="2"/>
    <s v="B2B"/>
    <m/>
  </r>
  <r>
    <s v="05ABCDEFJHIJ1ZA"/>
    <s v="Abcdc"/>
    <s v="59000198"/>
    <d v="2021-04-03T00:00:00"/>
    <s v="No"/>
    <s v="Uttarakhand"/>
    <n v="493344.08"/>
    <n v="0"/>
    <n v="44400.959999999999"/>
    <n v="44400.959999999999"/>
    <n v="0"/>
    <n v="0"/>
    <n v="0"/>
    <n v="0"/>
    <n v="0"/>
    <n v="0"/>
    <n v="0"/>
    <x v="2"/>
    <s v="B2B"/>
    <m/>
  </r>
  <r>
    <s v="07ABCDEFJHIJ1ZQ"/>
    <s v="Abcdc"/>
    <s v="221"/>
    <d v="2021-01-27T00:00:00"/>
    <s v="No"/>
    <s v="Uttarakhand"/>
    <n v="82178"/>
    <n v="14792.04"/>
    <n v="0"/>
    <n v="0"/>
    <n v="0"/>
    <n v="0"/>
    <n v="0"/>
    <n v="0"/>
    <n v="0"/>
    <n v="0"/>
    <n v="0"/>
    <x v="3"/>
    <s v="B2B"/>
    <m/>
  </r>
  <r>
    <s v="05ABCDEFJHIJ1Z4"/>
    <s v="Abcdc"/>
    <s v="Vicgpl/2122/27"/>
    <d v="2021-04-05T00:00:00"/>
    <s v="No"/>
    <s v="Uttarakhand"/>
    <n v="162000"/>
    <n v="0"/>
    <n v="14580"/>
    <n v="14580"/>
    <n v="0"/>
    <n v="0"/>
    <n v="0"/>
    <n v="0"/>
    <n v="0"/>
    <n v="0"/>
    <n v="0"/>
    <x v="2"/>
    <s v="B2B"/>
    <m/>
  </r>
  <r>
    <s v="05ABCDEFJHIJ1Z4"/>
    <s v="Abcdc"/>
    <s v="Vicgpl/2122/142"/>
    <d v="2021-04-15T00:00:00"/>
    <s v="No"/>
    <s v="Uttarakhand"/>
    <n v="211200"/>
    <n v="0"/>
    <n v="19008"/>
    <n v="19008"/>
    <n v="0"/>
    <n v="0"/>
    <n v="0"/>
    <n v="0"/>
    <n v="0"/>
    <n v="0"/>
    <n v="0"/>
    <x v="2"/>
    <s v="B2B"/>
    <m/>
  </r>
  <r>
    <s v="05ABCDEFJHIJ1ZR"/>
    <s v="Abcdc"/>
    <s v="1844"/>
    <d v="2021-04-05T00:00:00"/>
    <s v="No"/>
    <s v="Uttarakhand"/>
    <n v="80640"/>
    <n v="0"/>
    <n v="7257.6"/>
    <n v="7257.6"/>
    <n v="0"/>
    <n v="0"/>
    <n v="0"/>
    <n v="0"/>
    <n v="0"/>
    <n v="0"/>
    <n v="0"/>
    <x v="2"/>
    <s v="B2B"/>
    <m/>
  </r>
  <r>
    <s v="05ABCDEFJHIJ1ZR"/>
    <s v="Abcdc"/>
    <s v="1854"/>
    <d v="2021-04-08T00:00:00"/>
    <s v="No"/>
    <s v="Uttarakhand"/>
    <n v="84002"/>
    <n v="0"/>
    <n v="7560.18"/>
    <n v="7560.18"/>
    <n v="0"/>
    <n v="0"/>
    <n v="0"/>
    <n v="0"/>
    <n v="0"/>
    <n v="0"/>
    <n v="0"/>
    <x v="2"/>
    <s v="B2B"/>
    <m/>
  </r>
  <r>
    <s v="05ABCDEFJHIJ1ZR"/>
    <s v="Abcdc"/>
    <s v="1857"/>
    <d v="2021-04-09T00:00:00"/>
    <s v="No"/>
    <s v="Uttarakhand"/>
    <n v="73530"/>
    <n v="0"/>
    <n v="6617.7"/>
    <n v="6617.7"/>
    <n v="0"/>
    <n v="0"/>
    <n v="0"/>
    <n v="0"/>
    <n v="0"/>
    <n v="0"/>
    <n v="0"/>
    <x v="2"/>
    <s v="B2B"/>
    <m/>
  </r>
  <r>
    <s v="05ABCDEFJHIJ1ZR"/>
    <s v="Abcdc"/>
    <s v="1861"/>
    <d v="2021-04-10T00:00:00"/>
    <s v="No"/>
    <s v="Uttarakhand"/>
    <n v="73530"/>
    <n v="0"/>
    <n v="6617.7"/>
    <n v="6617.7"/>
    <n v="0"/>
    <n v="0"/>
    <n v="0"/>
    <n v="0"/>
    <n v="0"/>
    <n v="0"/>
    <n v="0"/>
    <x v="2"/>
    <s v="B2B"/>
    <m/>
  </r>
  <r>
    <s v="05ABCDEFJHIJ1ZR"/>
    <s v="Abcdc"/>
    <s v="1862"/>
    <d v="2021-04-10T00:00:00"/>
    <s v="No"/>
    <s v="Uttarakhand"/>
    <n v="112266"/>
    <n v="0"/>
    <n v="10103.94"/>
    <n v="10103.94"/>
    <n v="0"/>
    <n v="0"/>
    <n v="0"/>
    <n v="0"/>
    <n v="0"/>
    <n v="0"/>
    <n v="0"/>
    <x v="2"/>
    <s v="B2B"/>
    <m/>
  </r>
  <r>
    <s v="05ABCDEFJHIJ1ZR"/>
    <s v="Abcdc"/>
    <s v="1865"/>
    <d v="2021-04-12T00:00:00"/>
    <s v="No"/>
    <s v="Uttarakhand"/>
    <n v="112266"/>
    <n v="0"/>
    <n v="10103.94"/>
    <n v="10103.94"/>
    <n v="0"/>
    <n v="0"/>
    <n v="0"/>
    <n v="0"/>
    <n v="0"/>
    <n v="0"/>
    <n v="0"/>
    <x v="2"/>
    <s v="B2B"/>
    <m/>
  </r>
  <r>
    <s v="05ABCDEFJHIJ1ZR"/>
    <s v="Abcdc"/>
    <s v="1867"/>
    <d v="2021-04-12T00:00:00"/>
    <s v="No"/>
    <s v="Uttarakhand"/>
    <n v="96826"/>
    <n v="0"/>
    <n v="8714.34"/>
    <n v="8714.34"/>
    <n v="0"/>
    <n v="0"/>
    <n v="0"/>
    <n v="0"/>
    <n v="0"/>
    <n v="0"/>
    <n v="0"/>
    <x v="2"/>
    <s v="B2B"/>
    <m/>
  </r>
  <r>
    <s v="05ABCDEFJHIJ1ZR"/>
    <s v="Abcdc"/>
    <s v="1869"/>
    <d v="2021-04-13T00:00:00"/>
    <s v="No"/>
    <s v="Uttarakhand"/>
    <n v="102650"/>
    <n v="0"/>
    <n v="9238.5"/>
    <n v="9238.5"/>
    <n v="0"/>
    <n v="0"/>
    <n v="0"/>
    <n v="0"/>
    <n v="0"/>
    <n v="0"/>
    <n v="0"/>
    <x v="2"/>
    <s v="B2B"/>
    <m/>
  </r>
  <r>
    <s v="05ABCDEFJHIJ1ZR"/>
    <s v="Abcdc"/>
    <s v="1870"/>
    <d v="2021-04-13T00:00:00"/>
    <s v="No"/>
    <s v="Uttarakhand"/>
    <n v="112266"/>
    <n v="0"/>
    <n v="10103.94"/>
    <n v="10103.94"/>
    <n v="0"/>
    <n v="0"/>
    <n v="0"/>
    <n v="0"/>
    <n v="0"/>
    <n v="0"/>
    <n v="0"/>
    <x v="2"/>
    <s v="B2B"/>
    <m/>
  </r>
  <r>
    <s v="05ABCDEFJHIJ1ZR"/>
    <s v="Abcdc"/>
    <s v="1876"/>
    <d v="2021-04-15T00:00:00"/>
    <s v="No"/>
    <s v="Uttarakhand"/>
    <n v="130556"/>
    <n v="0"/>
    <n v="11750.04"/>
    <n v="11750.04"/>
    <n v="0"/>
    <n v="0"/>
    <n v="0"/>
    <n v="0"/>
    <n v="0"/>
    <n v="0"/>
    <n v="0"/>
    <x v="2"/>
    <s v="B2B"/>
    <m/>
  </r>
  <r>
    <s v="05ABCDEFJHIJ1ZR"/>
    <s v="Abcdc"/>
    <s v="1881"/>
    <d v="2021-04-15T00:00:00"/>
    <s v="No"/>
    <s v="Uttarakhand"/>
    <n v="81270"/>
    <n v="0"/>
    <n v="7314.3"/>
    <n v="7314.3"/>
    <n v="0"/>
    <n v="0"/>
    <n v="0"/>
    <n v="0"/>
    <n v="0"/>
    <n v="0"/>
    <n v="0"/>
    <x v="2"/>
    <s v="B2B"/>
    <m/>
  </r>
  <r>
    <s v="05ABCDEFJHIJ1ZR"/>
    <s v="Abcdc"/>
    <s v="1885"/>
    <d v="2021-04-16T00:00:00"/>
    <s v="No"/>
    <s v="Uttarakhand"/>
    <n v="84002"/>
    <n v="0"/>
    <n v="7560.18"/>
    <n v="7560.18"/>
    <n v="0"/>
    <n v="0"/>
    <n v="0"/>
    <n v="0"/>
    <n v="0"/>
    <n v="0"/>
    <n v="0"/>
    <x v="2"/>
    <s v="B2B"/>
    <m/>
  </r>
  <r>
    <s v="05ABCDEFJHIJ1ZR"/>
    <s v="Abcdc"/>
    <s v="1886"/>
    <d v="2021-04-17T00:00:00"/>
    <s v="No"/>
    <s v="Uttarakhand"/>
    <n v="184400"/>
    <n v="0"/>
    <n v="16596"/>
    <n v="16596"/>
    <n v="0"/>
    <n v="0"/>
    <n v="0"/>
    <n v="0"/>
    <n v="0"/>
    <n v="0"/>
    <n v="0"/>
    <x v="2"/>
    <s v="B2B"/>
    <m/>
  </r>
  <r>
    <s v="05ABCDEFJHIJ1ZR"/>
    <s v="Abcdc"/>
    <s v="1889"/>
    <d v="2021-04-17T00:00:00"/>
    <s v="No"/>
    <s v="Uttarakhand"/>
    <n v="82968"/>
    <n v="0"/>
    <n v="7467.12"/>
    <n v="7467.12"/>
    <n v="0"/>
    <n v="0"/>
    <n v="0"/>
    <n v="0"/>
    <n v="0"/>
    <n v="0"/>
    <n v="0"/>
    <x v="2"/>
    <s v="B2B"/>
    <m/>
  </r>
  <r>
    <s v="05ABCDEFJHIJ1ZR"/>
    <s v="Abcdc"/>
    <s v="1892"/>
    <d v="2021-04-19T00:00:00"/>
    <s v="No"/>
    <s v="Uttarakhand"/>
    <n v="83850"/>
    <n v="0"/>
    <n v="7546.5"/>
    <n v="7546.5"/>
    <n v="0"/>
    <n v="0"/>
    <n v="0"/>
    <n v="0"/>
    <n v="0"/>
    <n v="0"/>
    <n v="0"/>
    <x v="2"/>
    <s v="B2B"/>
    <m/>
  </r>
  <r>
    <s v="05ABCDEFJHIJ1ZR"/>
    <s v="Abcdc"/>
    <s v="1895"/>
    <d v="2021-04-19T00:00:00"/>
    <s v="No"/>
    <s v="Uttarakhand"/>
    <n v="116878"/>
    <n v="0"/>
    <n v="10519.02"/>
    <n v="10519.02"/>
    <n v="0"/>
    <n v="0"/>
    <n v="0"/>
    <n v="0"/>
    <n v="0"/>
    <n v="0"/>
    <n v="0"/>
    <x v="2"/>
    <s v="B2B"/>
    <m/>
  </r>
  <r>
    <s v="05ABCDEFJHIJ1ZR"/>
    <s v="Abcdc"/>
    <s v="1898"/>
    <d v="2021-04-20T00:00:00"/>
    <s v="No"/>
    <s v="Uttarakhand"/>
    <n v="115400"/>
    <n v="0"/>
    <n v="10386"/>
    <n v="10386"/>
    <n v="0"/>
    <n v="0"/>
    <n v="0"/>
    <n v="0"/>
    <n v="0"/>
    <n v="0"/>
    <n v="0"/>
    <x v="2"/>
    <s v="B2B"/>
    <m/>
  </r>
  <r>
    <s v="05ABCDEFJHIJ1ZR"/>
    <s v="Abcdc"/>
    <s v="1902"/>
    <d v="2021-04-23T00:00:00"/>
    <s v="No"/>
    <s v="Uttarakhand"/>
    <n v="74308"/>
    <n v="0"/>
    <n v="6687.72"/>
    <n v="6687.72"/>
    <n v="0"/>
    <n v="0"/>
    <n v="0"/>
    <n v="0"/>
    <n v="0"/>
    <n v="0"/>
    <n v="0"/>
    <x v="2"/>
    <s v="B2B"/>
    <m/>
  </r>
  <r>
    <s v="05ABCDEFJHIJ1ZR"/>
    <s v="Abcdc"/>
    <s v="1911"/>
    <d v="2021-04-28T00:00:00"/>
    <s v="No"/>
    <s v="Uttarakhand"/>
    <n v="120824"/>
    <n v="0"/>
    <n v="10874.16"/>
    <n v="10874.16"/>
    <n v="0"/>
    <n v="0"/>
    <n v="0"/>
    <n v="0"/>
    <n v="0"/>
    <n v="0"/>
    <n v="0"/>
    <x v="2"/>
    <s v="B2B"/>
    <m/>
  </r>
  <r>
    <s v="05ABCDEFJHIJ1ZE"/>
    <s v="Abcdc"/>
    <s v="001"/>
    <d v="2021-04-30T00:00:00"/>
    <s v="No"/>
    <s v="Uttarakhand"/>
    <n v="249126"/>
    <n v="0"/>
    <n v="22421.34"/>
    <n v="22421.34"/>
    <n v="0"/>
    <n v="0"/>
    <n v="0"/>
    <n v="0"/>
    <n v="0"/>
    <n v="0"/>
    <n v="0"/>
    <x v="2"/>
    <s v="B2B"/>
    <m/>
  </r>
  <r>
    <s v="05ABCDEFJHIJ1ZE"/>
    <s v="Abcdc"/>
    <s v="002"/>
    <d v="2021-04-30T00:00:00"/>
    <s v="No"/>
    <s v="Uttarakhand"/>
    <n v="133990"/>
    <n v="0"/>
    <n v="12059.1"/>
    <n v="12059.1"/>
    <n v="0"/>
    <n v="0"/>
    <n v="0"/>
    <n v="0"/>
    <n v="0"/>
    <n v="0"/>
    <n v="0"/>
    <x v="2"/>
    <s v="B2B"/>
    <m/>
  </r>
  <r>
    <s v="06ABCDEFJHIJ1Z0"/>
    <s v="Abcdc"/>
    <s v="21-22/Tc/0001"/>
    <d v="2021-04-01T00:00:00"/>
    <s v="No"/>
    <s v="Uttarakhand"/>
    <n v="84400"/>
    <n v="15192"/>
    <n v="0"/>
    <n v="0"/>
    <n v="0"/>
    <n v="0"/>
    <n v="0"/>
    <n v="0"/>
    <n v="0"/>
    <n v="0"/>
    <n v="0"/>
    <x v="2"/>
    <s v="B2B"/>
    <m/>
  </r>
  <r>
    <s v="05ABCDEFJHIJ1ZH"/>
    <s v="Abcdc"/>
    <s v="406"/>
    <d v="2021-02-28T00:00:00"/>
    <s v="No"/>
    <s v="Uttarakhand"/>
    <n v="812"/>
    <n v="0"/>
    <n v="73.08"/>
    <n v="73.08"/>
    <n v="0"/>
    <n v="0"/>
    <n v="0"/>
    <n v="0"/>
    <n v="0"/>
    <n v="0"/>
    <n v="0"/>
    <x v="3"/>
    <s v="B2B"/>
    <m/>
  </r>
  <r>
    <s v="24ABCDEFJHIJ1Z9"/>
    <s v="Abcdc"/>
    <s v="Va21000000000055"/>
    <d v="2021-04-03T00:00:00"/>
    <s v="No"/>
    <s v="Uttarakhand"/>
    <n v="3398400"/>
    <n v="611712"/>
    <n v="0"/>
    <n v="0"/>
    <n v="0"/>
    <n v="0"/>
    <n v="0"/>
    <n v="0"/>
    <n v="0"/>
    <n v="0"/>
    <n v="0"/>
    <x v="2"/>
    <s v="B2B"/>
    <m/>
  </r>
  <r>
    <s v="24ABCDEFJHIJ1Z9"/>
    <s v="Abcdc"/>
    <s v="Va21000000000583"/>
    <d v="2021-04-16T00:00:00"/>
    <s v="No"/>
    <s v="Uttarakhand"/>
    <n v="4624576"/>
    <n v="832424"/>
    <n v="0"/>
    <n v="0"/>
    <n v="0"/>
    <n v="0"/>
    <n v="0"/>
    <n v="0"/>
    <n v="0"/>
    <n v="0"/>
    <n v="0"/>
    <x v="2"/>
    <s v="B2B"/>
    <m/>
  </r>
  <r>
    <s v="24ABCDEFJHIJ1Z9"/>
    <s v="Abcdc"/>
    <s v="Va21000000000723"/>
    <d v="2021-04-19T00:00:00"/>
    <s v="No"/>
    <s v="Uttarakhand"/>
    <n v="4740386"/>
    <n v="853270"/>
    <n v="0"/>
    <n v="0"/>
    <n v="0"/>
    <n v="0"/>
    <n v="0"/>
    <n v="0"/>
    <n v="0"/>
    <n v="0"/>
    <n v="0"/>
    <x v="2"/>
    <s v="B2B"/>
    <m/>
  </r>
  <r>
    <s v="24ABCDEFJHIJ1Z9"/>
    <s v="Abcdc"/>
    <s v="Va21000000001017"/>
    <d v="2021-04-24T00:00:00"/>
    <s v="No"/>
    <s v="Uttarakhand"/>
    <n v="4756036"/>
    <n v="856086"/>
    <n v="0"/>
    <n v="0"/>
    <n v="0"/>
    <n v="0"/>
    <n v="0"/>
    <n v="0"/>
    <n v="0"/>
    <n v="0"/>
    <n v="0"/>
    <x v="2"/>
    <s v="B2B"/>
    <m/>
  </r>
  <r>
    <s v="24ABCDEFJHIJ1Z9"/>
    <s v="Abcdc"/>
    <s v="Va21000000001196"/>
    <d v="2021-04-29T00:00:00"/>
    <s v="No"/>
    <s v="Uttarakhand"/>
    <n v="4729430"/>
    <n v="851298"/>
    <n v="0"/>
    <n v="0"/>
    <n v="0"/>
    <n v="0"/>
    <n v="0"/>
    <n v="0"/>
    <n v="0"/>
    <n v="0"/>
    <n v="0"/>
    <x v="2"/>
    <s v="B2B"/>
    <m/>
  </r>
  <r>
    <s v="09ABCDEFJHIJ1ZA"/>
    <s v="Abcdc"/>
    <s v="Hald/2122/D0109"/>
    <d v="2021-04-08T00:00:00"/>
    <s v="No"/>
    <s v="Uttarakhand"/>
    <n v="74131.199999999997"/>
    <n v="13343.62"/>
    <n v="0"/>
    <n v="0"/>
    <n v="0"/>
    <n v="0"/>
    <n v="0"/>
    <n v="0"/>
    <n v="0"/>
    <n v="0"/>
    <n v="0"/>
    <x v="2"/>
    <s v="B2B"/>
    <m/>
  </r>
  <r>
    <s v="05ABCDEFJHIJ1ZJ"/>
    <s v="Abcdc"/>
    <s v="21-22/0076"/>
    <d v="2021-04-08T00:00:00"/>
    <s v="No"/>
    <s v="Uttarakhand"/>
    <n v="4727.16"/>
    <n v="0"/>
    <n v="425.44"/>
    <n v="425.44"/>
    <n v="0"/>
    <n v="0"/>
    <n v="0"/>
    <n v="0"/>
    <n v="0"/>
    <n v="0"/>
    <n v="0"/>
    <x v="2"/>
    <s v="B2B"/>
    <m/>
  </r>
  <r>
    <s v="27ABCDEFJHIJ1ZZ"/>
    <s v="Abcdc"/>
    <s v="B/Gst/21-22/232"/>
    <d v="2021-04-19T00:00:00"/>
    <s v="No"/>
    <s v="Uttarakhand"/>
    <n v="92000"/>
    <n v="16560"/>
    <n v="0"/>
    <n v="0"/>
    <n v="0"/>
    <n v="0"/>
    <n v="0"/>
    <n v="0"/>
    <n v="0"/>
    <n v="0"/>
    <n v="0"/>
    <x v="2"/>
    <s v="B2B"/>
    <m/>
  </r>
  <r>
    <s v="27ABCDEFJHIJ1ZL"/>
    <s v="Abcdc"/>
    <s v="8135030747"/>
    <d v="2021-04-15T00:00:00"/>
    <s v="No"/>
    <s v="Uttarakhand"/>
    <n v="134265.60000000001"/>
    <n v="24167.8"/>
    <n v="0"/>
    <n v="0"/>
    <n v="0"/>
    <n v="0"/>
    <n v="0"/>
    <n v="0"/>
    <n v="0"/>
    <n v="0"/>
    <n v="0"/>
    <x v="2"/>
    <s v="B2B"/>
    <m/>
  </r>
  <r>
    <s v="27ABCDEFJHIJ1ZL"/>
    <s v="Abcdc"/>
    <s v="8135030748"/>
    <d v="2021-04-15T00:00:00"/>
    <s v="No"/>
    <s v="Uttarakhand"/>
    <n v="696800"/>
    <n v="125424"/>
    <n v="0"/>
    <n v="0"/>
    <n v="0"/>
    <n v="0"/>
    <n v="0"/>
    <n v="0"/>
    <n v="0"/>
    <n v="0"/>
    <n v="0"/>
    <x v="2"/>
    <s v="B2B"/>
    <m/>
  </r>
  <r>
    <s v="27ABCDEFJHIJ1ZL"/>
    <s v="Abcdc"/>
    <s v="8135030822"/>
    <d v="2021-04-20T00:00:00"/>
    <s v="No"/>
    <s v="Uttarakhand"/>
    <n v="696800"/>
    <n v="125424"/>
    <n v="0"/>
    <n v="0"/>
    <n v="0"/>
    <n v="0"/>
    <n v="0"/>
    <n v="0"/>
    <n v="0"/>
    <n v="0"/>
    <n v="0"/>
    <x v="2"/>
    <s v="B2B"/>
    <m/>
  </r>
  <r>
    <s v="05ABCDEFJHIJ1ZT"/>
    <s v="Abcdc"/>
    <s v="Bm2205I000062266"/>
    <d v="2021-04-27T00:00:00"/>
    <s v="No"/>
    <s v="Uttarakhand"/>
    <n v="3588"/>
    <n v="0"/>
    <n v="322.92"/>
    <n v="322.92"/>
    <n v="0"/>
    <n v="0"/>
    <n v="0"/>
    <n v="0"/>
    <n v="0"/>
    <n v="0"/>
    <n v="0"/>
    <x v="2"/>
    <s v="B2B"/>
    <m/>
  </r>
  <r>
    <s v="24ABCDEFJHIJ1Z9"/>
    <s v="Abcdc"/>
    <s v="Gst-493"/>
    <d v="2021-03-03T00:00:00"/>
    <s v="No"/>
    <s v="Himachal Pradesh"/>
    <n v="55800"/>
    <n v="10044"/>
    <n v="0"/>
    <n v="0"/>
    <n v="0"/>
    <n v="0"/>
    <n v="0"/>
    <n v="0"/>
    <n v="0"/>
    <n v="0"/>
    <n v="0"/>
    <x v="4"/>
    <s v="B2B"/>
    <m/>
  </r>
  <r>
    <s v="05ABCDEFJHIJ1Z1"/>
    <s v="Abcdc"/>
    <s v="508"/>
    <d v="2021-01-05T00:00:00"/>
    <s v="No"/>
    <s v="Uttarakhand"/>
    <n v="4000"/>
    <n v="0"/>
    <n v="360"/>
    <n v="360"/>
    <n v="0"/>
    <n v="0"/>
    <n v="0"/>
    <n v="0"/>
    <n v="0"/>
    <n v="0"/>
    <n v="0"/>
    <x v="3"/>
    <s v="B2B"/>
    <m/>
  </r>
  <r>
    <s v="05ABCDEFJHIJ1Z1"/>
    <s v="Abcdc"/>
    <s v="509"/>
    <d v="2021-01-05T00:00:00"/>
    <s v="No"/>
    <s v="Uttarakhand"/>
    <n v="7200"/>
    <n v="0"/>
    <n v="648"/>
    <n v="648"/>
    <n v="0"/>
    <n v="0"/>
    <n v="0"/>
    <n v="0"/>
    <n v="0"/>
    <n v="0"/>
    <n v="0"/>
    <x v="3"/>
    <s v="B2B"/>
    <m/>
  </r>
  <r>
    <s v="05ABCDEFJHIJ1ZF"/>
    <s v="Abc"/>
    <s v="12345"/>
    <d v="2020-06-10T00:00:00"/>
    <s v="No"/>
    <s v="Uttarakhand"/>
    <n v="182692"/>
    <n v="0"/>
    <n v="16442"/>
    <n v="16442"/>
    <n v="0"/>
    <n v="0"/>
    <n v="0"/>
    <n v="0"/>
    <n v="0"/>
    <n v="0"/>
    <n v="0"/>
    <x v="3"/>
    <s v="B2Ba"/>
    <m/>
  </r>
  <r>
    <s v="05ABCDEFJHIJ1ZY"/>
    <s v="Abcd"/>
    <s v="1"/>
    <d v="2020-10-01T00:00:00"/>
    <s v="No"/>
    <s v="Uttarakhand"/>
    <n v="-4719.5"/>
    <n v="0"/>
    <n v="-424.76"/>
    <n v="-424.76"/>
    <n v="0"/>
    <n v="0"/>
    <n v="0"/>
    <n v="0"/>
    <n v="0"/>
    <n v="0"/>
    <n v="0"/>
    <x v="3"/>
    <s v="Cdnr"/>
    <m/>
  </r>
  <r>
    <s v="05ABCDEFJHIJ1ZY"/>
    <s v="Abcd"/>
    <s v="1"/>
    <d v="2020-10-01T00:00:00"/>
    <s v="No"/>
    <s v="Uttarakhand"/>
    <n v="-4719.5"/>
    <n v="0"/>
    <n v="-424.76"/>
    <n v="-424.76"/>
    <n v="0"/>
    <n v="0"/>
    <n v="0"/>
    <n v="0"/>
    <n v="0"/>
    <n v="0"/>
    <n v="0"/>
    <x v="3"/>
    <s v="Cdnr"/>
    <m/>
  </r>
  <r>
    <s v="36ABCDEFJHIJ1ZW"/>
    <s v="Text"/>
    <s v="2360000426"/>
    <d v="2021-04-27T00:00:00"/>
    <s v="No"/>
    <s v="Uttarakhand"/>
    <n v="-31681.25"/>
    <n v="-5702.63"/>
    <n v="0"/>
    <n v="0"/>
    <n v="0"/>
    <n v="0"/>
    <n v="0"/>
    <n v="0"/>
    <n v="0"/>
    <n v="0"/>
    <n v="0"/>
    <x v="2"/>
    <s v="Cdnr"/>
    <m/>
  </r>
  <r>
    <s v="36ABCDEFJHIJ1ZW"/>
    <s v="Text"/>
    <s v="2360000426"/>
    <d v="2021-04-27T00:00:00"/>
    <s v="No"/>
    <s v="Uttarakhand"/>
    <n v="-31681.25"/>
    <n v="-5702.63"/>
    <n v="0"/>
    <n v="0"/>
    <n v="0"/>
    <n v="0"/>
    <n v="0"/>
    <n v="0"/>
    <n v="0"/>
    <n v="0"/>
    <n v="0"/>
    <x v="2"/>
    <s v="Cdnr"/>
    <m/>
  </r>
  <r>
    <s v="IMPG"/>
    <s v="Import"/>
    <s v="123456"/>
    <d v="2021-04-06T00:00:00"/>
    <s v="No"/>
    <s v="Uttarakhand"/>
    <n v="100000"/>
    <n v="18000"/>
    <n v="0"/>
    <n v="0"/>
    <n v="0"/>
    <n v="0"/>
    <n v="0"/>
    <n v="0"/>
    <n v="0"/>
    <n v="0"/>
    <n v="0"/>
    <x v="2"/>
    <s v="IMPG"/>
    <m/>
  </r>
  <r>
    <s v="IMPG"/>
    <s v="Import"/>
    <s v="123456"/>
    <d v="2021-04-06T00:00:00"/>
    <s v="No"/>
    <s v="Uttarakhand"/>
    <n v="100000"/>
    <n v="18000"/>
    <n v="0"/>
    <n v="0"/>
    <n v="0"/>
    <n v="0"/>
    <n v="0"/>
    <n v="0"/>
    <n v="0"/>
    <n v="0"/>
    <n v="0"/>
    <x v="2"/>
    <s v="IMPG"/>
    <m/>
  </r>
  <r>
    <s v="23AAACE6761H1ZS"/>
    <s v="M/S CREATIVE PROPACK LIMITED"/>
    <s v="2012091"/>
    <d v="2021-10-27T00:00:00"/>
    <s v="N"/>
    <s v="Uttarakhand"/>
    <n v="9786"/>
    <n v="1761"/>
    <n v="0"/>
    <n v="0"/>
    <n v="0"/>
    <n v="0"/>
    <n v="0"/>
    <n v="0"/>
    <n v="0"/>
    <n v="0"/>
    <n v="0"/>
    <x v="2"/>
    <s v="IMPZ-SEZ"/>
    <m/>
  </r>
  <r>
    <s v="23AAACE6761H1ZS"/>
    <s v="M/S CREATIVE PROPACK LIMITED"/>
    <s v="2012625"/>
    <d v="2021-11-11T00:00:00"/>
    <s v="N"/>
    <s v="Uttarakhand"/>
    <n v="466"/>
    <n v="84"/>
    <n v="0"/>
    <n v="0"/>
    <n v="0"/>
    <n v="0"/>
    <n v="0"/>
    <n v="0"/>
    <n v="0"/>
    <n v="0"/>
    <n v="0"/>
    <x v="2"/>
    <s v="IMPZ-SEZ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34C04-444A-442F-9A10-C9FFD62B2B69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fieldListSortAscending="1">
  <location ref="A28:B29" firstHeaderRow="1" firstDataRow="1" firstDataCol="1" rowPageCount="1" colPageCount="1"/>
  <pivotFields count="23">
    <pivotField axis="axisRow" showAll="0" sortType="ascending">
      <items count="536">
        <item x="27"/>
        <item m="1" x="173"/>
        <item x="19"/>
        <item m="1" x="488"/>
        <item m="1" x="323"/>
        <item x="11"/>
        <item x="53"/>
        <item m="1" x="83"/>
        <item x="0"/>
        <item m="1" x="436"/>
        <item m="1" x="414"/>
        <item m="1" x="172"/>
        <item x="18"/>
        <item m="1" x="406"/>
        <item x="15"/>
        <item m="1" x="370"/>
        <item x="29"/>
        <item x="38"/>
        <item m="1" x="239"/>
        <item m="1" x="322"/>
        <item x="22"/>
        <item m="1" x="163"/>
        <item m="1" x="293"/>
        <item m="1" x="166"/>
        <item x="8"/>
        <item x="48"/>
        <item m="1" x="435"/>
        <item m="1" x="365"/>
        <item x="4"/>
        <item x="35"/>
        <item m="1" x="471"/>
        <item m="1" x="339"/>
        <item m="1" x="428"/>
        <item x="17"/>
        <item x="55"/>
        <item m="1" x="337"/>
        <item m="1" x="282"/>
        <item x="44"/>
        <item m="1" x="182"/>
        <item m="1" x="261"/>
        <item x="10"/>
        <item m="1" x="325"/>
        <item x="1"/>
        <item x="13"/>
        <item m="1" x="501"/>
        <item m="1" x="234"/>
        <item x="37"/>
        <item m="1" x="254"/>
        <item m="1" x="422"/>
        <item m="1" x="276"/>
        <item x="14"/>
        <item m="1" x="453"/>
        <item m="1" x="345"/>
        <item m="1" x="152"/>
        <item m="1" x="96"/>
        <item m="1" x="511"/>
        <item m="1" x="245"/>
        <item m="1" x="109"/>
        <item m="1" x="378"/>
        <item m="1" x="267"/>
        <item m="1" x="138"/>
        <item m="1" x="135"/>
        <item m="1" x="274"/>
        <item m="1" x="514"/>
        <item m="1" x="252"/>
        <item m="1" x="148"/>
        <item x="54"/>
        <item x="5"/>
        <item x="30"/>
        <item x="52"/>
        <item x="39"/>
        <item m="1" x="302"/>
        <item m="1" x="392"/>
        <item m="1" x="79"/>
        <item m="1" x="283"/>
        <item m="1" x="84"/>
        <item m="1" x="295"/>
        <item m="1" x="233"/>
        <item m="1" x="334"/>
        <item m="1" x="286"/>
        <item m="1" x="486"/>
        <item m="1" x="380"/>
        <item m="1" x="466"/>
        <item x="51"/>
        <item m="1" x="497"/>
        <item m="1" x="350"/>
        <item m="1" x="516"/>
        <item m="1" x="259"/>
        <item m="1" x="369"/>
        <item m="1" x="401"/>
        <item m="1" x="120"/>
        <item m="1" x="390"/>
        <item m="1" x="331"/>
        <item m="1" x="125"/>
        <item m="1" x="445"/>
        <item m="1" x="464"/>
        <item m="1" x="343"/>
        <item m="1" x="434"/>
        <item m="1" x="457"/>
        <item m="1" x="184"/>
        <item m="1" x="80"/>
        <item m="1" x="504"/>
        <item m="1" x="417"/>
        <item m="1" x="518"/>
        <item m="1" x="195"/>
        <item m="1" x="531"/>
        <item m="1" x="147"/>
        <item m="1" x="297"/>
        <item m="1" x="77"/>
        <item m="1" x="213"/>
        <item m="1" x="373"/>
        <item m="1" x="176"/>
        <item m="1" x="162"/>
        <item m="1" x="103"/>
        <item m="1" x="532"/>
        <item m="1" x="456"/>
        <item m="1" x="318"/>
        <item m="1" x="237"/>
        <item m="1" x="493"/>
        <item m="1" x="137"/>
        <item m="1" x="455"/>
        <item m="1" x="218"/>
        <item m="1" x="198"/>
        <item m="1" x="502"/>
        <item m="1" x="257"/>
        <item m="1" x="362"/>
        <item m="1" x="478"/>
        <item m="1" x="387"/>
        <item m="1" x="448"/>
        <item m="1" x="523"/>
        <item m="1" x="249"/>
        <item m="1" x="260"/>
        <item m="1" x="402"/>
        <item m="1" x="403"/>
        <item m="1" x="462"/>
        <item m="1" x="175"/>
        <item m="1" x="185"/>
        <item m="1" x="124"/>
        <item m="1" x="421"/>
        <item x="34"/>
        <item m="1" x="100"/>
        <item m="1" x="299"/>
        <item m="1" x="313"/>
        <item m="1" x="241"/>
        <item m="1" x="469"/>
        <item m="1" x="193"/>
        <item m="1" x="183"/>
        <item m="1" x="389"/>
        <item m="1" x="498"/>
        <item m="1" x="420"/>
        <item m="1" x="73"/>
        <item m="1" x="332"/>
        <item m="1" x="512"/>
        <item m="1" x="90"/>
        <item m="1" x="494"/>
        <item m="1" x="439"/>
        <item m="1" x="99"/>
        <item m="1" x="472"/>
        <item m="1" x="92"/>
        <item m="1" x="352"/>
        <item m="1" x="123"/>
        <item m="1" x="361"/>
        <item m="1" x="104"/>
        <item x="32"/>
        <item m="1" x="415"/>
        <item m="1" x="482"/>
        <item m="1" x="132"/>
        <item m="1" x="319"/>
        <item m="1" x="212"/>
        <item m="1" x="363"/>
        <item m="1" x="141"/>
        <item m="1" x="408"/>
        <item m="1" x="460"/>
        <item m="1" x="206"/>
        <item m="1" x="279"/>
        <item m="1" x="468"/>
        <item m="1" x="278"/>
        <item m="1" x="510"/>
        <item m="1" x="214"/>
        <item m="1" x="270"/>
        <item m="1" x="121"/>
        <item m="1" x="404"/>
        <item m="1" x="161"/>
        <item m="1" x="140"/>
        <item m="1" x="243"/>
        <item m="1" x="530"/>
        <item m="1" x="353"/>
        <item m="1" x="395"/>
        <item m="1" x="215"/>
        <item m="1" x="376"/>
        <item m="1" x="475"/>
        <item m="1" x="93"/>
        <item m="1" x="506"/>
        <item m="1" x="374"/>
        <item m="1" x="416"/>
        <item x="70"/>
        <item m="1" x="306"/>
        <item m="1" x="194"/>
        <item m="1" x="196"/>
        <item m="1" x="348"/>
        <item m="1" x="151"/>
        <item m="1" x="526"/>
        <item m="1" x="320"/>
        <item m="1" x="256"/>
        <item m="1" x="407"/>
        <item m="1" x="219"/>
        <item m="1" x="400"/>
        <item m="1" x="269"/>
        <item m="1" x="158"/>
        <item m="1" x="500"/>
        <item m="1" x="454"/>
        <item m="1" x="129"/>
        <item m="1" x="74"/>
        <item m="1" x="303"/>
        <item m="1" x="119"/>
        <item m="1" x="202"/>
        <item m="1" x="309"/>
        <item m="1" x="216"/>
        <item m="1" x="87"/>
        <item m="1" x="333"/>
        <item m="1" x="145"/>
        <item m="1" x="102"/>
        <item m="1" x="265"/>
        <item m="1" x="520"/>
        <item m="1" x="341"/>
        <item m="1" x="114"/>
        <item m="1" x="409"/>
        <item m="1" x="360"/>
        <item m="1" x="188"/>
        <item m="1" x="425"/>
        <item m="1" x="437"/>
        <item m="1" x="247"/>
        <item m="1" x="388"/>
        <item x="2"/>
        <item x="3"/>
        <item x="6"/>
        <item x="7"/>
        <item x="9"/>
        <item x="12"/>
        <item x="16"/>
        <item x="20"/>
        <item x="21"/>
        <item x="23"/>
        <item x="24"/>
        <item x="25"/>
        <item x="26"/>
        <item x="28"/>
        <item x="31"/>
        <item x="33"/>
        <item x="36"/>
        <item x="40"/>
        <item x="41"/>
        <item x="42"/>
        <item x="43"/>
        <item x="45"/>
        <item x="46"/>
        <item x="47"/>
        <item x="49"/>
        <item x="50"/>
        <item m="1" x="72"/>
        <item m="1" x="447"/>
        <item m="1" x="347"/>
        <item m="1" x="491"/>
        <item m="1" x="159"/>
        <item m="1" x="441"/>
        <item m="1" x="529"/>
        <item m="1" x="291"/>
        <item m="1" x="465"/>
        <item m="1" x="440"/>
        <item m="1" x="426"/>
        <item m="1" x="372"/>
        <item m="1" x="481"/>
        <item m="1" x="411"/>
        <item m="1" x="405"/>
        <item m="1" x="209"/>
        <item m="1" x="314"/>
        <item m="1" x="384"/>
        <item m="1" x="110"/>
        <item m="1" x="75"/>
        <item m="1" x="329"/>
        <item m="1" x="371"/>
        <item m="1" x="413"/>
        <item m="1" x="490"/>
        <item m="1" x="308"/>
        <item m="1" x="391"/>
        <item m="1" x="499"/>
        <item m="1" x="349"/>
        <item m="1" x="179"/>
        <item m="1" x="208"/>
        <item m="1" x="191"/>
        <item m="1" x="379"/>
        <item m="1" x="335"/>
        <item m="1" x="451"/>
        <item m="1" x="321"/>
        <item m="1" x="418"/>
        <item m="1" x="200"/>
        <item m="1" x="250"/>
        <item m="1" x="91"/>
        <item m="1" x="315"/>
        <item m="1" x="81"/>
        <item m="1" x="95"/>
        <item m="1" x="527"/>
        <item m="1" x="310"/>
        <item m="1" x="485"/>
        <item m="1" x="263"/>
        <item m="1" x="199"/>
        <item m="1" x="330"/>
        <item m="1" x="97"/>
        <item m="1" x="473"/>
        <item m="1" x="399"/>
        <item m="1" x="301"/>
        <item m="1" x="430"/>
        <item m="1" x="442"/>
        <item m="1" x="327"/>
        <item m="1" x="171"/>
        <item m="1" x="397"/>
        <item m="1" x="85"/>
        <item m="1" x="358"/>
        <item m="1" x="452"/>
        <item m="1" x="222"/>
        <item m="1" x="167"/>
        <item m="1" x="355"/>
        <item m="1" x="281"/>
        <item m="1" x="78"/>
        <item m="1" x="517"/>
        <item m="1" x="338"/>
        <item m="1" x="150"/>
        <item m="1" x="336"/>
        <item m="1" x="304"/>
        <item m="1" x="271"/>
        <item m="1" x="98"/>
        <item m="1" x="197"/>
        <item m="1" x="519"/>
        <item m="1" x="446"/>
        <item m="1" x="533"/>
        <item m="1" x="324"/>
        <item m="1" x="477"/>
        <item m="1" x="275"/>
        <item m="1" x="484"/>
        <item m="1" x="424"/>
        <item m="1" x="366"/>
        <item m="1" x="444"/>
        <item m="1" x="117"/>
        <item m="1" x="503"/>
        <item m="1" x="204"/>
        <item m="1" x="377"/>
        <item m="1" x="381"/>
        <item m="1" x="412"/>
        <item m="1" x="88"/>
        <item m="1" x="364"/>
        <item m="1" x="242"/>
        <item m="1" x="290"/>
        <item m="1" x="288"/>
        <item m="1" x="232"/>
        <item m="1" x="118"/>
        <item m="1" x="307"/>
        <item m="1" x="224"/>
        <item m="1" x="513"/>
        <item m="1" x="450"/>
        <item m="1" x="94"/>
        <item m="1" x="210"/>
        <item m="1" x="317"/>
        <item m="1" x="487"/>
        <item m="1" x="164"/>
        <item m="1" x="116"/>
        <item m="1" x="221"/>
        <item m="1" x="386"/>
        <item m="1" x="227"/>
        <item m="1" x="211"/>
        <item m="1" x="273"/>
        <item m="1" x="419"/>
        <item m="1" x="186"/>
        <item m="1" x="131"/>
        <item m="1" x="128"/>
        <item m="1" x="228"/>
        <item m="1" x="483"/>
        <item m="1" x="139"/>
        <item m="1" x="285"/>
        <item m="1" x="157"/>
        <item m="1" x="115"/>
        <item m="1" x="528"/>
        <item m="1" x="217"/>
        <item m="1" x="461"/>
        <item m="1" x="383"/>
        <item m="1" x="495"/>
        <item m="1" x="165"/>
        <item m="1" x="298"/>
        <item m="1" x="525"/>
        <item m="1" x="296"/>
        <item m="1" x="393"/>
        <item m="1" x="143"/>
        <item m="1" x="467"/>
        <item m="1" x="449"/>
        <item m="1" x="463"/>
        <item m="1" x="101"/>
        <item m="1" x="106"/>
        <item m="1" x="264"/>
        <item m="1" x="189"/>
        <item m="1" x="258"/>
        <item m="1" x="229"/>
        <item m="1" x="255"/>
        <item m="1" x="312"/>
        <item m="1" x="160"/>
        <item m="1" x="149"/>
        <item m="1" x="266"/>
        <item m="1" x="368"/>
        <item m="1" x="136"/>
        <item m="1" x="82"/>
        <item m="1" x="505"/>
        <item m="1" x="187"/>
        <item m="1" x="284"/>
        <item m="1" x="272"/>
        <item m="1" x="174"/>
        <item m="1" x="190"/>
        <item m="1" x="280"/>
        <item m="1" x="244"/>
        <item m="1" x="357"/>
        <item m="1" x="507"/>
        <item m="1" x="168"/>
        <item m="1" x="427"/>
        <item m="1" x="522"/>
        <item m="1" x="142"/>
        <item m="1" x="496"/>
        <item m="1" x="410"/>
        <item m="1" x="480"/>
        <item m="1" x="429"/>
        <item m="1" x="207"/>
        <item m="1" x="340"/>
        <item m="1" x="534"/>
        <item m="1" x="251"/>
        <item m="1" x="226"/>
        <item m="1" x="108"/>
        <item m="1" x="230"/>
        <item m="1" x="236"/>
        <item m="1" x="76"/>
        <item m="1" x="423"/>
        <item m="1" x="107"/>
        <item m="1" x="277"/>
        <item m="1" x="524"/>
        <item m="1" x="134"/>
        <item m="1" x="153"/>
        <item m="1" x="287"/>
        <item m="1" x="86"/>
        <item m="1" x="359"/>
        <item m="1" x="113"/>
        <item m="1" x="509"/>
        <item m="1" x="515"/>
        <item m="1" x="394"/>
        <item m="1" x="356"/>
        <item m="1" x="489"/>
        <item m="1" x="240"/>
        <item m="1" x="443"/>
        <item m="1" x="223"/>
        <item m="1" x="382"/>
        <item m="1" x="178"/>
        <item m="1" x="105"/>
        <item m="1" x="432"/>
        <item m="1" x="127"/>
        <item m="1" x="431"/>
        <item m="1" x="170"/>
        <item m="1" x="300"/>
        <item m="1" x="220"/>
        <item m="1" x="375"/>
        <item m="1" x="508"/>
        <item m="1" x="253"/>
        <item m="1" x="351"/>
        <item m="1" x="326"/>
        <item m="1" x="474"/>
        <item m="1" x="470"/>
        <item m="1" x="292"/>
        <item m="1" x="342"/>
        <item m="1" x="316"/>
        <item m="1" x="458"/>
        <item m="1" x="354"/>
        <item m="1" x="181"/>
        <item m="1" x="133"/>
        <item m="1" x="305"/>
        <item m="1" x="146"/>
        <item m="1" x="201"/>
        <item m="1" x="177"/>
        <item m="1" x="231"/>
        <item m="1" x="289"/>
        <item m="1" x="180"/>
        <item m="1" x="154"/>
        <item m="1" x="235"/>
        <item m="1" x="169"/>
        <item m="1" x="246"/>
        <item m="1" x="268"/>
        <item m="1" x="492"/>
        <item m="1" x="262"/>
        <item m="1" x="203"/>
        <item m="1" x="344"/>
        <item m="1" x="398"/>
        <item m="1" x="396"/>
        <item m="1" x="479"/>
        <item m="1" x="205"/>
        <item m="1" x="459"/>
        <item m="1" x="122"/>
        <item m="1" x="156"/>
        <item m="1" x="433"/>
        <item m="1" x="238"/>
        <item m="1" x="328"/>
        <item m="1" x="192"/>
        <item m="1" x="294"/>
        <item m="1" x="248"/>
        <item m="1" x="155"/>
        <item m="1" x="111"/>
        <item m="1" x="367"/>
        <item m="1" x="438"/>
        <item m="1" x="112"/>
        <item m="1" x="521"/>
        <item m="1" x="144"/>
        <item m="1" x="346"/>
        <item m="1" x="126"/>
        <item m="1" x="476"/>
        <item m="1" x="385"/>
        <item m="1" x="311"/>
        <item m="1" x="130"/>
        <item m="1" x="89"/>
        <item m="1" x="225"/>
        <item x="71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21">
        <item h="1" m="1" x="3"/>
        <item h="1" m="1" x="17"/>
        <item h="1" m="1" x="10"/>
        <item h="1" m="1" x="15"/>
        <item h="1" m="1" x="11"/>
        <item h="1" x="2"/>
        <item h="1" m="1" x="8"/>
        <item h="1" m="1" x="13"/>
        <item m="1" x="14"/>
        <item h="1" x="1"/>
        <item h="1" x="0"/>
        <item h="1" m="1" x="19"/>
        <item h="1" m="1" x="7"/>
        <item h="1" m="1" x="4"/>
        <item h="1" m="1" x="5"/>
        <item h="1" m="1" x="16"/>
        <item h="1" m="1" x="18"/>
        <item h="1" m="1" x="12"/>
        <item h="1" m="1" x="6"/>
        <item h="1" m="1" x="9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0"/>
  </rowFields>
  <rowItems count="1">
    <i t="grand">
      <x/>
    </i>
  </rowItems>
  <colItems count="1">
    <i/>
  </colItems>
  <pageFields count="1">
    <pageField fld="17" hier="-1"/>
  </pageFields>
  <dataFields count="1">
    <dataField name="Sum of Difference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E6C02F-08B3-41CF-967C-108DA3320D4F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" fieldListSortAscending="1">
  <location ref="A1:C5" firstHeaderRow="0" firstDataRow="1" firstDataCol="1"/>
  <pivotFields count="2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1">
        <item m="1" x="3"/>
        <item m="1" x="17"/>
        <item m="1" x="10"/>
        <item m="1" x="15"/>
        <item m="1" x="11"/>
        <item x="2"/>
        <item m="1" x="8"/>
        <item m="1" x="13"/>
        <item m="1" x="14"/>
        <item x="1"/>
        <item x="0"/>
        <item m="1" x="19"/>
        <item m="1" x="7"/>
        <item m="1" x="4"/>
        <item m="1" x="5"/>
        <item m="1" x="16"/>
        <item m="1" x="18"/>
        <item m="1" x="12"/>
        <item m="1" x="6"/>
        <item m="1" x="9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7"/>
  </rowFields>
  <rowItems count="4">
    <i>
      <x v="5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Difference" fld="22" baseField="0" baseItem="0"/>
    <dataField name="Sum of Difference2" fld="22" showDataAs="percentOfTotal" baseField="0" baseItem="0" numFmtId="10"/>
  </dataFields>
  <formats count="2">
    <format dxfId="204">
      <pivotArea collapsedLevelsAreSubtotals="1" fieldPosition="0">
        <references count="2">
          <reference field="4294967294" count="1" selected="0">
            <x v="1"/>
          </reference>
          <reference field="17" count="1">
            <x v="6"/>
          </reference>
        </references>
      </pivotArea>
    </format>
    <format dxfId="203">
      <pivotArea collapsedLevelsAreSubtotals="1" fieldPosition="0">
        <references count="1">
          <reference field="17" count="1">
            <x v="11"/>
          </reference>
        </references>
      </pivotArea>
    </format>
  </formats>
  <chartFormats count="4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8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17" count="1" selected="0">
            <x v="9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17" count="1" selected="0">
            <x v="6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17" count="1" selected="0">
            <x v="0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17" count="1" selected="0">
            <x v="1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17" count="1" selected="0">
            <x v="2"/>
          </reference>
        </references>
      </pivotArea>
    </chartFormat>
    <chartFormat chart="1" format="8">
      <pivotArea type="data" outline="0" fieldPosition="0">
        <references count="2">
          <reference field="4294967294" count="1" selected="0">
            <x v="0"/>
          </reference>
          <reference field="17" count="1" selected="0">
            <x v="3"/>
          </reference>
        </references>
      </pivotArea>
    </chartFormat>
    <chartFormat chart="1" format="9">
      <pivotArea type="data" outline="0" fieldPosition="0">
        <references count="2">
          <reference field="4294967294" count="1" selected="0">
            <x v="0"/>
          </reference>
          <reference field="17" count="1" selected="0">
            <x v="4"/>
          </reference>
        </references>
      </pivotArea>
    </chartFormat>
    <chartFormat chart="1" format="10">
      <pivotArea type="data" outline="0" fieldPosition="0">
        <references count="2">
          <reference field="4294967294" count="1" selected="0">
            <x v="0"/>
          </reference>
          <reference field="17" count="1" selected="0">
            <x v="5"/>
          </reference>
        </references>
      </pivotArea>
    </chartFormat>
    <chartFormat chart="1" format="11">
      <pivotArea type="data" outline="0" fieldPosition="0">
        <references count="2">
          <reference field="4294967294" count="1" selected="0">
            <x v="0"/>
          </reference>
          <reference field="17" count="1" selected="0">
            <x v="7"/>
          </reference>
        </references>
      </pivotArea>
    </chartFormat>
    <chartFormat chart="1" format="12">
      <pivotArea type="data" outline="0" fieldPosition="0">
        <references count="2">
          <reference field="4294967294" count="1" selected="0">
            <x v="0"/>
          </reference>
          <reference field="17" count="1" selected="0">
            <x v="10"/>
          </reference>
        </references>
      </pivotArea>
    </chartFormat>
    <chartFormat chart="1" format="13">
      <pivotArea type="data" outline="0" fieldPosition="0">
        <references count="2">
          <reference field="4294967294" count="1" selected="0">
            <x v="0"/>
          </reference>
          <reference field="17" count="1" selected="0">
            <x v="11"/>
          </reference>
        </references>
      </pivotArea>
    </chartFormat>
    <chartFormat chart="1" format="14">
      <pivotArea type="data" outline="0" fieldPosition="0">
        <references count="2">
          <reference field="4294967294" count="1" selected="0">
            <x v="0"/>
          </reference>
          <reference field="17" count="1" selected="0">
            <x v="12"/>
          </reference>
        </references>
      </pivotArea>
    </chartFormat>
    <chartFormat chart="1" format="15">
      <pivotArea type="data" outline="0" fieldPosition="0">
        <references count="2">
          <reference field="4294967294" count="1" selected="0">
            <x v="1"/>
          </reference>
          <reference field="17" count="1" selected="0">
            <x v="0"/>
          </reference>
        </references>
      </pivotArea>
    </chartFormat>
    <chartFormat chart="1" format="16">
      <pivotArea type="data" outline="0" fieldPosition="0">
        <references count="2">
          <reference field="4294967294" count="1" selected="0">
            <x v="1"/>
          </reference>
          <reference field="17" count="1" selected="0">
            <x v="1"/>
          </reference>
        </references>
      </pivotArea>
    </chartFormat>
    <chartFormat chart="1" format="17">
      <pivotArea type="data" outline="0" fieldPosition="0">
        <references count="2">
          <reference field="4294967294" count="1" selected="0">
            <x v="1"/>
          </reference>
          <reference field="17" count="1" selected="0">
            <x v="2"/>
          </reference>
        </references>
      </pivotArea>
    </chartFormat>
    <chartFormat chart="1" format="18">
      <pivotArea type="data" outline="0" fieldPosition="0">
        <references count="2">
          <reference field="4294967294" count="1" selected="0">
            <x v="1"/>
          </reference>
          <reference field="17" count="1" selected="0">
            <x v="3"/>
          </reference>
        </references>
      </pivotArea>
    </chartFormat>
    <chartFormat chart="1" format="19">
      <pivotArea type="data" outline="0" fieldPosition="0">
        <references count="2">
          <reference field="4294967294" count="1" selected="0">
            <x v="1"/>
          </reference>
          <reference field="17" count="1" selected="0">
            <x v="4"/>
          </reference>
        </references>
      </pivotArea>
    </chartFormat>
    <chartFormat chart="1" format="20">
      <pivotArea type="data" outline="0" fieldPosition="0">
        <references count="2">
          <reference field="4294967294" count="1" selected="0">
            <x v="1"/>
          </reference>
          <reference field="17" count="1" selected="0">
            <x v="5"/>
          </reference>
        </references>
      </pivotArea>
    </chartFormat>
    <chartFormat chart="1" format="21">
      <pivotArea type="data" outline="0" fieldPosition="0">
        <references count="2">
          <reference field="4294967294" count="1" selected="0">
            <x v="1"/>
          </reference>
          <reference field="17" count="1" selected="0">
            <x v="6"/>
          </reference>
        </references>
      </pivotArea>
    </chartFormat>
    <chartFormat chart="1" format="22">
      <pivotArea type="data" outline="0" fieldPosition="0">
        <references count="2">
          <reference field="4294967294" count="1" selected="0">
            <x v="1"/>
          </reference>
          <reference field="17" count="1" selected="0">
            <x v="7"/>
          </reference>
        </references>
      </pivotArea>
    </chartFormat>
    <chartFormat chart="1" format="23">
      <pivotArea type="data" outline="0" fieldPosition="0">
        <references count="2">
          <reference field="4294967294" count="1" selected="0">
            <x v="1"/>
          </reference>
          <reference field="17" count="1" selected="0">
            <x v="8"/>
          </reference>
        </references>
      </pivotArea>
    </chartFormat>
    <chartFormat chart="1" format="24">
      <pivotArea type="data" outline="0" fieldPosition="0">
        <references count="2">
          <reference field="4294967294" count="1" selected="0">
            <x v="1"/>
          </reference>
          <reference field="17" count="1" selected="0">
            <x v="9"/>
          </reference>
        </references>
      </pivotArea>
    </chartFormat>
    <chartFormat chart="1" format="25">
      <pivotArea type="data" outline="0" fieldPosition="0">
        <references count="2">
          <reference field="4294967294" count="1" selected="0">
            <x v="1"/>
          </reference>
          <reference field="17" count="1" selected="0">
            <x v="10"/>
          </reference>
        </references>
      </pivotArea>
    </chartFormat>
    <chartFormat chart="1" format="26">
      <pivotArea type="data" outline="0" fieldPosition="0">
        <references count="2">
          <reference field="4294967294" count="1" selected="0">
            <x v="1"/>
          </reference>
          <reference field="17" count="1" selected="0">
            <x v="11"/>
          </reference>
        </references>
      </pivotArea>
    </chartFormat>
    <chartFormat chart="1" format="27">
      <pivotArea type="data" outline="0" fieldPosition="0">
        <references count="2">
          <reference field="4294967294" count="1" selected="0">
            <x v="1"/>
          </reference>
          <reference field="17" count="1" selected="0">
            <x v="12"/>
          </reference>
        </references>
      </pivotArea>
    </chartFormat>
    <chartFormat chart="1" format="28">
      <pivotArea type="data" outline="0" fieldPosition="0">
        <references count="2">
          <reference field="4294967294" count="1" selected="0">
            <x v="0"/>
          </reference>
          <reference field="17" count="1" selected="0">
            <x v="13"/>
          </reference>
        </references>
      </pivotArea>
    </chartFormat>
    <chartFormat chart="1" format="29">
      <pivotArea type="data" outline="0" fieldPosition="0">
        <references count="2">
          <reference field="4294967294" count="1" selected="0">
            <x v="0"/>
          </reference>
          <reference field="17" count="1" selected="0">
            <x v="14"/>
          </reference>
        </references>
      </pivotArea>
    </chartFormat>
    <chartFormat chart="1" format="30">
      <pivotArea type="data" outline="0" fieldPosition="0">
        <references count="2">
          <reference field="4294967294" count="1" selected="0">
            <x v="0"/>
          </reference>
          <reference field="17" count="1" selected="0">
            <x v="15"/>
          </reference>
        </references>
      </pivotArea>
    </chartFormat>
    <chartFormat chart="1" format="31">
      <pivotArea type="data" outline="0" fieldPosition="0">
        <references count="2">
          <reference field="4294967294" count="1" selected="0">
            <x v="0"/>
          </reference>
          <reference field="17" count="1" selected="0">
            <x v="16"/>
          </reference>
        </references>
      </pivotArea>
    </chartFormat>
    <chartFormat chart="1" format="32">
      <pivotArea type="data" outline="0" fieldPosition="0">
        <references count="2">
          <reference field="4294967294" count="1" selected="0">
            <x v="0"/>
          </reference>
          <reference field="17" count="1" selected="0">
            <x v="17"/>
          </reference>
        </references>
      </pivotArea>
    </chartFormat>
    <chartFormat chart="1" format="33">
      <pivotArea type="data" outline="0" fieldPosition="0">
        <references count="2">
          <reference field="4294967294" count="1" selected="0">
            <x v="0"/>
          </reference>
          <reference field="17" count="1" selected="0">
            <x v="18"/>
          </reference>
        </references>
      </pivotArea>
    </chartFormat>
    <chartFormat chart="1" format="34">
      <pivotArea type="data" outline="0" fieldPosition="0">
        <references count="2">
          <reference field="4294967294" count="1" selected="0">
            <x v="1"/>
          </reference>
          <reference field="17" count="1" selected="0">
            <x v="13"/>
          </reference>
        </references>
      </pivotArea>
    </chartFormat>
    <chartFormat chart="1" format="35">
      <pivotArea type="data" outline="0" fieldPosition="0">
        <references count="2">
          <reference field="4294967294" count="1" selected="0">
            <x v="1"/>
          </reference>
          <reference field="17" count="1" selected="0">
            <x v="14"/>
          </reference>
        </references>
      </pivotArea>
    </chartFormat>
    <chartFormat chart="1" format="36">
      <pivotArea type="data" outline="0" fieldPosition="0">
        <references count="2">
          <reference field="4294967294" count="1" selected="0">
            <x v="1"/>
          </reference>
          <reference field="17" count="1" selected="0">
            <x v="15"/>
          </reference>
        </references>
      </pivotArea>
    </chartFormat>
    <chartFormat chart="1" format="37">
      <pivotArea type="data" outline="0" fieldPosition="0">
        <references count="2">
          <reference field="4294967294" count="1" selected="0">
            <x v="1"/>
          </reference>
          <reference field="17" count="1" selected="0">
            <x v="16"/>
          </reference>
        </references>
      </pivotArea>
    </chartFormat>
    <chartFormat chart="1" format="38">
      <pivotArea type="data" outline="0" fieldPosition="0">
        <references count="2">
          <reference field="4294967294" count="1" selected="0">
            <x v="1"/>
          </reference>
          <reference field="17" count="1" selected="0">
            <x v="17"/>
          </reference>
        </references>
      </pivotArea>
    </chartFormat>
    <chartFormat chart="1" format="39">
      <pivotArea type="data" outline="0" fieldPosition="0">
        <references count="2">
          <reference field="4294967294" count="1" selected="0">
            <x v="1"/>
          </reference>
          <reference field="17" count="1" selected="0">
            <x v="18"/>
          </reference>
        </references>
      </pivotArea>
    </chartFormat>
    <chartFormat chart="1" format="40">
      <pivotArea type="data" outline="0" fieldPosition="0">
        <references count="2">
          <reference field="4294967294" count="1" selected="0">
            <x v="0"/>
          </reference>
          <reference field="17" count="1" selected="0">
            <x v="19"/>
          </reference>
        </references>
      </pivotArea>
    </chartFormat>
    <chartFormat chart="1" format="41">
      <pivotArea type="data" outline="0" fieldPosition="0">
        <references count="2">
          <reference field="4294967294" count="1" selected="0">
            <x v="1"/>
          </reference>
          <reference field="17" count="1" selected="0">
            <x v="1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PivotTable3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multipleFieldFilters="0">
  <location ref="A3:B9" firstHeaderRow="1" firstDataRow="1" firstDataCol="1"/>
  <pivotFields count="20"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name="Head" axis="axisRow" compact="0" outline="0" showAll="0">
      <items count="69">
        <item m="1" x="10"/>
        <item m="1" x="47"/>
        <item m="1" x="57"/>
        <item m="1" x="53"/>
        <item m="1" x="14"/>
        <item m="1" x="28"/>
        <item x="3"/>
        <item m="1" x="42"/>
        <item m="1" x="54"/>
        <item x="0"/>
        <item x="1"/>
        <item x="2"/>
        <item m="1" x="5"/>
        <item m="1" x="59"/>
        <item m="1" x="48"/>
        <item m="1" x="19"/>
        <item m="1" x="33"/>
        <item m="1" x="7"/>
        <item m="1" x="50"/>
        <item m="1" x="63"/>
        <item m="1" x="38"/>
        <item m="1" x="37"/>
        <item m="1" x="18"/>
        <item m="1" x="17"/>
        <item x="4"/>
        <item m="1" x="13"/>
        <item m="1" x="15"/>
        <item m="1" x="26"/>
        <item m="1" x="8"/>
        <item m="1" x="22"/>
        <item m="1" x="30"/>
        <item m="1" x="45"/>
        <item m="1" x="16"/>
        <item m="1" x="24"/>
        <item m="1" x="40"/>
        <item m="1" x="34"/>
        <item m="1" x="29"/>
        <item m="1" x="66"/>
        <item m="1" x="41"/>
        <item m="1" x="46"/>
        <item m="1" x="31"/>
        <item m="1" x="55"/>
        <item m="1" x="11"/>
        <item m="1" x="49"/>
        <item m="1" x="58"/>
        <item m="1" x="9"/>
        <item m="1" x="12"/>
        <item m="1" x="44"/>
        <item m="1" x="43"/>
        <item m="1" x="35"/>
        <item m="1" x="32"/>
        <item m="1" x="23"/>
        <item m="1" x="52"/>
        <item m="1" x="25"/>
        <item m="1" x="36"/>
        <item m="1" x="61"/>
        <item m="1" x="21"/>
        <item m="1" x="56"/>
        <item m="1" x="6"/>
        <item m="1" x="39"/>
        <item m="1" x="27"/>
        <item m="1" x="60"/>
        <item m="1" x="65"/>
        <item m="1" x="67"/>
        <item m="1" x="51"/>
        <item m="1" x="62"/>
        <item m="1" x="20"/>
        <item m="1" x="64"/>
        <item t="default"/>
      </items>
    </pivotField>
    <pivotField compact="0" outline="0" showAll="0"/>
    <pivotField compact="0" outline="0" showAll="0"/>
  </pivotFields>
  <rowFields count="1">
    <field x="17"/>
  </rowFields>
  <rowItems count="6">
    <i>
      <x v="6"/>
    </i>
    <i>
      <x v="9"/>
    </i>
    <i>
      <x v="10"/>
    </i>
    <i>
      <x v="11"/>
    </i>
    <i>
      <x v="24"/>
    </i>
    <i t="grand">
      <x/>
    </i>
  </rowItems>
  <colItems count="1">
    <i/>
  </colItems>
  <dataFields count="1">
    <dataField name=" Remark" fld="11" subtotal="count" baseField="15" baseItem="2"/>
  </dataFields>
  <formats count="30">
    <format dxfId="133">
      <pivotArea type="all" dataOnly="0" outline="0" fieldPosition="0"/>
    </format>
    <format dxfId="132">
      <pivotArea outline="0" collapsedLevelsAreSubtotals="1" fieldPosition="0"/>
    </format>
    <format dxfId="131">
      <pivotArea field="17" type="button" dataOnly="0" labelOnly="1" outline="0" axis="axisRow" fieldPosition="0"/>
    </format>
    <format dxfId="130">
      <pivotArea dataOnly="0" labelOnly="1" fieldPosition="0">
        <references count="1">
          <reference field="17" count="0"/>
        </references>
      </pivotArea>
    </format>
    <format dxfId="129">
      <pivotArea dataOnly="0" labelOnly="1" grandRow="1" outline="0" fieldPosition="0"/>
    </format>
    <format dxfId="12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27">
      <pivotArea type="all" dataOnly="0" outline="0" fieldPosition="0"/>
    </format>
    <format dxfId="126">
      <pivotArea outline="0" collapsedLevelsAreSubtotals="1" fieldPosition="0"/>
    </format>
    <format dxfId="125">
      <pivotArea field="17" type="button" dataOnly="0" labelOnly="1" outline="0" axis="axisRow" fieldPosition="0"/>
    </format>
    <format dxfId="124">
      <pivotArea dataOnly="0" labelOnly="1" fieldPosition="0">
        <references count="1">
          <reference field="17" count="0"/>
        </references>
      </pivotArea>
    </format>
    <format dxfId="123">
      <pivotArea dataOnly="0" labelOnly="1" grandRow="1" outline="0" fieldPosition="0"/>
    </format>
    <format dxfId="12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21">
      <pivotArea type="all" dataOnly="0" outline="0" fieldPosition="0"/>
    </format>
    <format dxfId="120">
      <pivotArea outline="0" collapsedLevelsAreSubtotals="1" fieldPosition="0"/>
    </format>
    <format dxfId="119">
      <pivotArea field="17" type="button" dataOnly="0" labelOnly="1" outline="0" axis="axisRow" fieldPosition="0"/>
    </format>
    <format dxfId="118">
      <pivotArea dataOnly="0" labelOnly="1" outline="0" fieldPosition="0">
        <references count="1">
          <reference field="17" count="0"/>
        </references>
      </pivotArea>
    </format>
    <format dxfId="117">
      <pivotArea dataOnly="0" labelOnly="1" grandRow="1" outline="0" fieldPosition="0"/>
    </format>
    <format dxfId="11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5">
      <pivotArea type="all" dataOnly="0" outline="0" fieldPosition="0"/>
    </format>
    <format dxfId="114">
      <pivotArea outline="0" collapsedLevelsAreSubtotals="1" fieldPosition="0"/>
    </format>
    <format dxfId="113">
      <pivotArea field="17" type="button" dataOnly="0" labelOnly="1" outline="0" axis="axisRow" fieldPosition="0"/>
    </format>
    <format dxfId="112">
      <pivotArea dataOnly="0" labelOnly="1" outline="0" fieldPosition="0">
        <references count="1">
          <reference field="17" count="0"/>
        </references>
      </pivotArea>
    </format>
    <format dxfId="111">
      <pivotArea dataOnly="0" labelOnly="1" grandRow="1" outline="0" fieldPosition="0"/>
    </format>
    <format dxfId="110">
      <pivotArea dataOnly="0" labelOnly="1" outline="0" axis="axisValues" fieldPosition="0"/>
    </format>
    <format dxfId="109">
      <pivotArea type="all" dataOnly="0" outline="0" fieldPosition="0"/>
    </format>
    <format dxfId="108">
      <pivotArea outline="0" collapsedLevelsAreSubtotals="1" fieldPosition="0"/>
    </format>
    <format dxfId="107">
      <pivotArea field="17" type="button" dataOnly="0" labelOnly="1" outline="0" axis="axisRow" fieldPosition="0"/>
    </format>
    <format dxfId="106">
      <pivotArea dataOnly="0" labelOnly="1" outline="0" fieldPosition="0">
        <references count="1">
          <reference field="17" count="0"/>
        </references>
      </pivotArea>
    </format>
    <format dxfId="105">
      <pivotArea dataOnly="0" labelOnly="1" grandRow="1" outline="0" fieldPosition="0"/>
    </format>
    <format dxfId="104">
      <pivotArea dataOnly="0" labelOnly="1" outline="0" axis="axisValues" fieldPosition="0"/>
    </format>
  </format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2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4" rowHeaderCaption="Head" fieldListSortAscending="1">
  <location ref="A3:I9" firstHeaderRow="0" firstDataRow="1" firstDataCol="1"/>
  <pivotFields count="15"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axis="axisRow" showAll="0">
      <items count="64">
        <item sd="0" m="1" x="27"/>
        <item sd="0" m="1" x="39"/>
        <item sd="0" x="2"/>
        <item sd="0" x="0"/>
        <item sd="0" m="1" x="58"/>
        <item sd="0" m="1" x="33"/>
        <item sd="0" x="3"/>
        <item sd="0" x="1"/>
        <item sd="0" m="1" x="53"/>
        <item sd="0" m="1" x="14"/>
        <item sd="0" m="1" x="15"/>
        <item sd="0" m="1" x="19"/>
        <item sd="0" m="1" x="25"/>
        <item m="1" x="46"/>
        <item m="1" x="57"/>
        <item m="1" x="50"/>
        <item m="1" x="12"/>
        <item m="1" x="26"/>
        <item m="1" x="41"/>
        <item x="4"/>
        <item m="1" x="20"/>
        <item m="1" x="10"/>
        <item m="1" x="28"/>
        <item m="1" x="40"/>
        <item m="1" x="45"/>
        <item m="1" x="37"/>
        <item m="1" x="60"/>
        <item m="1" x="29"/>
        <item m="1" x="22"/>
        <item m="1" x="16"/>
        <item m="1" x="7"/>
        <item m="1" x="36"/>
        <item m="1" x="62"/>
        <item m="1" x="17"/>
        <item m="1" x="18"/>
        <item m="1" x="38"/>
        <item m="1" x="30"/>
        <item m="1" x="59"/>
        <item m="1" x="34"/>
        <item m="1" x="56"/>
        <item m="1" x="8"/>
        <item m="1" x="54"/>
        <item m="1" x="61"/>
        <item m="1" x="23"/>
        <item m="1" x="55"/>
        <item m="1" x="9"/>
        <item m="1" x="5"/>
        <item m="1" x="51"/>
        <item m="1" x="21"/>
        <item m="1" x="43"/>
        <item m="1" x="42"/>
        <item m="1" x="32"/>
        <item m="1" x="31"/>
        <item m="1" x="47"/>
        <item m="1" x="13"/>
        <item m="1" x="48"/>
        <item m="1" x="6"/>
        <item m="1" x="52"/>
        <item m="1" x="44"/>
        <item m="1" x="35"/>
        <item m="1" x="11"/>
        <item m="1" x="49"/>
        <item m="1" x="24"/>
        <item t="default"/>
      </items>
    </pivotField>
    <pivotField showAll="0"/>
    <pivotField showAll="0"/>
    <pivotField dataField="1" showAll="0"/>
    <pivotField dataField="1" showAll="0"/>
  </pivotFields>
  <rowFields count="1">
    <field x="10"/>
  </rowFields>
  <rowItems count="6">
    <i>
      <x v="2"/>
    </i>
    <i>
      <x v="3"/>
    </i>
    <i>
      <x v="6"/>
    </i>
    <i>
      <x v="7"/>
    </i>
    <i>
      <x v="19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name=" Taxable Amount (2B)" fld="4" baseField="0" baseItem="0"/>
    <dataField name=" Input (2B)" fld="5" baseField="0" baseItem="0"/>
    <dataField name=" Cess (2B)" fld="6" baseField="0" baseItem="0"/>
    <dataField name=" Taxable Amount (Books)" fld="7" baseField="0" baseItem="0"/>
    <dataField name=" Input (Books)" fld="8" baseField="0" baseItem="0"/>
    <dataField name=" Cess (Books)" fld="9" baseField="0" baseItem="0"/>
    <dataField name=" Difference (Input)" fld="13" baseField="0" baseItem="0" numFmtId="4"/>
    <dataField name=" Difference (Cess)" fld="14" baseField="0" baseItem="0"/>
  </dataFields>
  <formats count="40">
    <format dxfId="103">
      <pivotArea type="all" dataOnly="0" outline="0" fieldPosition="0"/>
    </format>
    <format dxfId="102">
      <pivotArea outline="0" collapsedLevelsAreSubtotals="1" fieldPosition="0"/>
    </format>
    <format dxfId="101">
      <pivotArea field="10" type="button" dataOnly="0" labelOnly="1" outline="0" axis="axisRow" fieldPosition="0"/>
    </format>
    <format dxfId="100">
      <pivotArea dataOnly="0" labelOnly="1" fieldPosition="0">
        <references count="1">
          <reference field="10" count="0"/>
        </references>
      </pivotArea>
    </format>
    <format dxfId="99">
      <pivotArea dataOnly="0" labelOnly="1" grandRow="1" outline="0" fieldPosition="0"/>
    </format>
    <format dxfId="98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97">
      <pivotArea field="10" type="button" dataOnly="0" labelOnly="1" outline="0" axis="axisRow" fieldPosition="0"/>
    </format>
    <format dxfId="96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95">
      <pivotArea field="10" type="button" dataOnly="0" labelOnly="1" outline="0" axis="axisRow" fieldPosition="0"/>
    </format>
    <format dxfId="94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93">
      <pivotArea type="all" dataOnly="0" outline="0" fieldPosition="0"/>
    </format>
    <format dxfId="92">
      <pivotArea outline="0" collapsedLevelsAreSubtotals="1" fieldPosition="0"/>
    </format>
    <format dxfId="91">
      <pivotArea field="10" type="button" dataOnly="0" labelOnly="1" outline="0" axis="axisRow" fieldPosition="0"/>
    </format>
    <format dxfId="90">
      <pivotArea dataOnly="0" labelOnly="1" fieldPosition="0">
        <references count="1">
          <reference field="10" count="0"/>
        </references>
      </pivotArea>
    </format>
    <format dxfId="89">
      <pivotArea dataOnly="0" labelOnly="1" grandRow="1" outline="0" fieldPosition="0"/>
    </format>
    <format dxfId="88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87">
      <pivotArea collapsedLevelsAreSubtotals="1" fieldPosition="0">
        <references count="1">
          <reference field="10" count="1">
            <x v="0"/>
          </reference>
        </references>
      </pivotArea>
    </format>
    <format dxfId="86">
      <pivotArea collapsedLevelsAreSubtotals="1" fieldPosition="0">
        <references count="1">
          <reference field="10" count="1">
            <x v="1"/>
          </reference>
        </references>
      </pivotArea>
    </format>
    <format dxfId="85">
      <pivotArea collapsedLevelsAreSubtotals="1" fieldPosition="0">
        <references count="1">
          <reference field="10" count="1">
            <x v="2"/>
          </reference>
        </references>
      </pivotArea>
    </format>
    <format dxfId="84">
      <pivotArea collapsedLevelsAreSubtotals="1" fieldPosition="0">
        <references count="1">
          <reference field="10" count="1">
            <x v="3"/>
          </reference>
        </references>
      </pivotArea>
    </format>
    <format dxfId="83">
      <pivotArea collapsedLevelsAreSubtotals="1" fieldPosition="0">
        <references count="1">
          <reference field="10" count="1">
            <x v="4"/>
          </reference>
        </references>
      </pivotArea>
    </format>
    <format dxfId="82">
      <pivotArea collapsedLevelsAreSubtotals="1" fieldPosition="0">
        <references count="1">
          <reference field="10" count="1">
            <x v="5"/>
          </reference>
        </references>
      </pivotArea>
    </format>
    <format dxfId="81">
      <pivotArea collapsedLevelsAreSubtotals="1" fieldPosition="0">
        <references count="1">
          <reference field="10" count="1">
            <x v="6"/>
          </reference>
        </references>
      </pivotArea>
    </format>
    <format dxfId="80">
      <pivotArea collapsedLevelsAreSubtotals="1" fieldPosition="0">
        <references count="1">
          <reference field="10" count="1">
            <x v="7"/>
          </reference>
        </references>
      </pivotArea>
    </format>
    <format dxfId="79">
      <pivotArea dataOnly="0" labelOnly="1" fieldPosition="0">
        <references count="1">
          <reference field="10" count="0"/>
        </references>
      </pivotArea>
    </format>
    <format dxfId="78">
      <pivotArea field="10" type="button" dataOnly="0" labelOnly="1" outline="0" axis="axisRow" fieldPosition="0"/>
    </format>
    <format dxfId="77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76">
      <pivotArea field="10" type="button" dataOnly="0" labelOnly="1" outline="0" axis="axisRow" fieldPosition="0"/>
    </format>
    <format dxfId="75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74">
      <pivotArea grandRow="1" outline="0" collapsedLevelsAreSubtotals="1" fieldPosition="0"/>
    </format>
    <format dxfId="73">
      <pivotArea dataOnly="0" labelOnly="1" grandRow="1" outline="0" fieldPosition="0"/>
    </format>
    <format dxfId="72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71">
      <pivotArea dataOnly="0" labelOnly="1" fieldPosition="0">
        <references count="1">
          <reference field="10" count="2">
            <x v="46"/>
            <x v="47"/>
          </reference>
        </references>
      </pivotArea>
    </format>
    <format dxfId="70">
      <pivotArea dataOnly="0" labelOnly="1" fieldPosition="0">
        <references count="1">
          <reference field="10" count="3">
            <x v="0"/>
            <x v="1"/>
            <x v="2"/>
          </reference>
        </references>
      </pivotArea>
    </format>
    <format dxfId="69">
      <pivotArea dataOnly="0" labelOnly="1" fieldPosition="0">
        <references count="1">
          <reference field="10" count="1">
            <x v="25"/>
          </reference>
        </references>
      </pivotArea>
    </format>
    <format dxfId="68">
      <pivotArea dataOnly="0" labelOnly="1" fieldPosition="0">
        <references count="1">
          <reference field="10" count="1">
            <x v="31"/>
          </reference>
        </references>
      </pivotArea>
    </format>
    <format dxfId="67">
      <pivotArea dataOnly="0" labelOnly="1" fieldPosition="0">
        <references count="1">
          <reference field="10" count="1">
            <x v="35"/>
          </reference>
        </references>
      </pivotArea>
    </format>
    <format dxfId="66">
      <pivotArea dataOnly="0" labelOnly="1" fieldPosition="0">
        <references count="1">
          <reference field="10" count="1">
            <x v="38"/>
          </reference>
        </references>
      </pivotArea>
    </format>
    <format dxfId="65">
      <pivotArea dataOnly="0" labelOnly="1" fieldPosition="0">
        <references count="1">
          <reference field="10" count="1">
            <x v="43"/>
          </reference>
        </references>
      </pivotArea>
    </format>
    <format dxfId="64">
      <pivotArea dataOnly="0" labelOnly="1" fieldPosition="0">
        <references count="1">
          <reference field="10" count="1">
            <x v="4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connectionId="43" xr16:uid="{00000000-0016-0000-0100-000000000000}" autoFormatId="16" applyNumberFormats="0" applyBorderFormats="0" applyFontFormats="0" applyPatternFormats="0" applyAlignmentFormats="0" applyWidthHeightFormats="0">
  <queryTableRefresh nextId="7">
    <queryTableFields count="4">
      <queryTableField id="4" name="GSTIN of supplier" tableColumnId="4"/>
      <queryTableField id="1" name="Trade/Legal name" tableColumnId="1"/>
      <queryTableField id="2" name="Email-ID" tableColumnId="2"/>
      <queryTableField id="6" name="CC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backgroundRefresh="0" connectionId="6" xr16:uid="{16066C9E-65B9-4826-8840-A4EEB370F892}" autoFormatId="16" applyNumberFormats="0" applyBorderFormats="0" applyFontFormats="0" applyPatternFormats="0" applyAlignmentFormats="0" applyWidthHeightFormats="0">
  <queryTableRefresh nextId="30">
    <queryTableFields count="17">
      <queryTableField id="1" name="GSTIN of supplier" tableColumnId="1"/>
      <queryTableField id="2" name="Trade/Legal name" tableColumnId="2"/>
      <queryTableField id="3" name="Invoice number" tableColumnId="3"/>
      <queryTableField id="4" name="Invoice Date" tableColumnId="4"/>
      <queryTableField id="5" name="Purchase.Taxable Amt." tableColumnId="5"/>
      <queryTableField id="6" name="Purchase.IGST Amt." tableColumnId="6"/>
      <queryTableField id="7" name="Purchase.CGST Amt." tableColumnId="7"/>
      <queryTableField id="8" name="Purchase.SGST Amt." tableColumnId="8"/>
      <queryTableField id="9" name="Purchase.CESS Amt." tableColumnId="9"/>
      <queryTableField id="28" name="(2B).GSTIN of supplier" tableColumnId="27"/>
      <queryTableField id="21" name="(2B).Trade/Legal name" tableColumnId="20"/>
      <queryTableField id="22" name="(2B).Invoice number" tableColumnId="21"/>
      <queryTableField id="23" name="(2B).Taxable Value (₹)" tableColumnId="22"/>
      <queryTableField id="24" name="(2B).Integrated Tax(₹)" tableColumnId="23"/>
      <queryTableField id="25" name="(2B).Central Tax(₹)" tableColumnId="24"/>
      <queryTableField id="26" name="(2B).State/UT Tax(₹)" tableColumnId="25"/>
      <queryTableField id="27" name="(2B).Cess(₹)" tableColumnId="2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adjustColumnWidth="0" connectionId="11" xr16:uid="{00000000-0016-0000-0200-000001000000}" autoFormatId="16" applyNumberFormats="0" applyBorderFormats="0" applyFontFormats="0" applyPatternFormats="0" applyAlignmentFormats="0" applyWidthHeightFormats="0">
  <queryTableRefresh nextId="28">
    <queryTableFields count="20">
      <queryTableField id="13" name="GSTIN of supplier" tableColumnId="13"/>
      <queryTableField id="14" name="Trade/Legal name" tableColumnId="14"/>
      <queryTableField id="15" name="Invoice number" tableColumnId="15"/>
      <queryTableField id="16" name="Invoice Date" tableColumnId="16"/>
      <queryTableField id="24" name="Supply Attract Reverse Charge" tableColumnId="19"/>
      <queryTableField id="25" name="Place of supply" tableColumnId="20"/>
      <queryTableField id="17" name="Taxable Value (₹)" tableColumnId="17"/>
      <queryTableField id="1" name="Integrated Tax(₹)" tableColumnId="1"/>
      <queryTableField id="2" name="Central Tax(₹)" tableColumnId="2"/>
      <queryTableField id="3" name="State/UT Tax(₹)" tableColumnId="3"/>
      <queryTableField id="4" name="Cess(₹)" tableColumnId="4"/>
      <queryTableField id="5" name="Purchase.Taxable Amt." tableColumnId="5"/>
      <queryTableField id="6" name="Purchase.IGST Amt." tableColumnId="6"/>
      <queryTableField id="7" name="Purchase.CGST Amt." tableColumnId="7"/>
      <queryTableField id="8" name="Purchase.SGST Amt." tableColumnId="8"/>
      <queryTableField id="9" name="Purchase.CESS Amt." tableColumnId="9"/>
      <queryTableField id="10" name="Purchase.Invoice Amt." tableColumnId="10"/>
      <queryTableField id="11" name="Remark" tableColumnId="11"/>
      <queryTableField id="12" name="Sources" tableColumnId="12"/>
      <queryTableField id="23" name="Purchase.Voucher no" tableColumnId="1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12" xr16:uid="{00000000-0016-0000-0500-000002000000}" autoFormatId="16" applyNumberFormats="0" applyBorderFormats="0" applyFontFormats="0" applyPatternFormats="0" applyAlignmentFormats="0" applyWidthHeightFormats="0">
  <queryTableRefresh nextId="23">
    <queryTableFields count="20">
      <queryTableField id="1" name="GSTIN of supplier" tableColumnId="1"/>
      <queryTableField id="2" name="Trade/Legal name" tableColumnId="2"/>
      <queryTableField id="3" name="Invoice number" tableColumnId="3"/>
      <queryTableField id="4" name="Invoice Date" tableColumnId="4"/>
      <queryTableField id="19" name="Supply Attract Reverse Charge" tableColumnId="19"/>
      <queryTableField id="20" name="Place of supply" tableColumnId="20"/>
      <queryTableField id="5" name="Taxable Value (₹)" tableColumnId="5"/>
      <queryTableField id="6" name="Integrated Tax(₹)" tableColumnId="6"/>
      <queryTableField id="7" name="Central Tax(₹)" tableColumnId="7"/>
      <queryTableField id="8" name="State/UT Tax(₹)" tableColumnId="8"/>
      <queryTableField id="9" name="Cess(₹)" tableColumnId="9"/>
      <queryTableField id="10" name="Purchase.Taxable Amt." tableColumnId="10"/>
      <queryTableField id="11" name="Purchase.IGST Amt." tableColumnId="11"/>
      <queryTableField id="12" name="Purchase.CGST Amt." tableColumnId="12"/>
      <queryTableField id="13" name="Purchase.SGST Amt." tableColumnId="13"/>
      <queryTableField id="14" name="Purchase.CESS Amt." tableColumnId="14"/>
      <queryTableField id="15" name="Purchase.Invoice Amt." tableColumnId="15"/>
      <queryTableField id="16" name="Remark" tableColumnId="16"/>
      <queryTableField id="17" name="Sources" tableColumnId="17"/>
      <queryTableField id="18" name="Purchase.Voucher no" tableColumnId="1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Company_info" displayName="Company_info" ref="A1:B7" totalsRowShown="0" headerRowDxfId="219" dataDxfId="217" headerRowBorderDxfId="218" tableBorderDxfId="216" totalsRowBorderDxfId="215">
  <tableColumns count="2">
    <tableColumn id="2" xr3:uid="{00000000-0010-0000-0000-000002000000}" name="Info" dataDxfId="214"/>
    <tableColumn id="1" xr3:uid="{00000000-0010-0000-0000-000001000000}" name="Remark" dataDxfId="21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Suppiler_Master_for_EMAIL" displayName="Suppiler_Master_for_EMAIL" ref="A1:D73" tableType="queryTable" totalsRowShown="0" headerRowDxfId="212" headerRowBorderDxfId="211" tableBorderDxfId="210" totalsRowBorderDxfId="209">
  <sortState xmlns:xlrd2="http://schemas.microsoft.com/office/spreadsheetml/2017/richdata2" ref="A2:D73">
    <sortCondition ref="C2:C73"/>
  </sortState>
  <tableColumns count="4">
    <tableColumn id="4" xr3:uid="{00000000-0010-0000-0100-000004000000}" uniqueName="4" name="GSTIN of supplier" queryTableFieldId="4" dataDxfId="208"/>
    <tableColumn id="1" xr3:uid="{00000000-0010-0000-0100-000001000000}" uniqueName="1" name="Trade/Legal name" queryTableFieldId="1" dataDxfId="207"/>
    <tableColumn id="2" xr3:uid="{00000000-0010-0000-0100-000002000000}" uniqueName="2" name="Email-ID" queryTableFieldId="2" dataDxfId="206" dataCellStyle="Hyperlink"/>
    <tableColumn id="3" xr3:uid="{00000000-0010-0000-0100-000003000000}" uniqueName="3" name="CC" queryTableFieldId="6" dataDxfId="205" dataCellStyle="Hyperlink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C23B01B-1B98-41D6-80C3-A8CBA31D0B43}" name="Books_Fuzzy_Mismatch" displayName="Books_Fuzzy_Mismatch" ref="A5:Q7" tableType="queryTable" totalsRowShown="0" headerRowDxfId="202" headerRowBorderDxfId="201" tableBorderDxfId="200" totalsRowBorderDxfId="199">
  <autoFilter ref="A5:Q7" xr:uid="{DC23B01B-1B98-41D6-80C3-A8CBA31D0B43}"/>
  <tableColumns count="17">
    <tableColumn id="1" xr3:uid="{D51441B9-C5C6-4C9C-B7E8-E78BDE9C9360}" uniqueName="1" name="GSTIN of supplier" queryTableFieldId="1" dataDxfId="198"/>
    <tableColumn id="2" xr3:uid="{C9C77D9C-C1BE-429A-937B-2CE6FADE4F65}" uniqueName="2" name="Trade/Legal name" queryTableFieldId="2" dataDxfId="197"/>
    <tableColumn id="3" xr3:uid="{F1ACBBEB-CD9B-4132-B011-85C740632145}" uniqueName="3" name="Invoice number" queryTableFieldId="3" dataDxfId="196"/>
    <tableColumn id="4" xr3:uid="{5ADEBA56-6444-4758-80D0-3A7E9426001A}" uniqueName="4" name="Invoice Date" queryTableFieldId="4" dataDxfId="195"/>
    <tableColumn id="5" xr3:uid="{20573FFB-4F45-4174-992F-5762F7965B98}" uniqueName="5" name="Purchase.Taxable Amt." queryTableFieldId="5" dataDxfId="194"/>
    <tableColumn id="6" xr3:uid="{5D5283C0-8303-4E84-93BB-6B1CF25D2CD6}" uniqueName="6" name="Purchase.IGST Amt." queryTableFieldId="6" dataDxfId="193"/>
    <tableColumn id="7" xr3:uid="{CFEEA5BB-49A7-462C-8BA6-7CFC1719FF95}" uniqueName="7" name="Purchase.CGST Amt." queryTableFieldId="7" dataDxfId="192"/>
    <tableColumn id="8" xr3:uid="{2FCF6C9D-93E4-44FC-9422-9BFC34021F2C}" uniqueName="8" name="Purchase.SGST Amt." queryTableFieldId="8" dataDxfId="191"/>
    <tableColumn id="9" xr3:uid="{485AD9D5-282A-43E6-86C7-E86302FD4B5C}" uniqueName="9" name="Purchase.CESS Amt." queryTableFieldId="9" dataDxfId="190"/>
    <tableColumn id="27" xr3:uid="{35AB6786-995A-4C71-AB2D-42EF18B67221}" uniqueName="27" name="(2B).GSTIN of supplier" queryTableFieldId="28" dataDxfId="189"/>
    <tableColumn id="20" xr3:uid="{1240EE3A-5BCD-4DD9-9399-079074AC4B49}" uniqueName="20" name="(2B).Trade/Legal name" queryTableFieldId="21"/>
    <tableColumn id="21" xr3:uid="{D2BC8A0D-B36E-45C7-A117-705FC0AEBD47}" uniqueName="21" name="(2B).Invoice number" queryTableFieldId="22" dataDxfId="188"/>
    <tableColumn id="22" xr3:uid="{C47E2AFC-AC32-42D7-AC9C-858B59FA500B}" uniqueName="22" name="(2B).Taxable Value (₹)" queryTableFieldId="23"/>
    <tableColumn id="23" xr3:uid="{6272DEA1-BE43-428E-A3A9-B35D71C8BB90}" uniqueName="23" name="(2B).Integrated Tax(₹)" queryTableFieldId="24"/>
    <tableColumn id="24" xr3:uid="{2E8B0DE4-8CD1-4BAC-B5D7-D7C54E061A4C}" uniqueName="24" name="(2B).Central Tax(₹)" queryTableFieldId="25"/>
    <tableColumn id="25" xr3:uid="{7FD83596-1A1E-4B5E-84EC-1F7D54F3DE95}" uniqueName="25" name="(2B).State/UT Tax(₹)" queryTableFieldId="26"/>
    <tableColumn id="26" xr3:uid="{93ED09FC-79D4-4B3E-B77A-DD67160A36D6}" uniqueName="26" name="(2B).Cess(₹)" queryTableFieldId="27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Email_Require" displayName="Email_Require" ref="A3:T146" tableType="queryTable" headerRowDxfId="187" dataDxfId="185" totalsRowDxfId="183" headerRowBorderDxfId="186" tableBorderDxfId="184" totalsRowBorderDxfId="182">
  <autoFilter ref="A3:T146" xr:uid="{00000000-000C-0000-FFFF-FFFF02000000}"/>
  <sortState xmlns:xlrd2="http://schemas.microsoft.com/office/spreadsheetml/2017/richdata2" ref="A4:T146">
    <sortCondition sortBy="cellColor" ref="C3:C146" dxfId="181"/>
  </sortState>
  <tableColumns count="20">
    <tableColumn id="13" xr3:uid="{00000000-0010-0000-0200-00000D000000}" uniqueName="13" name="GSTIN of supplier" queryTableFieldId="13" dataDxfId="180" totalsRowDxfId="179"/>
    <tableColumn id="14" xr3:uid="{00000000-0010-0000-0200-00000E000000}" uniqueName="14" name="Trade/Legal name" queryTableFieldId="14" dataDxfId="178" totalsRowDxfId="177"/>
    <tableColumn id="15" xr3:uid="{00000000-0010-0000-0200-00000F000000}" uniqueName="15" name="Invoice number" queryTableFieldId="15" dataDxfId="176" totalsRowDxfId="175"/>
    <tableColumn id="16" xr3:uid="{00000000-0010-0000-0200-000010000000}" uniqueName="16" name="Invoice Date" queryTableFieldId="16" dataDxfId="174" totalsRowDxfId="173"/>
    <tableColumn id="19" xr3:uid="{00000000-0010-0000-0200-000013000000}" uniqueName="19" name="Supply Attract Reverse Charge" queryTableFieldId="24" dataDxfId="172" totalsRowDxfId="171"/>
    <tableColumn id="20" xr3:uid="{00000000-0010-0000-0200-000014000000}" uniqueName="20" name="Place of supply" queryTableFieldId="25" dataDxfId="170" totalsRowDxfId="169"/>
    <tableColumn id="17" xr3:uid="{00000000-0010-0000-0200-000011000000}" uniqueName="17" name="Taxable Value (₹)" queryTableFieldId="17" dataDxfId="168" totalsRowDxfId="167"/>
    <tableColumn id="1" xr3:uid="{00000000-0010-0000-0200-000001000000}" uniqueName="1" name="Integrated Tax(₹)" queryTableFieldId="1" dataDxfId="166" totalsRowDxfId="165"/>
    <tableColumn id="2" xr3:uid="{00000000-0010-0000-0200-000002000000}" uniqueName="2" name="Central Tax(₹)" totalsRowFunction="sum" queryTableFieldId="2" dataDxfId="164" totalsRowDxfId="163"/>
    <tableColumn id="3" xr3:uid="{00000000-0010-0000-0200-000003000000}" uniqueName="3" name="State/UT Tax(₹)" totalsRowFunction="sum" queryTableFieldId="3" dataDxfId="162" totalsRowDxfId="161"/>
    <tableColumn id="4" xr3:uid="{00000000-0010-0000-0200-000004000000}" uniqueName="4" name="Cess(₹)" queryTableFieldId="4" dataDxfId="160" totalsRowDxfId="159"/>
    <tableColumn id="5" xr3:uid="{00000000-0010-0000-0200-000005000000}" uniqueName="5" name="Purchase.Taxable Amt." queryTableFieldId="5" dataDxfId="158" totalsRowDxfId="157"/>
    <tableColumn id="6" xr3:uid="{00000000-0010-0000-0200-000006000000}" uniqueName="6" name="Purchase.IGST Amt." queryTableFieldId="6" dataDxfId="156" totalsRowDxfId="155"/>
    <tableColumn id="7" xr3:uid="{00000000-0010-0000-0200-000007000000}" uniqueName="7" name="Purchase.CGST Amt." totalsRowFunction="sum" queryTableFieldId="7" dataDxfId="154" totalsRowDxfId="153"/>
    <tableColumn id="8" xr3:uid="{00000000-0010-0000-0200-000008000000}" uniqueName="8" name="Purchase.SGST Amt." totalsRowFunction="sum" queryTableFieldId="8" dataDxfId="152" totalsRowDxfId="151"/>
    <tableColumn id="9" xr3:uid="{00000000-0010-0000-0200-000009000000}" uniqueName="9" name="Purchase.CESS Amt." queryTableFieldId="9" dataDxfId="150" totalsRowDxfId="149"/>
    <tableColumn id="10" xr3:uid="{00000000-0010-0000-0200-00000A000000}" uniqueName="10" name="Purchase.Invoice Amt." queryTableFieldId="10" dataDxfId="148" totalsRowDxfId="147"/>
    <tableColumn id="11" xr3:uid="{00000000-0010-0000-0200-00000B000000}" uniqueName="11" name="Remark" queryTableFieldId="11" dataDxfId="146" totalsRowDxfId="145"/>
    <tableColumn id="12" xr3:uid="{00000000-0010-0000-0200-00000C000000}" uniqueName="12" name="Sources" queryTableFieldId="12" dataDxfId="144" totalsRowDxfId="143"/>
    <tableColumn id="18" xr3:uid="{00000000-0010-0000-0200-000012000000}" uniqueName="18" name="Purchase.Voucher no" queryTableFieldId="23" dataDxfId="142" totalsRowDxfId="141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State_list" displayName="State_list" ref="U1:V38" totalsRowShown="0" headerRowDxfId="140" dataDxfId="138" headerRowBorderDxfId="139" tableBorderDxfId="137" totalsRowBorderDxfId="136">
  <autoFilter ref="U1:V38" xr:uid="{00000000-0009-0000-0100-000003000000}"/>
  <sortState xmlns:xlrd2="http://schemas.microsoft.com/office/spreadsheetml/2017/richdata2" ref="U2:V38">
    <sortCondition ref="V2:V38"/>
  </sortState>
  <tableColumns count="2">
    <tableColumn id="1" xr3:uid="{00000000-0010-0000-0300-000001000000}" name="State Code" dataDxfId="135"/>
    <tableColumn id="2" xr3:uid="{00000000-0010-0000-0300-000002000000}" name="POS" dataDxfId="134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224B81C-4F58-453D-A6B1-4A2A8F273D37}" name="User_Role11" displayName="User_Role11" ref="A4:E8" totalsRowShown="0" headerRowDxfId="63" dataDxfId="61" headerRowBorderDxfId="62" tableBorderDxfId="60" totalsRowBorderDxfId="59">
  <tableColumns count="5">
    <tableColumn id="1" xr3:uid="{7648A1E7-45CC-4D78-A113-BEF8E50F32CC}" name="User Name" dataDxfId="58"/>
    <tableColumn id="3" xr3:uid="{AFBA97BE-262B-4EFC-B2AB-2D064BA76806}" name="Role" dataDxfId="57"/>
    <tableColumn id="4" xr3:uid="{01F553A1-8C5C-4A9C-817A-C45E04D4E764}" name="GST No" dataDxfId="56"/>
    <tableColumn id="2" xr3:uid="{DAA7C2E4-0773-4108-8BB3-2D401B57CC64}" name="Password" dataDxfId="55"/>
    <tableColumn id="5" xr3:uid="{1D85E812-3533-4F8F-9965-492080C2E157}" name="Approver" dataDxfId="54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4AC33AC-1F71-49A6-96CA-0123097088C6}" name="Table912" displayName="Table912" ref="E1:G2" totalsRowShown="0" headerRowDxfId="53" dataDxfId="51" headerRowBorderDxfId="52" tableBorderDxfId="50" totalsRowBorderDxfId="49">
  <tableColumns count="3">
    <tableColumn id="1" xr3:uid="{FA3A8B41-D8F4-4ECE-9A7B-3F513216EA92}" name="Current_User" dataDxfId="48"/>
    <tableColumn id="2" xr3:uid="{63DF0A49-FCA8-43E9-B7CF-DC875067A288}" name="Role" dataDxfId="47"/>
    <tableColumn id="3" xr3:uid="{EBFF93B1-07D3-4F68-BCA9-02A1776B0675}" name="GST No" dataDxfId="46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020E87D-1C47-40D4-B404-3FAF81241DB7}" name="_2B_Data13" displayName="_2B_Data13" ref="J1:L2" totalsRowShown="0" headerRowDxfId="45" dataDxfId="43" headerRowBorderDxfId="44" tableBorderDxfId="42" totalsRowBorderDxfId="41">
  <tableColumns count="3">
    <tableColumn id="1" xr3:uid="{1C1662CD-D161-4DA7-B841-011B5FFBC05A}" name="Source.Name" dataDxfId="40"/>
    <tableColumn id="2" xr3:uid="{D1135163-2E01-4225-B3EA-83BCA5DB7D3A}" name="GSTIN" dataDxfId="39"/>
    <tableColumn id="3" xr3:uid="{83B4E293-F5E2-4D50-883C-AF28593DD2DB}" name="Legal Name" dataDxfId="38"/>
  </tableColumns>
  <tableStyleInfo name="TableStyleMedium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Final_Recon" displayName="Final_Recon" ref="A2:T154" tableType="queryTable">
  <tableColumns count="20">
    <tableColumn id="1" xr3:uid="{00000000-0010-0000-0400-000001000000}" uniqueName="1" name="GSTIN of supplier" queryTableFieldId="1" dataDxfId="37" totalsRowDxfId="36"/>
    <tableColumn id="2" xr3:uid="{00000000-0010-0000-0400-000002000000}" uniqueName="2" name="Trade/Legal name" queryTableFieldId="2" dataDxfId="35" totalsRowDxfId="34"/>
    <tableColumn id="3" xr3:uid="{00000000-0010-0000-0400-000003000000}" uniqueName="3" name="Invoice number" queryTableFieldId="3" dataDxfId="33" totalsRowDxfId="32"/>
    <tableColumn id="4" xr3:uid="{00000000-0010-0000-0400-000004000000}" uniqueName="4" name="Invoice Date" queryTableFieldId="4" dataDxfId="31" totalsRowDxfId="30"/>
    <tableColumn id="19" xr3:uid="{00000000-0010-0000-0400-000013000000}" uniqueName="19" name="Supply Attract Reverse Charge" queryTableFieldId="19" totalsRowDxfId="29"/>
    <tableColumn id="20" xr3:uid="{00000000-0010-0000-0400-000014000000}" uniqueName="20" name="Place of supply" queryTableFieldId="20" totalsRowDxfId="28"/>
    <tableColumn id="5" xr3:uid="{00000000-0010-0000-0400-000005000000}" uniqueName="5" name="Taxable Value (₹)" queryTableFieldId="5" dataDxfId="27" totalsRowDxfId="26"/>
    <tableColumn id="6" xr3:uid="{00000000-0010-0000-0400-000006000000}" uniqueName="6" name="Integrated Tax(₹)" queryTableFieldId="6" dataDxfId="25" totalsRowDxfId="24"/>
    <tableColumn id="7" xr3:uid="{00000000-0010-0000-0400-000007000000}" uniqueName="7" name="Central Tax(₹)" queryTableFieldId="7" dataDxfId="23" totalsRowDxfId="22"/>
    <tableColumn id="8" xr3:uid="{00000000-0010-0000-0400-000008000000}" uniqueName="8" name="State/UT Tax(₹)" queryTableFieldId="8" dataDxfId="21" totalsRowDxfId="20"/>
    <tableColumn id="9" xr3:uid="{00000000-0010-0000-0400-000009000000}" uniqueName="9" name="Cess(₹)" queryTableFieldId="9" dataDxfId="19" totalsRowDxfId="18"/>
    <tableColumn id="10" xr3:uid="{00000000-0010-0000-0400-00000A000000}" uniqueName="10" name="Purchase.Taxable Amt." queryTableFieldId="10" dataDxfId="17" totalsRowDxfId="16"/>
    <tableColumn id="11" xr3:uid="{00000000-0010-0000-0400-00000B000000}" uniqueName="11" name="Purchase.IGST Amt." totalsRowFunction="sum" queryTableFieldId="11" dataDxfId="15" totalsRowDxfId="14"/>
    <tableColumn id="12" xr3:uid="{00000000-0010-0000-0400-00000C000000}" uniqueName="12" name="Purchase.CGST Amt." queryTableFieldId="12" dataDxfId="13" totalsRowDxfId="12"/>
    <tableColumn id="13" xr3:uid="{00000000-0010-0000-0400-00000D000000}" uniqueName="13" name="Purchase.SGST Amt." queryTableFieldId="13" dataDxfId="11" totalsRowDxfId="10"/>
    <tableColumn id="14" xr3:uid="{00000000-0010-0000-0400-00000E000000}" uniqueName="14" name="Purchase.CESS Amt." queryTableFieldId="14" dataDxfId="9" totalsRowDxfId="8"/>
    <tableColumn id="15" xr3:uid="{00000000-0010-0000-0400-00000F000000}" uniqueName="15" name="Purchase.Invoice Amt." queryTableFieldId="15" dataDxfId="7" totalsRowDxfId="6"/>
    <tableColumn id="16" xr3:uid="{00000000-0010-0000-0400-000010000000}" uniqueName="16" name="Remark" queryTableFieldId="16" dataDxfId="5" totalsRowDxfId="4"/>
    <tableColumn id="17" xr3:uid="{00000000-0010-0000-0400-000011000000}" uniqueName="17" name="Sources" queryTableFieldId="17" dataDxfId="3" totalsRowDxfId="2"/>
    <tableColumn id="18" xr3:uid="{00000000-0010-0000-0400-000012000000}" uniqueName="18" name="Purchase.Voucher no" queryTableFieldId="18" dataDxfId="1" totalsRow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shboard"/>
  <dimension ref="A1:S34"/>
  <sheetViews>
    <sheetView showGridLines="0" tabSelected="1" workbookViewId="0">
      <selection activeCell="B2" sqref="B2"/>
    </sheetView>
  </sheetViews>
  <sheetFormatPr defaultColWidth="0" defaultRowHeight="50.25" customHeight="1" zeroHeight="1" x14ac:dyDescent="0.25"/>
  <cols>
    <col min="1" max="1" width="15.28515625" style="32" bestFit="1" customWidth="1"/>
    <col min="2" max="2" width="21.140625" style="32" bestFit="1" customWidth="1"/>
    <col min="3" max="17" width="9.140625" style="32" customWidth="1"/>
    <col min="18" max="18" width="10.85546875" style="32" customWidth="1"/>
    <col min="19" max="16384" width="9.140625" style="32" hidden="1"/>
  </cols>
  <sheetData>
    <row r="1" spans="1:19" ht="15" customHeight="1" x14ac:dyDescent="0.25">
      <c r="A1" s="29" t="s">
        <v>26</v>
      </c>
      <c r="B1" s="33" t="s">
        <v>27</v>
      </c>
      <c r="D1" s="14" t="str">
        <f ca="1">LEFT(CELL("filename"),SEARCH("\[",CELL("filename")))&amp;B3</f>
        <v>C:\Users\Vishal Sharma\Desktop\New folder (8)\05) GSTR 2B\GSTR2B\2B-Data</v>
      </c>
      <c r="E1" s="14"/>
      <c r="L1" s="87" t="s">
        <v>64</v>
      </c>
      <c r="M1" s="87"/>
      <c r="N1" s="34"/>
      <c r="O1" s="34"/>
      <c r="P1" s="34"/>
      <c r="Q1" s="34"/>
      <c r="R1" s="34"/>
    </row>
    <row r="2" spans="1:19" ht="15" customHeight="1" thickBot="1" x14ac:dyDescent="0.3">
      <c r="A2" s="35" t="s">
        <v>25</v>
      </c>
      <c r="B2" s="36" t="s">
        <v>5</v>
      </c>
      <c r="C2" s="42"/>
      <c r="D2" s="14" t="str">
        <f ca="1">LEFT(CELL("filename"),SEARCH("\[",CELL("filename")))&amp;B4</f>
        <v>C:\Users\Vishal Sharma\Desktop\New folder (8)\05) GSTR 2B\GSTR2B\Purchase</v>
      </c>
      <c r="E2" s="37"/>
      <c r="F2" s="34"/>
      <c r="G2" s="34"/>
      <c r="H2" s="34"/>
      <c r="I2" s="34"/>
      <c r="J2" s="34"/>
      <c r="K2" s="34"/>
      <c r="L2" s="88"/>
      <c r="M2" s="88"/>
      <c r="N2" s="38"/>
      <c r="O2" s="38"/>
      <c r="P2" s="38"/>
      <c r="Q2" s="38"/>
      <c r="R2" s="38"/>
    </row>
    <row r="3" spans="1:19" ht="15.75" thickTop="1" x14ac:dyDescent="0.25">
      <c r="A3" s="35" t="s">
        <v>38</v>
      </c>
      <c r="B3" s="36" t="s">
        <v>28</v>
      </c>
      <c r="D3" s="14" t="str">
        <f ca="1">LEFT(CELL("filename"),SEARCH("\[",CELL("filename")))&amp;"\Execption"</f>
        <v>C:\Users\Vishal Sharma\Desktop\New folder (8)\05) GSTR 2B\GSTR2B\\Execption</v>
      </c>
      <c r="E3" s="14"/>
      <c r="L3" s="32" t="s">
        <v>367</v>
      </c>
    </row>
    <row r="4" spans="1:19" ht="15" x14ac:dyDescent="0.25">
      <c r="A4" s="35" t="s">
        <v>39</v>
      </c>
      <c r="B4" s="36" t="s">
        <v>40</v>
      </c>
      <c r="C4" s="43"/>
      <c r="D4" s="14" t="str">
        <f ca="1">LEFT(CELL("filename"),SEARCH("\[",CELL("filename")))&amp;"\Mismatch"</f>
        <v>C:\Users\Vishal Sharma\Desktop\New folder (8)\05) GSTR 2B\GSTR2B\\Mismatch</v>
      </c>
      <c r="L4" s="32" t="s">
        <v>368</v>
      </c>
    </row>
    <row r="5" spans="1:19" ht="15" x14ac:dyDescent="0.25">
      <c r="A5" s="35" t="s">
        <v>63</v>
      </c>
      <c r="B5" t="s">
        <v>69</v>
      </c>
      <c r="C5" s="43"/>
      <c r="L5" s="32" t="s">
        <v>369</v>
      </c>
    </row>
    <row r="6" spans="1:19" ht="15" x14ac:dyDescent="0.25">
      <c r="A6" s="39" t="s">
        <v>62</v>
      </c>
      <c r="B6" s="40" t="s">
        <v>366</v>
      </c>
      <c r="L6" s="32" t="s">
        <v>370</v>
      </c>
    </row>
    <row r="7" spans="1:19" ht="15" x14ac:dyDescent="0.25">
      <c r="A7" s="39" t="s">
        <v>125</v>
      </c>
      <c r="B7" s="40" t="s">
        <v>126</v>
      </c>
      <c r="C7" s="14" t="str">
        <f ca="1">LEFT(CELL("filename"),SEARCH("\[",CELL("filename")))&amp;"\GIT"</f>
        <v>C:\Users\Vishal Sharma\Desktop\New folder (8)\05) GSTR 2B\GSTR2B\\GIT</v>
      </c>
      <c r="D7" s="89"/>
      <c r="E7" s="89"/>
      <c r="F7" s="89"/>
      <c r="G7" s="89"/>
      <c r="H7" s="89"/>
      <c r="I7" s="89"/>
      <c r="L7" s="32" t="s">
        <v>371</v>
      </c>
    </row>
    <row r="8" spans="1:19" ht="15" x14ac:dyDescent="0.25">
      <c r="A8" s="41" t="s">
        <v>66</v>
      </c>
      <c r="D8" s="89"/>
      <c r="E8" s="89"/>
      <c r="F8" s="89"/>
      <c r="G8" s="89"/>
      <c r="H8" s="89"/>
      <c r="I8" s="89"/>
      <c r="L8" s="32" t="s">
        <v>372</v>
      </c>
    </row>
    <row r="9" spans="1:19" ht="15" x14ac:dyDescent="0.25">
      <c r="A9" s="41"/>
      <c r="C9" s="44"/>
      <c r="L9" s="32" t="s">
        <v>373</v>
      </c>
    </row>
    <row r="10" spans="1:19" ht="15" x14ac:dyDescent="0.25">
      <c r="A10" s="41"/>
      <c r="L10" s="32" t="s">
        <v>374</v>
      </c>
    </row>
    <row r="11" spans="1:19" ht="15" x14ac:dyDescent="0.25">
      <c r="L11" s="32" t="s">
        <v>375</v>
      </c>
    </row>
    <row r="12" spans="1:19" ht="15" x14ac:dyDescent="0.25">
      <c r="A12" s="41" t="s">
        <v>67</v>
      </c>
    </row>
    <row r="13" spans="1:19" ht="15" x14ac:dyDescent="0.25">
      <c r="A13" s="41"/>
    </row>
    <row r="14" spans="1:19" ht="15" x14ac:dyDescent="0.25">
      <c r="A14" s="41"/>
    </row>
    <row r="15" spans="1:19" ht="15" customHeight="1" x14ac:dyDescent="0.25">
      <c r="L15" s="34"/>
      <c r="M15" s="34"/>
      <c r="N15" s="34"/>
      <c r="O15" s="34"/>
      <c r="P15" s="34"/>
      <c r="Q15" s="34"/>
      <c r="R15" s="34"/>
    </row>
    <row r="16" spans="1:19" ht="15.75" customHeight="1" x14ac:dyDescent="0.4">
      <c r="L16" s="87"/>
      <c r="M16" s="87"/>
      <c r="N16" s="87"/>
      <c r="O16" s="87"/>
      <c r="P16" s="87"/>
      <c r="Q16" s="87"/>
      <c r="R16" s="80"/>
      <c r="S16" s="80"/>
    </row>
    <row r="17" spans="12:19" ht="16.5" customHeight="1" thickBot="1" x14ac:dyDescent="0.45">
      <c r="L17" s="87"/>
      <c r="M17" s="87"/>
      <c r="N17" s="87"/>
      <c r="O17" s="87"/>
      <c r="P17" s="87"/>
      <c r="Q17" s="87"/>
      <c r="R17" s="80"/>
      <c r="S17" s="81"/>
    </row>
    <row r="18" spans="12:19" ht="15" customHeight="1" thickTop="1" x14ac:dyDescent="0.25">
      <c r="L18" s="34"/>
      <c r="M18" s="34"/>
      <c r="N18" s="34"/>
      <c r="O18" s="34"/>
      <c r="P18" s="34"/>
      <c r="Q18" s="34"/>
      <c r="R18" s="34"/>
    </row>
    <row r="19" spans="12:19" ht="15.75" customHeight="1" x14ac:dyDescent="0.25">
      <c r="L19" s="34"/>
      <c r="M19" s="34"/>
      <c r="N19" s="34"/>
      <c r="O19" s="34"/>
      <c r="P19" s="34"/>
      <c r="Q19" s="34"/>
      <c r="R19" s="34"/>
    </row>
    <row r="20" spans="12:19" ht="15" customHeight="1" x14ac:dyDescent="0.25">
      <c r="L20" s="34"/>
      <c r="M20" s="34"/>
      <c r="N20" s="34"/>
      <c r="O20" s="34"/>
      <c r="P20" s="34"/>
      <c r="Q20" s="34"/>
      <c r="R20" s="34"/>
    </row>
    <row r="21" spans="12:19" ht="15.75" customHeight="1" x14ac:dyDescent="0.25">
      <c r="L21" s="34"/>
      <c r="M21" s="34"/>
      <c r="N21" s="34"/>
      <c r="O21" s="34"/>
      <c r="P21" s="34"/>
      <c r="Q21" s="34"/>
      <c r="R21" s="34"/>
    </row>
    <row r="22" spans="12:19" ht="15" x14ac:dyDescent="0.25"/>
    <row r="23" spans="12:19" ht="15" x14ac:dyDescent="0.25"/>
    <row r="24" spans="12:19" ht="15" x14ac:dyDescent="0.25"/>
    <row r="25" spans="12:19" ht="15" x14ac:dyDescent="0.25"/>
    <row r="26" spans="12:19" ht="15" x14ac:dyDescent="0.25"/>
    <row r="27" spans="12:19" ht="15" x14ac:dyDescent="0.25"/>
    <row r="28" spans="12:19" ht="15" x14ac:dyDescent="0.25"/>
    <row r="29" spans="12:19" ht="15" x14ac:dyDescent="0.25"/>
    <row r="30" spans="12:19" ht="15" x14ac:dyDescent="0.25"/>
    <row r="31" spans="12:19" ht="15" x14ac:dyDescent="0.25"/>
    <row r="32" spans="12:19" ht="15" x14ac:dyDescent="0.25"/>
    <row r="33" s="32" customFormat="1" ht="15" x14ac:dyDescent="0.25"/>
    <row r="34" s="32" customFormat="1" ht="15" x14ac:dyDescent="0.25"/>
  </sheetData>
  <mergeCells count="5">
    <mergeCell ref="N16:O17"/>
    <mergeCell ref="P16:Q17"/>
    <mergeCell ref="L1:M2"/>
    <mergeCell ref="L16:M17"/>
    <mergeCell ref="D7:I8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Fullscreen">
          <controlPr defaultSize="0" autoLine="0" r:id="rId5">
            <anchor moveWithCells="1">
              <from>
                <xdr:col>8</xdr:col>
                <xdr:colOff>504825</xdr:colOff>
                <xdr:row>1</xdr:row>
                <xdr:rowOff>9525</xdr:rowOff>
              </from>
              <to>
                <xdr:col>10</xdr:col>
                <xdr:colOff>533400</xdr:colOff>
                <xdr:row>2</xdr:row>
                <xdr:rowOff>85725</xdr:rowOff>
              </to>
            </anchor>
          </controlPr>
        </control>
      </mc:Choice>
      <mc:Fallback>
        <control shapeId="1033" r:id="rId4" name="Fullscreen"/>
      </mc:Fallback>
    </mc:AlternateContent>
    <mc:AlternateContent xmlns:mc="http://schemas.openxmlformats.org/markup-compatibility/2006">
      <mc:Choice Requires="x14">
        <control shapeId="1027" r:id="rId6" name="CheckBox1">
          <controlPr defaultSize="0" autoLine="0" autoPict="0" r:id="rId7">
            <anchor moveWithCells="1">
              <from>
                <xdr:col>2</xdr:col>
                <xdr:colOff>57150</xdr:colOff>
                <xdr:row>0</xdr:row>
                <xdr:rowOff>180975</xdr:rowOff>
              </from>
              <to>
                <xdr:col>3</xdr:col>
                <xdr:colOff>295275</xdr:colOff>
                <xdr:row>2</xdr:row>
                <xdr:rowOff>85725</xdr:rowOff>
              </to>
            </anchor>
          </controlPr>
        </control>
      </mc:Choice>
      <mc:Fallback>
        <control shapeId="1027" r:id="rId6" name="CheckBox1"/>
      </mc:Fallback>
    </mc:AlternateContent>
    <mc:AlternateContent xmlns:mc="http://schemas.openxmlformats.org/markup-compatibility/2006">
      <mc:Choice Requires="x14">
        <control shapeId="1029" r:id="rId8" name="Emailcnf">
          <controlPr defaultSize="0" autoLine="0" r:id="rId9">
            <anchor moveWithCells="1">
              <from>
                <xdr:col>3</xdr:col>
                <xdr:colOff>352425</xdr:colOff>
                <xdr:row>1</xdr:row>
                <xdr:rowOff>19050</xdr:rowOff>
              </from>
              <to>
                <xdr:col>6</xdr:col>
                <xdr:colOff>381000</xdr:colOff>
                <xdr:row>2</xdr:row>
                <xdr:rowOff>66675</xdr:rowOff>
              </to>
            </anchor>
          </controlPr>
        </control>
      </mc:Choice>
      <mc:Fallback>
        <control shapeId="1029" r:id="rId8" name="Emailcnf"/>
      </mc:Fallback>
    </mc:AlternateContent>
    <mc:AlternateContent xmlns:mc="http://schemas.openxmlformats.org/markup-compatibility/2006">
      <mc:Choice Requires="x14">
        <control shapeId="1032" r:id="rId10" name="Emaillog">
          <controlPr defaultSize="0" autoLine="0" autoPict="0" r:id="rId11">
            <anchor moveWithCells="1">
              <from>
                <xdr:col>6</xdr:col>
                <xdr:colOff>466725</xdr:colOff>
                <xdr:row>1</xdr:row>
                <xdr:rowOff>19050</xdr:rowOff>
              </from>
              <to>
                <xdr:col>8</xdr:col>
                <xdr:colOff>419100</xdr:colOff>
                <xdr:row>2</xdr:row>
                <xdr:rowOff>66675</xdr:rowOff>
              </to>
            </anchor>
          </controlPr>
        </control>
      </mc:Choice>
      <mc:Fallback>
        <control shapeId="1032" r:id="rId10" name="Emaillog"/>
      </mc:Fallback>
    </mc:AlternateContent>
  </controls>
  <tableParts count="1">
    <tablePart r:id="rId1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1000000}">
          <x14:formula1>
            <xm:f>Summary!$V$2:$V$38</xm:f>
          </x14:formula1>
          <xm:sqref>B2</xm:sqref>
        </x14:dataValidation>
        <x14:dataValidation type="list" allowBlank="1" showInputMessage="1" showErrorMessage="1" xr:uid="{AD831ED3-1FC2-4C90-B019-E7B8A2ADAF4B}">
          <x14:formula1>
            <xm:f>Summary!$S$1:$S$6</xm:f>
          </x14:formula1>
          <xm:sqref>B5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aster"/>
  <dimension ref="A1:K73"/>
  <sheetViews>
    <sheetView workbookViewId="0">
      <selection sqref="A1:D73"/>
    </sheetView>
  </sheetViews>
  <sheetFormatPr defaultRowHeight="15" x14ac:dyDescent="0.25"/>
  <cols>
    <col min="1" max="1" width="19.140625" bestFit="1" customWidth="1"/>
    <col min="2" max="2" width="30.42578125" bestFit="1" customWidth="1"/>
    <col min="3" max="3" width="9" bestFit="1" customWidth="1"/>
    <col min="4" max="4" width="3.28515625" bestFit="1" customWidth="1"/>
    <col min="5" max="5" width="4.5703125" bestFit="1" customWidth="1"/>
  </cols>
  <sheetData>
    <row r="1" spans="1:11" ht="15.75" x14ac:dyDescent="0.25">
      <c r="A1" s="23" t="s">
        <v>56</v>
      </c>
      <c r="B1" s="24" t="s">
        <v>57</v>
      </c>
      <c r="C1" s="24" t="s">
        <v>61</v>
      </c>
      <c r="D1" s="25" t="s">
        <v>75</v>
      </c>
    </row>
    <row r="2" spans="1:11" x14ac:dyDescent="0.25">
      <c r="A2" s="78" t="s">
        <v>376</v>
      </c>
      <c r="B2" s="78" t="s">
        <v>377</v>
      </c>
      <c r="C2" s="79"/>
      <c r="D2" s="79" t="s">
        <v>179</v>
      </c>
    </row>
    <row r="3" spans="1:11" x14ac:dyDescent="0.25">
      <c r="A3" s="4" t="s">
        <v>378</v>
      </c>
      <c r="B3" s="4" t="s">
        <v>377</v>
      </c>
      <c r="C3" s="74"/>
      <c r="D3" s="74" t="s">
        <v>179</v>
      </c>
    </row>
    <row r="4" spans="1:11" x14ac:dyDescent="0.25">
      <c r="A4" s="4" t="s">
        <v>379</v>
      </c>
      <c r="B4" s="4" t="s">
        <v>377</v>
      </c>
      <c r="C4" s="74"/>
      <c r="D4" s="74" t="s">
        <v>179</v>
      </c>
      <c r="K4" s="6"/>
    </row>
    <row r="5" spans="1:11" x14ac:dyDescent="0.25">
      <c r="A5" s="4" t="s">
        <v>380</v>
      </c>
      <c r="B5" s="4" t="s">
        <v>377</v>
      </c>
      <c r="C5" s="74"/>
      <c r="D5" s="74" t="s">
        <v>179</v>
      </c>
    </row>
    <row r="6" spans="1:11" x14ac:dyDescent="0.25">
      <c r="A6" s="4" t="s">
        <v>381</v>
      </c>
      <c r="B6" s="4" t="s">
        <v>377</v>
      </c>
      <c r="C6" s="74"/>
      <c r="D6" s="74" t="s">
        <v>179</v>
      </c>
    </row>
    <row r="7" spans="1:11" x14ac:dyDescent="0.25">
      <c r="A7" s="4" t="s">
        <v>382</v>
      </c>
      <c r="B7" s="4" t="s">
        <v>377</v>
      </c>
      <c r="C7" s="74"/>
      <c r="D7" s="74" t="s">
        <v>179</v>
      </c>
    </row>
    <row r="8" spans="1:11" x14ac:dyDescent="0.25">
      <c r="A8" s="4" t="s">
        <v>383</v>
      </c>
      <c r="B8" s="4" t="s">
        <v>377</v>
      </c>
      <c r="C8" s="74"/>
      <c r="D8" s="74" t="s">
        <v>179</v>
      </c>
    </row>
    <row r="9" spans="1:11" x14ac:dyDescent="0.25">
      <c r="A9" s="4" t="s">
        <v>384</v>
      </c>
      <c r="B9" s="4" t="s">
        <v>377</v>
      </c>
      <c r="C9" s="74"/>
      <c r="D9" s="74" t="s">
        <v>179</v>
      </c>
    </row>
    <row r="10" spans="1:11" x14ac:dyDescent="0.25">
      <c r="A10" s="4" t="s">
        <v>385</v>
      </c>
      <c r="B10" s="4" t="s">
        <v>377</v>
      </c>
      <c r="C10" s="74"/>
      <c r="D10" s="74" t="s">
        <v>179</v>
      </c>
    </row>
    <row r="11" spans="1:11" x14ac:dyDescent="0.25">
      <c r="A11" s="4" t="s">
        <v>386</v>
      </c>
      <c r="B11" s="4" t="s">
        <v>377</v>
      </c>
      <c r="C11" s="74"/>
      <c r="D11" s="74" t="s">
        <v>179</v>
      </c>
    </row>
    <row r="12" spans="1:11" x14ac:dyDescent="0.25">
      <c r="A12" s="4" t="s">
        <v>387</v>
      </c>
      <c r="B12" s="4" t="s">
        <v>377</v>
      </c>
      <c r="C12" s="74"/>
      <c r="D12" s="74" t="s">
        <v>179</v>
      </c>
    </row>
    <row r="13" spans="1:11" x14ac:dyDescent="0.25">
      <c r="A13" s="4" t="s">
        <v>388</v>
      </c>
      <c r="B13" s="4" t="s">
        <v>377</v>
      </c>
      <c r="C13" s="74"/>
      <c r="D13" s="74" t="s">
        <v>179</v>
      </c>
    </row>
    <row r="14" spans="1:11" x14ac:dyDescent="0.25">
      <c r="A14" s="4" t="s">
        <v>389</v>
      </c>
      <c r="B14" s="4" t="s">
        <v>377</v>
      </c>
      <c r="C14" s="74"/>
      <c r="D14" s="74" t="s">
        <v>179</v>
      </c>
    </row>
    <row r="15" spans="1:11" x14ac:dyDescent="0.25">
      <c r="A15" s="4" t="s">
        <v>17</v>
      </c>
      <c r="B15" s="4" t="s">
        <v>390</v>
      </c>
      <c r="C15" s="74"/>
      <c r="D15" s="74" t="s">
        <v>179</v>
      </c>
    </row>
    <row r="16" spans="1:11" x14ac:dyDescent="0.25">
      <c r="A16" s="4" t="s">
        <v>314</v>
      </c>
      <c r="B16" s="4" t="s">
        <v>390</v>
      </c>
      <c r="C16" s="74"/>
      <c r="D16" s="74" t="s">
        <v>179</v>
      </c>
    </row>
    <row r="17" spans="1:4" x14ac:dyDescent="0.25">
      <c r="A17" s="4" t="s">
        <v>14</v>
      </c>
      <c r="B17" s="4" t="s">
        <v>390</v>
      </c>
      <c r="C17" s="74"/>
      <c r="D17" s="74" t="s">
        <v>179</v>
      </c>
    </row>
    <row r="18" spans="1:4" x14ac:dyDescent="0.25">
      <c r="A18" s="4" t="s">
        <v>207</v>
      </c>
      <c r="B18" s="4" t="s">
        <v>390</v>
      </c>
      <c r="C18" s="74"/>
      <c r="D18" s="74" t="s">
        <v>179</v>
      </c>
    </row>
    <row r="19" spans="1:4" x14ac:dyDescent="0.25">
      <c r="A19" s="4" t="s">
        <v>8</v>
      </c>
      <c r="B19" s="4" t="s">
        <v>390</v>
      </c>
      <c r="C19" s="74"/>
      <c r="D19" s="74" t="s">
        <v>179</v>
      </c>
    </row>
    <row r="20" spans="1:4" x14ac:dyDescent="0.25">
      <c r="A20" s="4" t="s">
        <v>310</v>
      </c>
      <c r="B20" s="4" t="s">
        <v>390</v>
      </c>
      <c r="C20" s="74"/>
      <c r="D20" s="74" t="s">
        <v>179</v>
      </c>
    </row>
    <row r="21" spans="1:4" x14ac:dyDescent="0.25">
      <c r="A21" s="4" t="s">
        <v>198</v>
      </c>
      <c r="B21" s="4" t="s">
        <v>390</v>
      </c>
      <c r="C21" s="74"/>
      <c r="D21" s="74" t="s">
        <v>179</v>
      </c>
    </row>
    <row r="22" spans="1:4" x14ac:dyDescent="0.25">
      <c r="A22" s="4" t="s">
        <v>197</v>
      </c>
      <c r="B22" s="4" t="s">
        <v>390</v>
      </c>
      <c r="C22" s="74"/>
      <c r="D22" s="74" t="s">
        <v>179</v>
      </c>
    </row>
    <row r="23" spans="1:4" x14ac:dyDescent="0.25">
      <c r="A23" s="4" t="s">
        <v>200</v>
      </c>
      <c r="B23" s="4" t="s">
        <v>390</v>
      </c>
      <c r="C23" s="74"/>
      <c r="D23" s="74" t="s">
        <v>179</v>
      </c>
    </row>
    <row r="24" spans="1:4" x14ac:dyDescent="0.25">
      <c r="A24" s="4" t="s">
        <v>90</v>
      </c>
      <c r="B24" s="4" t="s">
        <v>390</v>
      </c>
      <c r="C24" s="74"/>
      <c r="D24" s="74" t="s">
        <v>179</v>
      </c>
    </row>
    <row r="25" spans="1:4" x14ac:dyDescent="0.25">
      <c r="A25" s="4" t="s">
        <v>319</v>
      </c>
      <c r="B25" s="4" t="s">
        <v>390</v>
      </c>
      <c r="C25" s="74"/>
      <c r="D25" s="74" t="s">
        <v>179</v>
      </c>
    </row>
    <row r="26" spans="1:4" x14ac:dyDescent="0.25">
      <c r="A26" s="4" t="s">
        <v>202</v>
      </c>
      <c r="B26" s="4" t="s">
        <v>390</v>
      </c>
      <c r="C26" s="74"/>
      <c r="D26" s="74" t="s">
        <v>179</v>
      </c>
    </row>
    <row r="27" spans="1:4" x14ac:dyDescent="0.25">
      <c r="A27" s="4" t="s">
        <v>9</v>
      </c>
      <c r="B27" s="4" t="s">
        <v>390</v>
      </c>
      <c r="C27" s="74"/>
      <c r="D27" s="74" t="s">
        <v>179</v>
      </c>
    </row>
    <row r="28" spans="1:4" x14ac:dyDescent="0.25">
      <c r="A28" s="4" t="s">
        <v>208</v>
      </c>
      <c r="B28" s="4" t="s">
        <v>390</v>
      </c>
      <c r="C28" s="74"/>
      <c r="D28" s="74" t="s">
        <v>179</v>
      </c>
    </row>
    <row r="29" spans="1:4" x14ac:dyDescent="0.25">
      <c r="A29" s="4" t="s">
        <v>108</v>
      </c>
      <c r="B29" s="4" t="s">
        <v>390</v>
      </c>
      <c r="C29" s="74"/>
      <c r="D29" s="74" t="s">
        <v>179</v>
      </c>
    </row>
    <row r="30" spans="1:4" x14ac:dyDescent="0.25">
      <c r="A30" s="4" t="s">
        <v>210</v>
      </c>
      <c r="B30" s="4" t="s">
        <v>390</v>
      </c>
      <c r="C30" s="74"/>
      <c r="D30" s="74" t="s">
        <v>179</v>
      </c>
    </row>
    <row r="31" spans="1:4" x14ac:dyDescent="0.25">
      <c r="A31" s="4" t="s">
        <v>321</v>
      </c>
      <c r="B31" s="4" t="s">
        <v>390</v>
      </c>
      <c r="C31" s="74"/>
      <c r="D31" s="74" t="s">
        <v>179</v>
      </c>
    </row>
    <row r="32" spans="1:4" x14ac:dyDescent="0.25">
      <c r="A32" s="4" t="s">
        <v>286</v>
      </c>
      <c r="B32" s="4" t="s">
        <v>390</v>
      </c>
      <c r="C32" s="74"/>
      <c r="D32" s="74" t="s">
        <v>179</v>
      </c>
    </row>
    <row r="33" spans="1:4" x14ac:dyDescent="0.25">
      <c r="A33" s="4" t="s">
        <v>89</v>
      </c>
      <c r="B33" s="4" t="s">
        <v>390</v>
      </c>
      <c r="C33" s="74"/>
      <c r="D33" s="74" t="s">
        <v>179</v>
      </c>
    </row>
    <row r="34" spans="1:4" x14ac:dyDescent="0.25">
      <c r="A34" s="4" t="s">
        <v>330</v>
      </c>
      <c r="B34" s="4" t="s">
        <v>390</v>
      </c>
      <c r="C34" s="74"/>
      <c r="D34" s="74" t="s">
        <v>179</v>
      </c>
    </row>
    <row r="35" spans="1:4" x14ac:dyDescent="0.25">
      <c r="A35" s="4" t="s">
        <v>327</v>
      </c>
      <c r="B35" s="4" t="s">
        <v>390</v>
      </c>
      <c r="C35" s="74"/>
      <c r="D35" s="74" t="s">
        <v>179</v>
      </c>
    </row>
    <row r="36" spans="1:4" x14ac:dyDescent="0.25">
      <c r="A36" s="4" t="s">
        <v>86</v>
      </c>
      <c r="B36" s="4" t="s">
        <v>390</v>
      </c>
      <c r="C36" s="74"/>
      <c r="D36" s="74" t="s">
        <v>179</v>
      </c>
    </row>
    <row r="37" spans="1:4" x14ac:dyDescent="0.25">
      <c r="A37" s="4" t="s">
        <v>203</v>
      </c>
      <c r="B37" s="4" t="s">
        <v>390</v>
      </c>
      <c r="C37" s="74"/>
      <c r="D37" s="74" t="s">
        <v>179</v>
      </c>
    </row>
    <row r="38" spans="1:4" x14ac:dyDescent="0.25">
      <c r="A38" s="4" t="s">
        <v>92</v>
      </c>
      <c r="B38" s="4" t="s">
        <v>390</v>
      </c>
      <c r="C38" s="74"/>
      <c r="D38" s="74" t="s">
        <v>179</v>
      </c>
    </row>
    <row r="39" spans="1:4" x14ac:dyDescent="0.25">
      <c r="A39" s="4" t="s">
        <v>244</v>
      </c>
      <c r="B39" s="4" t="s">
        <v>390</v>
      </c>
      <c r="C39" s="74"/>
      <c r="D39" s="74" t="s">
        <v>179</v>
      </c>
    </row>
    <row r="40" spans="1:4" x14ac:dyDescent="0.25">
      <c r="A40" s="4" t="s">
        <v>206</v>
      </c>
      <c r="B40" s="4" t="s">
        <v>390</v>
      </c>
      <c r="C40" s="74"/>
      <c r="D40" s="74" t="s">
        <v>179</v>
      </c>
    </row>
    <row r="41" spans="1:4" x14ac:dyDescent="0.25">
      <c r="A41" s="4" t="s">
        <v>204</v>
      </c>
      <c r="B41" s="4" t="s">
        <v>390</v>
      </c>
      <c r="C41" s="74"/>
      <c r="D41" s="74" t="s">
        <v>179</v>
      </c>
    </row>
    <row r="42" spans="1:4" x14ac:dyDescent="0.25">
      <c r="A42" s="4" t="s">
        <v>20</v>
      </c>
      <c r="B42" s="4" t="s">
        <v>390</v>
      </c>
      <c r="C42" s="74"/>
      <c r="D42" s="74" t="s">
        <v>179</v>
      </c>
    </row>
    <row r="43" spans="1:4" x14ac:dyDescent="0.25">
      <c r="A43" s="4" t="s">
        <v>19</v>
      </c>
      <c r="B43" s="4" t="s">
        <v>390</v>
      </c>
      <c r="C43" s="74"/>
      <c r="D43" s="74" t="s">
        <v>179</v>
      </c>
    </row>
    <row r="44" spans="1:4" x14ac:dyDescent="0.25">
      <c r="A44" s="4" t="s">
        <v>199</v>
      </c>
      <c r="B44" s="4" t="s">
        <v>390</v>
      </c>
      <c r="C44" s="74"/>
      <c r="D44" s="74" t="s">
        <v>179</v>
      </c>
    </row>
    <row r="45" spans="1:4" x14ac:dyDescent="0.25">
      <c r="A45" s="4" t="s">
        <v>88</v>
      </c>
      <c r="B45" s="4" t="s">
        <v>390</v>
      </c>
      <c r="C45" s="74"/>
      <c r="D45" s="74" t="s">
        <v>179</v>
      </c>
    </row>
    <row r="46" spans="1:4" x14ac:dyDescent="0.25">
      <c r="A46" s="4" t="s">
        <v>93</v>
      </c>
      <c r="B46" s="4" t="s">
        <v>390</v>
      </c>
      <c r="C46" s="74"/>
      <c r="D46" s="74" t="s">
        <v>179</v>
      </c>
    </row>
    <row r="47" spans="1:4" x14ac:dyDescent="0.25">
      <c r="A47" s="4" t="s">
        <v>105</v>
      </c>
      <c r="B47" s="4" t="s">
        <v>390</v>
      </c>
      <c r="C47" s="74"/>
      <c r="D47" s="74" t="s">
        <v>179</v>
      </c>
    </row>
    <row r="48" spans="1:4" x14ac:dyDescent="0.25">
      <c r="A48" s="4" t="s">
        <v>21</v>
      </c>
      <c r="B48" s="4" t="s">
        <v>390</v>
      </c>
      <c r="C48" s="74"/>
      <c r="D48" s="74" t="s">
        <v>179</v>
      </c>
    </row>
    <row r="49" spans="1:4" x14ac:dyDescent="0.25">
      <c r="A49" s="4" t="s">
        <v>22</v>
      </c>
      <c r="B49" s="4" t="s">
        <v>390</v>
      </c>
      <c r="C49" s="74"/>
      <c r="D49" s="74" t="s">
        <v>179</v>
      </c>
    </row>
    <row r="50" spans="1:4" x14ac:dyDescent="0.25">
      <c r="A50" s="4" t="s">
        <v>7</v>
      </c>
      <c r="B50" s="4" t="s">
        <v>390</v>
      </c>
      <c r="C50" s="74"/>
      <c r="D50" s="74" t="s">
        <v>179</v>
      </c>
    </row>
    <row r="51" spans="1:4" x14ac:dyDescent="0.25">
      <c r="A51" s="4" t="s">
        <v>240</v>
      </c>
      <c r="B51" s="4" t="s">
        <v>390</v>
      </c>
      <c r="C51" s="74"/>
      <c r="D51" s="74" t="s">
        <v>179</v>
      </c>
    </row>
    <row r="52" spans="1:4" x14ac:dyDescent="0.25">
      <c r="A52" s="4" t="s">
        <v>196</v>
      </c>
      <c r="B52" s="4" t="s">
        <v>390</v>
      </c>
      <c r="C52" s="74"/>
      <c r="D52" s="74" t="s">
        <v>179</v>
      </c>
    </row>
    <row r="53" spans="1:4" x14ac:dyDescent="0.25">
      <c r="A53" s="4" t="s">
        <v>233</v>
      </c>
      <c r="B53" s="4" t="s">
        <v>390</v>
      </c>
      <c r="C53" s="74"/>
      <c r="D53" s="74" t="s">
        <v>179</v>
      </c>
    </row>
    <row r="54" spans="1:4" x14ac:dyDescent="0.25">
      <c r="A54" s="4" t="s">
        <v>297</v>
      </c>
      <c r="B54" s="4" t="s">
        <v>390</v>
      </c>
      <c r="C54" s="74"/>
      <c r="D54" s="74" t="s">
        <v>179</v>
      </c>
    </row>
    <row r="55" spans="1:4" x14ac:dyDescent="0.25">
      <c r="A55" s="4" t="s">
        <v>6</v>
      </c>
      <c r="B55" s="4" t="s">
        <v>390</v>
      </c>
      <c r="C55" s="74"/>
      <c r="D55" s="74" t="s">
        <v>179</v>
      </c>
    </row>
    <row r="56" spans="1:4" x14ac:dyDescent="0.25">
      <c r="A56" s="4" t="s">
        <v>10</v>
      </c>
      <c r="B56" s="4" t="s">
        <v>390</v>
      </c>
      <c r="C56" s="74"/>
      <c r="D56" s="74" t="s">
        <v>179</v>
      </c>
    </row>
    <row r="57" spans="1:4" x14ac:dyDescent="0.25">
      <c r="A57" s="4" t="s">
        <v>209</v>
      </c>
      <c r="B57" s="4" t="s">
        <v>390</v>
      </c>
      <c r="C57" s="74"/>
      <c r="D57" s="74" t="s">
        <v>179</v>
      </c>
    </row>
    <row r="58" spans="1:4" x14ac:dyDescent="0.25">
      <c r="A58" s="4" t="s">
        <v>87</v>
      </c>
      <c r="B58" s="4" t="s">
        <v>390</v>
      </c>
      <c r="C58" s="74"/>
      <c r="D58" s="74" t="s">
        <v>179</v>
      </c>
    </row>
    <row r="59" spans="1:4" x14ac:dyDescent="0.25">
      <c r="A59" s="4" t="s">
        <v>15</v>
      </c>
      <c r="B59" s="4" t="s">
        <v>390</v>
      </c>
      <c r="C59" s="74"/>
      <c r="D59" s="74" t="s">
        <v>179</v>
      </c>
    </row>
    <row r="60" spans="1:4" x14ac:dyDescent="0.25">
      <c r="A60" s="4" t="s">
        <v>13</v>
      </c>
      <c r="B60" s="4" t="s">
        <v>390</v>
      </c>
      <c r="C60" s="74"/>
      <c r="D60" s="74" t="s">
        <v>179</v>
      </c>
    </row>
    <row r="61" spans="1:4" x14ac:dyDescent="0.25">
      <c r="A61" s="4" t="s">
        <v>300</v>
      </c>
      <c r="B61" s="4" t="s">
        <v>390</v>
      </c>
      <c r="C61" s="74"/>
      <c r="D61" s="74" t="s">
        <v>179</v>
      </c>
    </row>
    <row r="62" spans="1:4" x14ac:dyDescent="0.25">
      <c r="A62" s="4" t="s">
        <v>91</v>
      </c>
      <c r="B62" s="4" t="s">
        <v>390</v>
      </c>
      <c r="C62" s="74"/>
      <c r="D62" s="74" t="s">
        <v>179</v>
      </c>
    </row>
    <row r="63" spans="1:4" x14ac:dyDescent="0.25">
      <c r="A63" s="4" t="s">
        <v>12</v>
      </c>
      <c r="B63" s="4" t="s">
        <v>390</v>
      </c>
      <c r="C63" s="74"/>
      <c r="D63" s="74" t="s">
        <v>179</v>
      </c>
    </row>
    <row r="64" spans="1:4" x14ac:dyDescent="0.25">
      <c r="A64" s="4" t="s">
        <v>235</v>
      </c>
      <c r="B64" s="4" t="s">
        <v>390</v>
      </c>
      <c r="C64" s="74"/>
      <c r="D64" s="74" t="s">
        <v>179</v>
      </c>
    </row>
    <row r="65" spans="1:4" x14ac:dyDescent="0.25">
      <c r="A65" s="4" t="s">
        <v>85</v>
      </c>
      <c r="B65" s="4" t="s">
        <v>390</v>
      </c>
      <c r="C65" s="74"/>
      <c r="D65" s="74" t="s">
        <v>179</v>
      </c>
    </row>
    <row r="66" spans="1:4" x14ac:dyDescent="0.25">
      <c r="A66" s="4" t="s">
        <v>121</v>
      </c>
      <c r="B66" s="4" t="s">
        <v>390</v>
      </c>
      <c r="C66" s="74"/>
      <c r="D66" s="74" t="s">
        <v>179</v>
      </c>
    </row>
    <row r="67" spans="1:4" x14ac:dyDescent="0.25">
      <c r="A67" s="4" t="s">
        <v>280</v>
      </c>
      <c r="B67" s="4" t="s">
        <v>390</v>
      </c>
      <c r="C67" s="74"/>
      <c r="D67" s="74" t="s">
        <v>179</v>
      </c>
    </row>
    <row r="68" spans="1:4" x14ac:dyDescent="0.25">
      <c r="A68" s="4" t="s">
        <v>84</v>
      </c>
      <c r="B68" s="4" t="s">
        <v>390</v>
      </c>
      <c r="C68" s="74"/>
      <c r="D68" s="74" t="s">
        <v>179</v>
      </c>
    </row>
    <row r="69" spans="1:4" x14ac:dyDescent="0.25">
      <c r="A69" s="4" t="s">
        <v>227</v>
      </c>
      <c r="B69" s="4" t="s">
        <v>390</v>
      </c>
      <c r="C69" s="74"/>
      <c r="D69" s="74" t="s">
        <v>179</v>
      </c>
    </row>
    <row r="70" spans="1:4" x14ac:dyDescent="0.25">
      <c r="A70" s="4" t="s">
        <v>205</v>
      </c>
      <c r="B70" s="4" t="s">
        <v>390</v>
      </c>
      <c r="C70" s="74"/>
      <c r="D70" s="74" t="s">
        <v>179</v>
      </c>
    </row>
    <row r="71" spans="1:4" x14ac:dyDescent="0.25">
      <c r="A71" s="4" t="s">
        <v>124</v>
      </c>
      <c r="B71" s="4" t="s">
        <v>123</v>
      </c>
      <c r="C71" s="74"/>
      <c r="D71" s="74" t="s">
        <v>179</v>
      </c>
    </row>
    <row r="72" spans="1:4" x14ac:dyDescent="0.25">
      <c r="A72" s="4" t="s">
        <v>351</v>
      </c>
      <c r="B72" s="4" t="s">
        <v>352</v>
      </c>
      <c r="C72" s="74"/>
      <c r="D72" s="74" t="s">
        <v>179</v>
      </c>
    </row>
    <row r="73" spans="1:4" x14ac:dyDescent="0.25">
      <c r="A73" s="82" t="s">
        <v>391</v>
      </c>
      <c r="B73" s="82" t="s">
        <v>392</v>
      </c>
      <c r="C73" s="83"/>
      <c r="D73" s="83" t="s">
        <v>179</v>
      </c>
    </row>
  </sheetData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3AE1D-0E29-4449-8009-125B950205DD}">
  <sheetPr codeName="Sheet3"/>
  <dimension ref="A1:C39"/>
  <sheetViews>
    <sheetView workbookViewId="0">
      <selection sqref="A1:C5"/>
    </sheetView>
  </sheetViews>
  <sheetFormatPr defaultRowHeight="15" x14ac:dyDescent="0.25"/>
  <cols>
    <col min="1" max="1" width="13.140625" bestFit="1" customWidth="1"/>
    <col min="2" max="2" width="17.85546875" bestFit="1" customWidth="1"/>
    <col min="3" max="3" width="18.28515625" bestFit="1" customWidth="1"/>
    <col min="4" max="4" width="14.28515625" bestFit="1" customWidth="1"/>
    <col min="5" max="5" width="30.42578125" bestFit="1" customWidth="1"/>
    <col min="6" max="6" width="16.85546875" bestFit="1" customWidth="1"/>
    <col min="7" max="7" width="18.85546875" bestFit="1" customWidth="1"/>
    <col min="8" max="8" width="18.7109375" bestFit="1" customWidth="1"/>
    <col min="9" max="9" width="15.85546875" bestFit="1" customWidth="1"/>
    <col min="10" max="10" width="17.28515625" bestFit="1" customWidth="1"/>
    <col min="11" max="11" width="9.85546875" bestFit="1" customWidth="1"/>
    <col min="12" max="12" width="23.85546875" bestFit="1" customWidth="1"/>
    <col min="13" max="13" width="20.85546875" bestFit="1" customWidth="1"/>
    <col min="14" max="14" width="21.42578125" bestFit="1" customWidth="1"/>
    <col min="15" max="15" width="21.28515625" bestFit="1" customWidth="1"/>
    <col min="16" max="16" width="21" bestFit="1" customWidth="1"/>
    <col min="17" max="17" width="23.28515625" bestFit="1" customWidth="1"/>
    <col min="18" max="18" width="65.85546875" bestFit="1" customWidth="1"/>
    <col min="19" max="19" width="16.85546875" bestFit="1" customWidth="1"/>
    <col min="20" max="20" width="22.28515625" bestFit="1" customWidth="1"/>
  </cols>
  <sheetData>
    <row r="1" spans="1:3" x14ac:dyDescent="0.25">
      <c r="A1" s="46" t="s">
        <v>176</v>
      </c>
      <c r="B1" t="s">
        <v>177</v>
      </c>
      <c r="C1" t="s">
        <v>178</v>
      </c>
    </row>
    <row r="2" spans="1:3" x14ac:dyDescent="0.25">
      <c r="A2" s="48" t="s">
        <v>359</v>
      </c>
      <c r="B2" s="47">
        <v>10044</v>
      </c>
      <c r="C2" s="53">
        <v>4.1517563849551012E-3</v>
      </c>
    </row>
    <row r="3" spans="1:3" x14ac:dyDescent="0.25">
      <c r="A3" s="48" t="s">
        <v>55</v>
      </c>
      <c r="B3" s="47">
        <v>5090890.4400000004</v>
      </c>
      <c r="C3" s="53">
        <v>2.1043545290100441</v>
      </c>
    </row>
    <row r="4" spans="1:3" x14ac:dyDescent="0.25">
      <c r="A4" s="48" t="s">
        <v>98</v>
      </c>
      <c r="B4" s="47">
        <v>-2681717.35</v>
      </c>
      <c r="C4" s="53">
        <v>-1.1085062853949994</v>
      </c>
    </row>
    <row r="5" spans="1:3" x14ac:dyDescent="0.25">
      <c r="A5" s="48" t="s">
        <v>54</v>
      </c>
      <c r="B5" s="47">
        <v>2419217.0900000003</v>
      </c>
      <c r="C5" s="53">
        <v>1</v>
      </c>
    </row>
    <row r="26" spans="1:3" x14ac:dyDescent="0.25">
      <c r="A26" s="46" t="s">
        <v>27</v>
      </c>
      <c r="B26" t="s">
        <v>500</v>
      </c>
    </row>
    <row r="28" spans="1:3" x14ac:dyDescent="0.25">
      <c r="A28" s="46" t="s">
        <v>176</v>
      </c>
      <c r="B28" t="s">
        <v>177</v>
      </c>
    </row>
    <row r="29" spans="1:3" x14ac:dyDescent="0.25">
      <c r="A29" s="48" t="s">
        <v>54</v>
      </c>
      <c r="B29" s="47"/>
      <c r="C29" t="e">
        <f>VLOOKUP(A29,'Mismatch Invoices'!$A:$B,2,0)</f>
        <v>#N/A</v>
      </c>
    </row>
    <row r="30" spans="1:3" x14ac:dyDescent="0.25">
      <c r="C30" t="e">
        <f>VLOOKUP(A30,'Mismatch Invoices'!$A:$B,2,0)</f>
        <v>#N/A</v>
      </c>
    </row>
    <row r="31" spans="1:3" x14ac:dyDescent="0.25">
      <c r="C31" t="e">
        <f>VLOOKUP(A31,'Mismatch Invoices'!$A:$B,2,0)</f>
        <v>#N/A</v>
      </c>
    </row>
    <row r="32" spans="1:3" x14ac:dyDescent="0.25">
      <c r="C32" t="e">
        <f>VLOOKUP(A32,'Mismatch Invoices'!$A:$B,2,0)</f>
        <v>#N/A</v>
      </c>
    </row>
    <row r="33" spans="3:3" x14ac:dyDescent="0.25">
      <c r="C33" t="e">
        <f>VLOOKUP(A33,'Mismatch Invoices'!$A:$B,2,0)</f>
        <v>#N/A</v>
      </c>
    </row>
    <row r="34" spans="3:3" x14ac:dyDescent="0.25">
      <c r="C34" t="e">
        <f>VLOOKUP(A34,'Mismatch Invoices'!$A:$B,2,0)</f>
        <v>#N/A</v>
      </c>
    </row>
    <row r="35" spans="3:3" x14ac:dyDescent="0.25">
      <c r="C35" t="e">
        <f>VLOOKUP(A35,'Mismatch Invoices'!$A:$B,2,0)</f>
        <v>#N/A</v>
      </c>
    </row>
    <row r="36" spans="3:3" x14ac:dyDescent="0.25">
      <c r="C36" t="e">
        <f>VLOOKUP(A36,'Mismatch Invoices'!$A:$B,2,0)</f>
        <v>#N/A</v>
      </c>
    </row>
    <row r="37" spans="3:3" x14ac:dyDescent="0.25">
      <c r="C37" t="e">
        <f>VLOOKUP(A37,'Mismatch Invoices'!$A:$B,2,0)</f>
        <v>#N/A</v>
      </c>
    </row>
    <row r="38" spans="3:3" x14ac:dyDescent="0.25">
      <c r="C38" t="e">
        <f>VLOOKUP(A38,'Mismatch Invoices'!$A:$B,2,0)</f>
        <v>#N/A</v>
      </c>
    </row>
    <row r="39" spans="3:3" x14ac:dyDescent="0.25">
      <c r="C39" t="e">
        <f>VLOOKUP(A39,'Mismatch Invoices'!$A:$B,2,0)</f>
        <v>#N/A</v>
      </c>
    </row>
  </sheetData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DC663-A8F0-4245-9CC3-BC12D9C2BD0E}">
  <sheetPr codeName="Sheet4"/>
  <dimension ref="A1:Q7"/>
  <sheetViews>
    <sheetView workbookViewId="0">
      <selection activeCell="A5" sqref="A5:Q7"/>
    </sheetView>
  </sheetViews>
  <sheetFormatPr defaultRowHeight="15" x14ac:dyDescent="0.25"/>
  <cols>
    <col min="1" max="1" width="18.85546875" bestFit="1" customWidth="1"/>
    <col min="2" max="2" width="39" bestFit="1" customWidth="1"/>
    <col min="3" max="3" width="17.28515625" bestFit="1" customWidth="1"/>
    <col min="4" max="4" width="14.28515625" bestFit="1" customWidth="1"/>
    <col min="5" max="5" width="23.85546875" bestFit="1" customWidth="1"/>
    <col min="6" max="6" width="20.85546875" bestFit="1" customWidth="1"/>
    <col min="7" max="7" width="21.42578125" bestFit="1" customWidth="1"/>
    <col min="8" max="8" width="21.28515625" bestFit="1" customWidth="1"/>
    <col min="9" max="9" width="21" bestFit="1" customWidth="1"/>
    <col min="10" max="10" width="23.140625" bestFit="1" customWidth="1"/>
    <col min="11" max="11" width="39" bestFit="1" customWidth="1"/>
    <col min="12" max="12" width="21.5703125" bestFit="1" customWidth="1"/>
    <col min="13" max="13" width="23.140625" bestFit="1" customWidth="1"/>
    <col min="14" max="14" width="23" bestFit="1" customWidth="1"/>
    <col min="15" max="15" width="20.140625" bestFit="1" customWidth="1"/>
    <col min="16" max="16" width="21.5703125" bestFit="1" customWidth="1"/>
    <col min="17" max="17" width="14" customWidth="1"/>
    <col min="18" max="18" width="39" bestFit="1" customWidth="1"/>
    <col min="19" max="19" width="36.28515625" bestFit="1" customWidth="1"/>
    <col min="20" max="20" width="37.85546875" bestFit="1" customWidth="1"/>
    <col min="21" max="21" width="37.7109375" bestFit="1" customWidth="1"/>
    <col min="22" max="22" width="34.7109375" bestFit="1" customWidth="1"/>
    <col min="23" max="23" width="36.28515625" bestFit="1" customWidth="1"/>
    <col min="24" max="24" width="28.7109375" bestFit="1" customWidth="1"/>
    <col min="25" max="25" width="13" bestFit="1" customWidth="1"/>
    <col min="26" max="26" width="9.85546875" bestFit="1" customWidth="1"/>
    <col min="27" max="27" width="13.42578125" customWidth="1"/>
  </cols>
  <sheetData>
    <row r="1" spans="1:17" ht="39" x14ac:dyDescent="0.25">
      <c r="A1" s="90" t="s">
        <v>188</v>
      </c>
      <c r="B1" s="90"/>
    </row>
    <row r="3" spans="1:17" x14ac:dyDescent="0.25">
      <c r="A3" s="91" t="s">
        <v>189</v>
      </c>
      <c r="B3" s="91"/>
      <c r="C3" s="91"/>
      <c r="D3" s="91"/>
      <c r="E3" s="91"/>
      <c r="F3" s="91"/>
      <c r="G3" s="91"/>
    </row>
    <row r="5" spans="1:17" x14ac:dyDescent="0.25">
      <c r="A5" s="58" t="s">
        <v>56</v>
      </c>
      <c r="B5" s="1" t="s">
        <v>57</v>
      </c>
      <c r="C5" s="1" t="s">
        <v>58</v>
      </c>
      <c r="D5" s="1" t="s">
        <v>59</v>
      </c>
      <c r="E5" s="1" t="s">
        <v>45</v>
      </c>
      <c r="F5" s="1" t="s">
        <v>46</v>
      </c>
      <c r="G5" s="1" t="s">
        <v>47</v>
      </c>
      <c r="H5" s="1" t="s">
        <v>48</v>
      </c>
      <c r="I5" s="1" t="s">
        <v>49</v>
      </c>
      <c r="J5" t="s">
        <v>187</v>
      </c>
      <c r="K5" t="s">
        <v>180</v>
      </c>
      <c r="L5" t="s">
        <v>181</v>
      </c>
      <c r="M5" t="s">
        <v>182</v>
      </c>
      <c r="N5" t="s">
        <v>183</v>
      </c>
      <c r="O5" t="s">
        <v>184</v>
      </c>
      <c r="P5" t="s">
        <v>185</v>
      </c>
      <c r="Q5" t="s">
        <v>186</v>
      </c>
    </row>
    <row r="6" spans="1:17" x14ac:dyDescent="0.25">
      <c r="A6" s="72" t="s">
        <v>18</v>
      </c>
      <c r="B6" s="1" t="s">
        <v>42</v>
      </c>
      <c r="C6" s="73" t="s">
        <v>100</v>
      </c>
      <c r="D6" s="73" t="s">
        <v>393</v>
      </c>
      <c r="E6" s="1">
        <v>18000</v>
      </c>
      <c r="F6" s="1">
        <v>0</v>
      </c>
      <c r="G6" s="1">
        <v>1620</v>
      </c>
      <c r="H6" s="1">
        <v>1620</v>
      </c>
      <c r="I6" s="1">
        <v>0</v>
      </c>
      <c r="J6" s="47" t="s">
        <v>18</v>
      </c>
      <c r="K6" t="s">
        <v>42</v>
      </c>
      <c r="L6" s="47" t="s">
        <v>361</v>
      </c>
      <c r="M6">
        <v>18000</v>
      </c>
      <c r="N6">
        <v>0</v>
      </c>
      <c r="O6">
        <v>1620</v>
      </c>
      <c r="P6">
        <v>1620</v>
      </c>
      <c r="Q6">
        <v>0</v>
      </c>
    </row>
    <row r="7" spans="1:17" x14ac:dyDescent="0.25">
      <c r="A7" s="84" t="s">
        <v>206</v>
      </c>
      <c r="B7" s="85" t="s">
        <v>222</v>
      </c>
      <c r="C7" s="86" t="s">
        <v>175</v>
      </c>
      <c r="D7" s="86" t="s">
        <v>394</v>
      </c>
      <c r="E7" s="85">
        <v>3200</v>
      </c>
      <c r="F7" s="85">
        <v>0</v>
      </c>
      <c r="G7" s="85">
        <v>192</v>
      </c>
      <c r="H7" s="85">
        <v>192</v>
      </c>
      <c r="I7" s="85">
        <v>0</v>
      </c>
      <c r="J7" s="47" t="s">
        <v>206</v>
      </c>
      <c r="K7" t="s">
        <v>360</v>
      </c>
      <c r="L7" s="47" t="s">
        <v>174</v>
      </c>
      <c r="M7">
        <v>2725</v>
      </c>
      <c r="N7">
        <v>0</v>
      </c>
      <c r="O7">
        <v>192</v>
      </c>
      <c r="P7">
        <v>192</v>
      </c>
      <c r="Q7">
        <v>0</v>
      </c>
    </row>
  </sheetData>
  <mergeCells count="2">
    <mergeCell ref="A1:B1"/>
    <mergeCell ref="A3:G3"/>
  </mergeCells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Email"/>
  <dimension ref="A3:T255"/>
  <sheetViews>
    <sheetView topLeftCell="A10" zoomScaleNormal="100" workbookViewId="0">
      <selection activeCell="A3" sqref="A3:T146"/>
    </sheetView>
  </sheetViews>
  <sheetFormatPr defaultRowHeight="15" x14ac:dyDescent="0.25"/>
  <cols>
    <col min="1" max="1" width="19.140625" bestFit="1" customWidth="1"/>
    <col min="2" max="2" width="59" bestFit="1" customWidth="1"/>
    <col min="3" max="3" width="25.5703125" bestFit="1" customWidth="1"/>
    <col min="4" max="4" width="12" bestFit="1" customWidth="1"/>
    <col min="5" max="5" width="8.140625" bestFit="1" customWidth="1"/>
    <col min="6" max="6" width="16.85546875" bestFit="1" customWidth="1"/>
    <col min="7" max="7" width="16.5703125" bestFit="1" customWidth="1"/>
    <col min="8" max="8" width="10.7109375" bestFit="1" customWidth="1"/>
    <col min="9" max="10" width="9.7109375" bestFit="1" customWidth="1"/>
    <col min="11" max="11" width="7.5703125" bestFit="1" customWidth="1"/>
    <col min="12" max="12" width="16.5703125" bestFit="1" customWidth="1"/>
    <col min="13" max="13" width="13.7109375" bestFit="1" customWidth="1"/>
    <col min="14" max="14" width="14.28515625" bestFit="1" customWidth="1"/>
    <col min="15" max="15" width="14.140625" bestFit="1" customWidth="1"/>
    <col min="16" max="16" width="13.85546875" bestFit="1" customWidth="1"/>
    <col min="17" max="17" width="16.140625" bestFit="1" customWidth="1"/>
    <col min="18" max="18" width="65.85546875" bestFit="1" customWidth="1"/>
    <col min="19" max="19" width="16.85546875" bestFit="1" customWidth="1"/>
    <col min="20" max="20" width="20" bestFit="1" customWidth="1"/>
  </cols>
  <sheetData>
    <row r="3" spans="1:20" s="7" customFormat="1" ht="60" x14ac:dyDescent="0.25">
      <c r="A3" s="54" t="s">
        <v>56</v>
      </c>
      <c r="B3" s="55" t="s">
        <v>57</v>
      </c>
      <c r="C3" s="56" t="s">
        <v>58</v>
      </c>
      <c r="D3" s="55" t="s">
        <v>59</v>
      </c>
      <c r="E3" s="55" t="s">
        <v>127</v>
      </c>
      <c r="F3" s="55" t="s">
        <v>128</v>
      </c>
      <c r="G3" s="55" t="s">
        <v>0</v>
      </c>
      <c r="H3" s="55" t="s">
        <v>1</v>
      </c>
      <c r="I3" s="55" t="s">
        <v>2</v>
      </c>
      <c r="J3" s="55" t="s">
        <v>3</v>
      </c>
      <c r="K3" s="55" t="s">
        <v>4</v>
      </c>
      <c r="L3" s="55" t="s">
        <v>45</v>
      </c>
      <c r="M3" s="55" t="s">
        <v>46</v>
      </c>
      <c r="N3" s="55" t="s">
        <v>47</v>
      </c>
      <c r="O3" s="55" t="s">
        <v>48</v>
      </c>
      <c r="P3" s="55" t="s">
        <v>49</v>
      </c>
      <c r="Q3" s="55" t="s">
        <v>50</v>
      </c>
      <c r="R3" s="55" t="s">
        <v>27</v>
      </c>
      <c r="S3" s="55" t="s">
        <v>60</v>
      </c>
      <c r="T3" s="57" t="s">
        <v>44</v>
      </c>
    </row>
    <row r="4" spans="1:20" x14ac:dyDescent="0.25">
      <c r="A4" s="64" t="s">
        <v>21</v>
      </c>
      <c r="B4" s="65" t="s">
        <v>390</v>
      </c>
      <c r="C4" s="66" t="s">
        <v>224</v>
      </c>
      <c r="D4" s="68">
        <v>44325</v>
      </c>
      <c r="E4" s="65"/>
      <c r="F4" s="65"/>
      <c r="G4" s="65">
        <v>0</v>
      </c>
      <c r="H4" s="65">
        <v>0</v>
      </c>
      <c r="I4" s="65">
        <v>0</v>
      </c>
      <c r="J4" s="65">
        <v>0</v>
      </c>
      <c r="K4" s="65">
        <v>0</v>
      </c>
      <c r="L4" s="65">
        <v>578055.36199999996</v>
      </c>
      <c r="M4" s="65">
        <v>0</v>
      </c>
      <c r="N4" s="65">
        <v>52025</v>
      </c>
      <c r="O4" s="65">
        <v>52025</v>
      </c>
      <c r="P4" s="65">
        <v>0</v>
      </c>
      <c r="Q4" s="65">
        <v>682787</v>
      </c>
      <c r="R4" s="65" t="s">
        <v>98</v>
      </c>
      <c r="S4" s="65" t="s">
        <v>99</v>
      </c>
      <c r="T4" s="69" t="s">
        <v>395</v>
      </c>
    </row>
    <row r="5" spans="1:20" x14ac:dyDescent="0.25">
      <c r="A5" s="49" t="s">
        <v>22</v>
      </c>
      <c r="B5" s="50" t="s">
        <v>390</v>
      </c>
      <c r="C5" s="51" t="s">
        <v>226</v>
      </c>
      <c r="D5" s="67">
        <v>44363</v>
      </c>
      <c r="E5" s="50"/>
      <c r="F5" s="50"/>
      <c r="G5" s="50">
        <v>0</v>
      </c>
      <c r="H5" s="50">
        <v>0</v>
      </c>
      <c r="I5" s="50">
        <v>0</v>
      </c>
      <c r="J5" s="50">
        <v>0</v>
      </c>
      <c r="K5" s="50">
        <v>0</v>
      </c>
      <c r="L5" s="50">
        <v>22000</v>
      </c>
      <c r="M5" s="50">
        <v>0</v>
      </c>
      <c r="N5" s="50">
        <v>1980</v>
      </c>
      <c r="O5" s="50">
        <v>1980</v>
      </c>
      <c r="P5" s="50">
        <v>0</v>
      </c>
      <c r="Q5" s="50">
        <v>25960</v>
      </c>
      <c r="R5" s="50" t="s">
        <v>98</v>
      </c>
      <c r="S5" s="50" t="s">
        <v>99</v>
      </c>
      <c r="T5" s="52" t="s">
        <v>396</v>
      </c>
    </row>
    <row r="6" spans="1:20" x14ac:dyDescent="0.25">
      <c r="A6" s="49" t="s">
        <v>93</v>
      </c>
      <c r="B6" s="50" t="s">
        <v>390</v>
      </c>
      <c r="C6" s="51" t="s">
        <v>96</v>
      </c>
      <c r="D6" s="67">
        <v>44307</v>
      </c>
      <c r="E6" s="50"/>
      <c r="F6" s="50"/>
      <c r="G6" s="50">
        <v>0</v>
      </c>
      <c r="H6" s="50">
        <v>0</v>
      </c>
      <c r="I6" s="50">
        <v>0</v>
      </c>
      <c r="J6" s="50">
        <v>0</v>
      </c>
      <c r="K6" s="50">
        <v>0</v>
      </c>
      <c r="L6" s="50">
        <v>2670</v>
      </c>
      <c r="M6" s="50">
        <v>0</v>
      </c>
      <c r="N6" s="50">
        <v>241</v>
      </c>
      <c r="O6" s="50">
        <v>241</v>
      </c>
      <c r="P6" s="50">
        <v>0</v>
      </c>
      <c r="Q6" s="50">
        <v>3152</v>
      </c>
      <c r="R6" s="50" t="s">
        <v>98</v>
      </c>
      <c r="S6" s="50" t="s">
        <v>99</v>
      </c>
      <c r="T6" s="52" t="s">
        <v>397</v>
      </c>
    </row>
    <row r="7" spans="1:20" x14ac:dyDescent="0.25">
      <c r="A7" s="49" t="s">
        <v>105</v>
      </c>
      <c r="B7" s="50" t="s">
        <v>390</v>
      </c>
      <c r="C7" s="51" t="s">
        <v>229</v>
      </c>
      <c r="D7" s="67">
        <v>44329</v>
      </c>
      <c r="E7" s="50"/>
      <c r="F7" s="50"/>
      <c r="G7" s="50">
        <v>0</v>
      </c>
      <c r="H7" s="50">
        <v>0</v>
      </c>
      <c r="I7" s="50">
        <v>0</v>
      </c>
      <c r="J7" s="50">
        <v>0</v>
      </c>
      <c r="K7" s="50">
        <v>0</v>
      </c>
      <c r="L7" s="50">
        <v>904800</v>
      </c>
      <c r="M7" s="50">
        <v>162864</v>
      </c>
      <c r="N7" s="50">
        <v>0</v>
      </c>
      <c r="O7" s="50">
        <v>0</v>
      </c>
      <c r="P7" s="50">
        <v>0</v>
      </c>
      <c r="Q7" s="50">
        <v>1068469</v>
      </c>
      <c r="R7" s="50" t="s">
        <v>98</v>
      </c>
      <c r="S7" s="50" t="s">
        <v>99</v>
      </c>
      <c r="T7" s="52" t="s">
        <v>398</v>
      </c>
    </row>
    <row r="8" spans="1:20" x14ac:dyDescent="0.25">
      <c r="A8" s="49" t="s">
        <v>196</v>
      </c>
      <c r="B8" s="50" t="s">
        <v>390</v>
      </c>
      <c r="C8" s="51" t="s">
        <v>231</v>
      </c>
      <c r="D8" s="67">
        <v>44319</v>
      </c>
      <c r="E8" s="50"/>
      <c r="F8" s="50"/>
      <c r="G8" s="50">
        <v>0</v>
      </c>
      <c r="H8" s="50">
        <v>0</v>
      </c>
      <c r="I8" s="50">
        <v>0</v>
      </c>
      <c r="J8" s="50">
        <v>0</v>
      </c>
      <c r="K8" s="50">
        <v>0</v>
      </c>
      <c r="L8" s="50">
        <v>194194</v>
      </c>
      <c r="M8" s="50">
        <v>0</v>
      </c>
      <c r="N8" s="50">
        <v>11651.64</v>
      </c>
      <c r="O8" s="50">
        <v>11651.64</v>
      </c>
      <c r="P8" s="50">
        <v>0</v>
      </c>
      <c r="Q8" s="50">
        <v>217497</v>
      </c>
      <c r="R8" s="50" t="s">
        <v>98</v>
      </c>
      <c r="S8" s="50" t="s">
        <v>99</v>
      </c>
      <c r="T8" s="52" t="s">
        <v>399</v>
      </c>
    </row>
    <row r="9" spans="1:20" x14ac:dyDescent="0.25">
      <c r="A9" s="49" t="s">
        <v>233</v>
      </c>
      <c r="B9" s="50" t="s">
        <v>390</v>
      </c>
      <c r="C9" s="51" t="s">
        <v>234</v>
      </c>
      <c r="D9" s="67">
        <v>44314</v>
      </c>
      <c r="E9" s="50"/>
      <c r="F9" s="50"/>
      <c r="G9" s="50">
        <v>0</v>
      </c>
      <c r="H9" s="50">
        <v>0</v>
      </c>
      <c r="I9" s="50">
        <v>0</v>
      </c>
      <c r="J9" s="50">
        <v>0</v>
      </c>
      <c r="K9" s="50">
        <v>0</v>
      </c>
      <c r="L9" s="50">
        <v>885800</v>
      </c>
      <c r="M9" s="50">
        <v>159444</v>
      </c>
      <c r="N9" s="50">
        <v>0</v>
      </c>
      <c r="O9" s="50">
        <v>0</v>
      </c>
      <c r="P9" s="50">
        <v>0</v>
      </c>
      <c r="Q9" s="50">
        <v>1045244</v>
      </c>
      <c r="R9" s="50" t="s">
        <v>98</v>
      </c>
      <c r="S9" s="50" t="s">
        <v>99</v>
      </c>
      <c r="T9" s="52" t="s">
        <v>400</v>
      </c>
    </row>
    <row r="10" spans="1:20" x14ac:dyDescent="0.25">
      <c r="A10" s="49" t="s">
        <v>7</v>
      </c>
      <c r="B10" s="50" t="s">
        <v>390</v>
      </c>
      <c r="C10" s="51" t="s">
        <v>237</v>
      </c>
      <c r="D10" s="67">
        <v>44410</v>
      </c>
      <c r="E10" s="50"/>
      <c r="F10" s="50"/>
      <c r="G10" s="50">
        <v>0</v>
      </c>
      <c r="H10" s="50">
        <v>0</v>
      </c>
      <c r="I10" s="50">
        <v>0</v>
      </c>
      <c r="J10" s="50">
        <v>0</v>
      </c>
      <c r="K10" s="50">
        <v>0</v>
      </c>
      <c r="L10" s="50">
        <v>4500</v>
      </c>
      <c r="M10" s="50">
        <v>0</v>
      </c>
      <c r="N10" s="50">
        <v>405</v>
      </c>
      <c r="O10" s="50">
        <v>405</v>
      </c>
      <c r="P10" s="50">
        <v>0</v>
      </c>
      <c r="Q10" s="50">
        <v>5310</v>
      </c>
      <c r="R10" s="50" t="s">
        <v>98</v>
      </c>
      <c r="S10" s="50" t="s">
        <v>99</v>
      </c>
      <c r="T10" s="52" t="s">
        <v>398</v>
      </c>
    </row>
    <row r="11" spans="1:20" x14ac:dyDescent="0.25">
      <c r="A11" s="49" t="s">
        <v>21</v>
      </c>
      <c r="B11" s="50" t="s">
        <v>390</v>
      </c>
      <c r="C11" s="51" t="s">
        <v>239</v>
      </c>
      <c r="D11" s="67">
        <v>44382</v>
      </c>
      <c r="E11" s="50"/>
      <c r="F11" s="50"/>
      <c r="G11" s="50">
        <v>0</v>
      </c>
      <c r="H11" s="50">
        <v>0</v>
      </c>
      <c r="I11" s="50">
        <v>0</v>
      </c>
      <c r="J11" s="50">
        <v>0</v>
      </c>
      <c r="K11" s="50">
        <v>0</v>
      </c>
      <c r="L11" s="50">
        <v>1427529.2490000001</v>
      </c>
      <c r="M11" s="50">
        <v>0</v>
      </c>
      <c r="N11" s="50">
        <v>128478</v>
      </c>
      <c r="O11" s="50">
        <v>128478</v>
      </c>
      <c r="P11" s="50">
        <v>0</v>
      </c>
      <c r="Q11" s="50">
        <v>1684485</v>
      </c>
      <c r="R11" s="50" t="s">
        <v>98</v>
      </c>
      <c r="S11" s="50" t="s">
        <v>99</v>
      </c>
      <c r="T11" s="52" t="s">
        <v>401</v>
      </c>
    </row>
    <row r="12" spans="1:20" x14ac:dyDescent="0.25">
      <c r="A12" s="49" t="s">
        <v>240</v>
      </c>
      <c r="B12" s="50" t="s">
        <v>390</v>
      </c>
      <c r="C12" s="51" t="s">
        <v>241</v>
      </c>
      <c r="D12" s="67">
        <v>44435</v>
      </c>
      <c r="E12" s="50"/>
      <c r="F12" s="50"/>
      <c r="G12" s="50">
        <v>0</v>
      </c>
      <c r="H12" s="50">
        <v>0</v>
      </c>
      <c r="I12" s="50">
        <v>0</v>
      </c>
      <c r="J12" s="50">
        <v>0</v>
      </c>
      <c r="K12" s="50">
        <v>0</v>
      </c>
      <c r="L12" s="50">
        <v>19140</v>
      </c>
      <c r="M12" s="50">
        <v>0</v>
      </c>
      <c r="N12" s="50">
        <v>1722.6</v>
      </c>
      <c r="O12" s="50">
        <v>1722.6</v>
      </c>
      <c r="P12" s="50">
        <v>0</v>
      </c>
      <c r="Q12" s="50">
        <v>22585</v>
      </c>
      <c r="R12" s="50" t="s">
        <v>98</v>
      </c>
      <c r="S12" s="50" t="s">
        <v>99</v>
      </c>
      <c r="T12" s="52" t="s">
        <v>402</v>
      </c>
    </row>
    <row r="13" spans="1:20" x14ac:dyDescent="0.25">
      <c r="A13" s="49" t="s">
        <v>88</v>
      </c>
      <c r="B13" s="50" t="s">
        <v>390</v>
      </c>
      <c r="C13" s="51" t="s">
        <v>242</v>
      </c>
      <c r="D13" s="67">
        <v>44410</v>
      </c>
      <c r="E13" s="50"/>
      <c r="F13" s="50"/>
      <c r="G13" s="50">
        <v>0</v>
      </c>
      <c r="H13" s="50">
        <v>0</v>
      </c>
      <c r="I13" s="50">
        <v>0</v>
      </c>
      <c r="J13" s="50">
        <v>0</v>
      </c>
      <c r="K13" s="50">
        <v>0</v>
      </c>
      <c r="L13" s="50">
        <v>1075</v>
      </c>
      <c r="M13" s="50">
        <v>0</v>
      </c>
      <c r="N13" s="50">
        <v>96.75</v>
      </c>
      <c r="O13" s="50">
        <v>96.75</v>
      </c>
      <c r="P13" s="50">
        <v>0</v>
      </c>
      <c r="Q13" s="50">
        <v>1268</v>
      </c>
      <c r="R13" s="50" t="s">
        <v>98</v>
      </c>
      <c r="S13" s="50" t="s">
        <v>99</v>
      </c>
      <c r="T13" s="52" t="s">
        <v>403</v>
      </c>
    </row>
    <row r="14" spans="1:20" x14ac:dyDescent="0.25">
      <c r="A14" s="49" t="s">
        <v>105</v>
      </c>
      <c r="B14" s="50" t="s">
        <v>390</v>
      </c>
      <c r="C14" s="51" t="s">
        <v>243</v>
      </c>
      <c r="D14" s="67">
        <v>44414</v>
      </c>
      <c r="E14" s="50"/>
      <c r="F14" s="50"/>
      <c r="G14" s="50">
        <v>0</v>
      </c>
      <c r="H14" s="50">
        <v>0</v>
      </c>
      <c r="I14" s="50">
        <v>0</v>
      </c>
      <c r="J14" s="50">
        <v>0</v>
      </c>
      <c r="K14" s="50">
        <v>0</v>
      </c>
      <c r="L14" s="50">
        <v>950000</v>
      </c>
      <c r="M14" s="50">
        <v>171000</v>
      </c>
      <c r="N14" s="50">
        <v>0</v>
      </c>
      <c r="O14" s="50">
        <v>0</v>
      </c>
      <c r="P14" s="50">
        <v>0</v>
      </c>
      <c r="Q14" s="50">
        <v>1121000</v>
      </c>
      <c r="R14" s="50" t="s">
        <v>98</v>
      </c>
      <c r="S14" s="50" t="s">
        <v>99</v>
      </c>
      <c r="T14" s="52" t="s">
        <v>404</v>
      </c>
    </row>
    <row r="15" spans="1:20" x14ac:dyDescent="0.25">
      <c r="A15" s="49" t="s">
        <v>244</v>
      </c>
      <c r="B15" s="50" t="s">
        <v>390</v>
      </c>
      <c r="C15" s="51" t="s">
        <v>245</v>
      </c>
      <c r="D15" s="67">
        <v>44398</v>
      </c>
      <c r="E15" s="50"/>
      <c r="F15" s="50"/>
      <c r="G15" s="50">
        <v>0</v>
      </c>
      <c r="H15" s="50">
        <v>0</v>
      </c>
      <c r="I15" s="50">
        <v>0</v>
      </c>
      <c r="J15" s="50">
        <v>0</v>
      </c>
      <c r="K15" s="50">
        <v>0</v>
      </c>
      <c r="L15" s="50">
        <v>2310</v>
      </c>
      <c r="M15" s="50">
        <v>0</v>
      </c>
      <c r="N15" s="50">
        <v>208</v>
      </c>
      <c r="O15" s="50">
        <v>208</v>
      </c>
      <c r="P15" s="50">
        <v>0</v>
      </c>
      <c r="Q15" s="50">
        <v>2726</v>
      </c>
      <c r="R15" s="50" t="s">
        <v>98</v>
      </c>
      <c r="S15" s="50" t="s">
        <v>99</v>
      </c>
      <c r="T15" s="52" t="s">
        <v>405</v>
      </c>
    </row>
    <row r="16" spans="1:20" x14ac:dyDescent="0.25">
      <c r="A16" s="49" t="s">
        <v>206</v>
      </c>
      <c r="B16" s="50" t="s">
        <v>390</v>
      </c>
      <c r="C16" s="51" t="s">
        <v>104</v>
      </c>
      <c r="D16" s="67">
        <v>44379</v>
      </c>
      <c r="E16" s="50"/>
      <c r="F16" s="50"/>
      <c r="G16" s="50">
        <v>0</v>
      </c>
      <c r="H16" s="50">
        <v>0</v>
      </c>
      <c r="I16" s="50">
        <v>0</v>
      </c>
      <c r="J16" s="50">
        <v>0</v>
      </c>
      <c r="K16" s="50">
        <v>0</v>
      </c>
      <c r="L16" s="50">
        <v>11270</v>
      </c>
      <c r="M16" s="50">
        <v>0</v>
      </c>
      <c r="N16" s="50">
        <v>948</v>
      </c>
      <c r="O16" s="50">
        <v>948</v>
      </c>
      <c r="P16" s="50">
        <v>0</v>
      </c>
      <c r="Q16" s="50">
        <v>13541</v>
      </c>
      <c r="R16" s="50" t="s">
        <v>98</v>
      </c>
      <c r="S16" s="50" t="s">
        <v>99</v>
      </c>
      <c r="T16" s="52" t="s">
        <v>406</v>
      </c>
    </row>
    <row r="17" spans="1:20" x14ac:dyDescent="0.25">
      <c r="A17" s="49" t="s">
        <v>196</v>
      </c>
      <c r="B17" s="50" t="s">
        <v>390</v>
      </c>
      <c r="C17" s="51" t="s">
        <v>247</v>
      </c>
      <c r="D17" s="67">
        <v>44425</v>
      </c>
      <c r="E17" s="50"/>
      <c r="F17" s="50"/>
      <c r="G17" s="50">
        <v>0</v>
      </c>
      <c r="H17" s="50">
        <v>0</v>
      </c>
      <c r="I17" s="50">
        <v>0</v>
      </c>
      <c r="J17" s="50">
        <v>0</v>
      </c>
      <c r="K17" s="50">
        <v>0</v>
      </c>
      <c r="L17" s="50">
        <v>215533.25</v>
      </c>
      <c r="M17" s="50">
        <v>0</v>
      </c>
      <c r="N17" s="50">
        <v>12932</v>
      </c>
      <c r="O17" s="50">
        <v>12932</v>
      </c>
      <c r="P17" s="50">
        <v>0</v>
      </c>
      <c r="Q17" s="50">
        <v>241397</v>
      </c>
      <c r="R17" s="50" t="s">
        <v>98</v>
      </c>
      <c r="S17" s="50" t="s">
        <v>99</v>
      </c>
      <c r="T17" s="52" t="s">
        <v>407</v>
      </c>
    </row>
    <row r="18" spans="1:20" x14ac:dyDescent="0.25">
      <c r="A18" s="49" t="s">
        <v>203</v>
      </c>
      <c r="B18" s="50" t="s">
        <v>390</v>
      </c>
      <c r="C18" s="51" t="s">
        <v>249</v>
      </c>
      <c r="D18" s="67">
        <v>44417</v>
      </c>
      <c r="E18" s="50"/>
      <c r="F18" s="50"/>
      <c r="G18" s="50">
        <v>0</v>
      </c>
      <c r="H18" s="50">
        <v>0</v>
      </c>
      <c r="I18" s="50">
        <v>0</v>
      </c>
      <c r="J18" s="50">
        <v>0</v>
      </c>
      <c r="K18" s="50">
        <v>0</v>
      </c>
      <c r="L18" s="50">
        <v>484135.15500000003</v>
      </c>
      <c r="M18" s="50">
        <v>0</v>
      </c>
      <c r="N18" s="50">
        <v>43572.160000000003</v>
      </c>
      <c r="O18" s="50">
        <v>43572.160000000003</v>
      </c>
      <c r="P18" s="50">
        <v>0</v>
      </c>
      <c r="Q18" s="50">
        <v>571279</v>
      </c>
      <c r="R18" s="50" t="s">
        <v>98</v>
      </c>
      <c r="S18" s="50" t="s">
        <v>99</v>
      </c>
      <c r="T18" s="52" t="s">
        <v>408</v>
      </c>
    </row>
    <row r="19" spans="1:20" x14ac:dyDescent="0.25">
      <c r="A19" s="49" t="s">
        <v>105</v>
      </c>
      <c r="B19" s="50" t="s">
        <v>390</v>
      </c>
      <c r="C19" s="51" t="s">
        <v>251</v>
      </c>
      <c r="D19" s="67">
        <v>44372</v>
      </c>
      <c r="E19" s="50"/>
      <c r="F19" s="50"/>
      <c r="G19" s="50">
        <v>0</v>
      </c>
      <c r="H19" s="50">
        <v>0</v>
      </c>
      <c r="I19" s="50">
        <v>0</v>
      </c>
      <c r="J19" s="50">
        <v>0</v>
      </c>
      <c r="K19" s="50">
        <v>0</v>
      </c>
      <c r="L19" s="50">
        <v>950000</v>
      </c>
      <c r="M19" s="50">
        <v>171000</v>
      </c>
      <c r="N19" s="50">
        <v>0</v>
      </c>
      <c r="O19" s="50">
        <v>0</v>
      </c>
      <c r="P19" s="50">
        <v>0</v>
      </c>
      <c r="Q19" s="50">
        <v>1122121</v>
      </c>
      <c r="R19" s="50" t="s">
        <v>98</v>
      </c>
      <c r="S19" s="50" t="s">
        <v>99</v>
      </c>
      <c r="T19" s="52" t="s">
        <v>409</v>
      </c>
    </row>
    <row r="20" spans="1:20" x14ac:dyDescent="0.25">
      <c r="A20" s="49" t="s">
        <v>92</v>
      </c>
      <c r="B20" s="50" t="s">
        <v>390</v>
      </c>
      <c r="C20" s="51" t="s">
        <v>253</v>
      </c>
      <c r="D20" s="67">
        <v>44422</v>
      </c>
      <c r="E20" s="50"/>
      <c r="F20" s="50"/>
      <c r="G20" s="50">
        <v>0</v>
      </c>
      <c r="H20" s="50">
        <v>0</v>
      </c>
      <c r="I20" s="50">
        <v>0</v>
      </c>
      <c r="J20" s="50">
        <v>0</v>
      </c>
      <c r="K20" s="50">
        <v>0</v>
      </c>
      <c r="L20" s="50">
        <v>1961.12</v>
      </c>
      <c r="M20" s="50">
        <v>0</v>
      </c>
      <c r="N20" s="50">
        <v>176.5</v>
      </c>
      <c r="O20" s="50">
        <v>176.5</v>
      </c>
      <c r="P20" s="50">
        <v>0</v>
      </c>
      <c r="Q20" s="50">
        <v>2314</v>
      </c>
      <c r="R20" s="50" t="s">
        <v>98</v>
      </c>
      <c r="S20" s="50" t="s">
        <v>99</v>
      </c>
      <c r="T20" s="52" t="s">
        <v>410</v>
      </c>
    </row>
    <row r="21" spans="1:20" x14ac:dyDescent="0.25">
      <c r="A21" s="49" t="s">
        <v>105</v>
      </c>
      <c r="B21" s="50" t="s">
        <v>390</v>
      </c>
      <c r="C21" s="51" t="s">
        <v>255</v>
      </c>
      <c r="D21" s="67">
        <v>44425</v>
      </c>
      <c r="E21" s="50"/>
      <c r="F21" s="50"/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725000</v>
      </c>
      <c r="M21" s="50">
        <v>130500</v>
      </c>
      <c r="N21" s="50">
        <v>0</v>
      </c>
      <c r="O21" s="50">
        <v>0</v>
      </c>
      <c r="P21" s="50">
        <v>0</v>
      </c>
      <c r="Q21" s="50">
        <v>855500</v>
      </c>
      <c r="R21" s="50" t="s">
        <v>98</v>
      </c>
      <c r="S21" s="50" t="s">
        <v>99</v>
      </c>
      <c r="T21" s="52" t="s">
        <v>411</v>
      </c>
    </row>
    <row r="22" spans="1:20" x14ac:dyDescent="0.25">
      <c r="A22" s="49" t="s">
        <v>19</v>
      </c>
      <c r="B22" s="50" t="s">
        <v>390</v>
      </c>
      <c r="C22" s="51" t="s">
        <v>257</v>
      </c>
      <c r="D22" s="67">
        <v>44378</v>
      </c>
      <c r="E22" s="50"/>
      <c r="F22" s="50"/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40000</v>
      </c>
      <c r="M22" s="50">
        <v>0</v>
      </c>
      <c r="N22" s="50">
        <v>2400</v>
      </c>
      <c r="O22" s="50">
        <v>2400</v>
      </c>
      <c r="P22" s="50">
        <v>0</v>
      </c>
      <c r="Q22" s="50">
        <v>44800</v>
      </c>
      <c r="R22" s="50" t="s">
        <v>98</v>
      </c>
      <c r="S22" s="50" t="s">
        <v>99</v>
      </c>
      <c r="T22" s="52" t="s">
        <v>412</v>
      </c>
    </row>
    <row r="23" spans="1:20" x14ac:dyDescent="0.25">
      <c r="A23" s="49" t="s">
        <v>88</v>
      </c>
      <c r="B23" s="50" t="s">
        <v>390</v>
      </c>
      <c r="C23" s="51" t="s">
        <v>258</v>
      </c>
      <c r="D23" s="67">
        <v>44384</v>
      </c>
      <c r="E23" s="50"/>
      <c r="F23" s="50"/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4276</v>
      </c>
      <c r="M23" s="50">
        <v>0</v>
      </c>
      <c r="N23" s="50">
        <v>319.83999999999997</v>
      </c>
      <c r="O23" s="50">
        <v>319.83999999999997</v>
      </c>
      <c r="P23" s="50">
        <v>0</v>
      </c>
      <c r="Q23" s="50">
        <v>4916</v>
      </c>
      <c r="R23" s="50" t="s">
        <v>98</v>
      </c>
      <c r="S23" s="50" t="s">
        <v>99</v>
      </c>
      <c r="T23" s="52" t="s">
        <v>413</v>
      </c>
    </row>
    <row r="24" spans="1:20" x14ac:dyDescent="0.25">
      <c r="A24" s="49" t="s">
        <v>199</v>
      </c>
      <c r="B24" s="50" t="s">
        <v>390</v>
      </c>
      <c r="C24" s="51" t="s">
        <v>260</v>
      </c>
      <c r="D24" s="67">
        <v>44379</v>
      </c>
      <c r="E24" s="50"/>
      <c r="F24" s="50"/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4750</v>
      </c>
      <c r="M24" s="50">
        <v>570</v>
      </c>
      <c r="N24" s="50">
        <v>0</v>
      </c>
      <c r="O24" s="50">
        <v>0</v>
      </c>
      <c r="P24" s="50">
        <v>0</v>
      </c>
      <c r="Q24" s="50">
        <v>5320</v>
      </c>
      <c r="R24" s="50" t="s">
        <v>98</v>
      </c>
      <c r="S24" s="50" t="s">
        <v>99</v>
      </c>
      <c r="T24" s="52" t="s">
        <v>414</v>
      </c>
    </row>
    <row r="25" spans="1:20" x14ac:dyDescent="0.25">
      <c r="A25" s="49" t="s">
        <v>204</v>
      </c>
      <c r="B25" s="50" t="s">
        <v>390</v>
      </c>
      <c r="C25" s="51" t="s">
        <v>261</v>
      </c>
      <c r="D25" s="67">
        <v>44417</v>
      </c>
      <c r="E25" s="50"/>
      <c r="F25" s="50"/>
      <c r="G25" s="50">
        <v>0</v>
      </c>
      <c r="H25" s="50">
        <v>0</v>
      </c>
      <c r="I25" s="50">
        <v>0</v>
      </c>
      <c r="J25" s="50">
        <v>0</v>
      </c>
      <c r="K25" s="50">
        <v>0</v>
      </c>
      <c r="L25" s="50">
        <v>217160.4</v>
      </c>
      <c r="M25" s="50">
        <v>0</v>
      </c>
      <c r="N25" s="50">
        <v>13029.62</v>
      </c>
      <c r="O25" s="50">
        <v>13029.62</v>
      </c>
      <c r="P25" s="50">
        <v>0</v>
      </c>
      <c r="Q25" s="50">
        <v>243220</v>
      </c>
      <c r="R25" s="50" t="s">
        <v>98</v>
      </c>
      <c r="S25" s="50" t="s">
        <v>99</v>
      </c>
      <c r="T25" s="52" t="s">
        <v>415</v>
      </c>
    </row>
    <row r="26" spans="1:20" x14ac:dyDescent="0.25">
      <c r="A26" s="49" t="s">
        <v>20</v>
      </c>
      <c r="B26" s="50" t="s">
        <v>390</v>
      </c>
      <c r="C26" s="51" t="s">
        <v>262</v>
      </c>
      <c r="D26" s="67">
        <v>44463</v>
      </c>
      <c r="E26" s="50"/>
      <c r="F26" s="50"/>
      <c r="G26" s="50">
        <v>0</v>
      </c>
      <c r="H26" s="50">
        <v>0</v>
      </c>
      <c r="I26" s="50">
        <v>0</v>
      </c>
      <c r="J26" s="50">
        <v>0</v>
      </c>
      <c r="K26" s="50">
        <v>0</v>
      </c>
      <c r="L26" s="50">
        <v>9567.93</v>
      </c>
      <c r="M26" s="50">
        <v>0</v>
      </c>
      <c r="N26" s="50">
        <v>861.11</v>
      </c>
      <c r="O26" s="50">
        <v>861.11</v>
      </c>
      <c r="P26" s="50">
        <v>0</v>
      </c>
      <c r="Q26" s="50">
        <v>11290</v>
      </c>
      <c r="R26" s="50" t="s">
        <v>98</v>
      </c>
      <c r="S26" s="50" t="s">
        <v>99</v>
      </c>
      <c r="T26" s="52" t="s">
        <v>416</v>
      </c>
    </row>
    <row r="27" spans="1:20" x14ac:dyDescent="0.25">
      <c r="A27" s="49" t="s">
        <v>203</v>
      </c>
      <c r="B27" s="50" t="s">
        <v>390</v>
      </c>
      <c r="C27" s="51" t="s">
        <v>264</v>
      </c>
      <c r="D27" s="67">
        <v>44439</v>
      </c>
      <c r="E27" s="50"/>
      <c r="F27" s="50"/>
      <c r="G27" s="50">
        <v>0</v>
      </c>
      <c r="H27" s="50">
        <v>0</v>
      </c>
      <c r="I27" s="50">
        <v>0</v>
      </c>
      <c r="J27" s="50">
        <v>0</v>
      </c>
      <c r="K27" s="50">
        <v>0</v>
      </c>
      <c r="L27" s="50">
        <v>307449</v>
      </c>
      <c r="M27" s="50">
        <v>0</v>
      </c>
      <c r="N27" s="50">
        <v>27670.41</v>
      </c>
      <c r="O27" s="50">
        <v>27670.41</v>
      </c>
      <c r="P27" s="50">
        <v>0</v>
      </c>
      <c r="Q27" s="50">
        <v>362790</v>
      </c>
      <c r="R27" s="50" t="s">
        <v>98</v>
      </c>
      <c r="S27" s="50" t="s">
        <v>99</v>
      </c>
      <c r="T27" s="52" t="s">
        <v>417</v>
      </c>
    </row>
    <row r="28" spans="1:20" x14ac:dyDescent="0.25">
      <c r="A28" s="49" t="s">
        <v>85</v>
      </c>
      <c r="B28" s="50" t="s">
        <v>390</v>
      </c>
      <c r="C28" s="51" t="s">
        <v>265</v>
      </c>
      <c r="D28" s="67">
        <v>44460</v>
      </c>
      <c r="E28" s="50"/>
      <c r="F28" s="50"/>
      <c r="G28" s="50">
        <v>0</v>
      </c>
      <c r="H28" s="50">
        <v>0</v>
      </c>
      <c r="I28" s="50">
        <v>0</v>
      </c>
      <c r="J28" s="50">
        <v>0</v>
      </c>
      <c r="K28" s="50">
        <v>0</v>
      </c>
      <c r="L28" s="50">
        <v>2500</v>
      </c>
      <c r="M28" s="50">
        <v>0</v>
      </c>
      <c r="N28" s="50">
        <v>225</v>
      </c>
      <c r="O28" s="50">
        <v>225</v>
      </c>
      <c r="P28" s="50">
        <v>0</v>
      </c>
      <c r="Q28" s="50">
        <v>2950</v>
      </c>
      <c r="R28" s="50" t="s">
        <v>98</v>
      </c>
      <c r="S28" s="50" t="s">
        <v>99</v>
      </c>
      <c r="T28" s="52" t="s">
        <v>418</v>
      </c>
    </row>
    <row r="29" spans="1:20" x14ac:dyDescent="0.25">
      <c r="A29" s="49" t="s">
        <v>105</v>
      </c>
      <c r="B29" s="50" t="s">
        <v>390</v>
      </c>
      <c r="C29" s="51" t="s">
        <v>267</v>
      </c>
      <c r="D29" s="67">
        <v>44484</v>
      </c>
      <c r="E29" s="50"/>
      <c r="F29" s="50"/>
      <c r="G29" s="50">
        <v>0</v>
      </c>
      <c r="H29" s="50">
        <v>0</v>
      </c>
      <c r="I29" s="50">
        <v>0</v>
      </c>
      <c r="J29" s="50">
        <v>0</v>
      </c>
      <c r="K29" s="50">
        <v>0</v>
      </c>
      <c r="L29" s="50">
        <v>145000</v>
      </c>
      <c r="M29" s="50">
        <v>26100</v>
      </c>
      <c r="N29" s="50">
        <v>0</v>
      </c>
      <c r="O29" s="50">
        <v>0</v>
      </c>
      <c r="P29" s="50">
        <v>0</v>
      </c>
      <c r="Q29" s="50">
        <v>171100</v>
      </c>
      <c r="R29" s="50" t="s">
        <v>98</v>
      </c>
      <c r="S29" s="50" t="s">
        <v>99</v>
      </c>
      <c r="T29" s="52" t="s">
        <v>419</v>
      </c>
    </row>
    <row r="30" spans="1:20" x14ac:dyDescent="0.25">
      <c r="A30" s="49" t="s">
        <v>121</v>
      </c>
      <c r="B30" s="50" t="s">
        <v>390</v>
      </c>
      <c r="C30" s="51" t="s">
        <v>269</v>
      </c>
      <c r="D30" s="67">
        <v>44474</v>
      </c>
      <c r="E30" s="50"/>
      <c r="F30" s="50"/>
      <c r="G30" s="50">
        <v>0</v>
      </c>
      <c r="H30" s="50">
        <v>0</v>
      </c>
      <c r="I30" s="50">
        <v>0</v>
      </c>
      <c r="J30" s="50">
        <v>0</v>
      </c>
      <c r="K30" s="50">
        <v>0</v>
      </c>
      <c r="L30" s="50">
        <v>101949.5</v>
      </c>
      <c r="M30" s="50">
        <v>0</v>
      </c>
      <c r="N30" s="50">
        <v>9175.4599999999991</v>
      </c>
      <c r="O30" s="50">
        <v>9175.4599999999991</v>
      </c>
      <c r="P30" s="50">
        <v>0</v>
      </c>
      <c r="Q30" s="50">
        <v>120300</v>
      </c>
      <c r="R30" s="50" t="s">
        <v>98</v>
      </c>
      <c r="S30" s="50" t="s">
        <v>99</v>
      </c>
      <c r="T30" s="52" t="s">
        <v>420</v>
      </c>
    </row>
    <row r="31" spans="1:20" x14ac:dyDescent="0.25">
      <c r="A31" s="49" t="s">
        <v>12</v>
      </c>
      <c r="B31" s="50" t="s">
        <v>390</v>
      </c>
      <c r="C31" s="51" t="s">
        <v>271</v>
      </c>
      <c r="D31" s="67">
        <v>44439</v>
      </c>
      <c r="E31" s="50"/>
      <c r="F31" s="50"/>
      <c r="G31" s="50">
        <v>0</v>
      </c>
      <c r="H31" s="50">
        <v>0</v>
      </c>
      <c r="I31" s="50">
        <v>0</v>
      </c>
      <c r="J31" s="50">
        <v>0</v>
      </c>
      <c r="K31" s="50">
        <v>0</v>
      </c>
      <c r="L31" s="50">
        <v>83250</v>
      </c>
      <c r="M31" s="50">
        <v>14985</v>
      </c>
      <c r="N31" s="50">
        <v>0</v>
      </c>
      <c r="O31" s="50">
        <v>0</v>
      </c>
      <c r="P31" s="50">
        <v>0</v>
      </c>
      <c r="Q31" s="50">
        <v>98235</v>
      </c>
      <c r="R31" s="50" t="s">
        <v>98</v>
      </c>
      <c r="S31" s="50" t="s">
        <v>99</v>
      </c>
      <c r="T31" s="52" t="s">
        <v>421</v>
      </c>
    </row>
    <row r="32" spans="1:20" x14ac:dyDescent="0.25">
      <c r="A32" s="49" t="s">
        <v>206</v>
      </c>
      <c r="B32" s="50" t="s">
        <v>390</v>
      </c>
      <c r="C32" s="51" t="s">
        <v>333</v>
      </c>
      <c r="D32" s="67">
        <v>44445</v>
      </c>
      <c r="E32" s="50"/>
      <c r="F32" s="50"/>
      <c r="G32" s="50">
        <v>0</v>
      </c>
      <c r="H32" s="50">
        <v>0</v>
      </c>
      <c r="I32" s="50">
        <v>0</v>
      </c>
      <c r="J32" s="50">
        <v>0</v>
      </c>
      <c r="K32" s="50">
        <v>0</v>
      </c>
      <c r="L32" s="50">
        <v>4370</v>
      </c>
      <c r="M32" s="50">
        <v>0</v>
      </c>
      <c r="N32" s="50">
        <v>297</v>
      </c>
      <c r="O32" s="50">
        <v>297</v>
      </c>
      <c r="P32" s="50">
        <v>0</v>
      </c>
      <c r="Q32" s="50">
        <v>4964</v>
      </c>
      <c r="R32" s="50" t="s">
        <v>98</v>
      </c>
      <c r="S32" s="50" t="s">
        <v>99</v>
      </c>
      <c r="T32" s="52" t="s">
        <v>422</v>
      </c>
    </row>
    <row r="33" spans="1:20" x14ac:dyDescent="0.25">
      <c r="A33" s="49" t="s">
        <v>235</v>
      </c>
      <c r="B33" s="50" t="s">
        <v>390</v>
      </c>
      <c r="C33" s="51" t="s">
        <v>115</v>
      </c>
      <c r="D33" s="67">
        <v>44454</v>
      </c>
      <c r="E33" s="50"/>
      <c r="F33" s="50"/>
      <c r="G33" s="50">
        <v>0</v>
      </c>
      <c r="H33" s="50">
        <v>0</v>
      </c>
      <c r="I33" s="50">
        <v>0</v>
      </c>
      <c r="J33" s="50">
        <v>0</v>
      </c>
      <c r="K33" s="50">
        <v>0</v>
      </c>
      <c r="L33" s="50">
        <v>26532</v>
      </c>
      <c r="M33" s="50">
        <v>0</v>
      </c>
      <c r="N33" s="50">
        <v>2387.88</v>
      </c>
      <c r="O33" s="50">
        <v>2387.88</v>
      </c>
      <c r="P33" s="50">
        <v>0</v>
      </c>
      <c r="Q33" s="50">
        <v>31308</v>
      </c>
      <c r="R33" s="50" t="s">
        <v>98</v>
      </c>
      <c r="S33" s="50" t="s">
        <v>99</v>
      </c>
      <c r="T33" s="52" t="s">
        <v>423</v>
      </c>
    </row>
    <row r="34" spans="1:20" x14ac:dyDescent="0.25">
      <c r="A34" s="49" t="s">
        <v>227</v>
      </c>
      <c r="B34" s="50" t="s">
        <v>390</v>
      </c>
      <c r="C34" s="51" t="s">
        <v>274</v>
      </c>
      <c r="D34" s="67">
        <v>44438</v>
      </c>
      <c r="E34" s="50"/>
      <c r="F34" s="50"/>
      <c r="G34" s="50">
        <v>0</v>
      </c>
      <c r="H34" s="50">
        <v>0</v>
      </c>
      <c r="I34" s="50">
        <v>0</v>
      </c>
      <c r="J34" s="50">
        <v>0</v>
      </c>
      <c r="K34" s="50">
        <v>0</v>
      </c>
      <c r="L34" s="50">
        <v>119644.15</v>
      </c>
      <c r="M34" s="50">
        <v>0</v>
      </c>
      <c r="N34" s="50">
        <v>10714.63</v>
      </c>
      <c r="O34" s="50">
        <v>10714.63</v>
      </c>
      <c r="P34" s="50">
        <v>0</v>
      </c>
      <c r="Q34" s="50">
        <v>141073</v>
      </c>
      <c r="R34" s="50" t="s">
        <v>98</v>
      </c>
      <c r="S34" s="50" t="s">
        <v>99</v>
      </c>
      <c r="T34" s="52" t="s">
        <v>424</v>
      </c>
    </row>
    <row r="35" spans="1:20" x14ac:dyDescent="0.25">
      <c r="A35" s="49" t="s">
        <v>205</v>
      </c>
      <c r="B35" s="50" t="s">
        <v>390</v>
      </c>
      <c r="C35" s="51" t="s">
        <v>276</v>
      </c>
      <c r="D35" s="67">
        <v>44488</v>
      </c>
      <c r="E35" s="50"/>
      <c r="F35" s="50"/>
      <c r="G35" s="50">
        <v>0</v>
      </c>
      <c r="H35" s="50">
        <v>0</v>
      </c>
      <c r="I35" s="50">
        <v>0</v>
      </c>
      <c r="J35" s="50">
        <v>0</v>
      </c>
      <c r="K35" s="50">
        <v>0</v>
      </c>
      <c r="L35" s="50">
        <v>45050.14</v>
      </c>
      <c r="M35" s="50">
        <v>0</v>
      </c>
      <c r="N35" s="50">
        <v>4054.52</v>
      </c>
      <c r="O35" s="50">
        <v>4054.52</v>
      </c>
      <c r="P35" s="50">
        <v>0</v>
      </c>
      <c r="Q35" s="50">
        <v>53159</v>
      </c>
      <c r="R35" s="50" t="s">
        <v>98</v>
      </c>
      <c r="S35" s="50" t="s">
        <v>99</v>
      </c>
      <c r="T35" s="52" t="s">
        <v>425</v>
      </c>
    </row>
    <row r="36" spans="1:20" x14ac:dyDescent="0.25">
      <c r="A36" s="49" t="s">
        <v>21</v>
      </c>
      <c r="B36" s="50" t="s">
        <v>390</v>
      </c>
      <c r="C36" s="51" t="s">
        <v>278</v>
      </c>
      <c r="D36" s="67">
        <v>44481</v>
      </c>
      <c r="E36" s="50"/>
      <c r="F36" s="50"/>
      <c r="G36" s="50">
        <v>0</v>
      </c>
      <c r="H36" s="50">
        <v>0</v>
      </c>
      <c r="I36" s="50">
        <v>0</v>
      </c>
      <c r="J36" s="50">
        <v>0</v>
      </c>
      <c r="K36" s="50">
        <v>0</v>
      </c>
      <c r="L36" s="50">
        <v>329582.39</v>
      </c>
      <c r="M36" s="50">
        <v>0</v>
      </c>
      <c r="N36" s="50">
        <v>29662</v>
      </c>
      <c r="O36" s="50">
        <v>29662</v>
      </c>
      <c r="P36" s="50">
        <v>0</v>
      </c>
      <c r="Q36" s="50">
        <v>388906</v>
      </c>
      <c r="R36" s="50" t="s">
        <v>98</v>
      </c>
      <c r="S36" s="50" t="s">
        <v>99</v>
      </c>
      <c r="T36" s="52" t="s">
        <v>426</v>
      </c>
    </row>
    <row r="37" spans="1:20" x14ac:dyDescent="0.25">
      <c r="A37" s="49" t="s">
        <v>280</v>
      </c>
      <c r="B37" s="50" t="s">
        <v>390</v>
      </c>
      <c r="C37" s="51" t="s">
        <v>281</v>
      </c>
      <c r="D37" s="67">
        <v>44463</v>
      </c>
      <c r="E37" s="50"/>
      <c r="F37" s="50"/>
      <c r="G37" s="50">
        <v>0</v>
      </c>
      <c r="H37" s="50">
        <v>0</v>
      </c>
      <c r="I37" s="50">
        <v>0</v>
      </c>
      <c r="J37" s="50">
        <v>0</v>
      </c>
      <c r="K37" s="50">
        <v>0</v>
      </c>
      <c r="L37" s="50">
        <v>106612.56</v>
      </c>
      <c r="M37" s="50">
        <v>0</v>
      </c>
      <c r="N37" s="50">
        <v>9595.1299999999992</v>
      </c>
      <c r="O37" s="50">
        <v>9595.1299999999992</v>
      </c>
      <c r="P37" s="50">
        <v>0</v>
      </c>
      <c r="Q37" s="50">
        <v>125803</v>
      </c>
      <c r="R37" s="50" t="s">
        <v>98</v>
      </c>
      <c r="S37" s="50" t="s">
        <v>99</v>
      </c>
      <c r="T37" s="52" t="s">
        <v>427</v>
      </c>
    </row>
    <row r="38" spans="1:20" x14ac:dyDescent="0.25">
      <c r="A38" s="49" t="s">
        <v>121</v>
      </c>
      <c r="B38" s="50" t="s">
        <v>390</v>
      </c>
      <c r="C38" s="51" t="s">
        <v>283</v>
      </c>
      <c r="D38" s="67">
        <v>44519</v>
      </c>
      <c r="E38" s="50"/>
      <c r="F38" s="50"/>
      <c r="G38" s="50">
        <v>0</v>
      </c>
      <c r="H38" s="50">
        <v>0</v>
      </c>
      <c r="I38" s="50">
        <v>0</v>
      </c>
      <c r="J38" s="50">
        <v>0</v>
      </c>
      <c r="K38" s="50">
        <v>0</v>
      </c>
      <c r="L38" s="50">
        <v>98787</v>
      </c>
      <c r="M38" s="50">
        <v>0</v>
      </c>
      <c r="N38" s="50">
        <v>8890.83</v>
      </c>
      <c r="O38" s="50">
        <v>8890.83</v>
      </c>
      <c r="P38" s="50">
        <v>0</v>
      </c>
      <c r="Q38" s="50">
        <v>116569</v>
      </c>
      <c r="R38" s="50" t="s">
        <v>98</v>
      </c>
      <c r="S38" s="50" t="s">
        <v>99</v>
      </c>
      <c r="T38" s="52" t="s">
        <v>428</v>
      </c>
    </row>
    <row r="39" spans="1:20" x14ac:dyDescent="0.25">
      <c r="A39" s="49" t="s">
        <v>84</v>
      </c>
      <c r="B39" s="50" t="s">
        <v>390</v>
      </c>
      <c r="C39" s="51" t="s">
        <v>285</v>
      </c>
      <c r="D39" s="67">
        <v>44495</v>
      </c>
      <c r="E39" s="50"/>
      <c r="F39" s="50"/>
      <c r="G39" s="50">
        <v>0</v>
      </c>
      <c r="H39" s="50">
        <v>0</v>
      </c>
      <c r="I39" s="50">
        <v>0</v>
      </c>
      <c r="J39" s="50">
        <v>0</v>
      </c>
      <c r="K39" s="50">
        <v>0</v>
      </c>
      <c r="L39" s="50">
        <v>1055540</v>
      </c>
      <c r="M39" s="50">
        <v>189997</v>
      </c>
      <c r="N39" s="50">
        <v>0</v>
      </c>
      <c r="O39" s="50">
        <v>0</v>
      </c>
      <c r="P39" s="50">
        <v>0</v>
      </c>
      <c r="Q39" s="50">
        <v>1245537</v>
      </c>
      <c r="R39" s="50" t="s">
        <v>98</v>
      </c>
      <c r="S39" s="50" t="s">
        <v>99</v>
      </c>
      <c r="T39" s="52" t="s">
        <v>429</v>
      </c>
    </row>
    <row r="40" spans="1:20" x14ac:dyDescent="0.25">
      <c r="A40" s="49" t="s">
        <v>91</v>
      </c>
      <c r="B40" s="50" t="s">
        <v>390</v>
      </c>
      <c r="C40" s="51" t="s">
        <v>288</v>
      </c>
      <c r="D40" s="67">
        <v>44517</v>
      </c>
      <c r="E40" s="50"/>
      <c r="F40" s="50"/>
      <c r="G40" s="50">
        <v>0</v>
      </c>
      <c r="H40" s="50">
        <v>0</v>
      </c>
      <c r="I40" s="50">
        <v>0</v>
      </c>
      <c r="J40" s="50">
        <v>0</v>
      </c>
      <c r="K40" s="50">
        <v>0</v>
      </c>
      <c r="L40" s="50">
        <v>1150</v>
      </c>
      <c r="M40" s="50">
        <v>0</v>
      </c>
      <c r="N40" s="50">
        <v>103.5</v>
      </c>
      <c r="O40" s="50">
        <v>103.5</v>
      </c>
      <c r="P40" s="50">
        <v>0</v>
      </c>
      <c r="Q40" s="50">
        <v>1357</v>
      </c>
      <c r="R40" s="50" t="s">
        <v>98</v>
      </c>
      <c r="S40" s="50" t="s">
        <v>99</v>
      </c>
      <c r="T40" s="52" t="s">
        <v>430</v>
      </c>
    </row>
    <row r="41" spans="1:20" x14ac:dyDescent="0.25">
      <c r="A41" s="49" t="s">
        <v>206</v>
      </c>
      <c r="B41" s="50" t="s">
        <v>390</v>
      </c>
      <c r="C41" s="51" t="s">
        <v>334</v>
      </c>
      <c r="D41" s="67">
        <v>44559</v>
      </c>
      <c r="E41" s="50"/>
      <c r="F41" s="50"/>
      <c r="G41" s="50">
        <v>0</v>
      </c>
      <c r="H41" s="50">
        <v>0</v>
      </c>
      <c r="I41" s="50">
        <v>0</v>
      </c>
      <c r="J41" s="50">
        <v>0</v>
      </c>
      <c r="K41" s="50">
        <v>0</v>
      </c>
      <c r="L41" s="50">
        <v>13000</v>
      </c>
      <c r="M41" s="50">
        <v>0</v>
      </c>
      <c r="N41" s="50">
        <v>1170</v>
      </c>
      <c r="O41" s="50">
        <v>1170</v>
      </c>
      <c r="P41" s="50">
        <v>0</v>
      </c>
      <c r="Q41" s="50">
        <v>15340</v>
      </c>
      <c r="R41" s="50" t="s">
        <v>98</v>
      </c>
      <c r="S41" s="50" t="s">
        <v>99</v>
      </c>
      <c r="T41" s="52" t="s">
        <v>431</v>
      </c>
    </row>
    <row r="42" spans="1:20" x14ac:dyDescent="0.25">
      <c r="A42" s="49" t="s">
        <v>10</v>
      </c>
      <c r="B42" s="50" t="s">
        <v>390</v>
      </c>
      <c r="C42" s="51" t="s">
        <v>291</v>
      </c>
      <c r="D42" s="67">
        <v>44557</v>
      </c>
      <c r="E42" s="50"/>
      <c r="F42" s="50"/>
      <c r="G42" s="50">
        <v>0</v>
      </c>
      <c r="H42" s="50">
        <v>0</v>
      </c>
      <c r="I42" s="50">
        <v>0</v>
      </c>
      <c r="J42" s="50">
        <v>0</v>
      </c>
      <c r="K42" s="50">
        <v>0</v>
      </c>
      <c r="L42" s="50">
        <v>1801</v>
      </c>
      <c r="M42" s="50">
        <v>0</v>
      </c>
      <c r="N42" s="50">
        <v>162</v>
      </c>
      <c r="O42" s="50">
        <v>162</v>
      </c>
      <c r="P42" s="50">
        <v>0</v>
      </c>
      <c r="Q42" s="50">
        <v>2125</v>
      </c>
      <c r="R42" s="50" t="s">
        <v>98</v>
      </c>
      <c r="S42" s="50" t="s">
        <v>99</v>
      </c>
      <c r="T42" s="52" t="s">
        <v>432</v>
      </c>
    </row>
    <row r="43" spans="1:20" x14ac:dyDescent="0.25">
      <c r="A43" s="49" t="s">
        <v>88</v>
      </c>
      <c r="B43" s="50" t="s">
        <v>390</v>
      </c>
      <c r="C43" s="51" t="s">
        <v>293</v>
      </c>
      <c r="D43" s="67">
        <v>44558</v>
      </c>
      <c r="E43" s="50"/>
      <c r="F43" s="50"/>
      <c r="G43" s="50">
        <v>0</v>
      </c>
      <c r="H43" s="50">
        <v>0</v>
      </c>
      <c r="I43" s="50">
        <v>0</v>
      </c>
      <c r="J43" s="50">
        <v>0</v>
      </c>
      <c r="K43" s="50">
        <v>0</v>
      </c>
      <c r="L43" s="50">
        <v>1200</v>
      </c>
      <c r="M43" s="50">
        <v>0</v>
      </c>
      <c r="N43" s="50">
        <v>30</v>
      </c>
      <c r="O43" s="50">
        <v>30</v>
      </c>
      <c r="P43" s="50">
        <v>0</v>
      </c>
      <c r="Q43" s="50">
        <v>1260</v>
      </c>
      <c r="R43" s="50" t="s">
        <v>98</v>
      </c>
      <c r="S43" s="50" t="s">
        <v>99</v>
      </c>
      <c r="T43" s="52" t="s">
        <v>433</v>
      </c>
    </row>
    <row r="44" spans="1:20" x14ac:dyDescent="0.25">
      <c r="A44" s="49" t="s">
        <v>209</v>
      </c>
      <c r="B44" s="50" t="s">
        <v>390</v>
      </c>
      <c r="C44" s="51" t="s">
        <v>295</v>
      </c>
      <c r="D44" s="67">
        <v>44500</v>
      </c>
      <c r="E44" s="50"/>
      <c r="F44" s="50"/>
      <c r="G44" s="50">
        <v>0</v>
      </c>
      <c r="H44" s="50">
        <v>0</v>
      </c>
      <c r="I44" s="50">
        <v>0</v>
      </c>
      <c r="J44" s="50">
        <v>0</v>
      </c>
      <c r="K44" s="50">
        <v>0</v>
      </c>
      <c r="L44" s="50">
        <v>578964.04500000004</v>
      </c>
      <c r="M44" s="50">
        <v>104214</v>
      </c>
      <c r="N44" s="50">
        <v>0</v>
      </c>
      <c r="O44" s="50">
        <v>0</v>
      </c>
      <c r="P44" s="50">
        <v>0</v>
      </c>
      <c r="Q44" s="50">
        <v>683178</v>
      </c>
      <c r="R44" s="50" t="s">
        <v>98</v>
      </c>
      <c r="S44" s="50" t="s">
        <v>99</v>
      </c>
      <c r="T44" s="52" t="s">
        <v>434</v>
      </c>
    </row>
    <row r="45" spans="1:20" x14ac:dyDescent="0.25">
      <c r="A45" s="49" t="s">
        <v>88</v>
      </c>
      <c r="B45" s="50" t="s">
        <v>390</v>
      </c>
      <c r="C45" s="51" t="s">
        <v>296</v>
      </c>
      <c r="D45" s="67">
        <v>44508</v>
      </c>
      <c r="E45" s="50"/>
      <c r="F45" s="50"/>
      <c r="G45" s="50">
        <v>0</v>
      </c>
      <c r="H45" s="50">
        <v>0</v>
      </c>
      <c r="I45" s="50">
        <v>0</v>
      </c>
      <c r="J45" s="50">
        <v>0</v>
      </c>
      <c r="K45" s="50">
        <v>0</v>
      </c>
      <c r="L45" s="50">
        <v>1380</v>
      </c>
      <c r="M45" s="50">
        <v>0</v>
      </c>
      <c r="N45" s="50">
        <v>124.2</v>
      </c>
      <c r="O45" s="50">
        <v>124.2</v>
      </c>
      <c r="P45" s="50">
        <v>0</v>
      </c>
      <c r="Q45" s="50">
        <v>1628</v>
      </c>
      <c r="R45" s="50" t="s">
        <v>98</v>
      </c>
      <c r="S45" s="50" t="s">
        <v>99</v>
      </c>
      <c r="T45" s="52" t="s">
        <v>435</v>
      </c>
    </row>
    <row r="46" spans="1:20" x14ac:dyDescent="0.25">
      <c r="A46" s="49" t="s">
        <v>297</v>
      </c>
      <c r="B46" s="50" t="s">
        <v>390</v>
      </c>
      <c r="C46" s="51" t="s">
        <v>31</v>
      </c>
      <c r="D46" s="67">
        <v>44547</v>
      </c>
      <c r="E46" s="50"/>
      <c r="F46" s="50"/>
      <c r="G46" s="50">
        <v>0</v>
      </c>
      <c r="H46" s="50">
        <v>0</v>
      </c>
      <c r="I46" s="50">
        <v>0</v>
      </c>
      <c r="J46" s="50">
        <v>0</v>
      </c>
      <c r="K46" s="50">
        <v>0</v>
      </c>
      <c r="L46" s="50">
        <v>9300</v>
      </c>
      <c r="M46" s="50">
        <v>1674</v>
      </c>
      <c r="N46" s="50">
        <v>0</v>
      </c>
      <c r="O46" s="50">
        <v>0</v>
      </c>
      <c r="P46" s="50">
        <v>0</v>
      </c>
      <c r="Q46" s="50">
        <v>10974</v>
      </c>
      <c r="R46" s="50" t="s">
        <v>98</v>
      </c>
      <c r="S46" s="50" t="s">
        <v>99</v>
      </c>
      <c r="T46" s="52" t="s">
        <v>436</v>
      </c>
    </row>
    <row r="47" spans="1:20" x14ac:dyDescent="0.25">
      <c r="A47" s="49" t="s">
        <v>6</v>
      </c>
      <c r="B47" s="50" t="s">
        <v>390</v>
      </c>
      <c r="C47" s="51" t="s">
        <v>298</v>
      </c>
      <c r="D47" s="67">
        <v>44585</v>
      </c>
      <c r="E47" s="50"/>
      <c r="F47" s="50"/>
      <c r="G47" s="50">
        <v>0</v>
      </c>
      <c r="H47" s="50">
        <v>0</v>
      </c>
      <c r="I47" s="50">
        <v>0</v>
      </c>
      <c r="J47" s="50">
        <v>0</v>
      </c>
      <c r="K47" s="50">
        <v>0</v>
      </c>
      <c r="L47" s="50">
        <v>601537.03399999999</v>
      </c>
      <c r="M47" s="50">
        <v>0</v>
      </c>
      <c r="N47" s="50">
        <v>54138.33</v>
      </c>
      <c r="O47" s="50">
        <v>54138.33</v>
      </c>
      <c r="P47" s="50">
        <v>0</v>
      </c>
      <c r="Q47" s="50">
        <v>709814</v>
      </c>
      <c r="R47" s="50" t="s">
        <v>98</v>
      </c>
      <c r="S47" s="50" t="s">
        <v>99</v>
      </c>
      <c r="T47" s="52" t="s">
        <v>437</v>
      </c>
    </row>
    <row r="48" spans="1:20" x14ac:dyDescent="0.25">
      <c r="A48" s="49" t="s">
        <v>13</v>
      </c>
      <c r="B48" s="50" t="s">
        <v>390</v>
      </c>
      <c r="C48" s="51" t="s">
        <v>299</v>
      </c>
      <c r="D48" s="67">
        <v>44554</v>
      </c>
      <c r="E48" s="50"/>
      <c r="F48" s="50"/>
      <c r="G48" s="50">
        <v>0</v>
      </c>
      <c r="H48" s="50">
        <v>0</v>
      </c>
      <c r="I48" s="50">
        <v>0</v>
      </c>
      <c r="J48" s="50">
        <v>0</v>
      </c>
      <c r="K48" s="50">
        <v>0</v>
      </c>
      <c r="L48" s="50">
        <v>240405</v>
      </c>
      <c r="M48" s="50">
        <v>43272.9</v>
      </c>
      <c r="N48" s="50">
        <v>0</v>
      </c>
      <c r="O48" s="50">
        <v>0</v>
      </c>
      <c r="P48" s="50">
        <v>0</v>
      </c>
      <c r="Q48" s="50">
        <v>283678</v>
      </c>
      <c r="R48" s="50" t="s">
        <v>98</v>
      </c>
      <c r="S48" s="50" t="s">
        <v>99</v>
      </c>
      <c r="T48" s="52" t="s">
        <v>438</v>
      </c>
    </row>
    <row r="49" spans="1:20" x14ac:dyDescent="0.25">
      <c r="A49" s="49" t="s">
        <v>300</v>
      </c>
      <c r="B49" s="50" t="s">
        <v>390</v>
      </c>
      <c r="C49" s="51" t="s">
        <v>301</v>
      </c>
      <c r="D49" s="67">
        <v>44294</v>
      </c>
      <c r="E49" s="50"/>
      <c r="F49" s="50"/>
      <c r="G49" s="50">
        <v>0</v>
      </c>
      <c r="H49" s="50">
        <v>0</v>
      </c>
      <c r="I49" s="50">
        <v>0</v>
      </c>
      <c r="J49" s="50">
        <v>0</v>
      </c>
      <c r="K49" s="50">
        <v>0</v>
      </c>
      <c r="L49" s="50">
        <v>1105</v>
      </c>
      <c r="M49" s="50">
        <v>198.9</v>
      </c>
      <c r="N49" s="50">
        <v>0</v>
      </c>
      <c r="O49" s="50">
        <v>0</v>
      </c>
      <c r="P49" s="50">
        <v>0</v>
      </c>
      <c r="Q49" s="50">
        <v>1304</v>
      </c>
      <c r="R49" s="50" t="s">
        <v>98</v>
      </c>
      <c r="S49" s="50" t="s">
        <v>99</v>
      </c>
      <c r="T49" s="52" t="s">
        <v>439</v>
      </c>
    </row>
    <row r="50" spans="1:20" x14ac:dyDescent="0.25">
      <c r="A50" s="49" t="s">
        <v>204</v>
      </c>
      <c r="B50" s="50" t="s">
        <v>390</v>
      </c>
      <c r="C50" s="51" t="s">
        <v>302</v>
      </c>
      <c r="D50" s="67">
        <v>44310</v>
      </c>
      <c r="E50" s="50"/>
      <c r="F50" s="50"/>
      <c r="G50" s="50">
        <v>0</v>
      </c>
      <c r="H50" s="50">
        <v>0</v>
      </c>
      <c r="I50" s="50">
        <v>0</v>
      </c>
      <c r="J50" s="50">
        <v>0</v>
      </c>
      <c r="K50" s="50">
        <v>0</v>
      </c>
      <c r="L50" s="50">
        <v>125326.39999999999</v>
      </c>
      <c r="M50" s="50">
        <v>0</v>
      </c>
      <c r="N50" s="50">
        <v>7519.58</v>
      </c>
      <c r="O50" s="50">
        <v>7519.58</v>
      </c>
      <c r="P50" s="50">
        <v>0</v>
      </c>
      <c r="Q50" s="50">
        <v>140506</v>
      </c>
      <c r="R50" s="50" t="s">
        <v>98</v>
      </c>
      <c r="S50" s="50" t="s">
        <v>99</v>
      </c>
      <c r="T50" s="52" t="s">
        <v>440</v>
      </c>
    </row>
    <row r="51" spans="1:20" x14ac:dyDescent="0.25">
      <c r="A51" s="49" t="s">
        <v>87</v>
      </c>
      <c r="B51" s="50" t="s">
        <v>390</v>
      </c>
      <c r="C51" s="51" t="s">
        <v>303</v>
      </c>
      <c r="D51" s="67">
        <v>44364</v>
      </c>
      <c r="E51" s="50"/>
      <c r="F51" s="50"/>
      <c r="G51" s="50">
        <v>0</v>
      </c>
      <c r="H51" s="50">
        <v>0</v>
      </c>
      <c r="I51" s="50">
        <v>0</v>
      </c>
      <c r="J51" s="50">
        <v>0</v>
      </c>
      <c r="K51" s="50">
        <v>0</v>
      </c>
      <c r="L51" s="50">
        <v>1600</v>
      </c>
      <c r="M51" s="50">
        <v>0</v>
      </c>
      <c r="N51" s="50">
        <v>144</v>
      </c>
      <c r="O51" s="50">
        <v>144</v>
      </c>
      <c r="P51" s="50">
        <v>0</v>
      </c>
      <c r="Q51" s="50">
        <v>1888</v>
      </c>
      <c r="R51" s="50" t="s">
        <v>98</v>
      </c>
      <c r="S51" s="50" t="s">
        <v>99</v>
      </c>
      <c r="T51" s="52" t="s">
        <v>441</v>
      </c>
    </row>
    <row r="52" spans="1:20" x14ac:dyDescent="0.25">
      <c r="A52" s="49" t="s">
        <v>15</v>
      </c>
      <c r="B52" s="50" t="s">
        <v>390</v>
      </c>
      <c r="C52" s="51" t="s">
        <v>101</v>
      </c>
      <c r="D52" s="67">
        <v>44347</v>
      </c>
      <c r="E52" s="50"/>
      <c r="F52" s="50"/>
      <c r="G52" s="50">
        <v>0</v>
      </c>
      <c r="H52" s="50">
        <v>0</v>
      </c>
      <c r="I52" s="50">
        <v>0</v>
      </c>
      <c r="J52" s="50">
        <v>0</v>
      </c>
      <c r="K52" s="50">
        <v>0</v>
      </c>
      <c r="L52" s="50">
        <v>79503</v>
      </c>
      <c r="M52" s="50">
        <v>0</v>
      </c>
      <c r="N52" s="50">
        <v>7155.27</v>
      </c>
      <c r="O52" s="50">
        <v>7155.27</v>
      </c>
      <c r="P52" s="50">
        <v>0</v>
      </c>
      <c r="Q52" s="50">
        <v>93814</v>
      </c>
      <c r="R52" s="50" t="s">
        <v>98</v>
      </c>
      <c r="S52" s="50" t="s">
        <v>99</v>
      </c>
      <c r="T52" s="52" t="s">
        <v>442</v>
      </c>
    </row>
    <row r="53" spans="1:20" x14ac:dyDescent="0.25">
      <c r="A53" s="49" t="s">
        <v>196</v>
      </c>
      <c r="B53" s="50" t="s">
        <v>390</v>
      </c>
      <c r="C53" s="51" t="s">
        <v>304</v>
      </c>
      <c r="D53" s="67">
        <v>44349</v>
      </c>
      <c r="E53" s="50"/>
      <c r="F53" s="50"/>
      <c r="G53" s="50">
        <v>0</v>
      </c>
      <c r="H53" s="50">
        <v>0</v>
      </c>
      <c r="I53" s="50">
        <v>0</v>
      </c>
      <c r="J53" s="50">
        <v>0</v>
      </c>
      <c r="K53" s="50">
        <v>0</v>
      </c>
      <c r="L53" s="50">
        <v>227804.5</v>
      </c>
      <c r="M53" s="50">
        <v>0</v>
      </c>
      <c r="N53" s="50">
        <v>13668.27</v>
      </c>
      <c r="O53" s="50">
        <v>13668.27</v>
      </c>
      <c r="P53" s="50">
        <v>0</v>
      </c>
      <c r="Q53" s="50">
        <v>255141</v>
      </c>
      <c r="R53" s="50" t="s">
        <v>98</v>
      </c>
      <c r="S53" s="50" t="s">
        <v>99</v>
      </c>
      <c r="T53" s="52" t="s">
        <v>443</v>
      </c>
    </row>
    <row r="54" spans="1:20" x14ac:dyDescent="0.25">
      <c r="A54" s="49" t="s">
        <v>86</v>
      </c>
      <c r="B54" s="50" t="s">
        <v>390</v>
      </c>
      <c r="C54" s="51" t="s">
        <v>305</v>
      </c>
      <c r="D54" s="67">
        <v>44303</v>
      </c>
      <c r="E54" s="50"/>
      <c r="F54" s="50"/>
      <c r="G54" s="50">
        <v>0</v>
      </c>
      <c r="H54" s="50">
        <v>0</v>
      </c>
      <c r="I54" s="50">
        <v>0</v>
      </c>
      <c r="J54" s="50">
        <v>0</v>
      </c>
      <c r="K54" s="50">
        <v>0</v>
      </c>
      <c r="L54" s="50">
        <v>300</v>
      </c>
      <c r="M54" s="50">
        <v>0</v>
      </c>
      <c r="N54" s="50">
        <v>27</v>
      </c>
      <c r="O54" s="50">
        <v>27</v>
      </c>
      <c r="P54" s="50">
        <v>0</v>
      </c>
      <c r="Q54" s="50">
        <v>354</v>
      </c>
      <c r="R54" s="50" t="s">
        <v>98</v>
      </c>
      <c r="S54" s="50" t="s">
        <v>99</v>
      </c>
      <c r="T54" s="52" t="s">
        <v>444</v>
      </c>
    </row>
    <row r="55" spans="1:20" x14ac:dyDescent="0.25">
      <c r="A55" s="49" t="s">
        <v>6</v>
      </c>
      <c r="B55" s="50" t="s">
        <v>390</v>
      </c>
      <c r="C55" s="51" t="s">
        <v>306</v>
      </c>
      <c r="D55" s="67">
        <v>44322</v>
      </c>
      <c r="E55" s="50"/>
      <c r="F55" s="50"/>
      <c r="G55" s="50">
        <v>0</v>
      </c>
      <c r="H55" s="50">
        <v>0</v>
      </c>
      <c r="I55" s="50">
        <v>0</v>
      </c>
      <c r="J55" s="50">
        <v>0</v>
      </c>
      <c r="K55" s="50">
        <v>0</v>
      </c>
      <c r="L55" s="50">
        <v>551208</v>
      </c>
      <c r="M55" s="50">
        <v>0</v>
      </c>
      <c r="N55" s="50">
        <v>49608.72</v>
      </c>
      <c r="O55" s="50">
        <v>49608.72</v>
      </c>
      <c r="P55" s="50">
        <v>0</v>
      </c>
      <c r="Q55" s="50">
        <v>651075</v>
      </c>
      <c r="R55" s="50" t="s">
        <v>98</v>
      </c>
      <c r="S55" s="50" t="s">
        <v>99</v>
      </c>
      <c r="T55" s="52" t="s">
        <v>445</v>
      </c>
    </row>
    <row r="56" spans="1:20" x14ac:dyDescent="0.25">
      <c r="A56" s="49" t="s">
        <v>280</v>
      </c>
      <c r="B56" s="50" t="s">
        <v>390</v>
      </c>
      <c r="C56" s="51" t="s">
        <v>307</v>
      </c>
      <c r="D56" s="67">
        <v>44322</v>
      </c>
      <c r="E56" s="50"/>
      <c r="F56" s="50"/>
      <c r="G56" s="50">
        <v>0</v>
      </c>
      <c r="H56" s="50">
        <v>0</v>
      </c>
      <c r="I56" s="50">
        <v>0</v>
      </c>
      <c r="J56" s="50">
        <v>0</v>
      </c>
      <c r="K56" s="50">
        <v>0</v>
      </c>
      <c r="L56" s="50">
        <v>122511.48</v>
      </c>
      <c r="M56" s="50">
        <v>0</v>
      </c>
      <c r="N56" s="50">
        <v>11026.03</v>
      </c>
      <c r="O56" s="50">
        <v>11026.03</v>
      </c>
      <c r="P56" s="50">
        <v>0</v>
      </c>
      <c r="Q56" s="50">
        <v>144564</v>
      </c>
      <c r="R56" s="50" t="s">
        <v>98</v>
      </c>
      <c r="S56" s="50" t="s">
        <v>99</v>
      </c>
      <c r="T56" s="52" t="s">
        <v>446</v>
      </c>
    </row>
    <row r="57" spans="1:20" x14ac:dyDescent="0.25">
      <c r="A57" s="49" t="s">
        <v>7</v>
      </c>
      <c r="B57" s="50" t="s">
        <v>390</v>
      </c>
      <c r="C57" s="51" t="s">
        <v>308</v>
      </c>
      <c r="D57" s="67">
        <v>44370</v>
      </c>
      <c r="E57" s="50"/>
      <c r="F57" s="50"/>
      <c r="G57" s="50">
        <v>0</v>
      </c>
      <c r="H57" s="50">
        <v>0</v>
      </c>
      <c r="I57" s="50">
        <v>0</v>
      </c>
      <c r="J57" s="50">
        <v>0</v>
      </c>
      <c r="K57" s="50">
        <v>0</v>
      </c>
      <c r="L57" s="50">
        <v>1000</v>
      </c>
      <c r="M57" s="50">
        <v>0</v>
      </c>
      <c r="N57" s="50">
        <v>90</v>
      </c>
      <c r="O57" s="50">
        <v>90</v>
      </c>
      <c r="P57" s="50">
        <v>0</v>
      </c>
      <c r="Q57" s="50">
        <v>1180</v>
      </c>
      <c r="R57" s="50" t="s">
        <v>98</v>
      </c>
      <c r="S57" s="50" t="s">
        <v>99</v>
      </c>
      <c r="T57" s="52" t="s">
        <v>447</v>
      </c>
    </row>
    <row r="58" spans="1:20" x14ac:dyDescent="0.25">
      <c r="A58" s="49" t="s">
        <v>7</v>
      </c>
      <c r="B58" s="50" t="s">
        <v>390</v>
      </c>
      <c r="C58" s="51" t="s">
        <v>309</v>
      </c>
      <c r="D58" s="67">
        <v>44333</v>
      </c>
      <c r="E58" s="50"/>
      <c r="F58" s="50"/>
      <c r="G58" s="50">
        <v>0</v>
      </c>
      <c r="H58" s="50">
        <v>0</v>
      </c>
      <c r="I58" s="50">
        <v>0</v>
      </c>
      <c r="J58" s="50">
        <v>0</v>
      </c>
      <c r="K58" s="50">
        <v>0</v>
      </c>
      <c r="L58" s="50">
        <v>4750</v>
      </c>
      <c r="M58" s="50">
        <v>0</v>
      </c>
      <c r="N58" s="50">
        <v>427.5</v>
      </c>
      <c r="O58" s="50">
        <v>427.5</v>
      </c>
      <c r="P58" s="50">
        <v>0</v>
      </c>
      <c r="Q58" s="50">
        <v>5605</v>
      </c>
      <c r="R58" s="50" t="s">
        <v>98</v>
      </c>
      <c r="S58" s="50" t="s">
        <v>99</v>
      </c>
      <c r="T58" s="52" t="s">
        <v>448</v>
      </c>
    </row>
    <row r="59" spans="1:20" x14ac:dyDescent="0.25">
      <c r="A59" s="49" t="s">
        <v>198</v>
      </c>
      <c r="B59" s="50" t="s">
        <v>390</v>
      </c>
      <c r="C59" s="51" t="s">
        <v>16</v>
      </c>
      <c r="D59" s="67">
        <v>44349</v>
      </c>
      <c r="E59" s="50"/>
      <c r="F59" s="50"/>
      <c r="G59" s="50">
        <v>0</v>
      </c>
      <c r="H59" s="50">
        <v>0</v>
      </c>
      <c r="I59" s="50">
        <v>0</v>
      </c>
      <c r="J59" s="50">
        <v>0</v>
      </c>
      <c r="K59" s="50">
        <v>0</v>
      </c>
      <c r="L59" s="50">
        <v>39473.279999999999</v>
      </c>
      <c r="M59" s="50">
        <v>0</v>
      </c>
      <c r="N59" s="50">
        <v>3553</v>
      </c>
      <c r="O59" s="50">
        <v>3553</v>
      </c>
      <c r="P59" s="50">
        <v>0</v>
      </c>
      <c r="Q59" s="50">
        <v>46579</v>
      </c>
      <c r="R59" s="50" t="s">
        <v>98</v>
      </c>
      <c r="S59" s="50" t="s">
        <v>99</v>
      </c>
      <c r="T59" s="52" t="s">
        <v>449</v>
      </c>
    </row>
    <row r="60" spans="1:20" x14ac:dyDescent="0.25">
      <c r="A60" s="49" t="s">
        <v>310</v>
      </c>
      <c r="B60" s="50" t="s">
        <v>390</v>
      </c>
      <c r="C60" s="51" t="s">
        <v>311</v>
      </c>
      <c r="D60" s="67">
        <v>44364</v>
      </c>
      <c r="E60" s="50"/>
      <c r="F60" s="50"/>
      <c r="G60" s="50">
        <v>0</v>
      </c>
      <c r="H60" s="50">
        <v>0</v>
      </c>
      <c r="I60" s="50">
        <v>0</v>
      </c>
      <c r="J60" s="50">
        <v>0</v>
      </c>
      <c r="K60" s="50">
        <v>0</v>
      </c>
      <c r="L60" s="50">
        <v>229620</v>
      </c>
      <c r="M60" s="50">
        <v>41332</v>
      </c>
      <c r="N60" s="50">
        <v>0</v>
      </c>
      <c r="O60" s="50">
        <v>0</v>
      </c>
      <c r="P60" s="50">
        <v>0</v>
      </c>
      <c r="Q60" s="50">
        <v>270952</v>
      </c>
      <c r="R60" s="50" t="s">
        <v>98</v>
      </c>
      <c r="S60" s="50" t="s">
        <v>99</v>
      </c>
      <c r="T60" s="52" t="s">
        <v>450</v>
      </c>
    </row>
    <row r="61" spans="1:20" x14ac:dyDescent="0.25">
      <c r="A61" s="49" t="s">
        <v>197</v>
      </c>
      <c r="B61" s="50" t="s">
        <v>390</v>
      </c>
      <c r="C61" s="51" t="s">
        <v>103</v>
      </c>
      <c r="D61" s="67">
        <v>44317</v>
      </c>
      <c r="E61" s="50"/>
      <c r="F61" s="50"/>
      <c r="G61" s="50">
        <v>0</v>
      </c>
      <c r="H61" s="50">
        <v>0</v>
      </c>
      <c r="I61" s="50">
        <v>0</v>
      </c>
      <c r="J61" s="50">
        <v>0</v>
      </c>
      <c r="K61" s="50">
        <v>0</v>
      </c>
      <c r="L61" s="50">
        <v>950</v>
      </c>
      <c r="M61" s="50">
        <v>0</v>
      </c>
      <c r="N61" s="50">
        <v>85.5</v>
      </c>
      <c r="O61" s="50">
        <v>85.5</v>
      </c>
      <c r="P61" s="50">
        <v>0</v>
      </c>
      <c r="Q61" s="50">
        <v>1121</v>
      </c>
      <c r="R61" s="50" t="s">
        <v>98</v>
      </c>
      <c r="S61" s="50" t="s">
        <v>99</v>
      </c>
      <c r="T61" s="52" t="s">
        <v>451</v>
      </c>
    </row>
    <row r="62" spans="1:20" x14ac:dyDescent="0.25">
      <c r="A62" s="49" t="s">
        <v>90</v>
      </c>
      <c r="B62" s="50" t="s">
        <v>390</v>
      </c>
      <c r="C62" s="51" t="s">
        <v>312</v>
      </c>
      <c r="D62" s="67">
        <v>44308</v>
      </c>
      <c r="E62" s="50"/>
      <c r="F62" s="50"/>
      <c r="G62" s="50">
        <v>0</v>
      </c>
      <c r="H62" s="50">
        <v>0</v>
      </c>
      <c r="I62" s="50">
        <v>0</v>
      </c>
      <c r="J62" s="50">
        <v>0</v>
      </c>
      <c r="K62" s="50">
        <v>0</v>
      </c>
      <c r="L62" s="50">
        <v>29333</v>
      </c>
      <c r="M62" s="50">
        <v>0</v>
      </c>
      <c r="N62" s="50">
        <v>2639.97</v>
      </c>
      <c r="O62" s="50">
        <v>2639.97</v>
      </c>
      <c r="P62" s="50">
        <v>0</v>
      </c>
      <c r="Q62" s="50">
        <v>34613</v>
      </c>
      <c r="R62" s="50" t="s">
        <v>98</v>
      </c>
      <c r="S62" s="50" t="s">
        <v>99</v>
      </c>
      <c r="T62" s="52" t="s">
        <v>452</v>
      </c>
    </row>
    <row r="63" spans="1:20" x14ac:dyDescent="0.25">
      <c r="A63" s="49" t="s">
        <v>200</v>
      </c>
      <c r="B63" s="50" t="s">
        <v>390</v>
      </c>
      <c r="C63" s="51" t="s">
        <v>313</v>
      </c>
      <c r="D63" s="67">
        <v>44324</v>
      </c>
      <c r="E63" s="50"/>
      <c r="F63" s="50"/>
      <c r="G63" s="50">
        <v>0</v>
      </c>
      <c r="H63" s="50">
        <v>0</v>
      </c>
      <c r="I63" s="50">
        <v>0</v>
      </c>
      <c r="J63" s="50">
        <v>0</v>
      </c>
      <c r="K63" s="50">
        <v>0</v>
      </c>
      <c r="L63" s="50">
        <v>159785</v>
      </c>
      <c r="M63" s="50">
        <v>28761</v>
      </c>
      <c r="N63" s="50">
        <v>0</v>
      </c>
      <c r="O63" s="50">
        <v>0</v>
      </c>
      <c r="P63" s="50">
        <v>0</v>
      </c>
      <c r="Q63" s="50">
        <v>188735</v>
      </c>
      <c r="R63" s="50" t="s">
        <v>98</v>
      </c>
      <c r="S63" s="50" t="s">
        <v>99</v>
      </c>
      <c r="T63" s="52" t="s">
        <v>453</v>
      </c>
    </row>
    <row r="64" spans="1:20" x14ac:dyDescent="0.25">
      <c r="A64" s="49" t="s">
        <v>314</v>
      </c>
      <c r="B64" s="50" t="s">
        <v>390</v>
      </c>
      <c r="C64" s="51" t="s">
        <v>315</v>
      </c>
      <c r="D64" s="67">
        <v>44357</v>
      </c>
      <c r="E64" s="50"/>
      <c r="F64" s="50"/>
      <c r="G64" s="50">
        <v>0</v>
      </c>
      <c r="H64" s="50">
        <v>0</v>
      </c>
      <c r="I64" s="50">
        <v>0</v>
      </c>
      <c r="J64" s="50">
        <v>0</v>
      </c>
      <c r="K64" s="50">
        <v>0</v>
      </c>
      <c r="L64" s="50">
        <v>136550</v>
      </c>
      <c r="M64" s="50">
        <v>24579</v>
      </c>
      <c r="N64" s="50">
        <v>0</v>
      </c>
      <c r="O64" s="50">
        <v>0</v>
      </c>
      <c r="P64" s="50">
        <v>0</v>
      </c>
      <c r="Q64" s="50">
        <v>161290</v>
      </c>
      <c r="R64" s="50" t="s">
        <v>98</v>
      </c>
      <c r="S64" s="50" t="s">
        <v>99</v>
      </c>
      <c r="T64" s="52" t="s">
        <v>454</v>
      </c>
    </row>
    <row r="65" spans="1:20" x14ac:dyDescent="0.25">
      <c r="A65" s="49" t="s">
        <v>21</v>
      </c>
      <c r="B65" s="50" t="s">
        <v>390</v>
      </c>
      <c r="C65" s="51" t="s">
        <v>316</v>
      </c>
      <c r="D65" s="67">
        <v>44314</v>
      </c>
      <c r="E65" s="50"/>
      <c r="F65" s="50"/>
      <c r="G65" s="50">
        <v>0</v>
      </c>
      <c r="H65" s="50">
        <v>0</v>
      </c>
      <c r="I65" s="50">
        <v>0</v>
      </c>
      <c r="J65" s="50">
        <v>0</v>
      </c>
      <c r="K65" s="50">
        <v>0</v>
      </c>
      <c r="L65" s="50">
        <v>351356.859</v>
      </c>
      <c r="M65" s="50">
        <v>0</v>
      </c>
      <c r="N65" s="50">
        <v>31622</v>
      </c>
      <c r="O65" s="50">
        <v>31622</v>
      </c>
      <c r="P65" s="50">
        <v>0</v>
      </c>
      <c r="Q65" s="50">
        <v>415016</v>
      </c>
      <c r="R65" s="50" t="s">
        <v>98</v>
      </c>
      <c r="S65" s="50" t="s">
        <v>99</v>
      </c>
      <c r="T65" s="52" t="s">
        <v>455</v>
      </c>
    </row>
    <row r="66" spans="1:20" x14ac:dyDescent="0.25">
      <c r="A66" s="49" t="s">
        <v>235</v>
      </c>
      <c r="B66" s="50" t="s">
        <v>390</v>
      </c>
      <c r="C66" s="51" t="s">
        <v>263</v>
      </c>
      <c r="D66" s="67">
        <v>44309</v>
      </c>
      <c r="E66" s="50"/>
      <c r="F66" s="50"/>
      <c r="G66" s="50">
        <v>0</v>
      </c>
      <c r="H66" s="50">
        <v>0</v>
      </c>
      <c r="I66" s="50">
        <v>0</v>
      </c>
      <c r="J66" s="50">
        <v>0</v>
      </c>
      <c r="K66" s="50">
        <v>0</v>
      </c>
      <c r="L66" s="50">
        <v>37154</v>
      </c>
      <c r="M66" s="50">
        <v>0</v>
      </c>
      <c r="N66" s="50">
        <v>3343.86</v>
      </c>
      <c r="O66" s="50">
        <v>3343.86</v>
      </c>
      <c r="P66" s="50">
        <v>0</v>
      </c>
      <c r="Q66" s="50">
        <v>43842</v>
      </c>
      <c r="R66" s="50" t="s">
        <v>98</v>
      </c>
      <c r="S66" s="50" t="s">
        <v>99</v>
      </c>
      <c r="T66" s="52" t="s">
        <v>456</v>
      </c>
    </row>
    <row r="67" spans="1:20" x14ac:dyDescent="0.25">
      <c r="A67" s="49" t="s">
        <v>17</v>
      </c>
      <c r="B67" s="50" t="s">
        <v>390</v>
      </c>
      <c r="C67" s="51" t="s">
        <v>317</v>
      </c>
      <c r="D67" s="67">
        <v>44341</v>
      </c>
      <c r="E67" s="50"/>
      <c r="F67" s="50"/>
      <c r="G67" s="50">
        <v>0</v>
      </c>
      <c r="H67" s="50">
        <v>0</v>
      </c>
      <c r="I67" s="50">
        <v>0</v>
      </c>
      <c r="J67" s="50">
        <v>0</v>
      </c>
      <c r="K67" s="50">
        <v>0</v>
      </c>
      <c r="L67" s="50">
        <v>39750</v>
      </c>
      <c r="M67" s="50">
        <v>7155</v>
      </c>
      <c r="N67" s="50">
        <v>0</v>
      </c>
      <c r="O67" s="50">
        <v>0</v>
      </c>
      <c r="P67" s="50">
        <v>0</v>
      </c>
      <c r="Q67" s="50">
        <v>46952</v>
      </c>
      <c r="R67" s="50" t="s">
        <v>98</v>
      </c>
      <c r="S67" s="50" t="s">
        <v>99</v>
      </c>
      <c r="T67" s="52" t="s">
        <v>457</v>
      </c>
    </row>
    <row r="68" spans="1:20" x14ac:dyDescent="0.25">
      <c r="A68" s="49" t="s">
        <v>14</v>
      </c>
      <c r="B68" s="50" t="s">
        <v>390</v>
      </c>
      <c r="C68" s="51" t="s">
        <v>318</v>
      </c>
      <c r="D68" s="67">
        <v>44335</v>
      </c>
      <c r="E68" s="50"/>
      <c r="F68" s="50"/>
      <c r="G68" s="50">
        <v>0</v>
      </c>
      <c r="H68" s="50">
        <v>0</v>
      </c>
      <c r="I68" s="50">
        <v>0</v>
      </c>
      <c r="J68" s="50">
        <v>0</v>
      </c>
      <c r="K68" s="50">
        <v>0</v>
      </c>
      <c r="L68" s="50">
        <v>710000</v>
      </c>
      <c r="M68" s="50">
        <v>127800</v>
      </c>
      <c r="N68" s="50">
        <v>0</v>
      </c>
      <c r="O68" s="50">
        <v>0</v>
      </c>
      <c r="P68" s="50">
        <v>0</v>
      </c>
      <c r="Q68" s="50">
        <v>838638</v>
      </c>
      <c r="R68" s="50" t="s">
        <v>98</v>
      </c>
      <c r="S68" s="50" t="s">
        <v>99</v>
      </c>
      <c r="T68" s="52" t="s">
        <v>458</v>
      </c>
    </row>
    <row r="69" spans="1:20" x14ac:dyDescent="0.25">
      <c r="A69" s="49" t="s">
        <v>8</v>
      </c>
      <c r="B69" s="50" t="s">
        <v>390</v>
      </c>
      <c r="C69" s="51" t="s">
        <v>120</v>
      </c>
      <c r="D69" s="67">
        <v>44345</v>
      </c>
      <c r="E69" s="50"/>
      <c r="F69" s="50"/>
      <c r="G69" s="50">
        <v>0</v>
      </c>
      <c r="H69" s="50">
        <v>0</v>
      </c>
      <c r="I69" s="50">
        <v>0</v>
      </c>
      <c r="J69" s="50">
        <v>0</v>
      </c>
      <c r="K69" s="50">
        <v>0</v>
      </c>
      <c r="L69" s="50">
        <v>91376.639999999999</v>
      </c>
      <c r="M69" s="50">
        <v>0</v>
      </c>
      <c r="N69" s="50">
        <v>8223.9</v>
      </c>
      <c r="O69" s="50">
        <v>8223.9</v>
      </c>
      <c r="P69" s="50">
        <v>0</v>
      </c>
      <c r="Q69" s="50">
        <v>107824</v>
      </c>
      <c r="R69" s="50" t="s">
        <v>98</v>
      </c>
      <c r="S69" s="50" t="s">
        <v>99</v>
      </c>
      <c r="T69" s="52" t="s">
        <v>459</v>
      </c>
    </row>
    <row r="70" spans="1:20" x14ac:dyDescent="0.25">
      <c r="A70" s="49" t="s">
        <v>207</v>
      </c>
      <c r="B70" s="50" t="s">
        <v>390</v>
      </c>
      <c r="C70" s="51" t="s">
        <v>11</v>
      </c>
      <c r="D70" s="67">
        <v>44294</v>
      </c>
      <c r="E70" s="50"/>
      <c r="F70" s="50"/>
      <c r="G70" s="50">
        <v>0</v>
      </c>
      <c r="H70" s="50">
        <v>0</v>
      </c>
      <c r="I70" s="50">
        <v>0</v>
      </c>
      <c r="J70" s="50">
        <v>0</v>
      </c>
      <c r="K70" s="50">
        <v>0</v>
      </c>
      <c r="L70" s="50">
        <v>3675</v>
      </c>
      <c r="M70" s="50">
        <v>0</v>
      </c>
      <c r="N70" s="50">
        <v>312</v>
      </c>
      <c r="O70" s="50">
        <v>312</v>
      </c>
      <c r="P70" s="50">
        <v>0</v>
      </c>
      <c r="Q70" s="50">
        <v>4299</v>
      </c>
      <c r="R70" s="50" t="s">
        <v>98</v>
      </c>
      <c r="S70" s="50" t="s">
        <v>99</v>
      </c>
      <c r="T70" s="52" t="s">
        <v>460</v>
      </c>
    </row>
    <row r="71" spans="1:20" x14ac:dyDescent="0.25">
      <c r="A71" s="49" t="s">
        <v>319</v>
      </c>
      <c r="B71" s="50" t="s">
        <v>390</v>
      </c>
      <c r="C71" s="51" t="s">
        <v>320</v>
      </c>
      <c r="D71" s="67">
        <v>44345</v>
      </c>
      <c r="E71" s="50"/>
      <c r="F71" s="50"/>
      <c r="G71" s="50">
        <v>0</v>
      </c>
      <c r="H71" s="50">
        <v>0</v>
      </c>
      <c r="I71" s="50">
        <v>0</v>
      </c>
      <c r="J71" s="50">
        <v>0</v>
      </c>
      <c r="K71" s="50">
        <v>0</v>
      </c>
      <c r="L71" s="50">
        <v>53800</v>
      </c>
      <c r="M71" s="50">
        <v>9684</v>
      </c>
      <c r="N71" s="50">
        <v>0</v>
      </c>
      <c r="O71" s="50">
        <v>0</v>
      </c>
      <c r="P71" s="50">
        <v>0</v>
      </c>
      <c r="Q71" s="50">
        <v>63484</v>
      </c>
      <c r="R71" s="50" t="s">
        <v>98</v>
      </c>
      <c r="S71" s="50" t="s">
        <v>99</v>
      </c>
      <c r="T71" s="52" t="s">
        <v>461</v>
      </c>
    </row>
    <row r="72" spans="1:20" x14ac:dyDescent="0.25">
      <c r="A72" s="49" t="s">
        <v>286</v>
      </c>
      <c r="B72" s="50" t="s">
        <v>390</v>
      </c>
      <c r="C72" s="51" t="s">
        <v>287</v>
      </c>
      <c r="D72" s="67">
        <v>44305</v>
      </c>
      <c r="E72" s="50"/>
      <c r="F72" s="50"/>
      <c r="G72" s="50">
        <v>0</v>
      </c>
      <c r="H72" s="50">
        <v>0</v>
      </c>
      <c r="I72" s="50">
        <v>0</v>
      </c>
      <c r="J72" s="50">
        <v>0</v>
      </c>
      <c r="K72" s="50">
        <v>0</v>
      </c>
      <c r="L72" s="50">
        <v>46000</v>
      </c>
      <c r="M72" s="50">
        <v>8280</v>
      </c>
      <c r="N72" s="50">
        <v>0</v>
      </c>
      <c r="O72" s="50">
        <v>0</v>
      </c>
      <c r="P72" s="50">
        <v>0</v>
      </c>
      <c r="Q72" s="50">
        <v>54280</v>
      </c>
      <c r="R72" s="50" t="s">
        <v>98</v>
      </c>
      <c r="S72" s="50" t="s">
        <v>99</v>
      </c>
      <c r="T72" s="52" t="s">
        <v>462</v>
      </c>
    </row>
    <row r="73" spans="1:20" x14ac:dyDescent="0.25">
      <c r="A73" s="49" t="s">
        <v>321</v>
      </c>
      <c r="B73" s="50" t="s">
        <v>390</v>
      </c>
      <c r="C73" s="51" t="s">
        <v>322</v>
      </c>
      <c r="D73" s="67">
        <v>44319</v>
      </c>
      <c r="E73" s="50"/>
      <c r="F73" s="50"/>
      <c r="G73" s="50">
        <v>0</v>
      </c>
      <c r="H73" s="50">
        <v>0</v>
      </c>
      <c r="I73" s="50">
        <v>0</v>
      </c>
      <c r="J73" s="50">
        <v>0</v>
      </c>
      <c r="K73" s="50">
        <v>0</v>
      </c>
      <c r="L73" s="50">
        <v>501800</v>
      </c>
      <c r="M73" s="50">
        <v>90324</v>
      </c>
      <c r="N73" s="50">
        <v>0</v>
      </c>
      <c r="O73" s="50">
        <v>0</v>
      </c>
      <c r="P73" s="50">
        <v>0</v>
      </c>
      <c r="Q73" s="50">
        <v>592124</v>
      </c>
      <c r="R73" s="50" t="s">
        <v>98</v>
      </c>
      <c r="S73" s="50" t="s">
        <v>99</v>
      </c>
      <c r="T73" s="52" t="s">
        <v>463</v>
      </c>
    </row>
    <row r="74" spans="1:20" x14ac:dyDescent="0.25">
      <c r="A74" s="49" t="s">
        <v>280</v>
      </c>
      <c r="B74" s="50" t="s">
        <v>390</v>
      </c>
      <c r="C74" s="51" t="s">
        <v>323</v>
      </c>
      <c r="D74" s="67">
        <v>44392</v>
      </c>
      <c r="E74" s="50"/>
      <c r="F74" s="50"/>
      <c r="G74" s="50">
        <v>0</v>
      </c>
      <c r="H74" s="50">
        <v>0</v>
      </c>
      <c r="I74" s="50">
        <v>0</v>
      </c>
      <c r="J74" s="50">
        <v>0</v>
      </c>
      <c r="K74" s="50">
        <v>0</v>
      </c>
      <c r="L74" s="50">
        <v>9900</v>
      </c>
      <c r="M74" s="50">
        <v>0</v>
      </c>
      <c r="N74" s="50">
        <v>891</v>
      </c>
      <c r="O74" s="50">
        <v>891</v>
      </c>
      <c r="P74" s="50">
        <v>0</v>
      </c>
      <c r="Q74" s="50">
        <v>11682</v>
      </c>
      <c r="R74" s="50" t="s">
        <v>98</v>
      </c>
      <c r="S74" s="50" t="s">
        <v>99</v>
      </c>
      <c r="T74" s="52" t="s">
        <v>464</v>
      </c>
    </row>
    <row r="75" spans="1:20" x14ac:dyDescent="0.25">
      <c r="A75" s="49" t="s">
        <v>91</v>
      </c>
      <c r="B75" s="50" t="s">
        <v>390</v>
      </c>
      <c r="C75" s="51" t="s">
        <v>117</v>
      </c>
      <c r="D75" s="67">
        <v>44424</v>
      </c>
      <c r="E75" s="50"/>
      <c r="F75" s="50"/>
      <c r="G75" s="50">
        <v>0</v>
      </c>
      <c r="H75" s="50">
        <v>0</v>
      </c>
      <c r="I75" s="50">
        <v>0</v>
      </c>
      <c r="J75" s="50">
        <v>0</v>
      </c>
      <c r="K75" s="50">
        <v>0</v>
      </c>
      <c r="L75" s="50">
        <v>996.8</v>
      </c>
      <c r="M75" s="50">
        <v>0</v>
      </c>
      <c r="N75" s="50">
        <v>89.71</v>
      </c>
      <c r="O75" s="50">
        <v>89.71</v>
      </c>
      <c r="P75" s="50">
        <v>0</v>
      </c>
      <c r="Q75" s="50">
        <v>1176</v>
      </c>
      <c r="R75" s="50" t="s">
        <v>98</v>
      </c>
      <c r="S75" s="50" t="s">
        <v>99</v>
      </c>
      <c r="T75" s="52" t="s">
        <v>465</v>
      </c>
    </row>
    <row r="76" spans="1:20" x14ac:dyDescent="0.25">
      <c r="A76" s="49" t="s">
        <v>89</v>
      </c>
      <c r="B76" s="50" t="s">
        <v>390</v>
      </c>
      <c r="C76" s="51" t="s">
        <v>324</v>
      </c>
      <c r="D76" s="67">
        <v>44435</v>
      </c>
      <c r="E76" s="50"/>
      <c r="F76" s="50"/>
      <c r="G76" s="50">
        <v>0</v>
      </c>
      <c r="H76" s="50">
        <v>0</v>
      </c>
      <c r="I76" s="50">
        <v>0</v>
      </c>
      <c r="J76" s="50">
        <v>0</v>
      </c>
      <c r="K76" s="50">
        <v>0</v>
      </c>
      <c r="L76" s="50">
        <v>2925</v>
      </c>
      <c r="M76" s="50">
        <v>0</v>
      </c>
      <c r="N76" s="50">
        <v>263.25</v>
      </c>
      <c r="O76" s="50">
        <v>263.25</v>
      </c>
      <c r="P76" s="50">
        <v>0</v>
      </c>
      <c r="Q76" s="50">
        <v>3452</v>
      </c>
      <c r="R76" s="50" t="s">
        <v>98</v>
      </c>
      <c r="S76" s="50" t="s">
        <v>99</v>
      </c>
      <c r="T76" s="52" t="s">
        <v>466</v>
      </c>
    </row>
    <row r="77" spans="1:20" x14ac:dyDescent="0.25">
      <c r="A77" s="49" t="s">
        <v>204</v>
      </c>
      <c r="B77" s="50" t="s">
        <v>390</v>
      </c>
      <c r="C77" s="51" t="s">
        <v>325</v>
      </c>
      <c r="D77" s="67">
        <v>44312</v>
      </c>
      <c r="E77" s="50"/>
      <c r="F77" s="50"/>
      <c r="G77" s="50">
        <v>0</v>
      </c>
      <c r="H77" s="50">
        <v>0</v>
      </c>
      <c r="I77" s="50">
        <v>0</v>
      </c>
      <c r="J77" s="50">
        <v>0</v>
      </c>
      <c r="K77" s="50">
        <v>0</v>
      </c>
      <c r="L77" s="50">
        <v>114900.54</v>
      </c>
      <c r="M77" s="50">
        <v>0</v>
      </c>
      <c r="N77" s="50">
        <v>6894.03</v>
      </c>
      <c r="O77" s="50">
        <v>6894.03</v>
      </c>
      <c r="P77" s="50">
        <v>0</v>
      </c>
      <c r="Q77" s="50">
        <v>128818</v>
      </c>
      <c r="R77" s="50" t="s">
        <v>98</v>
      </c>
      <c r="S77" s="50" t="s">
        <v>99</v>
      </c>
      <c r="T77" s="52" t="s">
        <v>467</v>
      </c>
    </row>
    <row r="78" spans="1:20" x14ac:dyDescent="0.25">
      <c r="A78" s="49" t="s">
        <v>22</v>
      </c>
      <c r="B78" s="50" t="s">
        <v>390</v>
      </c>
      <c r="C78" s="51" t="s">
        <v>326</v>
      </c>
      <c r="D78" s="67">
        <v>44391</v>
      </c>
      <c r="E78" s="50"/>
      <c r="F78" s="50"/>
      <c r="G78" s="50">
        <v>0</v>
      </c>
      <c r="H78" s="50">
        <v>0</v>
      </c>
      <c r="I78" s="50">
        <v>0</v>
      </c>
      <c r="J78" s="50">
        <v>0</v>
      </c>
      <c r="K78" s="50">
        <v>0</v>
      </c>
      <c r="L78" s="50">
        <v>22800</v>
      </c>
      <c r="M78" s="50">
        <v>0</v>
      </c>
      <c r="N78" s="50">
        <v>2052</v>
      </c>
      <c r="O78" s="50">
        <v>2052</v>
      </c>
      <c r="P78" s="50">
        <v>0</v>
      </c>
      <c r="Q78" s="50">
        <v>26904</v>
      </c>
      <c r="R78" s="50" t="s">
        <v>98</v>
      </c>
      <c r="S78" s="50" t="s">
        <v>99</v>
      </c>
      <c r="T78" s="52" t="s">
        <v>468</v>
      </c>
    </row>
    <row r="79" spans="1:20" x14ac:dyDescent="0.25">
      <c r="A79" s="49" t="s">
        <v>327</v>
      </c>
      <c r="B79" s="50" t="s">
        <v>390</v>
      </c>
      <c r="C79" s="51" t="s">
        <v>328</v>
      </c>
      <c r="D79" s="67">
        <v>44406</v>
      </c>
      <c r="E79" s="50"/>
      <c r="F79" s="50"/>
      <c r="G79" s="50">
        <v>0</v>
      </c>
      <c r="H79" s="50">
        <v>0</v>
      </c>
      <c r="I79" s="50">
        <v>0</v>
      </c>
      <c r="J79" s="50">
        <v>0</v>
      </c>
      <c r="K79" s="50">
        <v>0</v>
      </c>
      <c r="L79" s="50">
        <v>245000</v>
      </c>
      <c r="M79" s="50">
        <v>0</v>
      </c>
      <c r="N79" s="50">
        <v>22050</v>
      </c>
      <c r="O79" s="50">
        <v>22050</v>
      </c>
      <c r="P79" s="50">
        <v>0</v>
      </c>
      <c r="Q79" s="50">
        <v>289100</v>
      </c>
      <c r="R79" s="50" t="s">
        <v>98</v>
      </c>
      <c r="S79" s="50" t="s">
        <v>99</v>
      </c>
      <c r="T79" s="52" t="s">
        <v>329</v>
      </c>
    </row>
    <row r="80" spans="1:20" x14ac:dyDescent="0.25">
      <c r="A80" s="49" t="s">
        <v>330</v>
      </c>
      <c r="B80" s="50" t="s">
        <v>390</v>
      </c>
      <c r="C80" s="51" t="s">
        <v>331</v>
      </c>
      <c r="D80" s="67">
        <v>44468</v>
      </c>
      <c r="E80" s="50"/>
      <c r="F80" s="50"/>
      <c r="G80" s="50">
        <v>0</v>
      </c>
      <c r="H80" s="50">
        <v>0</v>
      </c>
      <c r="I80" s="50">
        <v>0</v>
      </c>
      <c r="J80" s="50">
        <v>0</v>
      </c>
      <c r="K80" s="50">
        <v>0</v>
      </c>
      <c r="L80" s="50">
        <v>175466.2</v>
      </c>
      <c r="M80" s="50">
        <v>31583.919999999998</v>
      </c>
      <c r="N80" s="50">
        <v>0</v>
      </c>
      <c r="O80" s="50">
        <v>0</v>
      </c>
      <c r="P80" s="50">
        <v>0</v>
      </c>
      <c r="Q80" s="50">
        <v>207050</v>
      </c>
      <c r="R80" s="50" t="s">
        <v>98</v>
      </c>
      <c r="S80" s="50" t="s">
        <v>99</v>
      </c>
      <c r="T80" s="52" t="s">
        <v>469</v>
      </c>
    </row>
    <row r="81" spans="1:20" x14ac:dyDescent="0.25">
      <c r="A81" s="49" t="s">
        <v>9</v>
      </c>
      <c r="B81" s="50" t="s">
        <v>390</v>
      </c>
      <c r="C81" s="51" t="s">
        <v>97</v>
      </c>
      <c r="D81" s="67">
        <v>44593</v>
      </c>
      <c r="E81" s="50"/>
      <c r="F81" s="50"/>
      <c r="G81" s="50">
        <v>0</v>
      </c>
      <c r="H81" s="50">
        <v>0</v>
      </c>
      <c r="I81" s="50">
        <v>0</v>
      </c>
      <c r="J81" s="50">
        <v>0</v>
      </c>
      <c r="K81" s="50">
        <v>0</v>
      </c>
      <c r="L81" s="50">
        <v>-3000</v>
      </c>
      <c r="M81" s="50">
        <v>0</v>
      </c>
      <c r="N81" s="50">
        <v>-270</v>
      </c>
      <c r="O81" s="50">
        <v>-270</v>
      </c>
      <c r="P81" s="50">
        <v>0</v>
      </c>
      <c r="Q81" s="50">
        <v>3540</v>
      </c>
      <c r="R81" s="50" t="s">
        <v>98</v>
      </c>
      <c r="S81" s="50" t="s">
        <v>99</v>
      </c>
      <c r="T81" s="52" t="s">
        <v>470</v>
      </c>
    </row>
    <row r="82" spans="1:20" x14ac:dyDescent="0.25">
      <c r="A82" s="49" t="s">
        <v>204</v>
      </c>
      <c r="B82" s="50" t="s">
        <v>390</v>
      </c>
      <c r="C82" s="51" t="s">
        <v>211</v>
      </c>
      <c r="D82" s="67">
        <v>44546</v>
      </c>
      <c r="E82" s="50"/>
      <c r="F82" s="50"/>
      <c r="G82" s="50">
        <v>0</v>
      </c>
      <c r="H82" s="50">
        <v>0</v>
      </c>
      <c r="I82" s="50">
        <v>0</v>
      </c>
      <c r="J82" s="50">
        <v>0</v>
      </c>
      <c r="K82" s="50">
        <v>0</v>
      </c>
      <c r="L82" s="50">
        <v>-1082.7</v>
      </c>
      <c r="M82" s="50">
        <v>0</v>
      </c>
      <c r="N82" s="50">
        <v>-64.959999999999994</v>
      </c>
      <c r="O82" s="50">
        <v>-64.959999999999994</v>
      </c>
      <c r="P82" s="50">
        <v>0</v>
      </c>
      <c r="Q82" s="50">
        <v>1213</v>
      </c>
      <c r="R82" s="50" t="s">
        <v>98</v>
      </c>
      <c r="S82" s="50" t="s">
        <v>99</v>
      </c>
      <c r="T82" s="52" t="s">
        <v>471</v>
      </c>
    </row>
    <row r="83" spans="1:20" x14ac:dyDescent="0.25">
      <c r="A83" s="49" t="s">
        <v>121</v>
      </c>
      <c r="B83" s="50" t="s">
        <v>390</v>
      </c>
      <c r="C83" s="51" t="s">
        <v>363</v>
      </c>
      <c r="D83" s="67">
        <v>44314</v>
      </c>
      <c r="E83" s="50"/>
      <c r="F83" s="50"/>
      <c r="G83" s="50">
        <v>0</v>
      </c>
      <c r="H83" s="50">
        <v>0</v>
      </c>
      <c r="I83" s="50">
        <v>0</v>
      </c>
      <c r="J83" s="50">
        <v>0</v>
      </c>
      <c r="K83" s="50">
        <v>0</v>
      </c>
      <c r="L83" s="50">
        <v>-1618.8</v>
      </c>
      <c r="M83" s="50">
        <v>0</v>
      </c>
      <c r="N83" s="50">
        <v>-97.13</v>
      </c>
      <c r="O83" s="50">
        <v>-97.13</v>
      </c>
      <c r="P83" s="50">
        <v>0</v>
      </c>
      <c r="Q83" s="50">
        <v>1813</v>
      </c>
      <c r="R83" s="50" t="s">
        <v>98</v>
      </c>
      <c r="S83" s="50" t="s">
        <v>99</v>
      </c>
      <c r="T83" s="52" t="s">
        <v>472</v>
      </c>
    </row>
    <row r="84" spans="1:20" x14ac:dyDescent="0.25">
      <c r="A84" s="49" t="s">
        <v>204</v>
      </c>
      <c r="B84" s="50" t="s">
        <v>390</v>
      </c>
      <c r="C84" s="51" t="s">
        <v>212</v>
      </c>
      <c r="D84" s="67">
        <v>44581</v>
      </c>
      <c r="E84" s="50"/>
      <c r="F84" s="50"/>
      <c r="G84" s="50">
        <v>0</v>
      </c>
      <c r="H84" s="50">
        <v>0</v>
      </c>
      <c r="I84" s="50">
        <v>0</v>
      </c>
      <c r="J84" s="50">
        <v>0</v>
      </c>
      <c r="K84" s="50">
        <v>0</v>
      </c>
      <c r="L84" s="50">
        <v>-484.2</v>
      </c>
      <c r="M84" s="50">
        <v>0</v>
      </c>
      <c r="N84" s="50">
        <v>-43.58</v>
      </c>
      <c r="O84" s="50">
        <v>-43.58</v>
      </c>
      <c r="P84" s="50">
        <v>0</v>
      </c>
      <c r="Q84" s="50">
        <v>571</v>
      </c>
      <c r="R84" s="50" t="s">
        <v>98</v>
      </c>
      <c r="S84" s="50" t="s">
        <v>99</v>
      </c>
      <c r="T84" s="52" t="s">
        <v>473</v>
      </c>
    </row>
    <row r="85" spans="1:20" x14ac:dyDescent="0.25">
      <c r="A85" s="49" t="s">
        <v>121</v>
      </c>
      <c r="B85" s="50" t="s">
        <v>390</v>
      </c>
      <c r="C85" s="51" t="s">
        <v>364</v>
      </c>
      <c r="D85" s="67">
        <v>44635</v>
      </c>
      <c r="E85" s="50"/>
      <c r="F85" s="50"/>
      <c r="G85" s="50">
        <v>0</v>
      </c>
      <c r="H85" s="50">
        <v>0</v>
      </c>
      <c r="I85" s="50">
        <v>0</v>
      </c>
      <c r="J85" s="50">
        <v>0</v>
      </c>
      <c r="K85" s="50">
        <v>0</v>
      </c>
      <c r="L85" s="50">
        <v>-1072.2</v>
      </c>
      <c r="M85" s="50">
        <v>0</v>
      </c>
      <c r="N85" s="50">
        <v>-64.33</v>
      </c>
      <c r="O85" s="50">
        <v>-64.33</v>
      </c>
      <c r="P85" s="50">
        <v>0</v>
      </c>
      <c r="Q85" s="50">
        <v>1201</v>
      </c>
      <c r="R85" s="50" t="s">
        <v>98</v>
      </c>
      <c r="S85" s="50" t="s">
        <v>99</v>
      </c>
      <c r="T85" s="52" t="s">
        <v>474</v>
      </c>
    </row>
    <row r="86" spans="1:20" x14ac:dyDescent="0.25">
      <c r="A86" s="49" t="s">
        <v>235</v>
      </c>
      <c r="B86" s="50" t="s">
        <v>390</v>
      </c>
      <c r="C86" s="51" t="s">
        <v>37</v>
      </c>
      <c r="D86" s="67">
        <v>44335</v>
      </c>
      <c r="E86" s="50"/>
      <c r="F86" s="50"/>
      <c r="G86" s="50">
        <v>0</v>
      </c>
      <c r="H86" s="50">
        <v>0</v>
      </c>
      <c r="I86" s="50">
        <v>0</v>
      </c>
      <c r="J86" s="50">
        <v>0</v>
      </c>
      <c r="K86" s="50">
        <v>0</v>
      </c>
      <c r="L86" s="50">
        <v>-65205</v>
      </c>
      <c r="M86" s="50">
        <v>0</v>
      </c>
      <c r="N86" s="50">
        <v>-5868.45</v>
      </c>
      <c r="O86" s="50">
        <v>-5868.45</v>
      </c>
      <c r="P86" s="50">
        <v>0</v>
      </c>
      <c r="Q86" s="50">
        <v>76942</v>
      </c>
      <c r="R86" s="50" t="s">
        <v>98</v>
      </c>
      <c r="S86" s="50" t="s">
        <v>99</v>
      </c>
      <c r="T86" s="52" t="s">
        <v>475</v>
      </c>
    </row>
    <row r="87" spans="1:20" x14ac:dyDescent="0.25">
      <c r="A87" s="49" t="s">
        <v>9</v>
      </c>
      <c r="B87" s="50" t="s">
        <v>390</v>
      </c>
      <c r="C87" s="51" t="s">
        <v>172</v>
      </c>
      <c r="D87" s="67">
        <v>44593</v>
      </c>
      <c r="E87" s="50"/>
      <c r="F87" s="50"/>
      <c r="G87" s="50">
        <v>0</v>
      </c>
      <c r="H87" s="50">
        <v>0</v>
      </c>
      <c r="I87" s="50">
        <v>0</v>
      </c>
      <c r="J87" s="50">
        <v>0</v>
      </c>
      <c r="K87" s="50">
        <v>0</v>
      </c>
      <c r="L87" s="50">
        <v>-16000</v>
      </c>
      <c r="M87" s="50">
        <v>0</v>
      </c>
      <c r="N87" s="50">
        <v>-1440</v>
      </c>
      <c r="O87" s="50">
        <v>-1440</v>
      </c>
      <c r="P87" s="50">
        <v>0</v>
      </c>
      <c r="Q87" s="50">
        <v>18880</v>
      </c>
      <c r="R87" s="50" t="s">
        <v>98</v>
      </c>
      <c r="S87" s="50" t="s">
        <v>99</v>
      </c>
      <c r="T87" s="52" t="s">
        <v>476</v>
      </c>
    </row>
    <row r="88" spans="1:20" x14ac:dyDescent="0.25">
      <c r="A88" s="49" t="s">
        <v>202</v>
      </c>
      <c r="B88" s="50" t="s">
        <v>390</v>
      </c>
      <c r="C88" s="51" t="s">
        <v>213</v>
      </c>
      <c r="D88" s="67">
        <v>44405</v>
      </c>
      <c r="E88" s="50"/>
      <c r="F88" s="50"/>
      <c r="G88" s="50">
        <v>0</v>
      </c>
      <c r="H88" s="50">
        <v>0</v>
      </c>
      <c r="I88" s="50">
        <v>0</v>
      </c>
      <c r="J88" s="50">
        <v>0</v>
      </c>
      <c r="K88" s="50">
        <v>0</v>
      </c>
      <c r="L88" s="50">
        <v>-23004.18</v>
      </c>
      <c r="M88" s="50">
        <v>-4140.76</v>
      </c>
      <c r="N88" s="50">
        <v>0</v>
      </c>
      <c r="O88" s="50">
        <v>0</v>
      </c>
      <c r="P88" s="50">
        <v>0</v>
      </c>
      <c r="Q88" s="50">
        <v>27145</v>
      </c>
      <c r="R88" s="50" t="s">
        <v>98</v>
      </c>
      <c r="S88" s="50" t="s">
        <v>99</v>
      </c>
      <c r="T88" s="52" t="s">
        <v>477</v>
      </c>
    </row>
    <row r="89" spans="1:20" x14ac:dyDescent="0.25">
      <c r="A89" s="49" t="s">
        <v>321</v>
      </c>
      <c r="B89" s="50" t="s">
        <v>390</v>
      </c>
      <c r="C89" s="51" t="s">
        <v>171</v>
      </c>
      <c r="D89" s="67">
        <v>44593</v>
      </c>
      <c r="E89" s="50"/>
      <c r="F89" s="50"/>
      <c r="G89" s="50">
        <v>0</v>
      </c>
      <c r="H89" s="50">
        <v>0</v>
      </c>
      <c r="I89" s="50">
        <v>0</v>
      </c>
      <c r="J89" s="50">
        <v>0</v>
      </c>
      <c r="K89" s="50">
        <v>0</v>
      </c>
      <c r="L89" s="50">
        <v>-2934</v>
      </c>
      <c r="M89" s="50">
        <v>-528.12</v>
      </c>
      <c r="N89" s="50">
        <v>0</v>
      </c>
      <c r="O89" s="50">
        <v>0</v>
      </c>
      <c r="P89" s="50">
        <v>0</v>
      </c>
      <c r="Q89" s="50">
        <v>3462</v>
      </c>
      <c r="R89" s="50" t="s">
        <v>98</v>
      </c>
      <c r="S89" s="50" t="s">
        <v>99</v>
      </c>
      <c r="T89" s="52" t="s">
        <v>439</v>
      </c>
    </row>
    <row r="90" spans="1:20" x14ac:dyDescent="0.25">
      <c r="A90" s="49" t="s">
        <v>198</v>
      </c>
      <c r="B90" s="50" t="s">
        <v>390</v>
      </c>
      <c r="C90" s="51" t="s">
        <v>94</v>
      </c>
      <c r="D90" s="67">
        <v>44300</v>
      </c>
      <c r="E90" s="50"/>
      <c r="F90" s="50"/>
      <c r="G90" s="50">
        <v>0</v>
      </c>
      <c r="H90" s="50">
        <v>0</v>
      </c>
      <c r="I90" s="50">
        <v>0</v>
      </c>
      <c r="J90" s="50">
        <v>0</v>
      </c>
      <c r="K90" s="50">
        <v>0</v>
      </c>
      <c r="L90" s="50">
        <v>-7503.6</v>
      </c>
      <c r="M90" s="50">
        <v>0</v>
      </c>
      <c r="N90" s="50">
        <v>-675.32</v>
      </c>
      <c r="O90" s="50">
        <v>-675.32</v>
      </c>
      <c r="P90" s="50">
        <v>0</v>
      </c>
      <c r="Q90" s="50">
        <v>8854</v>
      </c>
      <c r="R90" s="50" t="s">
        <v>98</v>
      </c>
      <c r="S90" s="50" t="s">
        <v>99</v>
      </c>
      <c r="T90" s="52" t="s">
        <v>478</v>
      </c>
    </row>
    <row r="91" spans="1:20" x14ac:dyDescent="0.25">
      <c r="A91" s="49" t="s">
        <v>208</v>
      </c>
      <c r="B91" s="50" t="s">
        <v>390</v>
      </c>
      <c r="C91" s="51" t="s">
        <v>214</v>
      </c>
      <c r="D91" s="67">
        <v>44324</v>
      </c>
      <c r="E91" s="50"/>
      <c r="F91" s="50"/>
      <c r="G91" s="50">
        <v>0</v>
      </c>
      <c r="H91" s="50">
        <v>0</v>
      </c>
      <c r="I91" s="50">
        <v>0</v>
      </c>
      <c r="J91" s="50">
        <v>0</v>
      </c>
      <c r="K91" s="50">
        <v>0</v>
      </c>
      <c r="L91" s="50">
        <v>-589.79999999999995</v>
      </c>
      <c r="M91" s="50">
        <v>0</v>
      </c>
      <c r="N91" s="50">
        <v>-53.08</v>
      </c>
      <c r="O91" s="50">
        <v>-53.08</v>
      </c>
      <c r="P91" s="50">
        <v>0</v>
      </c>
      <c r="Q91" s="50">
        <v>696</v>
      </c>
      <c r="R91" s="50" t="s">
        <v>98</v>
      </c>
      <c r="S91" s="50" t="s">
        <v>99</v>
      </c>
      <c r="T91" s="52" t="s">
        <v>479</v>
      </c>
    </row>
    <row r="92" spans="1:20" x14ac:dyDescent="0.25">
      <c r="A92" s="49" t="s">
        <v>204</v>
      </c>
      <c r="B92" s="50" t="s">
        <v>390</v>
      </c>
      <c r="C92" s="51" t="s">
        <v>23</v>
      </c>
      <c r="D92" s="67">
        <v>44377</v>
      </c>
      <c r="E92" s="50"/>
      <c r="F92" s="50"/>
      <c r="G92" s="50">
        <v>0</v>
      </c>
      <c r="H92" s="50">
        <v>0</v>
      </c>
      <c r="I92" s="50">
        <v>0</v>
      </c>
      <c r="J92" s="50">
        <v>0</v>
      </c>
      <c r="K92" s="50">
        <v>0</v>
      </c>
      <c r="L92" s="50">
        <v>-1288.5</v>
      </c>
      <c r="M92" s="50">
        <v>0</v>
      </c>
      <c r="N92" s="50">
        <v>-77.31</v>
      </c>
      <c r="O92" s="50">
        <v>-77.31</v>
      </c>
      <c r="P92" s="50">
        <v>0</v>
      </c>
      <c r="Q92" s="50">
        <v>1443</v>
      </c>
      <c r="R92" s="50" t="s">
        <v>98</v>
      </c>
      <c r="S92" s="50" t="s">
        <v>99</v>
      </c>
      <c r="T92" s="52" t="s">
        <v>480</v>
      </c>
    </row>
    <row r="93" spans="1:20" x14ac:dyDescent="0.25">
      <c r="A93" s="49" t="s">
        <v>198</v>
      </c>
      <c r="B93" s="50" t="s">
        <v>390</v>
      </c>
      <c r="C93" s="51" t="s">
        <v>215</v>
      </c>
      <c r="D93" s="67">
        <v>44589</v>
      </c>
      <c r="E93" s="50"/>
      <c r="F93" s="50"/>
      <c r="G93" s="50">
        <v>0</v>
      </c>
      <c r="H93" s="50">
        <v>0</v>
      </c>
      <c r="I93" s="50">
        <v>0</v>
      </c>
      <c r="J93" s="50">
        <v>0</v>
      </c>
      <c r="K93" s="50">
        <v>0</v>
      </c>
      <c r="L93" s="50">
        <v>-35750</v>
      </c>
      <c r="M93" s="50">
        <v>0</v>
      </c>
      <c r="N93" s="50">
        <v>-3217.5</v>
      </c>
      <c r="O93" s="50">
        <v>-3217.5</v>
      </c>
      <c r="P93" s="50">
        <v>0</v>
      </c>
      <c r="Q93" s="50">
        <v>42185</v>
      </c>
      <c r="R93" s="50" t="s">
        <v>98</v>
      </c>
      <c r="S93" s="50" t="s">
        <v>99</v>
      </c>
      <c r="T93" s="52" t="s">
        <v>481</v>
      </c>
    </row>
    <row r="94" spans="1:20" x14ac:dyDescent="0.25">
      <c r="A94" s="49" t="s">
        <v>210</v>
      </c>
      <c r="B94" s="50" t="s">
        <v>390</v>
      </c>
      <c r="C94" s="51" t="s">
        <v>216</v>
      </c>
      <c r="D94" s="67">
        <v>44303</v>
      </c>
      <c r="E94" s="50"/>
      <c r="F94" s="50"/>
      <c r="G94" s="50">
        <v>0</v>
      </c>
      <c r="H94" s="50">
        <v>0</v>
      </c>
      <c r="I94" s="50">
        <v>0</v>
      </c>
      <c r="J94" s="50">
        <v>0</v>
      </c>
      <c r="K94" s="50">
        <v>0</v>
      </c>
      <c r="L94" s="50">
        <v>-2760</v>
      </c>
      <c r="M94" s="50">
        <v>-496.8</v>
      </c>
      <c r="N94" s="50">
        <v>0</v>
      </c>
      <c r="O94" s="50">
        <v>0</v>
      </c>
      <c r="P94" s="50">
        <v>0</v>
      </c>
      <c r="Q94" s="50">
        <v>3257</v>
      </c>
      <c r="R94" s="50" t="s">
        <v>98</v>
      </c>
      <c r="S94" s="50" t="s">
        <v>99</v>
      </c>
      <c r="T94" s="52" t="s">
        <v>482</v>
      </c>
    </row>
    <row r="95" spans="1:20" x14ac:dyDescent="0.25">
      <c r="A95" s="49" t="s">
        <v>204</v>
      </c>
      <c r="B95" s="50" t="s">
        <v>390</v>
      </c>
      <c r="C95" s="51" t="s">
        <v>217</v>
      </c>
      <c r="D95" s="67">
        <v>44403</v>
      </c>
      <c r="E95" s="50"/>
      <c r="F95" s="50"/>
      <c r="G95" s="50">
        <v>0</v>
      </c>
      <c r="H95" s="50">
        <v>0</v>
      </c>
      <c r="I95" s="50">
        <v>0</v>
      </c>
      <c r="J95" s="50">
        <v>0</v>
      </c>
      <c r="K95" s="50">
        <v>0</v>
      </c>
      <c r="L95" s="50">
        <v>-290</v>
      </c>
      <c r="M95" s="50">
        <v>0</v>
      </c>
      <c r="N95" s="50">
        <v>-17.399999999999999</v>
      </c>
      <c r="O95" s="50">
        <v>-17.399999999999999</v>
      </c>
      <c r="P95" s="50">
        <v>0</v>
      </c>
      <c r="Q95" s="50">
        <v>325</v>
      </c>
      <c r="R95" s="50" t="s">
        <v>98</v>
      </c>
      <c r="S95" s="50" t="s">
        <v>99</v>
      </c>
      <c r="T95" s="52" t="s">
        <v>483</v>
      </c>
    </row>
    <row r="96" spans="1:20" x14ac:dyDescent="0.25">
      <c r="A96" s="49" t="s">
        <v>209</v>
      </c>
      <c r="B96" s="50" t="s">
        <v>390</v>
      </c>
      <c r="C96" s="51" t="s">
        <v>335</v>
      </c>
      <c r="D96" s="67">
        <v>44493</v>
      </c>
      <c r="E96" s="50"/>
      <c r="F96" s="50"/>
      <c r="G96" s="50">
        <v>0</v>
      </c>
      <c r="H96" s="50">
        <v>0</v>
      </c>
      <c r="I96" s="50">
        <v>0</v>
      </c>
      <c r="J96" s="50">
        <v>0</v>
      </c>
      <c r="K96" s="50">
        <v>0</v>
      </c>
      <c r="L96" s="50">
        <v>-18817.3</v>
      </c>
      <c r="M96" s="50">
        <v>-3387.11</v>
      </c>
      <c r="N96" s="50">
        <v>0</v>
      </c>
      <c r="O96" s="50">
        <v>0</v>
      </c>
      <c r="P96" s="50">
        <v>0</v>
      </c>
      <c r="Q96" s="50">
        <v>22204</v>
      </c>
      <c r="R96" s="50" t="s">
        <v>98</v>
      </c>
      <c r="S96" s="50" t="s">
        <v>99</v>
      </c>
      <c r="T96" s="52" t="s">
        <v>484</v>
      </c>
    </row>
    <row r="97" spans="1:20" x14ac:dyDescent="0.25">
      <c r="A97" s="49" t="s">
        <v>121</v>
      </c>
      <c r="B97" s="50" t="s">
        <v>390</v>
      </c>
      <c r="C97" s="51" t="s">
        <v>365</v>
      </c>
      <c r="D97" s="67">
        <v>44635</v>
      </c>
      <c r="E97" s="50"/>
      <c r="F97" s="50"/>
      <c r="G97" s="50">
        <v>0</v>
      </c>
      <c r="H97" s="50">
        <v>0</v>
      </c>
      <c r="I97" s="50">
        <v>0</v>
      </c>
      <c r="J97" s="50">
        <v>0</v>
      </c>
      <c r="K97" s="50">
        <v>0</v>
      </c>
      <c r="L97" s="50">
        <v>-2026.4</v>
      </c>
      <c r="M97" s="50">
        <v>0</v>
      </c>
      <c r="N97" s="50">
        <v>-182.38</v>
      </c>
      <c r="O97" s="50">
        <v>-182.38</v>
      </c>
      <c r="P97" s="50">
        <v>0</v>
      </c>
      <c r="Q97" s="50">
        <v>2391</v>
      </c>
      <c r="R97" s="50" t="s">
        <v>98</v>
      </c>
      <c r="S97" s="50" t="s">
        <v>99</v>
      </c>
      <c r="T97" s="52" t="s">
        <v>485</v>
      </c>
    </row>
    <row r="98" spans="1:20" x14ac:dyDescent="0.25">
      <c r="A98" s="49" t="s">
        <v>6</v>
      </c>
      <c r="B98" s="50" t="s">
        <v>390</v>
      </c>
      <c r="C98" s="51" t="s">
        <v>218</v>
      </c>
      <c r="D98" s="67">
        <v>44425</v>
      </c>
      <c r="E98" s="50"/>
      <c r="F98" s="50"/>
      <c r="G98" s="50">
        <v>0</v>
      </c>
      <c r="H98" s="50">
        <v>0</v>
      </c>
      <c r="I98" s="50">
        <v>0</v>
      </c>
      <c r="J98" s="50">
        <v>0</v>
      </c>
      <c r="K98" s="50">
        <v>0</v>
      </c>
      <c r="L98" s="50">
        <v>-142725</v>
      </c>
      <c r="M98" s="50">
        <v>0</v>
      </c>
      <c r="N98" s="50">
        <v>-12845.25</v>
      </c>
      <c r="O98" s="50">
        <v>-12845.25</v>
      </c>
      <c r="P98" s="50">
        <v>0</v>
      </c>
      <c r="Q98" s="50">
        <v>168416</v>
      </c>
      <c r="R98" s="50" t="s">
        <v>98</v>
      </c>
      <c r="S98" s="50" t="s">
        <v>99</v>
      </c>
      <c r="T98" s="52" t="s">
        <v>486</v>
      </c>
    </row>
    <row r="99" spans="1:20" x14ac:dyDescent="0.25">
      <c r="A99" s="49" t="s">
        <v>108</v>
      </c>
      <c r="B99" s="50" t="s">
        <v>390</v>
      </c>
      <c r="C99" s="51" t="s">
        <v>219</v>
      </c>
      <c r="D99" s="67">
        <v>44422</v>
      </c>
      <c r="E99" s="50"/>
      <c r="F99" s="50"/>
      <c r="G99" s="50">
        <v>0</v>
      </c>
      <c r="H99" s="50">
        <v>0</v>
      </c>
      <c r="I99" s="50">
        <v>0</v>
      </c>
      <c r="J99" s="50">
        <v>0</v>
      </c>
      <c r="K99" s="50">
        <v>0</v>
      </c>
      <c r="L99" s="50">
        <v>-40000</v>
      </c>
      <c r="M99" s="50">
        <v>0</v>
      </c>
      <c r="N99" s="50">
        <v>-3600</v>
      </c>
      <c r="O99" s="50">
        <v>-3600</v>
      </c>
      <c r="P99" s="50">
        <v>0</v>
      </c>
      <c r="Q99" s="50">
        <v>47200</v>
      </c>
      <c r="R99" s="50" t="s">
        <v>98</v>
      </c>
      <c r="S99" s="50" t="s">
        <v>99</v>
      </c>
      <c r="T99" s="52" t="s">
        <v>487</v>
      </c>
    </row>
    <row r="100" spans="1:20" x14ac:dyDescent="0.25">
      <c r="A100" s="49" t="s">
        <v>204</v>
      </c>
      <c r="B100" s="50" t="s">
        <v>390</v>
      </c>
      <c r="C100" s="51" t="s">
        <v>220</v>
      </c>
      <c r="D100" s="67">
        <v>44581</v>
      </c>
      <c r="E100" s="50"/>
      <c r="F100" s="50"/>
      <c r="G100" s="50">
        <v>0</v>
      </c>
      <c r="H100" s="50">
        <v>0</v>
      </c>
      <c r="I100" s="50">
        <v>0</v>
      </c>
      <c r="J100" s="50">
        <v>0</v>
      </c>
      <c r="K100" s="50">
        <v>0</v>
      </c>
      <c r="L100" s="50">
        <v>-1581</v>
      </c>
      <c r="M100" s="50">
        <v>0</v>
      </c>
      <c r="N100" s="50">
        <v>-142.30000000000001</v>
      </c>
      <c r="O100" s="50">
        <v>-142.30000000000001</v>
      </c>
      <c r="P100" s="50">
        <v>0</v>
      </c>
      <c r="Q100" s="50">
        <v>1866</v>
      </c>
      <c r="R100" s="50" t="s">
        <v>98</v>
      </c>
      <c r="S100" s="50" t="s">
        <v>99</v>
      </c>
      <c r="T100" s="52" t="s">
        <v>488</v>
      </c>
    </row>
    <row r="101" spans="1:20" x14ac:dyDescent="0.25">
      <c r="A101" s="49" t="s">
        <v>380</v>
      </c>
      <c r="B101" s="50" t="s">
        <v>377</v>
      </c>
      <c r="C101" s="51" t="s">
        <v>223</v>
      </c>
      <c r="D101" s="67">
        <v>44313</v>
      </c>
      <c r="E101" s="50" t="s">
        <v>129</v>
      </c>
      <c r="F101" s="50" t="s">
        <v>5</v>
      </c>
      <c r="G101" s="50">
        <v>451200</v>
      </c>
      <c r="H101" s="50">
        <v>81216</v>
      </c>
      <c r="I101" s="50">
        <v>0</v>
      </c>
      <c r="J101" s="50">
        <v>0</v>
      </c>
      <c r="K101" s="50">
        <v>0</v>
      </c>
      <c r="L101" s="50">
        <v>0</v>
      </c>
      <c r="M101" s="50">
        <v>0</v>
      </c>
      <c r="N101" s="50">
        <v>0</v>
      </c>
      <c r="O101" s="50">
        <v>0</v>
      </c>
      <c r="P101" s="50">
        <v>0</v>
      </c>
      <c r="Q101" s="50">
        <v>0</v>
      </c>
      <c r="R101" s="50" t="s">
        <v>55</v>
      </c>
      <c r="S101" s="50" t="s">
        <v>24</v>
      </c>
      <c r="T101" s="52"/>
    </row>
    <row r="102" spans="1:20" x14ac:dyDescent="0.25">
      <c r="A102" s="49" t="s">
        <v>381</v>
      </c>
      <c r="B102" s="50" t="s">
        <v>377</v>
      </c>
      <c r="C102" s="51" t="s">
        <v>225</v>
      </c>
      <c r="D102" s="67">
        <v>44310</v>
      </c>
      <c r="E102" s="50" t="s">
        <v>129</v>
      </c>
      <c r="F102" s="50" t="s">
        <v>5</v>
      </c>
      <c r="G102" s="50">
        <v>477000</v>
      </c>
      <c r="H102" s="50">
        <v>85860</v>
      </c>
      <c r="I102" s="50">
        <v>0</v>
      </c>
      <c r="J102" s="50">
        <v>0</v>
      </c>
      <c r="K102" s="50">
        <v>0</v>
      </c>
      <c r="L102" s="50">
        <v>0</v>
      </c>
      <c r="M102" s="50">
        <v>0</v>
      </c>
      <c r="N102" s="50">
        <v>0</v>
      </c>
      <c r="O102" s="50">
        <v>0</v>
      </c>
      <c r="P102" s="50">
        <v>0</v>
      </c>
      <c r="Q102" s="50">
        <v>0</v>
      </c>
      <c r="R102" s="50" t="s">
        <v>55</v>
      </c>
      <c r="S102" s="50" t="s">
        <v>24</v>
      </c>
      <c r="T102" s="52"/>
    </row>
    <row r="103" spans="1:20" x14ac:dyDescent="0.25">
      <c r="A103" s="49" t="s">
        <v>382</v>
      </c>
      <c r="B103" s="50" t="s">
        <v>377</v>
      </c>
      <c r="C103" s="51" t="s">
        <v>228</v>
      </c>
      <c r="D103" s="67">
        <v>44289</v>
      </c>
      <c r="E103" s="50" t="s">
        <v>129</v>
      </c>
      <c r="F103" s="50" t="s">
        <v>5</v>
      </c>
      <c r="G103" s="50">
        <v>493344.08</v>
      </c>
      <c r="H103" s="50">
        <v>0</v>
      </c>
      <c r="I103" s="50">
        <v>44400.959999999999</v>
      </c>
      <c r="J103" s="50">
        <v>44400.959999999999</v>
      </c>
      <c r="K103" s="50">
        <v>0</v>
      </c>
      <c r="L103" s="50">
        <v>0</v>
      </c>
      <c r="M103" s="50">
        <v>0</v>
      </c>
      <c r="N103" s="50">
        <v>0</v>
      </c>
      <c r="O103" s="50">
        <v>0</v>
      </c>
      <c r="P103" s="50">
        <v>0</v>
      </c>
      <c r="Q103" s="50">
        <v>0</v>
      </c>
      <c r="R103" s="50" t="s">
        <v>55</v>
      </c>
      <c r="S103" s="50" t="s">
        <v>24</v>
      </c>
      <c r="T103" s="52"/>
    </row>
    <row r="104" spans="1:20" x14ac:dyDescent="0.25">
      <c r="A104" s="49" t="s">
        <v>376</v>
      </c>
      <c r="B104" s="50" t="s">
        <v>377</v>
      </c>
      <c r="C104" s="51" t="s">
        <v>230</v>
      </c>
      <c r="D104" s="67">
        <v>44291</v>
      </c>
      <c r="E104" s="50" t="s">
        <v>129</v>
      </c>
      <c r="F104" s="50" t="s">
        <v>5</v>
      </c>
      <c r="G104" s="50">
        <v>162000</v>
      </c>
      <c r="H104" s="50">
        <v>0</v>
      </c>
      <c r="I104" s="50">
        <v>14580</v>
      </c>
      <c r="J104" s="50">
        <v>14580</v>
      </c>
      <c r="K104" s="50">
        <v>0</v>
      </c>
      <c r="L104" s="50">
        <v>0</v>
      </c>
      <c r="M104" s="50">
        <v>0</v>
      </c>
      <c r="N104" s="50">
        <v>0</v>
      </c>
      <c r="O104" s="50">
        <v>0</v>
      </c>
      <c r="P104" s="50">
        <v>0</v>
      </c>
      <c r="Q104" s="50">
        <v>0</v>
      </c>
      <c r="R104" s="50" t="s">
        <v>55</v>
      </c>
      <c r="S104" s="50" t="s">
        <v>24</v>
      </c>
      <c r="T104" s="52"/>
    </row>
    <row r="105" spans="1:20" x14ac:dyDescent="0.25">
      <c r="A105" s="49" t="s">
        <v>376</v>
      </c>
      <c r="B105" s="50" t="s">
        <v>377</v>
      </c>
      <c r="C105" s="51" t="s">
        <v>232</v>
      </c>
      <c r="D105" s="67">
        <v>44301</v>
      </c>
      <c r="E105" s="50" t="s">
        <v>129</v>
      </c>
      <c r="F105" s="50" t="s">
        <v>5</v>
      </c>
      <c r="G105" s="50">
        <v>211200</v>
      </c>
      <c r="H105" s="50">
        <v>0</v>
      </c>
      <c r="I105" s="50">
        <v>19008</v>
      </c>
      <c r="J105" s="50">
        <v>19008</v>
      </c>
      <c r="K105" s="50">
        <v>0</v>
      </c>
      <c r="L105" s="50">
        <v>0</v>
      </c>
      <c r="M105" s="50">
        <v>0</v>
      </c>
      <c r="N105" s="50">
        <v>0</v>
      </c>
      <c r="O105" s="50">
        <v>0</v>
      </c>
      <c r="P105" s="50">
        <v>0</v>
      </c>
      <c r="Q105" s="50">
        <v>0</v>
      </c>
      <c r="R105" s="50" t="s">
        <v>55</v>
      </c>
      <c r="S105" s="50" t="s">
        <v>24</v>
      </c>
      <c r="T105" s="52"/>
    </row>
    <row r="106" spans="1:20" x14ac:dyDescent="0.25">
      <c r="A106" s="49" t="s">
        <v>378</v>
      </c>
      <c r="B106" s="50" t="s">
        <v>377</v>
      </c>
      <c r="C106" s="51" t="s">
        <v>236</v>
      </c>
      <c r="D106" s="67">
        <v>44291</v>
      </c>
      <c r="E106" s="50" t="s">
        <v>129</v>
      </c>
      <c r="F106" s="50" t="s">
        <v>5</v>
      </c>
      <c r="G106" s="50">
        <v>80640</v>
      </c>
      <c r="H106" s="50">
        <v>0</v>
      </c>
      <c r="I106" s="50">
        <v>7257.6</v>
      </c>
      <c r="J106" s="50">
        <v>7257.6</v>
      </c>
      <c r="K106" s="50">
        <v>0</v>
      </c>
      <c r="L106" s="50">
        <v>0</v>
      </c>
      <c r="M106" s="50">
        <v>0</v>
      </c>
      <c r="N106" s="50">
        <v>0</v>
      </c>
      <c r="O106" s="50">
        <v>0</v>
      </c>
      <c r="P106" s="50">
        <v>0</v>
      </c>
      <c r="Q106" s="50">
        <v>0</v>
      </c>
      <c r="R106" s="50" t="s">
        <v>55</v>
      </c>
      <c r="S106" s="50" t="s">
        <v>24</v>
      </c>
      <c r="T106" s="52"/>
    </row>
    <row r="107" spans="1:20" x14ac:dyDescent="0.25">
      <c r="A107" s="49" t="s">
        <v>378</v>
      </c>
      <c r="B107" s="50" t="s">
        <v>377</v>
      </c>
      <c r="C107" s="51" t="s">
        <v>238</v>
      </c>
      <c r="D107" s="67">
        <v>44294</v>
      </c>
      <c r="E107" s="50" t="s">
        <v>129</v>
      </c>
      <c r="F107" s="50" t="s">
        <v>5</v>
      </c>
      <c r="G107" s="50">
        <v>84002</v>
      </c>
      <c r="H107" s="50">
        <v>0</v>
      </c>
      <c r="I107" s="50">
        <v>7560.18</v>
      </c>
      <c r="J107" s="50">
        <v>7560.18</v>
      </c>
      <c r="K107" s="50">
        <v>0</v>
      </c>
      <c r="L107" s="50">
        <v>0</v>
      </c>
      <c r="M107" s="50">
        <v>0</v>
      </c>
      <c r="N107" s="50">
        <v>0</v>
      </c>
      <c r="O107" s="50">
        <v>0</v>
      </c>
      <c r="P107" s="50">
        <v>0</v>
      </c>
      <c r="Q107" s="50">
        <v>0</v>
      </c>
      <c r="R107" s="50" t="s">
        <v>55</v>
      </c>
      <c r="S107" s="50" t="s">
        <v>24</v>
      </c>
      <c r="T107" s="52"/>
    </row>
    <row r="108" spans="1:20" x14ac:dyDescent="0.25">
      <c r="A108" s="49" t="s">
        <v>378</v>
      </c>
      <c r="B108" s="50" t="s">
        <v>377</v>
      </c>
      <c r="C108" s="51" t="s">
        <v>111</v>
      </c>
      <c r="D108" s="67">
        <v>44295</v>
      </c>
      <c r="E108" s="50" t="s">
        <v>129</v>
      </c>
      <c r="F108" s="50" t="s">
        <v>5</v>
      </c>
      <c r="G108" s="50">
        <v>73530</v>
      </c>
      <c r="H108" s="50">
        <v>0</v>
      </c>
      <c r="I108" s="50">
        <v>6617.7</v>
      </c>
      <c r="J108" s="50">
        <v>6617.7</v>
      </c>
      <c r="K108" s="50">
        <v>0</v>
      </c>
      <c r="L108" s="50">
        <v>0</v>
      </c>
      <c r="M108" s="50">
        <v>0</v>
      </c>
      <c r="N108" s="50">
        <v>0</v>
      </c>
      <c r="O108" s="50">
        <v>0</v>
      </c>
      <c r="P108" s="50">
        <v>0</v>
      </c>
      <c r="Q108" s="50">
        <v>0</v>
      </c>
      <c r="R108" s="50" t="s">
        <v>55</v>
      </c>
      <c r="S108" s="50" t="s">
        <v>24</v>
      </c>
      <c r="T108" s="52"/>
    </row>
    <row r="109" spans="1:20" x14ac:dyDescent="0.25">
      <c r="A109" s="49" t="s">
        <v>378</v>
      </c>
      <c r="B109" s="50" t="s">
        <v>377</v>
      </c>
      <c r="C109" s="51" t="s">
        <v>116</v>
      </c>
      <c r="D109" s="67">
        <v>44296</v>
      </c>
      <c r="E109" s="50" t="s">
        <v>129</v>
      </c>
      <c r="F109" s="50" t="s">
        <v>5</v>
      </c>
      <c r="G109" s="50">
        <v>73530</v>
      </c>
      <c r="H109" s="50">
        <v>0</v>
      </c>
      <c r="I109" s="50">
        <v>6617.7</v>
      </c>
      <c r="J109" s="50">
        <v>6617.7</v>
      </c>
      <c r="K109" s="50">
        <v>0</v>
      </c>
      <c r="L109" s="50">
        <v>0</v>
      </c>
      <c r="M109" s="50">
        <v>0</v>
      </c>
      <c r="N109" s="50">
        <v>0</v>
      </c>
      <c r="O109" s="50">
        <v>0</v>
      </c>
      <c r="P109" s="50">
        <v>0</v>
      </c>
      <c r="Q109" s="50">
        <v>0</v>
      </c>
      <c r="R109" s="50" t="s">
        <v>55</v>
      </c>
      <c r="S109" s="50" t="s">
        <v>24</v>
      </c>
      <c r="T109" s="52"/>
    </row>
    <row r="110" spans="1:20" x14ac:dyDescent="0.25">
      <c r="A110" s="49" t="s">
        <v>378</v>
      </c>
      <c r="B110" s="50" t="s">
        <v>377</v>
      </c>
      <c r="C110" s="51" t="s">
        <v>221</v>
      </c>
      <c r="D110" s="67">
        <v>44296</v>
      </c>
      <c r="E110" s="50" t="s">
        <v>129</v>
      </c>
      <c r="F110" s="50" t="s">
        <v>5</v>
      </c>
      <c r="G110" s="50">
        <v>112266</v>
      </c>
      <c r="H110" s="50">
        <v>0</v>
      </c>
      <c r="I110" s="50">
        <v>10103.94</v>
      </c>
      <c r="J110" s="50">
        <v>10103.94</v>
      </c>
      <c r="K110" s="50">
        <v>0</v>
      </c>
      <c r="L110" s="50">
        <v>0</v>
      </c>
      <c r="M110" s="50">
        <v>0</v>
      </c>
      <c r="N110" s="50">
        <v>0</v>
      </c>
      <c r="O110" s="50">
        <v>0</v>
      </c>
      <c r="P110" s="50">
        <v>0</v>
      </c>
      <c r="Q110" s="50">
        <v>0</v>
      </c>
      <c r="R110" s="50" t="s">
        <v>55</v>
      </c>
      <c r="S110" s="50" t="s">
        <v>24</v>
      </c>
      <c r="T110" s="52"/>
    </row>
    <row r="111" spans="1:20" x14ac:dyDescent="0.25">
      <c r="A111" s="49" t="s">
        <v>378</v>
      </c>
      <c r="B111" s="50" t="s">
        <v>377</v>
      </c>
      <c r="C111" s="51" t="s">
        <v>109</v>
      </c>
      <c r="D111" s="67">
        <v>44298</v>
      </c>
      <c r="E111" s="50" t="s">
        <v>129</v>
      </c>
      <c r="F111" s="50" t="s">
        <v>5</v>
      </c>
      <c r="G111" s="50">
        <v>112266</v>
      </c>
      <c r="H111" s="50">
        <v>0</v>
      </c>
      <c r="I111" s="50">
        <v>10103.94</v>
      </c>
      <c r="J111" s="50">
        <v>10103.94</v>
      </c>
      <c r="K111" s="50">
        <v>0</v>
      </c>
      <c r="L111" s="50">
        <v>0</v>
      </c>
      <c r="M111" s="50">
        <v>0</v>
      </c>
      <c r="N111" s="50">
        <v>0</v>
      </c>
      <c r="O111" s="50">
        <v>0</v>
      </c>
      <c r="P111" s="50">
        <v>0</v>
      </c>
      <c r="Q111" s="50">
        <v>0</v>
      </c>
      <c r="R111" s="50" t="s">
        <v>55</v>
      </c>
      <c r="S111" s="50" t="s">
        <v>24</v>
      </c>
      <c r="T111" s="52"/>
    </row>
    <row r="112" spans="1:20" x14ac:dyDescent="0.25">
      <c r="A112" s="49" t="s">
        <v>378</v>
      </c>
      <c r="B112" s="50" t="s">
        <v>377</v>
      </c>
      <c r="C112" s="51" t="s">
        <v>246</v>
      </c>
      <c r="D112" s="67">
        <v>44298</v>
      </c>
      <c r="E112" s="50" t="s">
        <v>129</v>
      </c>
      <c r="F112" s="50" t="s">
        <v>5</v>
      </c>
      <c r="G112" s="50">
        <v>96826</v>
      </c>
      <c r="H112" s="50">
        <v>0</v>
      </c>
      <c r="I112" s="50">
        <v>8714.34</v>
      </c>
      <c r="J112" s="50">
        <v>8714.34</v>
      </c>
      <c r="K112" s="50">
        <v>0</v>
      </c>
      <c r="L112" s="50">
        <v>0</v>
      </c>
      <c r="M112" s="50">
        <v>0</v>
      </c>
      <c r="N112" s="50">
        <v>0</v>
      </c>
      <c r="O112" s="50">
        <v>0</v>
      </c>
      <c r="P112" s="50">
        <v>0</v>
      </c>
      <c r="Q112" s="50">
        <v>0</v>
      </c>
      <c r="R112" s="50" t="s">
        <v>55</v>
      </c>
      <c r="S112" s="50" t="s">
        <v>24</v>
      </c>
      <c r="T112" s="52"/>
    </row>
    <row r="113" spans="1:20" x14ac:dyDescent="0.25">
      <c r="A113" s="49" t="s">
        <v>378</v>
      </c>
      <c r="B113" s="50" t="s">
        <v>377</v>
      </c>
      <c r="C113" s="51" t="s">
        <v>112</v>
      </c>
      <c r="D113" s="67">
        <v>44299</v>
      </c>
      <c r="E113" s="50" t="s">
        <v>129</v>
      </c>
      <c r="F113" s="50" t="s">
        <v>5</v>
      </c>
      <c r="G113" s="50">
        <v>102650</v>
      </c>
      <c r="H113" s="50">
        <v>0</v>
      </c>
      <c r="I113" s="50">
        <v>9238.5</v>
      </c>
      <c r="J113" s="50">
        <v>9238.5</v>
      </c>
      <c r="K113" s="50">
        <v>0</v>
      </c>
      <c r="L113" s="50">
        <v>0</v>
      </c>
      <c r="M113" s="50">
        <v>0</v>
      </c>
      <c r="N113" s="50">
        <v>0</v>
      </c>
      <c r="O113" s="50">
        <v>0</v>
      </c>
      <c r="P113" s="50">
        <v>0</v>
      </c>
      <c r="Q113" s="50">
        <v>0</v>
      </c>
      <c r="R113" s="50" t="s">
        <v>55</v>
      </c>
      <c r="S113" s="50" t="s">
        <v>24</v>
      </c>
      <c r="T113" s="52"/>
    </row>
    <row r="114" spans="1:20" x14ac:dyDescent="0.25">
      <c r="A114" s="49" t="s">
        <v>378</v>
      </c>
      <c r="B114" s="50" t="s">
        <v>377</v>
      </c>
      <c r="C114" s="51" t="s">
        <v>248</v>
      </c>
      <c r="D114" s="67">
        <v>44299</v>
      </c>
      <c r="E114" s="50" t="s">
        <v>129</v>
      </c>
      <c r="F114" s="50" t="s">
        <v>5</v>
      </c>
      <c r="G114" s="50">
        <v>112266</v>
      </c>
      <c r="H114" s="50">
        <v>0</v>
      </c>
      <c r="I114" s="50">
        <v>10103.94</v>
      </c>
      <c r="J114" s="50">
        <v>10103.94</v>
      </c>
      <c r="K114" s="50">
        <v>0</v>
      </c>
      <c r="L114" s="50">
        <v>0</v>
      </c>
      <c r="M114" s="50">
        <v>0</v>
      </c>
      <c r="N114" s="50">
        <v>0</v>
      </c>
      <c r="O114" s="50">
        <v>0</v>
      </c>
      <c r="P114" s="50">
        <v>0</v>
      </c>
      <c r="Q114" s="50">
        <v>0</v>
      </c>
      <c r="R114" s="50" t="s">
        <v>55</v>
      </c>
      <c r="S114" s="50" t="s">
        <v>24</v>
      </c>
      <c r="T114" s="52"/>
    </row>
    <row r="115" spans="1:20" x14ac:dyDescent="0.25">
      <c r="A115" s="49" t="s">
        <v>378</v>
      </c>
      <c r="B115" s="50" t="s">
        <v>377</v>
      </c>
      <c r="C115" s="51" t="s">
        <v>250</v>
      </c>
      <c r="D115" s="67">
        <v>44301</v>
      </c>
      <c r="E115" s="50" t="s">
        <v>129</v>
      </c>
      <c r="F115" s="50" t="s">
        <v>5</v>
      </c>
      <c r="G115" s="50">
        <v>130556</v>
      </c>
      <c r="H115" s="50">
        <v>0</v>
      </c>
      <c r="I115" s="50">
        <v>11750.04</v>
      </c>
      <c r="J115" s="50">
        <v>11750.04</v>
      </c>
      <c r="K115" s="50">
        <v>0</v>
      </c>
      <c r="L115" s="50">
        <v>0</v>
      </c>
      <c r="M115" s="50">
        <v>0</v>
      </c>
      <c r="N115" s="50">
        <v>0</v>
      </c>
      <c r="O115" s="50">
        <v>0</v>
      </c>
      <c r="P115" s="50">
        <v>0</v>
      </c>
      <c r="Q115" s="50">
        <v>0</v>
      </c>
      <c r="R115" s="50" t="s">
        <v>55</v>
      </c>
      <c r="S115" s="50" t="s">
        <v>24</v>
      </c>
      <c r="T115" s="52"/>
    </row>
    <row r="116" spans="1:20" x14ac:dyDescent="0.25">
      <c r="A116" s="49" t="s">
        <v>378</v>
      </c>
      <c r="B116" s="50" t="s">
        <v>377</v>
      </c>
      <c r="C116" s="51" t="s">
        <v>252</v>
      </c>
      <c r="D116" s="67">
        <v>44301</v>
      </c>
      <c r="E116" s="50" t="s">
        <v>129</v>
      </c>
      <c r="F116" s="50" t="s">
        <v>5</v>
      </c>
      <c r="G116" s="50">
        <v>81270</v>
      </c>
      <c r="H116" s="50">
        <v>0</v>
      </c>
      <c r="I116" s="50">
        <v>7314.3</v>
      </c>
      <c r="J116" s="50">
        <v>7314.3</v>
      </c>
      <c r="K116" s="50">
        <v>0</v>
      </c>
      <c r="L116" s="50">
        <v>0</v>
      </c>
      <c r="M116" s="50">
        <v>0</v>
      </c>
      <c r="N116" s="50">
        <v>0</v>
      </c>
      <c r="O116" s="50">
        <v>0</v>
      </c>
      <c r="P116" s="50">
        <v>0</v>
      </c>
      <c r="Q116" s="50">
        <v>0</v>
      </c>
      <c r="R116" s="50" t="s">
        <v>55</v>
      </c>
      <c r="S116" s="50" t="s">
        <v>24</v>
      </c>
      <c r="T116" s="52"/>
    </row>
    <row r="117" spans="1:20" x14ac:dyDescent="0.25">
      <c r="A117" s="49" t="s">
        <v>378</v>
      </c>
      <c r="B117" s="50" t="s">
        <v>377</v>
      </c>
      <c r="C117" s="51" t="s">
        <v>254</v>
      </c>
      <c r="D117" s="67">
        <v>44302</v>
      </c>
      <c r="E117" s="50" t="s">
        <v>129</v>
      </c>
      <c r="F117" s="50" t="s">
        <v>5</v>
      </c>
      <c r="G117" s="50">
        <v>84002</v>
      </c>
      <c r="H117" s="50">
        <v>0</v>
      </c>
      <c r="I117" s="50">
        <v>7560.18</v>
      </c>
      <c r="J117" s="50">
        <v>7560.18</v>
      </c>
      <c r="K117" s="50">
        <v>0</v>
      </c>
      <c r="L117" s="50">
        <v>0</v>
      </c>
      <c r="M117" s="50">
        <v>0</v>
      </c>
      <c r="N117" s="50">
        <v>0</v>
      </c>
      <c r="O117" s="50">
        <v>0</v>
      </c>
      <c r="P117" s="50">
        <v>0</v>
      </c>
      <c r="Q117" s="50">
        <v>0</v>
      </c>
      <c r="R117" s="50" t="s">
        <v>55</v>
      </c>
      <c r="S117" s="50" t="s">
        <v>24</v>
      </c>
      <c r="T117" s="52"/>
    </row>
    <row r="118" spans="1:20" x14ac:dyDescent="0.25">
      <c r="A118" s="49" t="s">
        <v>378</v>
      </c>
      <c r="B118" s="50" t="s">
        <v>377</v>
      </c>
      <c r="C118" s="51" t="s">
        <v>256</v>
      </c>
      <c r="D118" s="67">
        <v>44303</v>
      </c>
      <c r="E118" s="50" t="s">
        <v>129</v>
      </c>
      <c r="F118" s="50" t="s">
        <v>5</v>
      </c>
      <c r="G118" s="50">
        <v>184400</v>
      </c>
      <c r="H118" s="50">
        <v>0</v>
      </c>
      <c r="I118" s="50">
        <v>16596</v>
      </c>
      <c r="J118" s="50">
        <v>16596</v>
      </c>
      <c r="K118" s="50">
        <v>0</v>
      </c>
      <c r="L118" s="50">
        <v>0</v>
      </c>
      <c r="M118" s="50">
        <v>0</v>
      </c>
      <c r="N118" s="50">
        <v>0</v>
      </c>
      <c r="O118" s="50">
        <v>0</v>
      </c>
      <c r="P118" s="50">
        <v>0</v>
      </c>
      <c r="Q118" s="50">
        <v>0</v>
      </c>
      <c r="R118" s="50" t="s">
        <v>55</v>
      </c>
      <c r="S118" s="50" t="s">
        <v>24</v>
      </c>
      <c r="T118" s="52"/>
    </row>
    <row r="119" spans="1:20" x14ac:dyDescent="0.25">
      <c r="A119" s="49" t="s">
        <v>378</v>
      </c>
      <c r="B119" s="50" t="s">
        <v>377</v>
      </c>
      <c r="C119" s="51" t="s">
        <v>110</v>
      </c>
      <c r="D119" s="67">
        <v>44303</v>
      </c>
      <c r="E119" s="50" t="s">
        <v>129</v>
      </c>
      <c r="F119" s="50" t="s">
        <v>5</v>
      </c>
      <c r="G119" s="50">
        <v>82968</v>
      </c>
      <c r="H119" s="50">
        <v>0</v>
      </c>
      <c r="I119" s="50">
        <v>7467.12</v>
      </c>
      <c r="J119" s="50">
        <v>7467.12</v>
      </c>
      <c r="K119" s="50">
        <v>0</v>
      </c>
      <c r="L119" s="50">
        <v>0</v>
      </c>
      <c r="M119" s="50">
        <v>0</v>
      </c>
      <c r="N119" s="50">
        <v>0</v>
      </c>
      <c r="O119" s="50">
        <v>0</v>
      </c>
      <c r="P119" s="50">
        <v>0</v>
      </c>
      <c r="Q119" s="50">
        <v>0</v>
      </c>
      <c r="R119" s="50" t="s">
        <v>55</v>
      </c>
      <c r="S119" s="50" t="s">
        <v>24</v>
      </c>
      <c r="T119" s="52"/>
    </row>
    <row r="120" spans="1:20" x14ac:dyDescent="0.25">
      <c r="A120" s="49" t="s">
        <v>378</v>
      </c>
      <c r="B120" s="50" t="s">
        <v>377</v>
      </c>
      <c r="C120" s="51" t="s">
        <v>259</v>
      </c>
      <c r="D120" s="67">
        <v>44305</v>
      </c>
      <c r="E120" s="50" t="s">
        <v>129</v>
      </c>
      <c r="F120" s="50" t="s">
        <v>5</v>
      </c>
      <c r="G120" s="50">
        <v>83850</v>
      </c>
      <c r="H120" s="50">
        <v>0</v>
      </c>
      <c r="I120" s="50">
        <v>7546.5</v>
      </c>
      <c r="J120" s="50">
        <v>7546.5</v>
      </c>
      <c r="K120" s="50">
        <v>0</v>
      </c>
      <c r="L120" s="50">
        <v>0</v>
      </c>
      <c r="M120" s="50">
        <v>0</v>
      </c>
      <c r="N120" s="50">
        <v>0</v>
      </c>
      <c r="O120" s="50">
        <v>0</v>
      </c>
      <c r="P120" s="50">
        <v>0</v>
      </c>
      <c r="Q120" s="50">
        <v>0</v>
      </c>
      <c r="R120" s="50" t="s">
        <v>55</v>
      </c>
      <c r="S120" s="50" t="s">
        <v>24</v>
      </c>
      <c r="T120" s="52"/>
    </row>
    <row r="121" spans="1:20" x14ac:dyDescent="0.25">
      <c r="A121" s="49" t="s">
        <v>378</v>
      </c>
      <c r="B121" s="50" t="s">
        <v>377</v>
      </c>
      <c r="C121" s="51" t="s">
        <v>118</v>
      </c>
      <c r="D121" s="67">
        <v>44305</v>
      </c>
      <c r="E121" s="50" t="s">
        <v>129</v>
      </c>
      <c r="F121" s="50" t="s">
        <v>5</v>
      </c>
      <c r="G121" s="50">
        <v>116878</v>
      </c>
      <c r="H121" s="50">
        <v>0</v>
      </c>
      <c r="I121" s="50">
        <v>10519.02</v>
      </c>
      <c r="J121" s="50">
        <v>10519.02</v>
      </c>
      <c r="K121" s="50">
        <v>0</v>
      </c>
      <c r="L121" s="50">
        <v>0</v>
      </c>
      <c r="M121" s="50">
        <v>0</v>
      </c>
      <c r="N121" s="50">
        <v>0</v>
      </c>
      <c r="O121" s="50">
        <v>0</v>
      </c>
      <c r="P121" s="50">
        <v>0</v>
      </c>
      <c r="Q121" s="50">
        <v>0</v>
      </c>
      <c r="R121" s="50" t="s">
        <v>55</v>
      </c>
      <c r="S121" s="50" t="s">
        <v>24</v>
      </c>
      <c r="T121" s="52"/>
    </row>
    <row r="122" spans="1:20" x14ac:dyDescent="0.25">
      <c r="A122" s="49" t="s">
        <v>378</v>
      </c>
      <c r="B122" s="50" t="s">
        <v>377</v>
      </c>
      <c r="C122" s="51" t="s">
        <v>102</v>
      </c>
      <c r="D122" s="67">
        <v>44306</v>
      </c>
      <c r="E122" s="50" t="s">
        <v>129</v>
      </c>
      <c r="F122" s="50" t="s">
        <v>5</v>
      </c>
      <c r="G122" s="50">
        <v>115400</v>
      </c>
      <c r="H122" s="50">
        <v>0</v>
      </c>
      <c r="I122" s="50">
        <v>10386</v>
      </c>
      <c r="J122" s="50">
        <v>10386</v>
      </c>
      <c r="K122" s="50">
        <v>0</v>
      </c>
      <c r="L122" s="50">
        <v>0</v>
      </c>
      <c r="M122" s="50">
        <v>0</v>
      </c>
      <c r="N122" s="50">
        <v>0</v>
      </c>
      <c r="O122" s="50">
        <v>0</v>
      </c>
      <c r="P122" s="50">
        <v>0</v>
      </c>
      <c r="Q122" s="50">
        <v>0</v>
      </c>
      <c r="R122" s="50" t="s">
        <v>55</v>
      </c>
      <c r="S122" s="50" t="s">
        <v>24</v>
      </c>
      <c r="T122" s="52"/>
    </row>
    <row r="123" spans="1:20" x14ac:dyDescent="0.25">
      <c r="A123" s="49" t="s">
        <v>378</v>
      </c>
      <c r="B123" s="50" t="s">
        <v>377</v>
      </c>
      <c r="C123" s="51" t="s">
        <v>263</v>
      </c>
      <c r="D123" s="67">
        <v>44309</v>
      </c>
      <c r="E123" s="50" t="s">
        <v>129</v>
      </c>
      <c r="F123" s="50" t="s">
        <v>5</v>
      </c>
      <c r="G123" s="50">
        <v>74308</v>
      </c>
      <c r="H123" s="50">
        <v>0</v>
      </c>
      <c r="I123" s="50">
        <v>6687.72</v>
      </c>
      <c r="J123" s="50">
        <v>6687.72</v>
      </c>
      <c r="K123" s="50">
        <v>0</v>
      </c>
      <c r="L123" s="50">
        <v>0</v>
      </c>
      <c r="M123" s="50">
        <v>0</v>
      </c>
      <c r="N123" s="50">
        <v>0</v>
      </c>
      <c r="O123" s="50">
        <v>0</v>
      </c>
      <c r="P123" s="50">
        <v>0</v>
      </c>
      <c r="Q123" s="50">
        <v>0</v>
      </c>
      <c r="R123" s="50" t="s">
        <v>55</v>
      </c>
      <c r="S123" s="50" t="s">
        <v>24</v>
      </c>
      <c r="T123" s="52"/>
    </row>
    <row r="124" spans="1:20" x14ac:dyDescent="0.25">
      <c r="A124" s="49" t="s">
        <v>378</v>
      </c>
      <c r="B124" s="50" t="s">
        <v>377</v>
      </c>
      <c r="C124" s="51" t="s">
        <v>113</v>
      </c>
      <c r="D124" s="67">
        <v>44314</v>
      </c>
      <c r="E124" s="50" t="s">
        <v>129</v>
      </c>
      <c r="F124" s="50" t="s">
        <v>5</v>
      </c>
      <c r="G124" s="50">
        <v>120824</v>
      </c>
      <c r="H124" s="50">
        <v>0</v>
      </c>
      <c r="I124" s="50">
        <v>10874.16</v>
      </c>
      <c r="J124" s="50">
        <v>10874.16</v>
      </c>
      <c r="K124" s="50">
        <v>0</v>
      </c>
      <c r="L124" s="50">
        <v>0</v>
      </c>
      <c r="M124" s="50">
        <v>0</v>
      </c>
      <c r="N124" s="50">
        <v>0</v>
      </c>
      <c r="O124" s="50">
        <v>0</v>
      </c>
      <c r="P124" s="50">
        <v>0</v>
      </c>
      <c r="Q124" s="50">
        <v>0</v>
      </c>
      <c r="R124" s="50" t="s">
        <v>55</v>
      </c>
      <c r="S124" s="50" t="s">
        <v>24</v>
      </c>
      <c r="T124" s="52"/>
    </row>
    <row r="125" spans="1:20" x14ac:dyDescent="0.25">
      <c r="A125" s="49" t="s">
        <v>379</v>
      </c>
      <c r="B125" s="50" t="s">
        <v>377</v>
      </c>
      <c r="C125" s="51" t="s">
        <v>266</v>
      </c>
      <c r="D125" s="67">
        <v>44316</v>
      </c>
      <c r="E125" s="50" t="s">
        <v>129</v>
      </c>
      <c r="F125" s="50" t="s">
        <v>5</v>
      </c>
      <c r="G125" s="50">
        <v>249126</v>
      </c>
      <c r="H125" s="50">
        <v>0</v>
      </c>
      <c r="I125" s="50">
        <v>22421.34</v>
      </c>
      <c r="J125" s="50">
        <v>22421.34</v>
      </c>
      <c r="K125" s="50">
        <v>0</v>
      </c>
      <c r="L125" s="50">
        <v>0</v>
      </c>
      <c r="M125" s="50">
        <v>0</v>
      </c>
      <c r="N125" s="50">
        <v>0</v>
      </c>
      <c r="O125" s="50">
        <v>0</v>
      </c>
      <c r="P125" s="50">
        <v>0</v>
      </c>
      <c r="Q125" s="50">
        <v>0</v>
      </c>
      <c r="R125" s="50" t="s">
        <v>55</v>
      </c>
      <c r="S125" s="50" t="s">
        <v>24</v>
      </c>
      <c r="T125" s="52"/>
    </row>
    <row r="126" spans="1:20" x14ac:dyDescent="0.25">
      <c r="A126" s="49" t="s">
        <v>379</v>
      </c>
      <c r="B126" s="50" t="s">
        <v>377</v>
      </c>
      <c r="C126" s="51" t="s">
        <v>268</v>
      </c>
      <c r="D126" s="67">
        <v>44316</v>
      </c>
      <c r="E126" s="50" t="s">
        <v>129</v>
      </c>
      <c r="F126" s="50" t="s">
        <v>5</v>
      </c>
      <c r="G126" s="50">
        <v>133990</v>
      </c>
      <c r="H126" s="50">
        <v>0</v>
      </c>
      <c r="I126" s="50">
        <v>12059.1</v>
      </c>
      <c r="J126" s="50">
        <v>12059.1</v>
      </c>
      <c r="K126" s="50">
        <v>0</v>
      </c>
      <c r="L126" s="50">
        <v>0</v>
      </c>
      <c r="M126" s="50">
        <v>0</v>
      </c>
      <c r="N126" s="50">
        <v>0</v>
      </c>
      <c r="O126" s="50">
        <v>0</v>
      </c>
      <c r="P126" s="50">
        <v>0</v>
      </c>
      <c r="Q126" s="50">
        <v>0</v>
      </c>
      <c r="R126" s="50" t="s">
        <v>55</v>
      </c>
      <c r="S126" s="50" t="s">
        <v>24</v>
      </c>
      <c r="T126" s="52"/>
    </row>
    <row r="127" spans="1:20" x14ac:dyDescent="0.25">
      <c r="A127" s="49" t="s">
        <v>383</v>
      </c>
      <c r="B127" s="50" t="s">
        <v>377</v>
      </c>
      <c r="C127" s="51" t="s">
        <v>270</v>
      </c>
      <c r="D127" s="67">
        <v>44287</v>
      </c>
      <c r="E127" s="50" t="s">
        <v>129</v>
      </c>
      <c r="F127" s="50" t="s">
        <v>5</v>
      </c>
      <c r="G127" s="50">
        <v>84400</v>
      </c>
      <c r="H127" s="50">
        <v>15192</v>
      </c>
      <c r="I127" s="50">
        <v>0</v>
      </c>
      <c r="J127" s="50">
        <v>0</v>
      </c>
      <c r="K127" s="50">
        <v>0</v>
      </c>
      <c r="L127" s="50">
        <v>0</v>
      </c>
      <c r="M127" s="50">
        <v>0</v>
      </c>
      <c r="N127" s="50">
        <v>0</v>
      </c>
      <c r="O127" s="50">
        <v>0</v>
      </c>
      <c r="P127" s="50">
        <v>0</v>
      </c>
      <c r="Q127" s="50">
        <v>0</v>
      </c>
      <c r="R127" s="50" t="s">
        <v>55</v>
      </c>
      <c r="S127" s="50" t="s">
        <v>24</v>
      </c>
      <c r="T127" s="52"/>
    </row>
    <row r="128" spans="1:20" x14ac:dyDescent="0.25">
      <c r="A128" s="49" t="s">
        <v>387</v>
      </c>
      <c r="B128" s="50" t="s">
        <v>377</v>
      </c>
      <c r="C128" s="51" t="s">
        <v>272</v>
      </c>
      <c r="D128" s="67">
        <v>44289</v>
      </c>
      <c r="E128" s="50" t="s">
        <v>129</v>
      </c>
      <c r="F128" s="50" t="s">
        <v>5</v>
      </c>
      <c r="G128" s="50">
        <v>3398400</v>
      </c>
      <c r="H128" s="50">
        <v>611712</v>
      </c>
      <c r="I128" s="50">
        <v>0</v>
      </c>
      <c r="J128" s="50">
        <v>0</v>
      </c>
      <c r="K128" s="50">
        <v>0</v>
      </c>
      <c r="L128" s="50">
        <v>0</v>
      </c>
      <c r="M128" s="50">
        <v>0</v>
      </c>
      <c r="N128" s="50">
        <v>0</v>
      </c>
      <c r="O128" s="50">
        <v>0</v>
      </c>
      <c r="P128" s="50">
        <v>0</v>
      </c>
      <c r="Q128" s="50">
        <v>0</v>
      </c>
      <c r="R128" s="50" t="s">
        <v>55</v>
      </c>
      <c r="S128" s="50" t="s">
        <v>24</v>
      </c>
      <c r="T128" s="52"/>
    </row>
    <row r="129" spans="1:20" x14ac:dyDescent="0.25">
      <c r="A129" s="49" t="s">
        <v>387</v>
      </c>
      <c r="B129" s="50" t="s">
        <v>377</v>
      </c>
      <c r="C129" s="51" t="s">
        <v>273</v>
      </c>
      <c r="D129" s="67">
        <v>44302</v>
      </c>
      <c r="E129" s="50" t="s">
        <v>129</v>
      </c>
      <c r="F129" s="50" t="s">
        <v>5</v>
      </c>
      <c r="G129" s="50">
        <v>4624576</v>
      </c>
      <c r="H129" s="50">
        <v>832424</v>
      </c>
      <c r="I129" s="50">
        <v>0</v>
      </c>
      <c r="J129" s="50">
        <v>0</v>
      </c>
      <c r="K129" s="50">
        <v>0</v>
      </c>
      <c r="L129" s="50">
        <v>0</v>
      </c>
      <c r="M129" s="50">
        <v>0</v>
      </c>
      <c r="N129" s="50">
        <v>0</v>
      </c>
      <c r="O129" s="50">
        <v>0</v>
      </c>
      <c r="P129" s="50">
        <v>0</v>
      </c>
      <c r="Q129" s="50">
        <v>0</v>
      </c>
      <c r="R129" s="50" t="s">
        <v>55</v>
      </c>
      <c r="S129" s="50" t="s">
        <v>24</v>
      </c>
      <c r="T129" s="52"/>
    </row>
    <row r="130" spans="1:20" x14ac:dyDescent="0.25">
      <c r="A130" s="49" t="s">
        <v>387</v>
      </c>
      <c r="B130" s="50" t="s">
        <v>377</v>
      </c>
      <c r="C130" s="51" t="s">
        <v>275</v>
      </c>
      <c r="D130" s="67">
        <v>44305</v>
      </c>
      <c r="E130" s="50" t="s">
        <v>129</v>
      </c>
      <c r="F130" s="50" t="s">
        <v>5</v>
      </c>
      <c r="G130" s="50">
        <v>4740386</v>
      </c>
      <c r="H130" s="50">
        <v>853270</v>
      </c>
      <c r="I130" s="50">
        <v>0</v>
      </c>
      <c r="J130" s="50">
        <v>0</v>
      </c>
      <c r="K130" s="50">
        <v>0</v>
      </c>
      <c r="L130" s="50">
        <v>0</v>
      </c>
      <c r="M130" s="50">
        <v>0</v>
      </c>
      <c r="N130" s="50">
        <v>0</v>
      </c>
      <c r="O130" s="50">
        <v>0</v>
      </c>
      <c r="P130" s="50">
        <v>0</v>
      </c>
      <c r="Q130" s="50">
        <v>0</v>
      </c>
      <c r="R130" s="50" t="s">
        <v>55</v>
      </c>
      <c r="S130" s="50" t="s">
        <v>24</v>
      </c>
      <c r="T130" s="52"/>
    </row>
    <row r="131" spans="1:20" x14ac:dyDescent="0.25">
      <c r="A131" s="49" t="s">
        <v>387</v>
      </c>
      <c r="B131" s="50" t="s">
        <v>377</v>
      </c>
      <c r="C131" s="51" t="s">
        <v>277</v>
      </c>
      <c r="D131" s="67">
        <v>44310</v>
      </c>
      <c r="E131" s="50" t="s">
        <v>129</v>
      </c>
      <c r="F131" s="50" t="s">
        <v>5</v>
      </c>
      <c r="G131" s="50">
        <v>4756036</v>
      </c>
      <c r="H131" s="50">
        <v>856086</v>
      </c>
      <c r="I131" s="50">
        <v>0</v>
      </c>
      <c r="J131" s="50">
        <v>0</v>
      </c>
      <c r="K131" s="50">
        <v>0</v>
      </c>
      <c r="L131" s="50">
        <v>0</v>
      </c>
      <c r="M131" s="50">
        <v>0</v>
      </c>
      <c r="N131" s="50">
        <v>0</v>
      </c>
      <c r="O131" s="50">
        <v>0</v>
      </c>
      <c r="P131" s="50">
        <v>0</v>
      </c>
      <c r="Q131" s="50">
        <v>0</v>
      </c>
      <c r="R131" s="50" t="s">
        <v>55</v>
      </c>
      <c r="S131" s="50" t="s">
        <v>24</v>
      </c>
      <c r="T131" s="52"/>
    </row>
    <row r="132" spans="1:20" x14ac:dyDescent="0.25">
      <c r="A132" s="49" t="s">
        <v>387</v>
      </c>
      <c r="B132" s="50" t="s">
        <v>377</v>
      </c>
      <c r="C132" s="51" t="s">
        <v>279</v>
      </c>
      <c r="D132" s="67">
        <v>44315</v>
      </c>
      <c r="E132" s="50" t="s">
        <v>129</v>
      </c>
      <c r="F132" s="50" t="s">
        <v>5</v>
      </c>
      <c r="G132" s="50">
        <v>4729430</v>
      </c>
      <c r="H132" s="50">
        <v>851298</v>
      </c>
      <c r="I132" s="50">
        <v>0</v>
      </c>
      <c r="J132" s="50">
        <v>0</v>
      </c>
      <c r="K132" s="50">
        <v>0</v>
      </c>
      <c r="L132" s="50">
        <v>0</v>
      </c>
      <c r="M132" s="50">
        <v>0</v>
      </c>
      <c r="N132" s="50">
        <v>0</v>
      </c>
      <c r="O132" s="50">
        <v>0</v>
      </c>
      <c r="P132" s="50">
        <v>0</v>
      </c>
      <c r="Q132" s="50">
        <v>0</v>
      </c>
      <c r="R132" s="50" t="s">
        <v>55</v>
      </c>
      <c r="S132" s="50" t="s">
        <v>24</v>
      </c>
      <c r="T132" s="52"/>
    </row>
    <row r="133" spans="1:20" x14ac:dyDescent="0.25">
      <c r="A133" s="49" t="s">
        <v>388</v>
      </c>
      <c r="B133" s="50" t="s">
        <v>377</v>
      </c>
      <c r="C133" s="51" t="s">
        <v>282</v>
      </c>
      <c r="D133" s="67">
        <v>44294</v>
      </c>
      <c r="E133" s="50" t="s">
        <v>129</v>
      </c>
      <c r="F133" s="50" t="s">
        <v>5</v>
      </c>
      <c r="G133" s="50">
        <v>74131.199999999997</v>
      </c>
      <c r="H133" s="50">
        <v>13343.62</v>
      </c>
      <c r="I133" s="50">
        <v>0</v>
      </c>
      <c r="J133" s="50">
        <v>0</v>
      </c>
      <c r="K133" s="50">
        <v>0</v>
      </c>
      <c r="L133" s="50">
        <v>0</v>
      </c>
      <c r="M133" s="50">
        <v>0</v>
      </c>
      <c r="N133" s="50">
        <v>0</v>
      </c>
      <c r="O133" s="50">
        <v>0</v>
      </c>
      <c r="P133" s="50">
        <v>0</v>
      </c>
      <c r="Q133" s="50">
        <v>0</v>
      </c>
      <c r="R133" s="50" t="s">
        <v>55</v>
      </c>
      <c r="S133" s="50" t="s">
        <v>24</v>
      </c>
      <c r="T133" s="52"/>
    </row>
    <row r="134" spans="1:20" x14ac:dyDescent="0.25">
      <c r="A134" s="49" t="s">
        <v>389</v>
      </c>
      <c r="B134" s="50" t="s">
        <v>377</v>
      </c>
      <c r="C134" s="51" t="s">
        <v>284</v>
      </c>
      <c r="D134" s="67">
        <v>44294</v>
      </c>
      <c r="E134" s="50" t="s">
        <v>129</v>
      </c>
      <c r="F134" s="50" t="s">
        <v>5</v>
      </c>
      <c r="G134" s="50">
        <v>4727.16</v>
      </c>
      <c r="H134" s="50">
        <v>0</v>
      </c>
      <c r="I134" s="50">
        <v>425.44</v>
      </c>
      <c r="J134" s="50">
        <v>425.44</v>
      </c>
      <c r="K134" s="50">
        <v>0</v>
      </c>
      <c r="L134" s="50">
        <v>0</v>
      </c>
      <c r="M134" s="50">
        <v>0</v>
      </c>
      <c r="N134" s="50">
        <v>0</v>
      </c>
      <c r="O134" s="50">
        <v>0</v>
      </c>
      <c r="P134" s="50">
        <v>0</v>
      </c>
      <c r="Q134" s="50">
        <v>0</v>
      </c>
      <c r="R134" s="50" t="s">
        <v>55</v>
      </c>
      <c r="S134" s="50" t="s">
        <v>24</v>
      </c>
      <c r="T134" s="52"/>
    </row>
    <row r="135" spans="1:20" x14ac:dyDescent="0.25">
      <c r="A135" s="49" t="s">
        <v>384</v>
      </c>
      <c r="B135" s="50" t="s">
        <v>377</v>
      </c>
      <c r="C135" s="51" t="s">
        <v>287</v>
      </c>
      <c r="D135" s="67">
        <v>44305</v>
      </c>
      <c r="E135" s="50" t="s">
        <v>129</v>
      </c>
      <c r="F135" s="50" t="s">
        <v>5</v>
      </c>
      <c r="G135" s="50">
        <v>92000</v>
      </c>
      <c r="H135" s="50">
        <v>16560</v>
      </c>
      <c r="I135" s="50">
        <v>0</v>
      </c>
      <c r="J135" s="50">
        <v>0</v>
      </c>
      <c r="K135" s="50">
        <v>0</v>
      </c>
      <c r="L135" s="50">
        <v>0</v>
      </c>
      <c r="M135" s="50">
        <v>0</v>
      </c>
      <c r="N135" s="50">
        <v>0</v>
      </c>
      <c r="O135" s="50">
        <v>0</v>
      </c>
      <c r="P135" s="50">
        <v>0</v>
      </c>
      <c r="Q135" s="50">
        <v>0</v>
      </c>
      <c r="R135" s="50" t="s">
        <v>55</v>
      </c>
      <c r="S135" s="50" t="s">
        <v>24</v>
      </c>
      <c r="T135" s="52"/>
    </row>
    <row r="136" spans="1:20" x14ac:dyDescent="0.25">
      <c r="A136" s="49" t="s">
        <v>385</v>
      </c>
      <c r="B136" s="50" t="s">
        <v>377</v>
      </c>
      <c r="C136" s="51" t="s">
        <v>289</v>
      </c>
      <c r="D136" s="67">
        <v>44301</v>
      </c>
      <c r="E136" s="50" t="s">
        <v>129</v>
      </c>
      <c r="F136" s="50" t="s">
        <v>5</v>
      </c>
      <c r="G136" s="50">
        <v>134265.60000000001</v>
      </c>
      <c r="H136" s="50">
        <v>24167.8</v>
      </c>
      <c r="I136" s="50">
        <v>0</v>
      </c>
      <c r="J136" s="50">
        <v>0</v>
      </c>
      <c r="K136" s="50">
        <v>0</v>
      </c>
      <c r="L136" s="50">
        <v>0</v>
      </c>
      <c r="M136" s="50">
        <v>0</v>
      </c>
      <c r="N136" s="50">
        <v>0</v>
      </c>
      <c r="O136" s="50">
        <v>0</v>
      </c>
      <c r="P136" s="50">
        <v>0</v>
      </c>
      <c r="Q136" s="50">
        <v>0</v>
      </c>
      <c r="R136" s="50" t="s">
        <v>55</v>
      </c>
      <c r="S136" s="50" t="s">
        <v>24</v>
      </c>
      <c r="T136" s="52"/>
    </row>
    <row r="137" spans="1:20" x14ac:dyDescent="0.25">
      <c r="A137" s="49" t="s">
        <v>385</v>
      </c>
      <c r="B137" s="50" t="s">
        <v>377</v>
      </c>
      <c r="C137" s="51" t="s">
        <v>290</v>
      </c>
      <c r="D137" s="67">
        <v>44301</v>
      </c>
      <c r="E137" s="50" t="s">
        <v>129</v>
      </c>
      <c r="F137" s="50" t="s">
        <v>5</v>
      </c>
      <c r="G137" s="50">
        <v>696800</v>
      </c>
      <c r="H137" s="50">
        <v>125424</v>
      </c>
      <c r="I137" s="50">
        <v>0</v>
      </c>
      <c r="J137" s="50">
        <v>0</v>
      </c>
      <c r="K137" s="50">
        <v>0</v>
      </c>
      <c r="L137" s="50">
        <v>0</v>
      </c>
      <c r="M137" s="50">
        <v>0</v>
      </c>
      <c r="N137" s="50">
        <v>0</v>
      </c>
      <c r="O137" s="50">
        <v>0</v>
      </c>
      <c r="P137" s="50">
        <v>0</v>
      </c>
      <c r="Q137" s="50">
        <v>0</v>
      </c>
      <c r="R137" s="50" t="s">
        <v>55</v>
      </c>
      <c r="S137" s="50" t="s">
        <v>24</v>
      </c>
      <c r="T137" s="52"/>
    </row>
    <row r="138" spans="1:20" x14ac:dyDescent="0.25">
      <c r="A138" s="49" t="s">
        <v>385</v>
      </c>
      <c r="B138" s="50" t="s">
        <v>377</v>
      </c>
      <c r="C138" s="51" t="s">
        <v>292</v>
      </c>
      <c r="D138" s="67">
        <v>44306</v>
      </c>
      <c r="E138" s="50" t="s">
        <v>129</v>
      </c>
      <c r="F138" s="50" t="s">
        <v>5</v>
      </c>
      <c r="G138" s="50">
        <v>696800</v>
      </c>
      <c r="H138" s="50">
        <v>125424</v>
      </c>
      <c r="I138" s="50">
        <v>0</v>
      </c>
      <c r="J138" s="50">
        <v>0</v>
      </c>
      <c r="K138" s="50">
        <v>0</v>
      </c>
      <c r="L138" s="50">
        <v>0</v>
      </c>
      <c r="M138" s="50">
        <v>0</v>
      </c>
      <c r="N138" s="50">
        <v>0</v>
      </c>
      <c r="O138" s="50">
        <v>0</v>
      </c>
      <c r="P138" s="50">
        <v>0</v>
      </c>
      <c r="Q138" s="50">
        <v>0</v>
      </c>
      <c r="R138" s="50" t="s">
        <v>55</v>
      </c>
      <c r="S138" s="50" t="s">
        <v>24</v>
      </c>
      <c r="T138" s="52"/>
    </row>
    <row r="139" spans="1:20" x14ac:dyDescent="0.25">
      <c r="A139" s="49" t="s">
        <v>386</v>
      </c>
      <c r="B139" s="50" t="s">
        <v>377</v>
      </c>
      <c r="C139" s="51" t="s">
        <v>294</v>
      </c>
      <c r="D139" s="67">
        <v>44313</v>
      </c>
      <c r="E139" s="50" t="s">
        <v>129</v>
      </c>
      <c r="F139" s="50" t="s">
        <v>5</v>
      </c>
      <c r="G139" s="50">
        <v>3588</v>
      </c>
      <c r="H139" s="50">
        <v>0</v>
      </c>
      <c r="I139" s="50">
        <v>322.92</v>
      </c>
      <c r="J139" s="50">
        <v>322.92</v>
      </c>
      <c r="K139" s="50">
        <v>0</v>
      </c>
      <c r="L139" s="50">
        <v>0</v>
      </c>
      <c r="M139" s="50">
        <v>0</v>
      </c>
      <c r="N139" s="50">
        <v>0</v>
      </c>
      <c r="O139" s="50">
        <v>0</v>
      </c>
      <c r="P139" s="50">
        <v>0</v>
      </c>
      <c r="Q139" s="50">
        <v>0</v>
      </c>
      <c r="R139" s="50" t="s">
        <v>55</v>
      </c>
      <c r="S139" s="50" t="s">
        <v>24</v>
      </c>
      <c r="T139" s="52"/>
    </row>
    <row r="140" spans="1:20" x14ac:dyDescent="0.25">
      <c r="A140" s="49" t="s">
        <v>387</v>
      </c>
      <c r="B140" s="50" t="s">
        <v>377</v>
      </c>
      <c r="C140" s="51" t="s">
        <v>358</v>
      </c>
      <c r="D140" s="67">
        <v>44258</v>
      </c>
      <c r="E140" s="50" t="s">
        <v>129</v>
      </c>
      <c r="F140" s="50" t="s">
        <v>130</v>
      </c>
      <c r="G140" s="50">
        <v>55800</v>
      </c>
      <c r="H140" s="50">
        <v>10044</v>
      </c>
      <c r="I140" s="50">
        <v>0</v>
      </c>
      <c r="J140" s="50">
        <v>0</v>
      </c>
      <c r="K140" s="50">
        <v>0</v>
      </c>
      <c r="L140" s="50">
        <v>0</v>
      </c>
      <c r="M140" s="50">
        <v>0</v>
      </c>
      <c r="N140" s="50">
        <v>0</v>
      </c>
      <c r="O140" s="50">
        <v>0</v>
      </c>
      <c r="P140" s="50">
        <v>0</v>
      </c>
      <c r="Q140" s="50">
        <v>0</v>
      </c>
      <c r="R140" s="50" t="s">
        <v>359</v>
      </c>
      <c r="S140" s="50" t="s">
        <v>24</v>
      </c>
      <c r="T140" s="52"/>
    </row>
    <row r="141" spans="1:20" x14ac:dyDescent="0.25">
      <c r="A141" s="49" t="s">
        <v>391</v>
      </c>
      <c r="B141" s="50" t="s">
        <v>392</v>
      </c>
      <c r="C141" s="51" t="s">
        <v>362</v>
      </c>
      <c r="D141" s="67">
        <v>44313</v>
      </c>
      <c r="E141" s="50" t="s">
        <v>129</v>
      </c>
      <c r="F141" s="50" t="s">
        <v>5</v>
      </c>
      <c r="G141" s="50">
        <v>-31681.25</v>
      </c>
      <c r="H141" s="50">
        <v>-5702.63</v>
      </c>
      <c r="I141" s="50">
        <v>0</v>
      </c>
      <c r="J141" s="50">
        <v>0</v>
      </c>
      <c r="K141" s="50">
        <v>0</v>
      </c>
      <c r="L141" s="50">
        <v>0</v>
      </c>
      <c r="M141" s="50">
        <v>0</v>
      </c>
      <c r="N141" s="50">
        <v>0</v>
      </c>
      <c r="O141" s="50">
        <v>0</v>
      </c>
      <c r="P141" s="50">
        <v>0</v>
      </c>
      <c r="Q141" s="50">
        <v>0</v>
      </c>
      <c r="R141" s="50" t="s">
        <v>55</v>
      </c>
      <c r="S141" s="50" t="s">
        <v>43</v>
      </c>
      <c r="T141" s="52"/>
    </row>
    <row r="142" spans="1:20" x14ac:dyDescent="0.25">
      <c r="A142" s="49" t="s">
        <v>391</v>
      </c>
      <c r="B142" s="50" t="s">
        <v>392</v>
      </c>
      <c r="C142" s="51" t="s">
        <v>362</v>
      </c>
      <c r="D142" s="67">
        <v>44313</v>
      </c>
      <c r="E142" s="50" t="s">
        <v>129</v>
      </c>
      <c r="F142" s="50" t="s">
        <v>5</v>
      </c>
      <c r="G142" s="50">
        <v>-31681.25</v>
      </c>
      <c r="H142" s="50">
        <v>-5702.63</v>
      </c>
      <c r="I142" s="50">
        <v>0</v>
      </c>
      <c r="J142" s="50">
        <v>0</v>
      </c>
      <c r="K142" s="50">
        <v>0</v>
      </c>
      <c r="L142" s="50">
        <v>0</v>
      </c>
      <c r="M142" s="50">
        <v>0</v>
      </c>
      <c r="N142" s="50">
        <v>0</v>
      </c>
      <c r="O142" s="50">
        <v>0</v>
      </c>
      <c r="P142" s="50">
        <v>0</v>
      </c>
      <c r="Q142" s="50">
        <v>0</v>
      </c>
      <c r="R142" s="50" t="s">
        <v>55</v>
      </c>
      <c r="S142" s="50" t="s">
        <v>43</v>
      </c>
      <c r="T142" s="52"/>
    </row>
    <row r="143" spans="1:20" x14ac:dyDescent="0.25">
      <c r="A143" s="49" t="s">
        <v>124</v>
      </c>
      <c r="B143" s="50" t="s">
        <v>123</v>
      </c>
      <c r="C143" s="51" t="s">
        <v>489</v>
      </c>
      <c r="D143" s="67">
        <v>44292</v>
      </c>
      <c r="E143" s="50" t="s">
        <v>129</v>
      </c>
      <c r="F143" s="50" t="s">
        <v>5</v>
      </c>
      <c r="G143" s="50">
        <v>100000</v>
      </c>
      <c r="H143" s="50">
        <v>18000</v>
      </c>
      <c r="I143" s="50">
        <v>0</v>
      </c>
      <c r="J143" s="50">
        <v>0</v>
      </c>
      <c r="K143" s="50">
        <v>0</v>
      </c>
      <c r="L143" s="50">
        <v>0</v>
      </c>
      <c r="M143" s="50">
        <v>0</v>
      </c>
      <c r="N143" s="50">
        <v>0</v>
      </c>
      <c r="O143" s="50">
        <v>0</v>
      </c>
      <c r="P143" s="50">
        <v>0</v>
      </c>
      <c r="Q143" s="50">
        <v>0</v>
      </c>
      <c r="R143" s="50" t="s">
        <v>55</v>
      </c>
      <c r="S143" s="50" t="s">
        <v>124</v>
      </c>
      <c r="T143" s="52"/>
    </row>
    <row r="144" spans="1:20" x14ac:dyDescent="0.25">
      <c r="A144" s="49" t="s">
        <v>124</v>
      </c>
      <c r="B144" s="50" t="s">
        <v>123</v>
      </c>
      <c r="C144" s="51" t="s">
        <v>489</v>
      </c>
      <c r="D144" s="67">
        <v>44292</v>
      </c>
      <c r="E144" s="50" t="s">
        <v>129</v>
      </c>
      <c r="F144" s="50" t="s">
        <v>5</v>
      </c>
      <c r="G144" s="50">
        <v>100000</v>
      </c>
      <c r="H144" s="50">
        <v>18000</v>
      </c>
      <c r="I144" s="50">
        <v>0</v>
      </c>
      <c r="J144" s="50">
        <v>0</v>
      </c>
      <c r="K144" s="50">
        <v>0</v>
      </c>
      <c r="L144" s="50">
        <v>0</v>
      </c>
      <c r="M144" s="50">
        <v>0</v>
      </c>
      <c r="N144" s="50">
        <v>0</v>
      </c>
      <c r="O144" s="50">
        <v>0</v>
      </c>
      <c r="P144" s="50">
        <v>0</v>
      </c>
      <c r="Q144" s="50">
        <v>0</v>
      </c>
      <c r="R144" s="50" t="s">
        <v>55</v>
      </c>
      <c r="S144" s="50" t="s">
        <v>124</v>
      </c>
      <c r="T144" s="52"/>
    </row>
    <row r="145" spans="1:20" x14ac:dyDescent="0.25">
      <c r="A145" s="49" t="s">
        <v>351</v>
      </c>
      <c r="B145" s="50" t="s">
        <v>352</v>
      </c>
      <c r="C145" s="51" t="s">
        <v>353</v>
      </c>
      <c r="D145" s="67">
        <v>44496</v>
      </c>
      <c r="E145" s="50" t="s">
        <v>354</v>
      </c>
      <c r="F145" s="50" t="s">
        <v>5</v>
      </c>
      <c r="G145" s="50">
        <v>9786</v>
      </c>
      <c r="H145" s="50">
        <v>1761</v>
      </c>
      <c r="I145" s="50">
        <v>0</v>
      </c>
      <c r="J145" s="50">
        <v>0</v>
      </c>
      <c r="K145" s="50">
        <v>0</v>
      </c>
      <c r="L145" s="50">
        <v>0</v>
      </c>
      <c r="M145" s="50">
        <v>0</v>
      </c>
      <c r="N145" s="50">
        <v>0</v>
      </c>
      <c r="O145" s="50">
        <v>0</v>
      </c>
      <c r="P145" s="50">
        <v>0</v>
      </c>
      <c r="Q145" s="50">
        <v>0</v>
      </c>
      <c r="R145" s="50" t="s">
        <v>55</v>
      </c>
      <c r="S145" s="50" t="s">
        <v>355</v>
      </c>
      <c r="T145" s="52"/>
    </row>
    <row r="146" spans="1:20" x14ac:dyDescent="0.25">
      <c r="A146" s="49" t="s">
        <v>351</v>
      </c>
      <c r="B146" s="50" t="s">
        <v>352</v>
      </c>
      <c r="C146" s="51" t="s">
        <v>356</v>
      </c>
      <c r="D146" s="67">
        <v>44511</v>
      </c>
      <c r="E146" s="50" t="s">
        <v>354</v>
      </c>
      <c r="F146" s="50" t="s">
        <v>5</v>
      </c>
      <c r="G146" s="50">
        <v>466</v>
      </c>
      <c r="H146" s="50">
        <v>84</v>
      </c>
      <c r="I146" s="50">
        <v>0</v>
      </c>
      <c r="J146" s="50">
        <v>0</v>
      </c>
      <c r="K146" s="50">
        <v>0</v>
      </c>
      <c r="L146" s="50">
        <v>0</v>
      </c>
      <c r="M146" s="50">
        <v>0</v>
      </c>
      <c r="N146" s="50">
        <v>0</v>
      </c>
      <c r="O146" s="50">
        <v>0</v>
      </c>
      <c r="P146" s="50">
        <v>0</v>
      </c>
      <c r="Q146" s="50">
        <v>0</v>
      </c>
      <c r="R146" s="50" t="s">
        <v>55</v>
      </c>
      <c r="S146" s="50" t="s">
        <v>355</v>
      </c>
      <c r="T146" s="52"/>
    </row>
    <row r="238" spans="1:20" s="32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</row>
    <row r="239" spans="1:20" s="32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</row>
    <row r="240" spans="1:20" s="32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</row>
    <row r="241" spans="1:20" s="32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</row>
    <row r="242" spans="1:20" s="32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</row>
    <row r="243" spans="1:20" s="32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</row>
    <row r="244" spans="1:20" s="32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</row>
    <row r="245" spans="1:20" s="32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</row>
    <row r="246" spans="1:20" s="32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</row>
    <row r="247" spans="1:20" s="32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</row>
    <row r="248" spans="1:20" s="32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</row>
    <row r="249" spans="1:20" s="32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</row>
    <row r="250" spans="1:20" s="32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</row>
    <row r="251" spans="1:20" s="32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</row>
    <row r="252" spans="1:20" s="32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</row>
    <row r="253" spans="1:20" s="32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</row>
    <row r="254" spans="1:20" s="32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</row>
    <row r="255" spans="1:20" s="32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</row>
  </sheetData>
  <phoneticPr fontId="1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ummary"/>
  <dimension ref="A1:V38"/>
  <sheetViews>
    <sheetView topLeftCell="P1" workbookViewId="0">
      <selection activeCell="P1" sqref="P1"/>
    </sheetView>
  </sheetViews>
  <sheetFormatPr defaultRowHeight="15" x14ac:dyDescent="0.25"/>
  <cols>
    <col min="1" max="1" width="67.7109375" hidden="1" customWidth="1"/>
    <col min="2" max="2" width="17" hidden="1" customWidth="1"/>
    <col min="3" max="3" width="16.85546875" hidden="1" customWidth="1"/>
    <col min="4" max="4" width="15.42578125" hidden="1" customWidth="1"/>
    <col min="5" max="5" width="14" hidden="1" customWidth="1"/>
    <col min="6" max="6" width="8" hidden="1" customWidth="1"/>
    <col min="7" max="7" width="22" hidden="1" customWidth="1"/>
    <col min="8" max="8" width="19" hidden="1" customWidth="1"/>
    <col min="9" max="9" width="19.5703125" hidden="1" customWidth="1"/>
    <col min="10" max="10" width="19.42578125" hidden="1" customWidth="1"/>
    <col min="11" max="13" width="19.140625" hidden="1" customWidth="1"/>
    <col min="14" max="15" width="0" hidden="1" customWidth="1"/>
    <col min="16" max="16" width="67.7109375" bestFit="1" customWidth="1"/>
    <col min="17" max="17" width="8.140625" bestFit="1" customWidth="1"/>
    <col min="18" max="18" width="19.140625" bestFit="1" customWidth="1"/>
    <col min="19" max="22" width="19.140625" hidden="1" customWidth="1"/>
    <col min="23" max="25" width="19.140625" bestFit="1" customWidth="1"/>
  </cols>
  <sheetData>
    <row r="1" spans="16:22" ht="33.75" x14ac:dyDescent="0.5">
      <c r="P1" s="31"/>
      <c r="S1" t="s">
        <v>70</v>
      </c>
      <c r="U1" s="16" t="s">
        <v>169</v>
      </c>
      <c r="V1" s="16" t="s">
        <v>170</v>
      </c>
    </row>
    <row r="2" spans="16:22" ht="30" x14ac:dyDescent="0.25">
      <c r="S2" t="s">
        <v>71</v>
      </c>
      <c r="U2" s="17">
        <v>35</v>
      </c>
      <c r="V2" s="18" t="s">
        <v>133</v>
      </c>
    </row>
    <row r="3" spans="16:22" x14ac:dyDescent="0.25">
      <c r="S3" t="s">
        <v>72</v>
      </c>
      <c r="U3" s="17">
        <v>37</v>
      </c>
      <c r="V3" s="18" t="s">
        <v>134</v>
      </c>
    </row>
    <row r="4" spans="16:22" x14ac:dyDescent="0.25">
      <c r="S4" t="s">
        <v>73</v>
      </c>
      <c r="U4" s="17">
        <v>12</v>
      </c>
      <c r="V4" s="18" t="s">
        <v>135</v>
      </c>
    </row>
    <row r="5" spans="16:22" x14ac:dyDescent="0.25">
      <c r="S5" t="s">
        <v>69</v>
      </c>
      <c r="U5" s="17">
        <v>18</v>
      </c>
      <c r="V5" s="18" t="s">
        <v>136</v>
      </c>
    </row>
    <row r="6" spans="16:22" x14ac:dyDescent="0.25">
      <c r="S6" t="s">
        <v>74</v>
      </c>
      <c r="U6" s="19">
        <v>10</v>
      </c>
      <c r="V6" s="18" t="s">
        <v>137</v>
      </c>
    </row>
    <row r="7" spans="16:22" x14ac:dyDescent="0.25">
      <c r="U7" s="19" t="s">
        <v>33</v>
      </c>
      <c r="V7" s="18" t="s">
        <v>138</v>
      </c>
    </row>
    <row r="8" spans="16:22" x14ac:dyDescent="0.25">
      <c r="U8" s="17">
        <v>22</v>
      </c>
      <c r="V8" s="18" t="s">
        <v>139</v>
      </c>
    </row>
    <row r="9" spans="16:22" ht="30" x14ac:dyDescent="0.25">
      <c r="U9" s="17">
        <v>26</v>
      </c>
      <c r="V9" s="18" t="s">
        <v>140</v>
      </c>
    </row>
    <row r="10" spans="16:22" x14ac:dyDescent="0.25">
      <c r="U10" s="17">
        <v>25</v>
      </c>
      <c r="V10" s="18" t="s">
        <v>141</v>
      </c>
    </row>
    <row r="11" spans="16:22" x14ac:dyDescent="0.25">
      <c r="U11" s="19" t="s">
        <v>142</v>
      </c>
      <c r="V11" s="18" t="s">
        <v>143</v>
      </c>
    </row>
    <row r="12" spans="16:22" x14ac:dyDescent="0.25">
      <c r="U12" s="17">
        <v>30</v>
      </c>
      <c r="V12" s="18" t="s">
        <v>144</v>
      </c>
    </row>
    <row r="13" spans="16:22" x14ac:dyDescent="0.25">
      <c r="U13" s="17">
        <v>24</v>
      </c>
      <c r="V13" s="18" t="s">
        <v>145</v>
      </c>
    </row>
    <row r="14" spans="16:22" x14ac:dyDescent="0.25">
      <c r="U14" s="19" t="s">
        <v>36</v>
      </c>
      <c r="V14" s="18" t="s">
        <v>146</v>
      </c>
    </row>
    <row r="15" spans="16:22" x14ac:dyDescent="0.25">
      <c r="U15" s="19" t="s">
        <v>34</v>
      </c>
      <c r="V15" s="18" t="s">
        <v>130</v>
      </c>
    </row>
    <row r="16" spans="16:22" x14ac:dyDescent="0.25">
      <c r="U16" s="19" t="s">
        <v>30</v>
      </c>
      <c r="V16" s="18" t="s">
        <v>147</v>
      </c>
    </row>
    <row r="17" spans="21:22" x14ac:dyDescent="0.25">
      <c r="U17" s="17">
        <v>20</v>
      </c>
      <c r="V17" s="18" t="s">
        <v>148</v>
      </c>
    </row>
    <row r="18" spans="21:22" x14ac:dyDescent="0.25">
      <c r="U18" s="17">
        <v>29</v>
      </c>
      <c r="V18" s="18" t="s">
        <v>149</v>
      </c>
    </row>
    <row r="19" spans="21:22" x14ac:dyDescent="0.25">
      <c r="U19" s="17">
        <v>32</v>
      </c>
      <c r="V19" s="18" t="s">
        <v>150</v>
      </c>
    </row>
    <row r="20" spans="21:22" x14ac:dyDescent="0.25">
      <c r="U20" s="17">
        <v>31</v>
      </c>
      <c r="V20" s="18" t="s">
        <v>151</v>
      </c>
    </row>
    <row r="21" spans="21:22" x14ac:dyDescent="0.25">
      <c r="U21" s="17">
        <v>23</v>
      </c>
      <c r="V21" s="18" t="s">
        <v>152</v>
      </c>
    </row>
    <row r="22" spans="21:22" x14ac:dyDescent="0.25">
      <c r="U22" s="17">
        <v>27</v>
      </c>
      <c r="V22" s="18" t="s">
        <v>153</v>
      </c>
    </row>
    <row r="23" spans="21:22" x14ac:dyDescent="0.25">
      <c r="U23" s="17">
        <v>14</v>
      </c>
      <c r="V23" s="18" t="s">
        <v>154</v>
      </c>
    </row>
    <row r="24" spans="21:22" x14ac:dyDescent="0.25">
      <c r="U24" s="17">
        <v>17</v>
      </c>
      <c r="V24" s="18" t="s">
        <v>155</v>
      </c>
    </row>
    <row r="25" spans="21:22" x14ac:dyDescent="0.25">
      <c r="U25" s="17">
        <v>15</v>
      </c>
      <c r="V25" s="18" t="s">
        <v>156</v>
      </c>
    </row>
    <row r="26" spans="21:22" x14ac:dyDescent="0.25">
      <c r="U26" s="17">
        <v>13</v>
      </c>
      <c r="V26" s="18" t="s">
        <v>157</v>
      </c>
    </row>
    <row r="27" spans="21:22" x14ac:dyDescent="0.25">
      <c r="U27" s="17">
        <v>21</v>
      </c>
      <c r="V27" s="18" t="s">
        <v>158</v>
      </c>
    </row>
    <row r="28" spans="21:22" x14ac:dyDescent="0.25">
      <c r="U28" s="20" t="s">
        <v>29</v>
      </c>
      <c r="V28" s="18" t="s">
        <v>159</v>
      </c>
    </row>
    <row r="29" spans="21:22" x14ac:dyDescent="0.25">
      <c r="U29" s="17">
        <v>34</v>
      </c>
      <c r="V29" s="18" t="s">
        <v>160</v>
      </c>
    </row>
    <row r="30" spans="21:22" x14ac:dyDescent="0.25">
      <c r="U30" s="19" t="s">
        <v>32</v>
      </c>
      <c r="V30" s="18" t="s">
        <v>161</v>
      </c>
    </row>
    <row r="31" spans="21:22" x14ac:dyDescent="0.25">
      <c r="U31" s="19" t="s">
        <v>162</v>
      </c>
      <c r="V31" s="18" t="s">
        <v>163</v>
      </c>
    </row>
    <row r="32" spans="21:22" x14ac:dyDescent="0.25">
      <c r="U32" s="17">
        <v>11</v>
      </c>
      <c r="V32" s="18" t="s">
        <v>164</v>
      </c>
    </row>
    <row r="33" spans="21:22" x14ac:dyDescent="0.25">
      <c r="U33" s="17">
        <v>33</v>
      </c>
      <c r="V33" s="18" t="s">
        <v>131</v>
      </c>
    </row>
    <row r="34" spans="21:22" x14ac:dyDescent="0.25">
      <c r="U34" s="17">
        <v>36</v>
      </c>
      <c r="V34" s="18" t="s">
        <v>165</v>
      </c>
    </row>
    <row r="35" spans="21:22" x14ac:dyDescent="0.25">
      <c r="U35" s="17">
        <v>16</v>
      </c>
      <c r="V35" s="18" t="s">
        <v>166</v>
      </c>
    </row>
    <row r="36" spans="21:22" x14ac:dyDescent="0.25">
      <c r="U36" s="19" t="s">
        <v>167</v>
      </c>
      <c r="V36" s="18" t="s">
        <v>132</v>
      </c>
    </row>
    <row r="37" spans="21:22" x14ac:dyDescent="0.25">
      <c r="U37" s="19" t="s">
        <v>35</v>
      </c>
      <c r="V37" s="18" t="s">
        <v>5</v>
      </c>
    </row>
    <row r="38" spans="21:22" x14ac:dyDescent="0.25">
      <c r="U38" s="21">
        <v>19</v>
      </c>
      <c r="V38" s="22" t="s">
        <v>168</v>
      </c>
    </row>
  </sheetData>
  <sheetProtection formatCells="0" formatColumns="0" formatRows="0" sort="0" autoFilter="0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6A6D9-32F2-4FD4-8082-72E1CD78BC00}">
  <sheetPr codeName="Sheet2"/>
  <dimension ref="A1:B9"/>
  <sheetViews>
    <sheetView workbookViewId="0"/>
  </sheetViews>
  <sheetFormatPr defaultRowHeight="15" x14ac:dyDescent="0.25"/>
  <cols>
    <col min="1" max="1" width="59.42578125" bestFit="1" customWidth="1"/>
    <col min="2" max="2" width="8.140625" bestFit="1" customWidth="1"/>
  </cols>
  <sheetData>
    <row r="1" spans="1:2" ht="33.75" x14ac:dyDescent="0.5">
      <c r="A1" s="31" t="s">
        <v>173</v>
      </c>
    </row>
    <row r="2" spans="1:2" ht="17.25" customHeight="1" x14ac:dyDescent="0.5">
      <c r="A2" s="31"/>
    </row>
    <row r="3" spans="1:2" x14ac:dyDescent="0.25">
      <c r="A3" s="4" t="s">
        <v>65</v>
      </c>
      <c r="B3" s="4" t="s">
        <v>68</v>
      </c>
    </row>
    <row r="4" spans="1:2" x14ac:dyDescent="0.25">
      <c r="A4" s="4" t="s">
        <v>357</v>
      </c>
      <c r="B4" s="5">
        <v>7</v>
      </c>
    </row>
    <row r="5" spans="1:2" x14ac:dyDescent="0.25">
      <c r="A5" s="4" t="s">
        <v>98</v>
      </c>
      <c r="B5" s="5">
        <v>97</v>
      </c>
    </row>
    <row r="6" spans="1:2" x14ac:dyDescent="0.25">
      <c r="A6" s="4" t="s">
        <v>122</v>
      </c>
      <c r="B6" s="5">
        <v>2</v>
      </c>
    </row>
    <row r="7" spans="1:2" x14ac:dyDescent="0.25">
      <c r="A7" s="4" t="s">
        <v>55</v>
      </c>
      <c r="B7" s="5">
        <v>45</v>
      </c>
    </row>
    <row r="8" spans="1:2" x14ac:dyDescent="0.25">
      <c r="A8" s="4" t="s">
        <v>359</v>
      </c>
      <c r="B8" s="5">
        <v>1</v>
      </c>
    </row>
    <row r="9" spans="1:2" x14ac:dyDescent="0.25">
      <c r="A9" s="4" t="s">
        <v>54</v>
      </c>
      <c r="B9" s="5">
        <v>152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Dash2"/>
  <dimension ref="A3:I12"/>
  <sheetViews>
    <sheetView workbookViewId="0">
      <selection activeCell="K7" sqref="K7"/>
    </sheetView>
  </sheetViews>
  <sheetFormatPr defaultRowHeight="15" x14ac:dyDescent="0.25"/>
  <cols>
    <col min="1" max="1" width="31.140625" bestFit="1" customWidth="1"/>
    <col min="2" max="2" width="12.140625" bestFit="1" customWidth="1"/>
    <col min="3" max="3" width="10.5703125" bestFit="1" customWidth="1"/>
    <col min="4" max="4" width="5.42578125" bestFit="1" customWidth="1"/>
    <col min="5" max="6" width="10.5703125" bestFit="1" customWidth="1"/>
    <col min="7" max="7" width="7.7109375" bestFit="1" customWidth="1"/>
    <col min="8" max="8" width="12.42578125" bestFit="1" customWidth="1"/>
    <col min="9" max="9" width="10.85546875" bestFit="1" customWidth="1"/>
    <col min="11" max="11" width="67.7109375" bestFit="1" customWidth="1"/>
    <col min="12" max="12" width="16.7109375" customWidth="1"/>
  </cols>
  <sheetData>
    <row r="3" spans="1:9" s="7" customFormat="1" ht="45" x14ac:dyDescent="0.25">
      <c r="A3" s="12" t="s">
        <v>65</v>
      </c>
      <c r="B3" s="12" t="s">
        <v>76</v>
      </c>
      <c r="C3" s="12" t="s">
        <v>77</v>
      </c>
      <c r="D3" s="12" t="s">
        <v>78</v>
      </c>
      <c r="E3" s="12" t="s">
        <v>79</v>
      </c>
      <c r="F3" s="12" t="s">
        <v>80</v>
      </c>
      <c r="G3" s="12" t="s">
        <v>81</v>
      </c>
      <c r="H3" s="12" t="s">
        <v>82</v>
      </c>
      <c r="I3" s="12" t="s">
        <v>83</v>
      </c>
    </row>
    <row r="4" spans="1:9" s="11" customFormat="1" ht="30" x14ac:dyDescent="0.25">
      <c r="A4" s="45" t="s">
        <v>55</v>
      </c>
      <c r="B4" s="10">
        <v>28282721.539999999</v>
      </c>
      <c r="C4" s="10">
        <v>5090890.4400000004</v>
      </c>
      <c r="D4" s="10">
        <v>0</v>
      </c>
      <c r="E4" s="10">
        <v>0</v>
      </c>
      <c r="F4" s="10">
        <v>0</v>
      </c>
      <c r="G4" s="10">
        <v>0</v>
      </c>
      <c r="H4" s="26">
        <v>5090890.4400000004</v>
      </c>
      <c r="I4" s="10">
        <v>0</v>
      </c>
    </row>
    <row r="5" spans="1:9" s="11" customFormat="1" x14ac:dyDescent="0.25">
      <c r="A5" s="9" t="s">
        <v>98</v>
      </c>
      <c r="B5" s="10">
        <v>0</v>
      </c>
      <c r="C5" s="10">
        <v>0</v>
      </c>
      <c r="D5" s="10">
        <v>0</v>
      </c>
      <c r="E5" s="10">
        <v>15280719.304000001</v>
      </c>
      <c r="F5" s="10">
        <v>2681717.35</v>
      </c>
      <c r="G5" s="10">
        <v>0</v>
      </c>
      <c r="H5" s="26">
        <v>-2681717.35</v>
      </c>
      <c r="I5" s="10">
        <v>0</v>
      </c>
    </row>
    <row r="6" spans="1:9" s="11" customFormat="1" ht="30" x14ac:dyDescent="0.25">
      <c r="A6" s="9" t="s">
        <v>357</v>
      </c>
      <c r="B6" s="10">
        <v>267443</v>
      </c>
      <c r="C6" s="10">
        <v>48139.16</v>
      </c>
      <c r="D6" s="10">
        <v>0</v>
      </c>
      <c r="E6" s="10">
        <v>0</v>
      </c>
      <c r="F6" s="10">
        <v>0</v>
      </c>
      <c r="G6" s="10">
        <v>0</v>
      </c>
      <c r="H6" s="26">
        <v>48139.16</v>
      </c>
      <c r="I6" s="10">
        <v>0</v>
      </c>
    </row>
    <row r="7" spans="1:9" s="11" customFormat="1" ht="30" x14ac:dyDescent="0.25">
      <c r="A7" s="9" t="s">
        <v>122</v>
      </c>
      <c r="B7" s="10">
        <v>0</v>
      </c>
      <c r="C7" s="10">
        <v>0</v>
      </c>
      <c r="D7" s="10">
        <v>0</v>
      </c>
      <c r="E7" s="10">
        <v>37800</v>
      </c>
      <c r="F7" s="10">
        <v>6804</v>
      </c>
      <c r="G7" s="10">
        <v>0</v>
      </c>
      <c r="H7" s="26">
        <v>-6804</v>
      </c>
      <c r="I7" s="10">
        <v>0</v>
      </c>
    </row>
    <row r="8" spans="1:9" s="11" customFormat="1" ht="30" x14ac:dyDescent="0.25">
      <c r="A8" s="9" t="s">
        <v>359</v>
      </c>
      <c r="B8" s="15">
        <v>55800</v>
      </c>
      <c r="C8" s="15">
        <v>10044</v>
      </c>
      <c r="D8" s="15">
        <v>0</v>
      </c>
      <c r="E8" s="15">
        <v>0</v>
      </c>
      <c r="F8" s="15">
        <v>0</v>
      </c>
      <c r="G8" s="15">
        <v>0</v>
      </c>
      <c r="H8" s="27">
        <v>10044</v>
      </c>
      <c r="I8" s="15">
        <v>0</v>
      </c>
    </row>
    <row r="9" spans="1:9" s="11" customFormat="1" x14ac:dyDescent="0.25">
      <c r="A9" s="12" t="s">
        <v>54</v>
      </c>
      <c r="B9" s="13">
        <v>28605964.539999999</v>
      </c>
      <c r="C9" s="13">
        <v>5149073.6000000006</v>
      </c>
      <c r="D9" s="13">
        <v>0</v>
      </c>
      <c r="E9" s="13">
        <v>15318519.304000001</v>
      </c>
      <c r="F9" s="13">
        <v>2688521.35</v>
      </c>
      <c r="G9" s="13">
        <v>0</v>
      </c>
      <c r="H9" s="28">
        <v>2460552.2500000005</v>
      </c>
      <c r="I9" s="13">
        <v>0</v>
      </c>
    </row>
    <row r="10" spans="1:9" s="11" customFormat="1" x14ac:dyDescent="0.25">
      <c r="A10"/>
      <c r="B10"/>
      <c r="C10"/>
      <c r="D10"/>
      <c r="E10"/>
      <c r="F10"/>
      <c r="G10"/>
      <c r="H10"/>
      <c r="I10"/>
    </row>
    <row r="11" spans="1:9" s="11" customFormat="1" x14ac:dyDescent="0.25">
      <c r="A11"/>
      <c r="B11"/>
      <c r="C11"/>
      <c r="D11"/>
      <c r="E11"/>
      <c r="F11"/>
      <c r="G11"/>
      <c r="H11"/>
      <c r="I11"/>
    </row>
    <row r="12" spans="1:9" s="8" customFormat="1" x14ac:dyDescent="0.25">
      <c r="A12"/>
      <c r="B12"/>
      <c r="C12"/>
      <c r="D12"/>
      <c r="E12"/>
      <c r="F12"/>
      <c r="G12"/>
      <c r="H12"/>
      <c r="I12"/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75394-816C-4B48-AE5A-1F3A715437A3}">
  <sheetPr codeName="Sheet1"/>
  <dimension ref="A1:L8"/>
  <sheetViews>
    <sheetView workbookViewId="0">
      <selection activeCell="C7" sqref="C7"/>
    </sheetView>
  </sheetViews>
  <sheetFormatPr defaultRowHeight="15" x14ac:dyDescent="0.25"/>
  <cols>
    <col min="1" max="1" width="10.85546875" bestFit="1" customWidth="1"/>
    <col min="2" max="2" width="7" bestFit="1" customWidth="1"/>
    <col min="3" max="3" width="18" bestFit="1" customWidth="1"/>
    <col min="4" max="4" width="9.42578125" bestFit="1" customWidth="1"/>
    <col min="5" max="5" width="12.85546875" bestFit="1" customWidth="1"/>
    <col min="6" max="6" width="7" bestFit="1" customWidth="1"/>
    <col min="7" max="7" width="7.42578125" bestFit="1" customWidth="1"/>
    <col min="10" max="11" width="17.42578125" bestFit="1" customWidth="1"/>
    <col min="12" max="12" width="32.7109375" bestFit="1" customWidth="1"/>
  </cols>
  <sheetData>
    <row r="1" spans="1:12" x14ac:dyDescent="0.25">
      <c r="A1" s="30">
        <v>44646</v>
      </c>
      <c r="E1" s="58" t="s">
        <v>194</v>
      </c>
      <c r="F1" s="1" t="s">
        <v>191</v>
      </c>
      <c r="G1" s="61" t="s">
        <v>342</v>
      </c>
      <c r="J1" s="58" t="s">
        <v>337</v>
      </c>
      <c r="K1" s="1" t="s">
        <v>338</v>
      </c>
      <c r="L1" s="61" t="s">
        <v>339</v>
      </c>
    </row>
    <row r="2" spans="1:12" x14ac:dyDescent="0.25">
      <c r="E2" s="60" t="s">
        <v>349</v>
      </c>
      <c r="F2" s="63" t="s">
        <v>344</v>
      </c>
      <c r="G2" s="59" t="s">
        <v>350</v>
      </c>
      <c r="J2" s="60" t="s">
        <v>340</v>
      </c>
      <c r="K2" s="63" t="s">
        <v>340</v>
      </c>
      <c r="L2" s="59" t="s">
        <v>341</v>
      </c>
    </row>
    <row r="3" spans="1:12" x14ac:dyDescent="0.25">
      <c r="E3" s="75"/>
      <c r="F3" s="75"/>
      <c r="J3" s="76"/>
      <c r="K3" s="75"/>
      <c r="L3" s="75"/>
    </row>
    <row r="4" spans="1:12" x14ac:dyDescent="0.25">
      <c r="A4" s="58" t="s">
        <v>125</v>
      </c>
      <c r="B4" s="1" t="s">
        <v>191</v>
      </c>
      <c r="C4" s="1" t="s">
        <v>342</v>
      </c>
      <c r="D4" s="1" t="s">
        <v>190</v>
      </c>
      <c r="E4" s="61" t="s">
        <v>343</v>
      </c>
    </row>
    <row r="5" spans="1:12" x14ac:dyDescent="0.25">
      <c r="A5" s="62" t="s">
        <v>192</v>
      </c>
      <c r="B5" s="2" t="s">
        <v>346</v>
      </c>
      <c r="C5" s="2" t="s">
        <v>340</v>
      </c>
      <c r="D5" s="2" t="s">
        <v>195</v>
      </c>
      <c r="E5" s="59" t="s">
        <v>344</v>
      </c>
    </row>
    <row r="6" spans="1:12" x14ac:dyDescent="0.25">
      <c r="A6" s="62" t="s">
        <v>345</v>
      </c>
      <c r="B6" s="2" t="s">
        <v>346</v>
      </c>
      <c r="C6" s="77" t="s">
        <v>347</v>
      </c>
      <c r="D6" s="2" t="s">
        <v>345</v>
      </c>
      <c r="E6" s="59" t="s">
        <v>344</v>
      </c>
    </row>
    <row r="7" spans="1:12" x14ac:dyDescent="0.25">
      <c r="A7" s="62" t="s">
        <v>193</v>
      </c>
      <c r="B7" s="2" t="s">
        <v>348</v>
      </c>
      <c r="C7" s="2" t="s">
        <v>340</v>
      </c>
      <c r="D7" s="2" t="s">
        <v>193</v>
      </c>
      <c r="E7" s="59" t="s">
        <v>344</v>
      </c>
    </row>
    <row r="8" spans="1:12" x14ac:dyDescent="0.25">
      <c r="A8" s="60" t="s">
        <v>349</v>
      </c>
      <c r="B8" s="63" t="s">
        <v>344</v>
      </c>
      <c r="C8" s="63" t="s">
        <v>350</v>
      </c>
      <c r="D8" s="60" t="s">
        <v>349</v>
      </c>
      <c r="E8" s="59" t="s">
        <v>344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Recon"/>
  <dimension ref="A1:Y154"/>
  <sheetViews>
    <sheetView zoomScaleNormal="100" workbookViewId="0">
      <selection activeCell="A2" sqref="A2:T154"/>
    </sheetView>
  </sheetViews>
  <sheetFormatPr defaultRowHeight="15" x14ac:dyDescent="0.25"/>
  <cols>
    <col min="1" max="1" width="19.140625" bestFit="1" customWidth="1"/>
    <col min="2" max="2" width="59" bestFit="1" customWidth="1"/>
    <col min="3" max="3" width="25.5703125" bestFit="1" customWidth="1"/>
    <col min="4" max="4" width="12" bestFit="1" customWidth="1"/>
    <col min="5" max="5" width="28.140625" bestFit="1" customWidth="1"/>
    <col min="6" max="6" width="16.85546875" bestFit="1" customWidth="1"/>
    <col min="7" max="7" width="11.7109375" bestFit="1" customWidth="1"/>
    <col min="8" max="8" width="10.7109375" bestFit="1" customWidth="1"/>
    <col min="9" max="10" width="10" bestFit="1" customWidth="1"/>
    <col min="11" max="11" width="7.5703125" bestFit="1" customWidth="1"/>
    <col min="12" max="12" width="15.42578125" customWidth="1"/>
    <col min="13" max="13" width="13.7109375" bestFit="1" customWidth="1"/>
    <col min="14" max="14" width="13.28515625" bestFit="1" customWidth="1"/>
    <col min="15" max="15" width="14.140625" bestFit="1" customWidth="1"/>
    <col min="16" max="16" width="18.7109375" bestFit="1" customWidth="1"/>
    <col min="17" max="17" width="21" bestFit="1" customWidth="1"/>
    <col min="18" max="18" width="67.7109375" bestFit="1" customWidth="1"/>
    <col min="19" max="19" width="24" bestFit="1" customWidth="1"/>
    <col min="20" max="20" width="20" customWidth="1"/>
    <col min="21" max="21" width="18.7109375" bestFit="1" customWidth="1"/>
    <col min="22" max="22" width="52.28515625" bestFit="1" customWidth="1"/>
    <col min="23" max="23" width="24" bestFit="1" customWidth="1"/>
    <col min="24" max="24" width="20" bestFit="1" customWidth="1"/>
    <col min="25" max="25" width="10" bestFit="1" customWidth="1"/>
    <col min="26" max="26" width="21.5703125" bestFit="1" customWidth="1"/>
    <col min="27" max="27" width="18.5703125" bestFit="1" customWidth="1"/>
    <col min="28" max="28" width="19.140625" bestFit="1" customWidth="1"/>
    <col min="29" max="29" width="19" bestFit="1" customWidth="1"/>
    <col min="30" max="30" width="18.7109375" bestFit="1" customWidth="1"/>
    <col min="31" max="31" width="21" bestFit="1" customWidth="1"/>
    <col min="32" max="32" width="35.28515625" bestFit="1" customWidth="1"/>
    <col min="33" max="33" width="20" bestFit="1" customWidth="1"/>
    <col min="34" max="34" width="26.140625" bestFit="1" customWidth="1"/>
    <col min="35" max="35" width="27" bestFit="1" customWidth="1"/>
    <col min="36" max="36" width="19.140625" bestFit="1" customWidth="1"/>
    <col min="37" max="37" width="21.5703125" bestFit="1" customWidth="1"/>
    <col min="38" max="38" width="18.5703125" bestFit="1" customWidth="1"/>
    <col min="39" max="39" width="19.140625" bestFit="1" customWidth="1"/>
    <col min="40" max="40" width="19" bestFit="1" customWidth="1"/>
    <col min="41" max="41" width="18.7109375" bestFit="1" customWidth="1"/>
    <col min="42" max="42" width="21" bestFit="1" customWidth="1"/>
    <col min="43" max="43" width="12" bestFit="1" customWidth="1"/>
    <col min="44" max="44" width="10.7109375" bestFit="1" customWidth="1"/>
    <col min="45" max="46" width="12.7109375" bestFit="1" customWidth="1"/>
    <col min="47" max="47" width="8.7109375" bestFit="1" customWidth="1"/>
    <col min="48" max="48" width="35.28515625" bestFit="1" customWidth="1"/>
    <col min="49" max="49" width="12" bestFit="1" customWidth="1"/>
    <col min="50" max="51" width="11.140625" bestFit="1" customWidth="1"/>
  </cols>
  <sheetData>
    <row r="1" spans="1:25" ht="21" x14ac:dyDescent="0.35">
      <c r="A1" s="93" t="s">
        <v>53</v>
      </c>
      <c r="B1" s="93"/>
      <c r="C1" s="93"/>
      <c r="D1" s="93"/>
      <c r="E1" s="92" t="s">
        <v>51</v>
      </c>
      <c r="F1" s="92"/>
      <c r="G1" s="92"/>
      <c r="H1" s="92"/>
      <c r="I1" s="92"/>
      <c r="J1" s="92" t="s">
        <v>52</v>
      </c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3"/>
      <c r="W1" s="93"/>
      <c r="X1" s="93"/>
      <c r="Y1" s="3"/>
    </row>
    <row r="2" spans="1:25" ht="30" x14ac:dyDescent="0.25">
      <c r="A2" t="s">
        <v>56</v>
      </c>
      <c r="B2" t="s">
        <v>57</v>
      </c>
      <c r="C2" t="s">
        <v>58</v>
      </c>
      <c r="D2" s="8" t="s">
        <v>59</v>
      </c>
      <c r="E2" t="s">
        <v>127</v>
      </c>
      <c r="F2" t="s">
        <v>128</v>
      </c>
      <c r="G2" s="8" t="s">
        <v>0</v>
      </c>
      <c r="H2" s="8" t="s">
        <v>1</v>
      </c>
      <c r="I2" s="8" t="s">
        <v>2</v>
      </c>
      <c r="J2" s="8" t="s">
        <v>3</v>
      </c>
      <c r="K2" s="8" t="s">
        <v>4</v>
      </c>
      <c r="L2" s="8" t="s">
        <v>45</v>
      </c>
      <c r="M2" s="8" t="s">
        <v>46</v>
      </c>
      <c r="N2" s="8" t="s">
        <v>47</v>
      </c>
      <c r="O2" s="8" t="s">
        <v>48</v>
      </c>
      <c r="P2" s="8" t="s">
        <v>49</v>
      </c>
      <c r="Q2" s="8" t="s">
        <v>50</v>
      </c>
      <c r="R2" s="8" t="s">
        <v>27</v>
      </c>
      <c r="S2" s="8" t="s">
        <v>60</v>
      </c>
      <c r="T2" s="8" t="s">
        <v>44</v>
      </c>
    </row>
    <row r="3" spans="1:25" x14ac:dyDescent="0.25">
      <c r="A3" s="1" t="s">
        <v>21</v>
      </c>
      <c r="B3" s="1" t="s">
        <v>390</v>
      </c>
      <c r="C3" s="1" t="s">
        <v>224</v>
      </c>
      <c r="D3" s="71">
        <v>44325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578055.36199999996</v>
      </c>
      <c r="M3" s="1">
        <v>0</v>
      </c>
      <c r="N3" s="1">
        <v>52025</v>
      </c>
      <c r="O3" s="1">
        <v>52025</v>
      </c>
      <c r="P3" s="1">
        <v>0</v>
      </c>
      <c r="Q3" s="1">
        <v>682787</v>
      </c>
      <c r="R3" s="1" t="s">
        <v>98</v>
      </c>
      <c r="S3" s="1" t="s">
        <v>99</v>
      </c>
      <c r="T3" s="1" t="s">
        <v>395</v>
      </c>
    </row>
    <row r="4" spans="1:25" x14ac:dyDescent="0.25">
      <c r="A4" s="2" t="s">
        <v>22</v>
      </c>
      <c r="B4" s="2" t="s">
        <v>390</v>
      </c>
      <c r="C4" s="2" t="s">
        <v>226</v>
      </c>
      <c r="D4" s="70">
        <v>44363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22000</v>
      </c>
      <c r="M4" s="2">
        <v>0</v>
      </c>
      <c r="N4" s="2">
        <v>1980</v>
      </c>
      <c r="O4" s="2">
        <v>1980</v>
      </c>
      <c r="P4" s="2">
        <v>0</v>
      </c>
      <c r="Q4" s="2">
        <v>25960</v>
      </c>
      <c r="R4" s="2" t="s">
        <v>98</v>
      </c>
      <c r="S4" s="2" t="s">
        <v>99</v>
      </c>
      <c r="T4" s="2" t="s">
        <v>396</v>
      </c>
    </row>
    <row r="5" spans="1:25" x14ac:dyDescent="0.25">
      <c r="A5" s="2" t="s">
        <v>93</v>
      </c>
      <c r="B5" s="2" t="s">
        <v>390</v>
      </c>
      <c r="C5" s="2" t="s">
        <v>96</v>
      </c>
      <c r="D5" s="70">
        <v>44307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2670</v>
      </c>
      <c r="M5" s="2">
        <v>0</v>
      </c>
      <c r="N5" s="2">
        <v>241</v>
      </c>
      <c r="O5" s="2">
        <v>241</v>
      </c>
      <c r="P5" s="2">
        <v>0</v>
      </c>
      <c r="Q5" s="2">
        <v>3152</v>
      </c>
      <c r="R5" s="2" t="s">
        <v>98</v>
      </c>
      <c r="S5" s="2" t="s">
        <v>99</v>
      </c>
      <c r="T5" s="2" t="s">
        <v>397</v>
      </c>
    </row>
    <row r="6" spans="1:25" x14ac:dyDescent="0.25">
      <c r="A6" s="2" t="s">
        <v>105</v>
      </c>
      <c r="B6" s="2" t="s">
        <v>390</v>
      </c>
      <c r="C6" s="2" t="s">
        <v>229</v>
      </c>
      <c r="D6" s="70">
        <v>44329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904800</v>
      </c>
      <c r="M6" s="2">
        <v>162864</v>
      </c>
      <c r="N6" s="2">
        <v>0</v>
      </c>
      <c r="O6" s="2">
        <v>0</v>
      </c>
      <c r="P6" s="2">
        <v>0</v>
      </c>
      <c r="Q6" s="2">
        <v>1068469</v>
      </c>
      <c r="R6" s="2" t="s">
        <v>98</v>
      </c>
      <c r="S6" s="2" t="s">
        <v>99</v>
      </c>
      <c r="T6" s="2" t="s">
        <v>398</v>
      </c>
    </row>
    <row r="7" spans="1:25" x14ac:dyDescent="0.25">
      <c r="A7" s="2" t="s">
        <v>196</v>
      </c>
      <c r="B7" s="2" t="s">
        <v>390</v>
      </c>
      <c r="C7" s="2" t="s">
        <v>231</v>
      </c>
      <c r="D7" s="70">
        <v>44319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194194</v>
      </c>
      <c r="M7" s="2">
        <v>0</v>
      </c>
      <c r="N7" s="2">
        <v>11651.64</v>
      </c>
      <c r="O7" s="2">
        <v>11651.64</v>
      </c>
      <c r="P7" s="2">
        <v>0</v>
      </c>
      <c r="Q7" s="2">
        <v>217497</v>
      </c>
      <c r="R7" s="2" t="s">
        <v>98</v>
      </c>
      <c r="S7" s="2" t="s">
        <v>99</v>
      </c>
      <c r="T7" s="2" t="s">
        <v>399</v>
      </c>
    </row>
    <row r="8" spans="1:25" x14ac:dyDescent="0.25">
      <c r="A8" s="2" t="s">
        <v>233</v>
      </c>
      <c r="B8" s="2" t="s">
        <v>390</v>
      </c>
      <c r="C8" s="2" t="s">
        <v>234</v>
      </c>
      <c r="D8" s="70">
        <v>44314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885800</v>
      </c>
      <c r="M8" s="2">
        <v>159444</v>
      </c>
      <c r="N8" s="2">
        <v>0</v>
      </c>
      <c r="O8" s="2">
        <v>0</v>
      </c>
      <c r="P8" s="2">
        <v>0</v>
      </c>
      <c r="Q8" s="2">
        <v>1045244</v>
      </c>
      <c r="R8" s="2" t="s">
        <v>98</v>
      </c>
      <c r="S8" s="2" t="s">
        <v>99</v>
      </c>
      <c r="T8" s="2" t="s">
        <v>400</v>
      </c>
    </row>
    <row r="9" spans="1:25" x14ac:dyDescent="0.25">
      <c r="A9" s="2" t="s">
        <v>7</v>
      </c>
      <c r="B9" s="2" t="s">
        <v>390</v>
      </c>
      <c r="C9" s="2" t="s">
        <v>237</v>
      </c>
      <c r="D9" s="70">
        <v>44410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4500</v>
      </c>
      <c r="M9" s="2">
        <v>0</v>
      </c>
      <c r="N9" s="2">
        <v>405</v>
      </c>
      <c r="O9" s="2">
        <v>405</v>
      </c>
      <c r="P9" s="2">
        <v>0</v>
      </c>
      <c r="Q9" s="2">
        <v>5310</v>
      </c>
      <c r="R9" s="2" t="s">
        <v>98</v>
      </c>
      <c r="S9" s="2" t="s">
        <v>99</v>
      </c>
      <c r="T9" s="2" t="s">
        <v>398</v>
      </c>
    </row>
    <row r="10" spans="1:25" x14ac:dyDescent="0.25">
      <c r="A10" s="2" t="s">
        <v>21</v>
      </c>
      <c r="B10" s="2" t="s">
        <v>390</v>
      </c>
      <c r="C10" s="2" t="s">
        <v>239</v>
      </c>
      <c r="D10" s="70">
        <v>44382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1427529.2490000001</v>
      </c>
      <c r="M10" s="2">
        <v>0</v>
      </c>
      <c r="N10" s="2">
        <v>128478</v>
      </c>
      <c r="O10" s="2">
        <v>128478</v>
      </c>
      <c r="P10" s="2">
        <v>0</v>
      </c>
      <c r="Q10" s="2">
        <v>1684485</v>
      </c>
      <c r="R10" s="2" t="s">
        <v>98</v>
      </c>
      <c r="S10" s="2" t="s">
        <v>99</v>
      </c>
      <c r="T10" s="2" t="s">
        <v>401</v>
      </c>
    </row>
    <row r="11" spans="1:25" x14ac:dyDescent="0.25">
      <c r="A11" s="2" t="s">
        <v>240</v>
      </c>
      <c r="B11" s="2" t="s">
        <v>390</v>
      </c>
      <c r="C11" s="2" t="s">
        <v>241</v>
      </c>
      <c r="D11" s="70">
        <v>44435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19140</v>
      </c>
      <c r="M11" s="2">
        <v>0</v>
      </c>
      <c r="N11" s="2">
        <v>1722.6</v>
      </c>
      <c r="O11" s="2">
        <v>1722.6</v>
      </c>
      <c r="P11" s="2">
        <v>0</v>
      </c>
      <c r="Q11" s="2">
        <v>22585</v>
      </c>
      <c r="R11" s="2" t="s">
        <v>98</v>
      </c>
      <c r="S11" s="2" t="s">
        <v>99</v>
      </c>
      <c r="T11" s="2" t="s">
        <v>402</v>
      </c>
    </row>
    <row r="12" spans="1:25" x14ac:dyDescent="0.25">
      <c r="A12" s="2" t="s">
        <v>88</v>
      </c>
      <c r="B12" s="2" t="s">
        <v>390</v>
      </c>
      <c r="C12" s="2" t="s">
        <v>242</v>
      </c>
      <c r="D12" s="70">
        <v>44410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1075</v>
      </c>
      <c r="M12" s="2">
        <v>0</v>
      </c>
      <c r="N12" s="2">
        <v>96.75</v>
      </c>
      <c r="O12" s="2">
        <v>96.75</v>
      </c>
      <c r="P12" s="2">
        <v>0</v>
      </c>
      <c r="Q12" s="2">
        <v>1268</v>
      </c>
      <c r="R12" s="2" t="s">
        <v>98</v>
      </c>
      <c r="S12" s="2" t="s">
        <v>99</v>
      </c>
      <c r="T12" s="2" t="s">
        <v>403</v>
      </c>
    </row>
    <row r="13" spans="1:25" x14ac:dyDescent="0.25">
      <c r="A13" s="2" t="s">
        <v>105</v>
      </c>
      <c r="B13" s="2" t="s">
        <v>390</v>
      </c>
      <c r="C13" s="2" t="s">
        <v>243</v>
      </c>
      <c r="D13" s="70">
        <v>44414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950000</v>
      </c>
      <c r="M13" s="2">
        <v>171000</v>
      </c>
      <c r="N13" s="2">
        <v>0</v>
      </c>
      <c r="O13" s="2">
        <v>0</v>
      </c>
      <c r="P13" s="2">
        <v>0</v>
      </c>
      <c r="Q13" s="2">
        <v>1121000</v>
      </c>
      <c r="R13" s="2" t="s">
        <v>98</v>
      </c>
      <c r="S13" s="2" t="s">
        <v>99</v>
      </c>
      <c r="T13" s="2" t="s">
        <v>404</v>
      </c>
    </row>
    <row r="14" spans="1:25" x14ac:dyDescent="0.25">
      <c r="A14" s="2" t="s">
        <v>244</v>
      </c>
      <c r="B14" s="2" t="s">
        <v>390</v>
      </c>
      <c r="C14" s="2" t="s">
        <v>245</v>
      </c>
      <c r="D14" s="70">
        <v>44398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2">
        <v>2310</v>
      </c>
      <c r="M14" s="2">
        <v>0</v>
      </c>
      <c r="N14" s="2">
        <v>208</v>
      </c>
      <c r="O14" s="2">
        <v>208</v>
      </c>
      <c r="P14" s="2">
        <v>0</v>
      </c>
      <c r="Q14" s="2">
        <v>2726</v>
      </c>
      <c r="R14" s="2" t="s">
        <v>98</v>
      </c>
      <c r="S14" s="2" t="s">
        <v>99</v>
      </c>
      <c r="T14" s="2" t="s">
        <v>405</v>
      </c>
    </row>
    <row r="15" spans="1:25" x14ac:dyDescent="0.25">
      <c r="A15" s="2" t="s">
        <v>206</v>
      </c>
      <c r="B15" s="2" t="s">
        <v>390</v>
      </c>
      <c r="C15" s="2" t="s">
        <v>104</v>
      </c>
      <c r="D15" s="70">
        <v>44379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2">
        <v>11270</v>
      </c>
      <c r="M15" s="2">
        <v>0</v>
      </c>
      <c r="N15" s="2">
        <v>948</v>
      </c>
      <c r="O15" s="2">
        <v>948</v>
      </c>
      <c r="P15" s="2">
        <v>0</v>
      </c>
      <c r="Q15" s="2">
        <v>13541</v>
      </c>
      <c r="R15" s="2" t="s">
        <v>98</v>
      </c>
      <c r="S15" s="2" t="s">
        <v>99</v>
      </c>
      <c r="T15" s="2" t="s">
        <v>406</v>
      </c>
    </row>
    <row r="16" spans="1:25" x14ac:dyDescent="0.25">
      <c r="A16" s="2" t="s">
        <v>196</v>
      </c>
      <c r="B16" s="2" t="s">
        <v>390</v>
      </c>
      <c r="C16" s="2" t="s">
        <v>247</v>
      </c>
      <c r="D16" s="70">
        <v>44425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215533.25</v>
      </c>
      <c r="M16" s="2">
        <v>0</v>
      </c>
      <c r="N16" s="2">
        <v>12932</v>
      </c>
      <c r="O16" s="2">
        <v>12932</v>
      </c>
      <c r="P16" s="2">
        <v>0</v>
      </c>
      <c r="Q16" s="2">
        <v>241397</v>
      </c>
      <c r="R16" s="2" t="s">
        <v>98</v>
      </c>
      <c r="S16" s="2" t="s">
        <v>99</v>
      </c>
      <c r="T16" s="2" t="s">
        <v>407</v>
      </c>
    </row>
    <row r="17" spans="1:20" x14ac:dyDescent="0.25">
      <c r="A17" s="2" t="s">
        <v>203</v>
      </c>
      <c r="B17" s="2" t="s">
        <v>390</v>
      </c>
      <c r="C17" s="2" t="s">
        <v>249</v>
      </c>
      <c r="D17" s="70">
        <v>44417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484135.15500000003</v>
      </c>
      <c r="M17" s="2">
        <v>0</v>
      </c>
      <c r="N17" s="2">
        <v>43572.160000000003</v>
      </c>
      <c r="O17" s="2">
        <v>43572.160000000003</v>
      </c>
      <c r="P17" s="2">
        <v>0</v>
      </c>
      <c r="Q17" s="2">
        <v>571279</v>
      </c>
      <c r="R17" s="2" t="s">
        <v>98</v>
      </c>
      <c r="S17" s="2" t="s">
        <v>99</v>
      </c>
      <c r="T17" s="2" t="s">
        <v>408</v>
      </c>
    </row>
    <row r="18" spans="1:20" x14ac:dyDescent="0.25">
      <c r="A18" s="2" t="s">
        <v>105</v>
      </c>
      <c r="B18" s="2" t="s">
        <v>390</v>
      </c>
      <c r="C18" s="2" t="s">
        <v>251</v>
      </c>
      <c r="D18" s="70">
        <v>44372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950000</v>
      </c>
      <c r="M18" s="2">
        <v>171000</v>
      </c>
      <c r="N18" s="2">
        <v>0</v>
      </c>
      <c r="O18" s="2">
        <v>0</v>
      </c>
      <c r="P18" s="2">
        <v>0</v>
      </c>
      <c r="Q18" s="2">
        <v>1122121</v>
      </c>
      <c r="R18" s="2" t="s">
        <v>98</v>
      </c>
      <c r="S18" s="2" t="s">
        <v>99</v>
      </c>
      <c r="T18" s="2" t="s">
        <v>409</v>
      </c>
    </row>
    <row r="19" spans="1:20" x14ac:dyDescent="0.25">
      <c r="A19" s="2" t="s">
        <v>92</v>
      </c>
      <c r="B19" s="2" t="s">
        <v>390</v>
      </c>
      <c r="C19" s="2" t="s">
        <v>253</v>
      </c>
      <c r="D19" s="70">
        <v>44422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1961.12</v>
      </c>
      <c r="M19" s="2">
        <v>0</v>
      </c>
      <c r="N19" s="2">
        <v>176.5</v>
      </c>
      <c r="O19" s="2">
        <v>176.5</v>
      </c>
      <c r="P19" s="2">
        <v>0</v>
      </c>
      <c r="Q19" s="2">
        <v>2314</v>
      </c>
      <c r="R19" s="2" t="s">
        <v>98</v>
      </c>
      <c r="S19" s="2" t="s">
        <v>99</v>
      </c>
      <c r="T19" s="2" t="s">
        <v>410</v>
      </c>
    </row>
    <row r="20" spans="1:20" x14ac:dyDescent="0.25">
      <c r="A20" s="2" t="s">
        <v>105</v>
      </c>
      <c r="B20" s="2" t="s">
        <v>390</v>
      </c>
      <c r="C20" s="2" t="s">
        <v>255</v>
      </c>
      <c r="D20" s="70">
        <v>44425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725000</v>
      </c>
      <c r="M20" s="2">
        <v>130500</v>
      </c>
      <c r="N20" s="2">
        <v>0</v>
      </c>
      <c r="O20" s="2">
        <v>0</v>
      </c>
      <c r="P20" s="2">
        <v>0</v>
      </c>
      <c r="Q20" s="2">
        <v>855500</v>
      </c>
      <c r="R20" s="2" t="s">
        <v>98</v>
      </c>
      <c r="S20" s="2" t="s">
        <v>99</v>
      </c>
      <c r="T20" s="2" t="s">
        <v>411</v>
      </c>
    </row>
    <row r="21" spans="1:20" x14ac:dyDescent="0.25">
      <c r="A21" s="2" t="s">
        <v>19</v>
      </c>
      <c r="B21" s="2" t="s">
        <v>390</v>
      </c>
      <c r="C21" s="2" t="s">
        <v>257</v>
      </c>
      <c r="D21" s="70">
        <v>44378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40000</v>
      </c>
      <c r="M21" s="2">
        <v>0</v>
      </c>
      <c r="N21" s="2">
        <v>2400</v>
      </c>
      <c r="O21" s="2">
        <v>2400</v>
      </c>
      <c r="P21" s="2">
        <v>0</v>
      </c>
      <c r="Q21" s="2">
        <v>44800</v>
      </c>
      <c r="R21" s="2" t="s">
        <v>98</v>
      </c>
      <c r="S21" s="2" t="s">
        <v>99</v>
      </c>
      <c r="T21" s="2" t="s">
        <v>412</v>
      </c>
    </row>
    <row r="22" spans="1:20" x14ac:dyDescent="0.25">
      <c r="A22" s="2" t="s">
        <v>88</v>
      </c>
      <c r="B22" s="2" t="s">
        <v>390</v>
      </c>
      <c r="C22" s="2" t="s">
        <v>258</v>
      </c>
      <c r="D22" s="70">
        <v>44384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4276</v>
      </c>
      <c r="M22" s="2">
        <v>0</v>
      </c>
      <c r="N22" s="2">
        <v>319.83999999999997</v>
      </c>
      <c r="O22" s="2">
        <v>319.83999999999997</v>
      </c>
      <c r="P22" s="2">
        <v>0</v>
      </c>
      <c r="Q22" s="2">
        <v>4916</v>
      </c>
      <c r="R22" s="2" t="s">
        <v>98</v>
      </c>
      <c r="S22" s="2" t="s">
        <v>99</v>
      </c>
      <c r="T22" s="2" t="s">
        <v>413</v>
      </c>
    </row>
    <row r="23" spans="1:20" x14ac:dyDescent="0.25">
      <c r="A23" s="2" t="s">
        <v>199</v>
      </c>
      <c r="B23" s="2" t="s">
        <v>390</v>
      </c>
      <c r="C23" s="2" t="s">
        <v>260</v>
      </c>
      <c r="D23" s="70">
        <v>44379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4750</v>
      </c>
      <c r="M23" s="2">
        <v>570</v>
      </c>
      <c r="N23" s="2">
        <v>0</v>
      </c>
      <c r="O23" s="2">
        <v>0</v>
      </c>
      <c r="P23" s="2">
        <v>0</v>
      </c>
      <c r="Q23" s="2">
        <v>5320</v>
      </c>
      <c r="R23" s="2" t="s">
        <v>98</v>
      </c>
      <c r="S23" s="2" t="s">
        <v>99</v>
      </c>
      <c r="T23" s="2" t="s">
        <v>414</v>
      </c>
    </row>
    <row r="24" spans="1:20" x14ac:dyDescent="0.25">
      <c r="A24" s="2" t="s">
        <v>204</v>
      </c>
      <c r="B24" s="2" t="s">
        <v>390</v>
      </c>
      <c r="C24" s="2" t="s">
        <v>261</v>
      </c>
      <c r="D24" s="70">
        <v>44417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217160.4</v>
      </c>
      <c r="M24" s="2">
        <v>0</v>
      </c>
      <c r="N24" s="2">
        <v>13029.62</v>
      </c>
      <c r="O24" s="2">
        <v>13029.62</v>
      </c>
      <c r="P24" s="2">
        <v>0</v>
      </c>
      <c r="Q24" s="2">
        <v>243220</v>
      </c>
      <c r="R24" s="2" t="s">
        <v>98</v>
      </c>
      <c r="S24" s="2" t="s">
        <v>99</v>
      </c>
      <c r="T24" s="2" t="s">
        <v>415</v>
      </c>
    </row>
    <row r="25" spans="1:20" x14ac:dyDescent="0.25">
      <c r="A25" s="2" t="s">
        <v>20</v>
      </c>
      <c r="B25" s="2" t="s">
        <v>390</v>
      </c>
      <c r="C25" s="2" t="s">
        <v>262</v>
      </c>
      <c r="D25" s="70">
        <v>44463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9567.93</v>
      </c>
      <c r="M25" s="2">
        <v>0</v>
      </c>
      <c r="N25" s="2">
        <v>861.11</v>
      </c>
      <c r="O25" s="2">
        <v>861.11</v>
      </c>
      <c r="P25" s="2">
        <v>0</v>
      </c>
      <c r="Q25" s="2">
        <v>11290</v>
      </c>
      <c r="R25" s="2" t="s">
        <v>98</v>
      </c>
      <c r="S25" s="2" t="s">
        <v>99</v>
      </c>
      <c r="T25" s="2" t="s">
        <v>416</v>
      </c>
    </row>
    <row r="26" spans="1:20" x14ac:dyDescent="0.25">
      <c r="A26" s="2" t="s">
        <v>203</v>
      </c>
      <c r="B26" s="2" t="s">
        <v>390</v>
      </c>
      <c r="C26" s="2" t="s">
        <v>264</v>
      </c>
      <c r="D26" s="70">
        <v>44439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307449</v>
      </c>
      <c r="M26" s="2">
        <v>0</v>
      </c>
      <c r="N26" s="2">
        <v>27670.41</v>
      </c>
      <c r="O26" s="2">
        <v>27670.41</v>
      </c>
      <c r="P26" s="2">
        <v>0</v>
      </c>
      <c r="Q26" s="2">
        <v>362790</v>
      </c>
      <c r="R26" s="2" t="s">
        <v>98</v>
      </c>
      <c r="S26" s="2" t="s">
        <v>99</v>
      </c>
      <c r="T26" s="2" t="s">
        <v>417</v>
      </c>
    </row>
    <row r="27" spans="1:20" x14ac:dyDescent="0.25">
      <c r="A27" s="2" t="s">
        <v>85</v>
      </c>
      <c r="B27" s="2" t="s">
        <v>390</v>
      </c>
      <c r="C27" s="2" t="s">
        <v>265</v>
      </c>
      <c r="D27" s="70">
        <v>44460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2500</v>
      </c>
      <c r="M27" s="2">
        <v>0</v>
      </c>
      <c r="N27" s="2">
        <v>225</v>
      </c>
      <c r="O27" s="2">
        <v>225</v>
      </c>
      <c r="P27" s="2">
        <v>0</v>
      </c>
      <c r="Q27" s="2">
        <v>2950</v>
      </c>
      <c r="R27" s="2" t="s">
        <v>98</v>
      </c>
      <c r="S27" s="2" t="s">
        <v>99</v>
      </c>
      <c r="T27" s="2" t="s">
        <v>418</v>
      </c>
    </row>
    <row r="28" spans="1:20" x14ac:dyDescent="0.25">
      <c r="A28" s="2" t="s">
        <v>105</v>
      </c>
      <c r="B28" s="2" t="s">
        <v>390</v>
      </c>
      <c r="C28" s="2" t="s">
        <v>267</v>
      </c>
      <c r="D28" s="70">
        <v>44484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145000</v>
      </c>
      <c r="M28" s="2">
        <v>26100</v>
      </c>
      <c r="N28" s="2">
        <v>0</v>
      </c>
      <c r="O28" s="2">
        <v>0</v>
      </c>
      <c r="P28" s="2">
        <v>0</v>
      </c>
      <c r="Q28" s="2">
        <v>171100</v>
      </c>
      <c r="R28" s="2" t="s">
        <v>98</v>
      </c>
      <c r="S28" s="2" t="s">
        <v>99</v>
      </c>
      <c r="T28" s="2" t="s">
        <v>419</v>
      </c>
    </row>
    <row r="29" spans="1:20" x14ac:dyDescent="0.25">
      <c r="A29" s="2" t="s">
        <v>121</v>
      </c>
      <c r="B29" s="2" t="s">
        <v>390</v>
      </c>
      <c r="C29" s="2" t="s">
        <v>269</v>
      </c>
      <c r="D29" s="70">
        <v>44474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101949.5</v>
      </c>
      <c r="M29" s="2">
        <v>0</v>
      </c>
      <c r="N29" s="2">
        <v>9175.4599999999991</v>
      </c>
      <c r="O29" s="2">
        <v>9175.4599999999991</v>
      </c>
      <c r="P29" s="2">
        <v>0</v>
      </c>
      <c r="Q29" s="2">
        <v>120300</v>
      </c>
      <c r="R29" s="2" t="s">
        <v>98</v>
      </c>
      <c r="S29" s="2" t="s">
        <v>99</v>
      </c>
      <c r="T29" s="2" t="s">
        <v>420</v>
      </c>
    </row>
    <row r="30" spans="1:20" x14ac:dyDescent="0.25">
      <c r="A30" s="2" t="s">
        <v>12</v>
      </c>
      <c r="B30" s="2" t="s">
        <v>390</v>
      </c>
      <c r="C30" s="2" t="s">
        <v>271</v>
      </c>
      <c r="D30" s="70">
        <v>44439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83250</v>
      </c>
      <c r="M30" s="2">
        <v>14985</v>
      </c>
      <c r="N30" s="2">
        <v>0</v>
      </c>
      <c r="O30" s="2">
        <v>0</v>
      </c>
      <c r="P30" s="2">
        <v>0</v>
      </c>
      <c r="Q30" s="2">
        <v>98235</v>
      </c>
      <c r="R30" s="2" t="s">
        <v>98</v>
      </c>
      <c r="S30" s="2" t="s">
        <v>99</v>
      </c>
      <c r="T30" s="2" t="s">
        <v>421</v>
      </c>
    </row>
    <row r="31" spans="1:20" x14ac:dyDescent="0.25">
      <c r="A31" s="2" t="s">
        <v>206</v>
      </c>
      <c r="B31" s="2" t="s">
        <v>390</v>
      </c>
      <c r="C31" s="2" t="s">
        <v>333</v>
      </c>
      <c r="D31" s="70">
        <v>44445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4370</v>
      </c>
      <c r="M31" s="2">
        <v>0</v>
      </c>
      <c r="N31" s="2">
        <v>297</v>
      </c>
      <c r="O31" s="2">
        <v>297</v>
      </c>
      <c r="P31" s="2">
        <v>0</v>
      </c>
      <c r="Q31" s="2">
        <v>4964</v>
      </c>
      <c r="R31" s="2" t="s">
        <v>98</v>
      </c>
      <c r="S31" s="2" t="s">
        <v>99</v>
      </c>
      <c r="T31" s="2" t="s">
        <v>422</v>
      </c>
    </row>
    <row r="32" spans="1:20" x14ac:dyDescent="0.25">
      <c r="A32" s="2" t="s">
        <v>235</v>
      </c>
      <c r="B32" s="2" t="s">
        <v>390</v>
      </c>
      <c r="C32" s="2" t="s">
        <v>115</v>
      </c>
      <c r="D32" s="70">
        <v>44454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26532</v>
      </c>
      <c r="M32" s="2">
        <v>0</v>
      </c>
      <c r="N32" s="2">
        <v>2387.88</v>
      </c>
      <c r="O32" s="2">
        <v>2387.88</v>
      </c>
      <c r="P32" s="2">
        <v>0</v>
      </c>
      <c r="Q32" s="2">
        <v>31308</v>
      </c>
      <c r="R32" s="2" t="s">
        <v>98</v>
      </c>
      <c r="S32" s="2" t="s">
        <v>99</v>
      </c>
      <c r="T32" s="2" t="s">
        <v>423</v>
      </c>
    </row>
    <row r="33" spans="1:20" x14ac:dyDescent="0.25">
      <c r="A33" s="2" t="s">
        <v>227</v>
      </c>
      <c r="B33" s="2" t="s">
        <v>390</v>
      </c>
      <c r="C33" s="2" t="s">
        <v>274</v>
      </c>
      <c r="D33" s="70">
        <v>44438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119644.15</v>
      </c>
      <c r="M33" s="2">
        <v>0</v>
      </c>
      <c r="N33" s="2">
        <v>10714.63</v>
      </c>
      <c r="O33" s="2">
        <v>10714.63</v>
      </c>
      <c r="P33" s="2">
        <v>0</v>
      </c>
      <c r="Q33" s="2">
        <v>141073</v>
      </c>
      <c r="R33" s="2" t="s">
        <v>98</v>
      </c>
      <c r="S33" s="2" t="s">
        <v>99</v>
      </c>
      <c r="T33" s="2" t="s">
        <v>424</v>
      </c>
    </row>
    <row r="34" spans="1:20" x14ac:dyDescent="0.25">
      <c r="A34" s="2" t="s">
        <v>205</v>
      </c>
      <c r="B34" s="2" t="s">
        <v>390</v>
      </c>
      <c r="C34" s="2" t="s">
        <v>276</v>
      </c>
      <c r="D34" s="70">
        <v>44488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45050.14</v>
      </c>
      <c r="M34" s="2">
        <v>0</v>
      </c>
      <c r="N34" s="2">
        <v>4054.52</v>
      </c>
      <c r="O34" s="2">
        <v>4054.52</v>
      </c>
      <c r="P34" s="2">
        <v>0</v>
      </c>
      <c r="Q34" s="2">
        <v>53159</v>
      </c>
      <c r="R34" s="2" t="s">
        <v>98</v>
      </c>
      <c r="S34" s="2" t="s">
        <v>99</v>
      </c>
      <c r="T34" s="2" t="s">
        <v>425</v>
      </c>
    </row>
    <row r="35" spans="1:20" x14ac:dyDescent="0.25">
      <c r="A35" s="2" t="s">
        <v>21</v>
      </c>
      <c r="B35" s="2" t="s">
        <v>390</v>
      </c>
      <c r="C35" s="2" t="s">
        <v>278</v>
      </c>
      <c r="D35" s="70">
        <v>44481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329582.39</v>
      </c>
      <c r="M35" s="2">
        <v>0</v>
      </c>
      <c r="N35" s="2">
        <v>29662</v>
      </c>
      <c r="O35" s="2">
        <v>29662</v>
      </c>
      <c r="P35" s="2">
        <v>0</v>
      </c>
      <c r="Q35" s="2">
        <v>388906</v>
      </c>
      <c r="R35" s="2" t="s">
        <v>98</v>
      </c>
      <c r="S35" s="2" t="s">
        <v>99</v>
      </c>
      <c r="T35" s="2" t="s">
        <v>426</v>
      </c>
    </row>
    <row r="36" spans="1:20" x14ac:dyDescent="0.25">
      <c r="A36" s="2" t="s">
        <v>280</v>
      </c>
      <c r="B36" s="2" t="s">
        <v>390</v>
      </c>
      <c r="C36" s="2" t="s">
        <v>281</v>
      </c>
      <c r="D36" s="70">
        <v>44463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2">
        <v>106612.56</v>
      </c>
      <c r="M36" s="2">
        <v>0</v>
      </c>
      <c r="N36" s="2">
        <v>9595.1299999999992</v>
      </c>
      <c r="O36" s="2">
        <v>9595.1299999999992</v>
      </c>
      <c r="P36" s="2">
        <v>0</v>
      </c>
      <c r="Q36" s="2">
        <v>125803</v>
      </c>
      <c r="R36" s="2" t="s">
        <v>98</v>
      </c>
      <c r="S36" s="2" t="s">
        <v>99</v>
      </c>
      <c r="T36" s="2" t="s">
        <v>427</v>
      </c>
    </row>
    <row r="37" spans="1:20" x14ac:dyDescent="0.25">
      <c r="A37" s="2" t="s">
        <v>121</v>
      </c>
      <c r="B37" s="2" t="s">
        <v>390</v>
      </c>
      <c r="C37" s="2" t="s">
        <v>283</v>
      </c>
      <c r="D37" s="70">
        <v>44519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98787</v>
      </c>
      <c r="M37" s="2">
        <v>0</v>
      </c>
      <c r="N37" s="2">
        <v>8890.83</v>
      </c>
      <c r="O37" s="2">
        <v>8890.83</v>
      </c>
      <c r="P37" s="2">
        <v>0</v>
      </c>
      <c r="Q37" s="2">
        <v>116569</v>
      </c>
      <c r="R37" s="2" t="s">
        <v>98</v>
      </c>
      <c r="S37" s="2" t="s">
        <v>99</v>
      </c>
      <c r="T37" s="2" t="s">
        <v>428</v>
      </c>
    </row>
    <row r="38" spans="1:20" x14ac:dyDescent="0.25">
      <c r="A38" s="2" t="s">
        <v>84</v>
      </c>
      <c r="B38" s="2" t="s">
        <v>390</v>
      </c>
      <c r="C38" s="2" t="s">
        <v>285</v>
      </c>
      <c r="D38" s="70">
        <v>44495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1055540</v>
      </c>
      <c r="M38" s="2">
        <v>189997</v>
      </c>
      <c r="N38" s="2">
        <v>0</v>
      </c>
      <c r="O38" s="2">
        <v>0</v>
      </c>
      <c r="P38" s="2">
        <v>0</v>
      </c>
      <c r="Q38" s="2">
        <v>1245537</v>
      </c>
      <c r="R38" s="2" t="s">
        <v>98</v>
      </c>
      <c r="S38" s="2" t="s">
        <v>99</v>
      </c>
      <c r="T38" s="2" t="s">
        <v>429</v>
      </c>
    </row>
    <row r="39" spans="1:20" x14ac:dyDescent="0.25">
      <c r="A39" s="2" t="s">
        <v>91</v>
      </c>
      <c r="B39" s="2" t="s">
        <v>390</v>
      </c>
      <c r="C39" s="2" t="s">
        <v>288</v>
      </c>
      <c r="D39" s="70">
        <v>44517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1150</v>
      </c>
      <c r="M39" s="2">
        <v>0</v>
      </c>
      <c r="N39" s="2">
        <v>103.5</v>
      </c>
      <c r="O39" s="2">
        <v>103.5</v>
      </c>
      <c r="P39" s="2">
        <v>0</v>
      </c>
      <c r="Q39" s="2">
        <v>1357</v>
      </c>
      <c r="R39" s="2" t="s">
        <v>98</v>
      </c>
      <c r="S39" s="2" t="s">
        <v>99</v>
      </c>
      <c r="T39" s="2" t="s">
        <v>430</v>
      </c>
    </row>
    <row r="40" spans="1:20" x14ac:dyDescent="0.25">
      <c r="A40" s="2" t="s">
        <v>206</v>
      </c>
      <c r="B40" s="2" t="s">
        <v>390</v>
      </c>
      <c r="C40" s="2" t="s">
        <v>334</v>
      </c>
      <c r="D40" s="70">
        <v>44559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13000</v>
      </c>
      <c r="M40" s="2">
        <v>0</v>
      </c>
      <c r="N40" s="2">
        <v>1170</v>
      </c>
      <c r="O40" s="2">
        <v>1170</v>
      </c>
      <c r="P40" s="2">
        <v>0</v>
      </c>
      <c r="Q40" s="2">
        <v>15340</v>
      </c>
      <c r="R40" s="2" t="s">
        <v>98</v>
      </c>
      <c r="S40" s="2" t="s">
        <v>99</v>
      </c>
      <c r="T40" s="2" t="s">
        <v>431</v>
      </c>
    </row>
    <row r="41" spans="1:20" x14ac:dyDescent="0.25">
      <c r="A41" s="2" t="s">
        <v>10</v>
      </c>
      <c r="B41" s="2" t="s">
        <v>390</v>
      </c>
      <c r="C41" s="2" t="s">
        <v>291</v>
      </c>
      <c r="D41" s="70">
        <v>44557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1801</v>
      </c>
      <c r="M41" s="2">
        <v>0</v>
      </c>
      <c r="N41" s="2">
        <v>162</v>
      </c>
      <c r="O41" s="2">
        <v>162</v>
      </c>
      <c r="P41" s="2">
        <v>0</v>
      </c>
      <c r="Q41" s="2">
        <v>2125</v>
      </c>
      <c r="R41" s="2" t="s">
        <v>98</v>
      </c>
      <c r="S41" s="2" t="s">
        <v>99</v>
      </c>
      <c r="T41" s="2" t="s">
        <v>432</v>
      </c>
    </row>
    <row r="42" spans="1:20" x14ac:dyDescent="0.25">
      <c r="A42" s="2" t="s">
        <v>88</v>
      </c>
      <c r="B42" s="2" t="s">
        <v>390</v>
      </c>
      <c r="C42" s="2" t="s">
        <v>293</v>
      </c>
      <c r="D42" s="70">
        <v>44558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1200</v>
      </c>
      <c r="M42" s="2">
        <v>0</v>
      </c>
      <c r="N42" s="2">
        <v>30</v>
      </c>
      <c r="O42" s="2">
        <v>30</v>
      </c>
      <c r="P42" s="2">
        <v>0</v>
      </c>
      <c r="Q42" s="2">
        <v>1260</v>
      </c>
      <c r="R42" s="2" t="s">
        <v>98</v>
      </c>
      <c r="S42" s="2" t="s">
        <v>99</v>
      </c>
      <c r="T42" s="2" t="s">
        <v>433</v>
      </c>
    </row>
    <row r="43" spans="1:20" x14ac:dyDescent="0.25">
      <c r="A43" s="2" t="s">
        <v>209</v>
      </c>
      <c r="B43" s="2" t="s">
        <v>390</v>
      </c>
      <c r="C43" s="2" t="s">
        <v>295</v>
      </c>
      <c r="D43" s="70">
        <v>44500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578964.04500000004</v>
      </c>
      <c r="M43" s="2">
        <v>104214</v>
      </c>
      <c r="N43" s="2">
        <v>0</v>
      </c>
      <c r="O43" s="2">
        <v>0</v>
      </c>
      <c r="P43" s="2">
        <v>0</v>
      </c>
      <c r="Q43" s="2">
        <v>683178</v>
      </c>
      <c r="R43" s="2" t="s">
        <v>98</v>
      </c>
      <c r="S43" s="2" t="s">
        <v>99</v>
      </c>
      <c r="T43" s="2" t="s">
        <v>434</v>
      </c>
    </row>
    <row r="44" spans="1:20" x14ac:dyDescent="0.25">
      <c r="A44" s="2" t="s">
        <v>88</v>
      </c>
      <c r="B44" s="2" t="s">
        <v>390</v>
      </c>
      <c r="C44" s="2" t="s">
        <v>296</v>
      </c>
      <c r="D44" s="70">
        <v>44508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1380</v>
      </c>
      <c r="M44" s="2">
        <v>0</v>
      </c>
      <c r="N44" s="2">
        <v>124.2</v>
      </c>
      <c r="O44" s="2">
        <v>124.2</v>
      </c>
      <c r="P44" s="2">
        <v>0</v>
      </c>
      <c r="Q44" s="2">
        <v>1628</v>
      </c>
      <c r="R44" s="2" t="s">
        <v>98</v>
      </c>
      <c r="S44" s="2" t="s">
        <v>99</v>
      </c>
      <c r="T44" s="2" t="s">
        <v>435</v>
      </c>
    </row>
    <row r="45" spans="1:20" x14ac:dyDescent="0.25">
      <c r="A45" s="2" t="s">
        <v>297</v>
      </c>
      <c r="B45" s="2" t="s">
        <v>390</v>
      </c>
      <c r="C45" s="2" t="s">
        <v>31</v>
      </c>
      <c r="D45" s="70">
        <v>44547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9300</v>
      </c>
      <c r="M45" s="2">
        <v>1674</v>
      </c>
      <c r="N45" s="2">
        <v>0</v>
      </c>
      <c r="O45" s="2">
        <v>0</v>
      </c>
      <c r="P45" s="2">
        <v>0</v>
      </c>
      <c r="Q45" s="2">
        <v>10974</v>
      </c>
      <c r="R45" s="2" t="s">
        <v>98</v>
      </c>
      <c r="S45" s="2" t="s">
        <v>99</v>
      </c>
      <c r="T45" s="2" t="s">
        <v>436</v>
      </c>
    </row>
    <row r="46" spans="1:20" x14ac:dyDescent="0.25">
      <c r="A46" s="2" t="s">
        <v>6</v>
      </c>
      <c r="B46" s="2" t="s">
        <v>390</v>
      </c>
      <c r="C46" s="2" t="s">
        <v>298</v>
      </c>
      <c r="D46" s="70">
        <v>44585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601537.03399999999</v>
      </c>
      <c r="M46" s="2">
        <v>0</v>
      </c>
      <c r="N46" s="2">
        <v>54138.33</v>
      </c>
      <c r="O46" s="2">
        <v>54138.33</v>
      </c>
      <c r="P46" s="2">
        <v>0</v>
      </c>
      <c r="Q46" s="2">
        <v>709814</v>
      </c>
      <c r="R46" s="2" t="s">
        <v>98</v>
      </c>
      <c r="S46" s="2" t="s">
        <v>99</v>
      </c>
      <c r="T46" s="2" t="s">
        <v>437</v>
      </c>
    </row>
    <row r="47" spans="1:20" x14ac:dyDescent="0.25">
      <c r="A47" s="2" t="s">
        <v>13</v>
      </c>
      <c r="B47" s="2" t="s">
        <v>390</v>
      </c>
      <c r="C47" s="2" t="s">
        <v>299</v>
      </c>
      <c r="D47" s="70">
        <v>44554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240405</v>
      </c>
      <c r="M47" s="2">
        <v>43272.9</v>
      </c>
      <c r="N47" s="2">
        <v>0</v>
      </c>
      <c r="O47" s="2">
        <v>0</v>
      </c>
      <c r="P47" s="2">
        <v>0</v>
      </c>
      <c r="Q47" s="2">
        <v>283678</v>
      </c>
      <c r="R47" s="2" t="s">
        <v>98</v>
      </c>
      <c r="S47" s="2" t="s">
        <v>99</v>
      </c>
      <c r="T47" s="2" t="s">
        <v>438</v>
      </c>
    </row>
    <row r="48" spans="1:20" x14ac:dyDescent="0.25">
      <c r="A48" s="2" t="s">
        <v>300</v>
      </c>
      <c r="B48" s="2" t="s">
        <v>390</v>
      </c>
      <c r="C48" s="2" t="s">
        <v>301</v>
      </c>
      <c r="D48" s="70">
        <v>44294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1105</v>
      </c>
      <c r="M48" s="2">
        <v>198.9</v>
      </c>
      <c r="N48" s="2">
        <v>0</v>
      </c>
      <c r="O48" s="2">
        <v>0</v>
      </c>
      <c r="P48" s="2">
        <v>0</v>
      </c>
      <c r="Q48" s="2">
        <v>1304</v>
      </c>
      <c r="R48" s="2" t="s">
        <v>98</v>
      </c>
      <c r="S48" s="2" t="s">
        <v>99</v>
      </c>
      <c r="T48" s="2" t="s">
        <v>439</v>
      </c>
    </row>
    <row r="49" spans="1:20" x14ac:dyDescent="0.25">
      <c r="A49" s="2" t="s">
        <v>201</v>
      </c>
      <c r="B49" s="2" t="s">
        <v>390</v>
      </c>
      <c r="C49" s="2" t="s">
        <v>107</v>
      </c>
      <c r="D49" s="70">
        <v>44286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12050</v>
      </c>
      <c r="M49" s="2">
        <v>0</v>
      </c>
      <c r="N49" s="2">
        <v>1084.5</v>
      </c>
      <c r="O49" s="2">
        <v>1084.5</v>
      </c>
      <c r="P49" s="2">
        <v>0</v>
      </c>
      <c r="Q49" s="2">
        <v>14219</v>
      </c>
      <c r="R49" s="2" t="s">
        <v>122</v>
      </c>
      <c r="S49" s="2" t="s">
        <v>99</v>
      </c>
      <c r="T49" s="2" t="s">
        <v>490</v>
      </c>
    </row>
    <row r="50" spans="1:20" x14ac:dyDescent="0.25">
      <c r="A50" s="2" t="s">
        <v>204</v>
      </c>
      <c r="B50" s="2" t="s">
        <v>390</v>
      </c>
      <c r="C50" s="2" t="s">
        <v>302</v>
      </c>
      <c r="D50" s="70">
        <v>44310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125326.39999999999</v>
      </c>
      <c r="M50" s="2">
        <v>0</v>
      </c>
      <c r="N50" s="2">
        <v>7519.58</v>
      </c>
      <c r="O50" s="2">
        <v>7519.58</v>
      </c>
      <c r="P50" s="2">
        <v>0</v>
      </c>
      <c r="Q50" s="2">
        <v>140506</v>
      </c>
      <c r="R50" s="2" t="s">
        <v>98</v>
      </c>
      <c r="S50" s="2" t="s">
        <v>99</v>
      </c>
      <c r="T50" s="2" t="s">
        <v>440</v>
      </c>
    </row>
    <row r="51" spans="1:20" x14ac:dyDescent="0.25">
      <c r="A51" s="2" t="s">
        <v>87</v>
      </c>
      <c r="B51" s="2" t="s">
        <v>390</v>
      </c>
      <c r="C51" s="2" t="s">
        <v>303</v>
      </c>
      <c r="D51" s="70">
        <v>44364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1600</v>
      </c>
      <c r="M51" s="2">
        <v>0</v>
      </c>
      <c r="N51" s="2">
        <v>144</v>
      </c>
      <c r="O51" s="2">
        <v>144</v>
      </c>
      <c r="P51" s="2">
        <v>0</v>
      </c>
      <c r="Q51" s="2">
        <v>1888</v>
      </c>
      <c r="R51" s="2" t="s">
        <v>98</v>
      </c>
      <c r="S51" s="2" t="s">
        <v>99</v>
      </c>
      <c r="T51" s="2" t="s">
        <v>441</v>
      </c>
    </row>
    <row r="52" spans="1:20" x14ac:dyDescent="0.25">
      <c r="A52" s="2" t="s">
        <v>15</v>
      </c>
      <c r="B52" s="2" t="s">
        <v>390</v>
      </c>
      <c r="C52" s="2" t="s">
        <v>101</v>
      </c>
      <c r="D52" s="70">
        <v>44347</v>
      </c>
      <c r="G52" s="2">
        <v>0</v>
      </c>
      <c r="H52" s="2">
        <v>0</v>
      </c>
      <c r="I52" s="2">
        <v>0</v>
      </c>
      <c r="J52" s="2">
        <v>0</v>
      </c>
      <c r="K52" s="2">
        <v>0</v>
      </c>
      <c r="L52" s="2">
        <v>79503</v>
      </c>
      <c r="M52" s="2">
        <v>0</v>
      </c>
      <c r="N52" s="2">
        <v>7155.27</v>
      </c>
      <c r="O52" s="2">
        <v>7155.27</v>
      </c>
      <c r="P52" s="2">
        <v>0</v>
      </c>
      <c r="Q52" s="2">
        <v>93814</v>
      </c>
      <c r="R52" s="2" t="s">
        <v>98</v>
      </c>
      <c r="S52" s="2" t="s">
        <v>99</v>
      </c>
      <c r="T52" s="2" t="s">
        <v>442</v>
      </c>
    </row>
    <row r="53" spans="1:20" x14ac:dyDescent="0.25">
      <c r="A53" s="2" t="s">
        <v>196</v>
      </c>
      <c r="B53" s="2" t="s">
        <v>390</v>
      </c>
      <c r="C53" s="2" t="s">
        <v>304</v>
      </c>
      <c r="D53" s="70">
        <v>44349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227804.5</v>
      </c>
      <c r="M53" s="2">
        <v>0</v>
      </c>
      <c r="N53" s="2">
        <v>13668.27</v>
      </c>
      <c r="O53" s="2">
        <v>13668.27</v>
      </c>
      <c r="P53" s="2">
        <v>0</v>
      </c>
      <c r="Q53" s="2">
        <v>255141</v>
      </c>
      <c r="R53" s="2" t="s">
        <v>98</v>
      </c>
      <c r="S53" s="2" t="s">
        <v>99</v>
      </c>
      <c r="T53" s="2" t="s">
        <v>443</v>
      </c>
    </row>
    <row r="54" spans="1:20" x14ac:dyDescent="0.25">
      <c r="A54" s="2" t="s">
        <v>86</v>
      </c>
      <c r="B54" s="2" t="s">
        <v>390</v>
      </c>
      <c r="C54" s="2" t="s">
        <v>305</v>
      </c>
      <c r="D54" s="70">
        <v>44303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  <c r="L54" s="2">
        <v>300</v>
      </c>
      <c r="M54" s="2">
        <v>0</v>
      </c>
      <c r="N54" s="2">
        <v>27</v>
      </c>
      <c r="O54" s="2">
        <v>27</v>
      </c>
      <c r="P54" s="2">
        <v>0</v>
      </c>
      <c r="Q54" s="2">
        <v>354</v>
      </c>
      <c r="R54" s="2" t="s">
        <v>98</v>
      </c>
      <c r="S54" s="2" t="s">
        <v>99</v>
      </c>
      <c r="T54" s="2" t="s">
        <v>444</v>
      </c>
    </row>
    <row r="55" spans="1:20" x14ac:dyDescent="0.25">
      <c r="A55" s="2" t="s">
        <v>6</v>
      </c>
      <c r="B55" s="2" t="s">
        <v>390</v>
      </c>
      <c r="C55" s="2" t="s">
        <v>306</v>
      </c>
      <c r="D55" s="70">
        <v>44322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551208</v>
      </c>
      <c r="M55" s="2">
        <v>0</v>
      </c>
      <c r="N55" s="2">
        <v>49608.72</v>
      </c>
      <c r="O55" s="2">
        <v>49608.72</v>
      </c>
      <c r="P55" s="2">
        <v>0</v>
      </c>
      <c r="Q55" s="2">
        <v>651075</v>
      </c>
      <c r="R55" s="2" t="s">
        <v>98</v>
      </c>
      <c r="S55" s="2" t="s">
        <v>99</v>
      </c>
      <c r="T55" s="2" t="s">
        <v>445</v>
      </c>
    </row>
    <row r="56" spans="1:20" x14ac:dyDescent="0.25">
      <c r="A56" s="2" t="s">
        <v>280</v>
      </c>
      <c r="B56" s="2" t="s">
        <v>390</v>
      </c>
      <c r="C56" s="2" t="s">
        <v>307</v>
      </c>
      <c r="D56" s="70">
        <v>44322</v>
      </c>
      <c r="G56" s="2">
        <v>0</v>
      </c>
      <c r="H56" s="2">
        <v>0</v>
      </c>
      <c r="I56" s="2">
        <v>0</v>
      </c>
      <c r="J56" s="2">
        <v>0</v>
      </c>
      <c r="K56" s="2">
        <v>0</v>
      </c>
      <c r="L56" s="2">
        <v>122511.48</v>
      </c>
      <c r="M56" s="2">
        <v>0</v>
      </c>
      <c r="N56" s="2">
        <v>11026.03</v>
      </c>
      <c r="O56" s="2">
        <v>11026.03</v>
      </c>
      <c r="P56" s="2">
        <v>0</v>
      </c>
      <c r="Q56" s="2">
        <v>144564</v>
      </c>
      <c r="R56" s="2" t="s">
        <v>98</v>
      </c>
      <c r="S56" s="2" t="s">
        <v>99</v>
      </c>
      <c r="T56" s="2" t="s">
        <v>446</v>
      </c>
    </row>
    <row r="57" spans="1:20" x14ac:dyDescent="0.25">
      <c r="A57" s="2" t="s">
        <v>7</v>
      </c>
      <c r="B57" s="2" t="s">
        <v>390</v>
      </c>
      <c r="C57" s="2" t="s">
        <v>308</v>
      </c>
      <c r="D57" s="70">
        <v>44370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1000</v>
      </c>
      <c r="M57" s="2">
        <v>0</v>
      </c>
      <c r="N57" s="2">
        <v>90</v>
      </c>
      <c r="O57" s="2">
        <v>90</v>
      </c>
      <c r="P57" s="2">
        <v>0</v>
      </c>
      <c r="Q57" s="2">
        <v>1180</v>
      </c>
      <c r="R57" s="2" t="s">
        <v>98</v>
      </c>
      <c r="S57" s="2" t="s">
        <v>99</v>
      </c>
      <c r="T57" s="2" t="s">
        <v>447</v>
      </c>
    </row>
    <row r="58" spans="1:20" x14ac:dyDescent="0.25">
      <c r="A58" s="2" t="s">
        <v>7</v>
      </c>
      <c r="B58" s="2" t="s">
        <v>390</v>
      </c>
      <c r="C58" s="2" t="s">
        <v>309</v>
      </c>
      <c r="D58" s="70">
        <v>44333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2">
        <v>4750</v>
      </c>
      <c r="M58" s="2">
        <v>0</v>
      </c>
      <c r="N58" s="2">
        <v>427.5</v>
      </c>
      <c r="O58" s="2">
        <v>427.5</v>
      </c>
      <c r="P58" s="2">
        <v>0</v>
      </c>
      <c r="Q58" s="2">
        <v>5605</v>
      </c>
      <c r="R58" s="2" t="s">
        <v>98</v>
      </c>
      <c r="S58" s="2" t="s">
        <v>99</v>
      </c>
      <c r="T58" s="2" t="s">
        <v>448</v>
      </c>
    </row>
    <row r="59" spans="1:20" x14ac:dyDescent="0.25">
      <c r="A59" s="2" t="s">
        <v>198</v>
      </c>
      <c r="B59" s="2" t="s">
        <v>390</v>
      </c>
      <c r="C59" s="2" t="s">
        <v>16</v>
      </c>
      <c r="D59" s="70">
        <v>44349</v>
      </c>
      <c r="G59" s="2">
        <v>0</v>
      </c>
      <c r="H59" s="2">
        <v>0</v>
      </c>
      <c r="I59" s="2">
        <v>0</v>
      </c>
      <c r="J59" s="2">
        <v>0</v>
      </c>
      <c r="K59" s="2">
        <v>0</v>
      </c>
      <c r="L59" s="2">
        <v>39473.279999999999</v>
      </c>
      <c r="M59" s="2">
        <v>0</v>
      </c>
      <c r="N59" s="2">
        <v>3553</v>
      </c>
      <c r="O59" s="2">
        <v>3553</v>
      </c>
      <c r="P59" s="2">
        <v>0</v>
      </c>
      <c r="Q59" s="2">
        <v>46579</v>
      </c>
      <c r="R59" s="2" t="s">
        <v>98</v>
      </c>
      <c r="S59" s="2" t="s">
        <v>99</v>
      </c>
      <c r="T59" s="2" t="s">
        <v>449</v>
      </c>
    </row>
    <row r="60" spans="1:20" x14ac:dyDescent="0.25">
      <c r="A60" s="2" t="s">
        <v>310</v>
      </c>
      <c r="B60" s="2" t="s">
        <v>390</v>
      </c>
      <c r="C60" s="2" t="s">
        <v>311</v>
      </c>
      <c r="D60" s="70">
        <v>44364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  <c r="L60" s="2">
        <v>229620</v>
      </c>
      <c r="M60" s="2">
        <v>41332</v>
      </c>
      <c r="N60" s="2">
        <v>0</v>
      </c>
      <c r="O60" s="2">
        <v>0</v>
      </c>
      <c r="P60" s="2">
        <v>0</v>
      </c>
      <c r="Q60" s="2">
        <v>270952</v>
      </c>
      <c r="R60" s="2" t="s">
        <v>98</v>
      </c>
      <c r="S60" s="2" t="s">
        <v>99</v>
      </c>
      <c r="T60" s="2" t="s">
        <v>450</v>
      </c>
    </row>
    <row r="61" spans="1:20" x14ac:dyDescent="0.25">
      <c r="A61" s="2" t="s">
        <v>197</v>
      </c>
      <c r="B61" s="2" t="s">
        <v>390</v>
      </c>
      <c r="C61" s="2" t="s">
        <v>103</v>
      </c>
      <c r="D61" s="70">
        <v>44317</v>
      </c>
      <c r="G61" s="2">
        <v>0</v>
      </c>
      <c r="H61" s="2">
        <v>0</v>
      </c>
      <c r="I61" s="2">
        <v>0</v>
      </c>
      <c r="J61" s="2">
        <v>0</v>
      </c>
      <c r="K61" s="2">
        <v>0</v>
      </c>
      <c r="L61" s="2">
        <v>950</v>
      </c>
      <c r="M61" s="2">
        <v>0</v>
      </c>
      <c r="N61" s="2">
        <v>85.5</v>
      </c>
      <c r="O61" s="2">
        <v>85.5</v>
      </c>
      <c r="P61" s="2">
        <v>0</v>
      </c>
      <c r="Q61" s="2">
        <v>1121</v>
      </c>
      <c r="R61" s="2" t="s">
        <v>98</v>
      </c>
      <c r="S61" s="2" t="s">
        <v>99</v>
      </c>
      <c r="T61" s="2" t="s">
        <v>451</v>
      </c>
    </row>
    <row r="62" spans="1:20" x14ac:dyDescent="0.25">
      <c r="A62" s="2" t="s">
        <v>90</v>
      </c>
      <c r="B62" s="2" t="s">
        <v>390</v>
      </c>
      <c r="C62" s="2" t="s">
        <v>312</v>
      </c>
      <c r="D62" s="70">
        <v>44308</v>
      </c>
      <c r="G62" s="2">
        <v>0</v>
      </c>
      <c r="H62" s="2">
        <v>0</v>
      </c>
      <c r="I62" s="2">
        <v>0</v>
      </c>
      <c r="J62" s="2">
        <v>0</v>
      </c>
      <c r="K62" s="2">
        <v>0</v>
      </c>
      <c r="L62" s="2">
        <v>29333</v>
      </c>
      <c r="M62" s="2">
        <v>0</v>
      </c>
      <c r="N62" s="2">
        <v>2639.97</v>
      </c>
      <c r="O62" s="2">
        <v>2639.97</v>
      </c>
      <c r="P62" s="2">
        <v>0</v>
      </c>
      <c r="Q62" s="2">
        <v>34613</v>
      </c>
      <c r="R62" s="2" t="s">
        <v>98</v>
      </c>
      <c r="S62" s="2" t="s">
        <v>99</v>
      </c>
      <c r="T62" s="2" t="s">
        <v>452</v>
      </c>
    </row>
    <row r="63" spans="1:20" x14ac:dyDescent="0.25">
      <c r="A63" s="2" t="s">
        <v>200</v>
      </c>
      <c r="B63" s="2" t="s">
        <v>390</v>
      </c>
      <c r="C63" s="2" t="s">
        <v>313</v>
      </c>
      <c r="D63" s="70">
        <v>44324</v>
      </c>
      <c r="G63" s="2">
        <v>0</v>
      </c>
      <c r="H63" s="2">
        <v>0</v>
      </c>
      <c r="I63" s="2">
        <v>0</v>
      </c>
      <c r="J63" s="2">
        <v>0</v>
      </c>
      <c r="K63" s="2">
        <v>0</v>
      </c>
      <c r="L63" s="2">
        <v>159785</v>
      </c>
      <c r="M63" s="2">
        <v>28761</v>
      </c>
      <c r="N63" s="2">
        <v>0</v>
      </c>
      <c r="O63" s="2">
        <v>0</v>
      </c>
      <c r="P63" s="2">
        <v>0</v>
      </c>
      <c r="Q63" s="2">
        <v>188735</v>
      </c>
      <c r="R63" s="2" t="s">
        <v>98</v>
      </c>
      <c r="S63" s="2" t="s">
        <v>99</v>
      </c>
      <c r="T63" s="2" t="s">
        <v>453</v>
      </c>
    </row>
    <row r="64" spans="1:20" x14ac:dyDescent="0.25">
      <c r="A64" s="2" t="s">
        <v>314</v>
      </c>
      <c r="B64" s="2" t="s">
        <v>390</v>
      </c>
      <c r="C64" s="2" t="s">
        <v>315</v>
      </c>
      <c r="D64" s="70">
        <v>44357</v>
      </c>
      <c r="G64" s="2">
        <v>0</v>
      </c>
      <c r="H64" s="2">
        <v>0</v>
      </c>
      <c r="I64" s="2">
        <v>0</v>
      </c>
      <c r="J64" s="2">
        <v>0</v>
      </c>
      <c r="K64" s="2">
        <v>0</v>
      </c>
      <c r="L64" s="2">
        <v>136550</v>
      </c>
      <c r="M64" s="2">
        <v>24579</v>
      </c>
      <c r="N64" s="2">
        <v>0</v>
      </c>
      <c r="O64" s="2">
        <v>0</v>
      </c>
      <c r="P64" s="2">
        <v>0</v>
      </c>
      <c r="Q64" s="2">
        <v>161290</v>
      </c>
      <c r="R64" s="2" t="s">
        <v>98</v>
      </c>
      <c r="S64" s="2" t="s">
        <v>99</v>
      </c>
      <c r="T64" s="2" t="s">
        <v>454</v>
      </c>
    </row>
    <row r="65" spans="1:20" x14ac:dyDescent="0.25">
      <c r="A65" s="2" t="s">
        <v>21</v>
      </c>
      <c r="B65" s="2" t="s">
        <v>390</v>
      </c>
      <c r="C65" s="2" t="s">
        <v>316</v>
      </c>
      <c r="D65" s="70">
        <v>44314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351356.859</v>
      </c>
      <c r="M65" s="2">
        <v>0</v>
      </c>
      <c r="N65" s="2">
        <v>31622</v>
      </c>
      <c r="O65" s="2">
        <v>31622</v>
      </c>
      <c r="P65" s="2">
        <v>0</v>
      </c>
      <c r="Q65" s="2">
        <v>415016</v>
      </c>
      <c r="R65" s="2" t="s">
        <v>98</v>
      </c>
      <c r="S65" s="2" t="s">
        <v>99</v>
      </c>
      <c r="T65" s="2" t="s">
        <v>455</v>
      </c>
    </row>
    <row r="66" spans="1:20" x14ac:dyDescent="0.25">
      <c r="A66" s="2" t="s">
        <v>235</v>
      </c>
      <c r="B66" s="2" t="s">
        <v>390</v>
      </c>
      <c r="C66" s="2" t="s">
        <v>263</v>
      </c>
      <c r="D66" s="70">
        <v>44309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37154</v>
      </c>
      <c r="M66" s="2">
        <v>0</v>
      </c>
      <c r="N66" s="2">
        <v>3343.86</v>
      </c>
      <c r="O66" s="2">
        <v>3343.86</v>
      </c>
      <c r="P66" s="2">
        <v>0</v>
      </c>
      <c r="Q66" s="2">
        <v>43842</v>
      </c>
      <c r="R66" s="2" t="s">
        <v>98</v>
      </c>
      <c r="S66" s="2" t="s">
        <v>99</v>
      </c>
      <c r="T66" s="2" t="s">
        <v>456</v>
      </c>
    </row>
    <row r="67" spans="1:20" x14ac:dyDescent="0.25">
      <c r="A67" s="2" t="s">
        <v>17</v>
      </c>
      <c r="B67" s="2" t="s">
        <v>390</v>
      </c>
      <c r="C67" s="2" t="s">
        <v>317</v>
      </c>
      <c r="D67" s="70">
        <v>44341</v>
      </c>
      <c r="G67" s="2">
        <v>0</v>
      </c>
      <c r="H67" s="2">
        <v>0</v>
      </c>
      <c r="I67" s="2">
        <v>0</v>
      </c>
      <c r="J67" s="2">
        <v>0</v>
      </c>
      <c r="K67" s="2">
        <v>0</v>
      </c>
      <c r="L67" s="2">
        <v>39750</v>
      </c>
      <c r="M67" s="2">
        <v>7155</v>
      </c>
      <c r="N67" s="2">
        <v>0</v>
      </c>
      <c r="O67" s="2">
        <v>0</v>
      </c>
      <c r="P67" s="2">
        <v>0</v>
      </c>
      <c r="Q67" s="2">
        <v>46952</v>
      </c>
      <c r="R67" s="2" t="s">
        <v>98</v>
      </c>
      <c r="S67" s="2" t="s">
        <v>99</v>
      </c>
      <c r="T67" s="2" t="s">
        <v>457</v>
      </c>
    </row>
    <row r="68" spans="1:20" x14ac:dyDescent="0.25">
      <c r="A68" s="2" t="s">
        <v>14</v>
      </c>
      <c r="B68" s="2" t="s">
        <v>390</v>
      </c>
      <c r="C68" s="2" t="s">
        <v>318</v>
      </c>
      <c r="D68" s="70">
        <v>44335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710000</v>
      </c>
      <c r="M68" s="2">
        <v>127800</v>
      </c>
      <c r="N68" s="2">
        <v>0</v>
      </c>
      <c r="O68" s="2">
        <v>0</v>
      </c>
      <c r="P68" s="2">
        <v>0</v>
      </c>
      <c r="Q68" s="2">
        <v>838638</v>
      </c>
      <c r="R68" s="2" t="s">
        <v>98</v>
      </c>
      <c r="S68" s="2" t="s">
        <v>99</v>
      </c>
      <c r="T68" s="2" t="s">
        <v>458</v>
      </c>
    </row>
    <row r="69" spans="1:20" x14ac:dyDescent="0.25">
      <c r="A69" s="2" t="s">
        <v>8</v>
      </c>
      <c r="B69" s="2" t="s">
        <v>390</v>
      </c>
      <c r="C69" s="2" t="s">
        <v>120</v>
      </c>
      <c r="D69" s="70">
        <v>44345</v>
      </c>
      <c r="G69" s="2">
        <v>0</v>
      </c>
      <c r="H69" s="2">
        <v>0</v>
      </c>
      <c r="I69" s="2">
        <v>0</v>
      </c>
      <c r="J69" s="2">
        <v>0</v>
      </c>
      <c r="K69" s="2">
        <v>0</v>
      </c>
      <c r="L69" s="2">
        <v>91376.639999999999</v>
      </c>
      <c r="M69" s="2">
        <v>0</v>
      </c>
      <c r="N69" s="2">
        <v>8223.9</v>
      </c>
      <c r="O69" s="2">
        <v>8223.9</v>
      </c>
      <c r="P69" s="2">
        <v>0</v>
      </c>
      <c r="Q69" s="2">
        <v>107824</v>
      </c>
      <c r="R69" s="2" t="s">
        <v>98</v>
      </c>
      <c r="S69" s="2" t="s">
        <v>99</v>
      </c>
      <c r="T69" s="2" t="s">
        <v>459</v>
      </c>
    </row>
    <row r="70" spans="1:20" x14ac:dyDescent="0.25">
      <c r="A70" s="2" t="s">
        <v>207</v>
      </c>
      <c r="B70" s="2" t="s">
        <v>390</v>
      </c>
      <c r="C70" s="2" t="s">
        <v>11</v>
      </c>
      <c r="D70" s="70">
        <v>44294</v>
      </c>
      <c r="G70" s="2">
        <v>0</v>
      </c>
      <c r="H70" s="2">
        <v>0</v>
      </c>
      <c r="I70" s="2">
        <v>0</v>
      </c>
      <c r="J70" s="2">
        <v>0</v>
      </c>
      <c r="K70" s="2">
        <v>0</v>
      </c>
      <c r="L70" s="2">
        <v>3675</v>
      </c>
      <c r="M70" s="2">
        <v>0</v>
      </c>
      <c r="N70" s="2">
        <v>312</v>
      </c>
      <c r="O70" s="2">
        <v>312</v>
      </c>
      <c r="P70" s="2">
        <v>0</v>
      </c>
      <c r="Q70" s="2">
        <v>4299</v>
      </c>
      <c r="R70" s="2" t="s">
        <v>98</v>
      </c>
      <c r="S70" s="2" t="s">
        <v>99</v>
      </c>
      <c r="T70" s="2" t="s">
        <v>460</v>
      </c>
    </row>
    <row r="71" spans="1:20" x14ac:dyDescent="0.25">
      <c r="A71" s="2" t="s">
        <v>319</v>
      </c>
      <c r="B71" s="2" t="s">
        <v>390</v>
      </c>
      <c r="C71" s="2" t="s">
        <v>320</v>
      </c>
      <c r="D71" s="70">
        <v>44345</v>
      </c>
      <c r="G71" s="2">
        <v>0</v>
      </c>
      <c r="H71" s="2">
        <v>0</v>
      </c>
      <c r="I71" s="2">
        <v>0</v>
      </c>
      <c r="J71" s="2">
        <v>0</v>
      </c>
      <c r="K71" s="2">
        <v>0</v>
      </c>
      <c r="L71" s="2">
        <v>53800</v>
      </c>
      <c r="M71" s="2">
        <v>9684</v>
      </c>
      <c r="N71" s="2">
        <v>0</v>
      </c>
      <c r="O71" s="2">
        <v>0</v>
      </c>
      <c r="P71" s="2">
        <v>0</v>
      </c>
      <c r="Q71" s="2">
        <v>63484</v>
      </c>
      <c r="R71" s="2" t="s">
        <v>98</v>
      </c>
      <c r="S71" s="2" t="s">
        <v>99</v>
      </c>
      <c r="T71" s="2" t="s">
        <v>461</v>
      </c>
    </row>
    <row r="72" spans="1:20" x14ac:dyDescent="0.25">
      <c r="A72" s="2" t="s">
        <v>286</v>
      </c>
      <c r="B72" s="2" t="s">
        <v>390</v>
      </c>
      <c r="C72" s="2" t="s">
        <v>287</v>
      </c>
      <c r="D72" s="70">
        <v>44305</v>
      </c>
      <c r="G72" s="2">
        <v>0</v>
      </c>
      <c r="H72" s="2">
        <v>0</v>
      </c>
      <c r="I72" s="2">
        <v>0</v>
      </c>
      <c r="J72" s="2">
        <v>0</v>
      </c>
      <c r="K72" s="2">
        <v>0</v>
      </c>
      <c r="L72" s="2">
        <v>46000</v>
      </c>
      <c r="M72" s="2">
        <v>8280</v>
      </c>
      <c r="N72" s="2">
        <v>0</v>
      </c>
      <c r="O72" s="2">
        <v>0</v>
      </c>
      <c r="P72" s="2">
        <v>0</v>
      </c>
      <c r="Q72" s="2">
        <v>54280</v>
      </c>
      <c r="R72" s="2" t="s">
        <v>98</v>
      </c>
      <c r="S72" s="2" t="s">
        <v>99</v>
      </c>
      <c r="T72" s="2" t="s">
        <v>462</v>
      </c>
    </row>
    <row r="73" spans="1:20" x14ac:dyDescent="0.25">
      <c r="A73" s="2" t="s">
        <v>332</v>
      </c>
      <c r="B73" s="2" t="s">
        <v>390</v>
      </c>
      <c r="C73" s="2" t="s">
        <v>336</v>
      </c>
      <c r="D73" s="70">
        <v>44277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25750</v>
      </c>
      <c r="M73" s="2">
        <v>4635</v>
      </c>
      <c r="N73" s="2">
        <v>0</v>
      </c>
      <c r="O73" s="2">
        <v>0</v>
      </c>
      <c r="P73" s="2">
        <v>0</v>
      </c>
      <c r="Q73" s="2">
        <v>30385</v>
      </c>
      <c r="R73" s="2" t="s">
        <v>122</v>
      </c>
      <c r="S73" s="2" t="s">
        <v>99</v>
      </c>
      <c r="T73" s="2" t="s">
        <v>491</v>
      </c>
    </row>
    <row r="74" spans="1:20" x14ac:dyDescent="0.25">
      <c r="A74" s="2" t="s">
        <v>321</v>
      </c>
      <c r="B74" s="2" t="s">
        <v>390</v>
      </c>
      <c r="C74" s="2" t="s">
        <v>322</v>
      </c>
      <c r="D74" s="70">
        <v>44319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  <c r="L74" s="2">
        <v>501800</v>
      </c>
      <c r="M74" s="2">
        <v>90324</v>
      </c>
      <c r="N74" s="2">
        <v>0</v>
      </c>
      <c r="O74" s="2">
        <v>0</v>
      </c>
      <c r="P74" s="2">
        <v>0</v>
      </c>
      <c r="Q74" s="2">
        <v>592124</v>
      </c>
      <c r="R74" s="2" t="s">
        <v>98</v>
      </c>
      <c r="S74" s="2" t="s">
        <v>99</v>
      </c>
      <c r="T74" s="2" t="s">
        <v>463</v>
      </c>
    </row>
    <row r="75" spans="1:20" x14ac:dyDescent="0.25">
      <c r="A75" s="2" t="s">
        <v>280</v>
      </c>
      <c r="B75" s="2" t="s">
        <v>390</v>
      </c>
      <c r="C75" s="2" t="s">
        <v>323</v>
      </c>
      <c r="D75" s="70">
        <v>44392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9900</v>
      </c>
      <c r="M75" s="2">
        <v>0</v>
      </c>
      <c r="N75" s="2">
        <v>891</v>
      </c>
      <c r="O75" s="2">
        <v>891</v>
      </c>
      <c r="P75" s="2">
        <v>0</v>
      </c>
      <c r="Q75" s="2">
        <v>11682</v>
      </c>
      <c r="R75" s="2" t="s">
        <v>98</v>
      </c>
      <c r="S75" s="2" t="s">
        <v>99</v>
      </c>
      <c r="T75" s="2" t="s">
        <v>464</v>
      </c>
    </row>
    <row r="76" spans="1:20" x14ac:dyDescent="0.25">
      <c r="A76" s="2" t="s">
        <v>91</v>
      </c>
      <c r="B76" s="2" t="s">
        <v>390</v>
      </c>
      <c r="C76" s="2" t="s">
        <v>117</v>
      </c>
      <c r="D76" s="70">
        <v>44424</v>
      </c>
      <c r="G76" s="2">
        <v>0</v>
      </c>
      <c r="H76" s="2">
        <v>0</v>
      </c>
      <c r="I76" s="2">
        <v>0</v>
      </c>
      <c r="J76" s="2">
        <v>0</v>
      </c>
      <c r="K76" s="2">
        <v>0</v>
      </c>
      <c r="L76" s="2">
        <v>996.8</v>
      </c>
      <c r="M76" s="2">
        <v>0</v>
      </c>
      <c r="N76" s="2">
        <v>89.71</v>
      </c>
      <c r="O76" s="2">
        <v>89.71</v>
      </c>
      <c r="P76" s="2">
        <v>0</v>
      </c>
      <c r="Q76" s="2">
        <v>1176</v>
      </c>
      <c r="R76" s="2" t="s">
        <v>98</v>
      </c>
      <c r="S76" s="2" t="s">
        <v>99</v>
      </c>
      <c r="T76" s="2" t="s">
        <v>465</v>
      </c>
    </row>
    <row r="77" spans="1:20" x14ac:dyDescent="0.25">
      <c r="A77" s="2" t="s">
        <v>89</v>
      </c>
      <c r="B77" s="2" t="s">
        <v>390</v>
      </c>
      <c r="C77" s="2" t="s">
        <v>324</v>
      </c>
      <c r="D77" s="70">
        <v>44435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2925</v>
      </c>
      <c r="M77" s="2">
        <v>0</v>
      </c>
      <c r="N77" s="2">
        <v>263.25</v>
      </c>
      <c r="O77" s="2">
        <v>263.25</v>
      </c>
      <c r="P77" s="2">
        <v>0</v>
      </c>
      <c r="Q77" s="2">
        <v>3452</v>
      </c>
      <c r="R77" s="2" t="s">
        <v>98</v>
      </c>
      <c r="S77" s="2" t="s">
        <v>99</v>
      </c>
      <c r="T77" s="2" t="s">
        <v>466</v>
      </c>
    </row>
    <row r="78" spans="1:20" x14ac:dyDescent="0.25">
      <c r="A78" s="2" t="s">
        <v>204</v>
      </c>
      <c r="B78" s="2" t="s">
        <v>390</v>
      </c>
      <c r="C78" s="2" t="s">
        <v>325</v>
      </c>
      <c r="D78" s="70">
        <v>44312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114900.54</v>
      </c>
      <c r="M78" s="2">
        <v>0</v>
      </c>
      <c r="N78" s="2">
        <v>6894.03</v>
      </c>
      <c r="O78" s="2">
        <v>6894.03</v>
      </c>
      <c r="P78" s="2">
        <v>0</v>
      </c>
      <c r="Q78" s="2">
        <v>128818</v>
      </c>
      <c r="R78" s="2" t="s">
        <v>98</v>
      </c>
      <c r="S78" s="2" t="s">
        <v>99</v>
      </c>
      <c r="T78" s="2" t="s">
        <v>467</v>
      </c>
    </row>
    <row r="79" spans="1:20" x14ac:dyDescent="0.25">
      <c r="A79" s="2" t="s">
        <v>22</v>
      </c>
      <c r="B79" s="2" t="s">
        <v>390</v>
      </c>
      <c r="C79" s="2" t="s">
        <v>326</v>
      </c>
      <c r="D79" s="70">
        <v>44391</v>
      </c>
      <c r="G79" s="2">
        <v>0</v>
      </c>
      <c r="H79" s="2">
        <v>0</v>
      </c>
      <c r="I79" s="2">
        <v>0</v>
      </c>
      <c r="J79" s="2">
        <v>0</v>
      </c>
      <c r="K79" s="2">
        <v>0</v>
      </c>
      <c r="L79" s="2">
        <v>22800</v>
      </c>
      <c r="M79" s="2">
        <v>0</v>
      </c>
      <c r="N79" s="2">
        <v>2052</v>
      </c>
      <c r="O79" s="2">
        <v>2052</v>
      </c>
      <c r="P79" s="2">
        <v>0</v>
      </c>
      <c r="Q79" s="2">
        <v>26904</v>
      </c>
      <c r="R79" s="2" t="s">
        <v>98</v>
      </c>
      <c r="S79" s="2" t="s">
        <v>99</v>
      </c>
      <c r="T79" s="2" t="s">
        <v>468</v>
      </c>
    </row>
    <row r="80" spans="1:20" x14ac:dyDescent="0.25">
      <c r="A80" s="2" t="s">
        <v>327</v>
      </c>
      <c r="B80" s="2" t="s">
        <v>390</v>
      </c>
      <c r="C80" s="2" t="s">
        <v>328</v>
      </c>
      <c r="D80" s="70">
        <v>44406</v>
      </c>
      <c r="G80" s="2">
        <v>0</v>
      </c>
      <c r="H80" s="2">
        <v>0</v>
      </c>
      <c r="I80" s="2">
        <v>0</v>
      </c>
      <c r="J80" s="2">
        <v>0</v>
      </c>
      <c r="K80" s="2">
        <v>0</v>
      </c>
      <c r="L80" s="2">
        <v>245000</v>
      </c>
      <c r="M80" s="2">
        <v>0</v>
      </c>
      <c r="N80" s="2">
        <v>22050</v>
      </c>
      <c r="O80" s="2">
        <v>22050</v>
      </c>
      <c r="P80" s="2">
        <v>0</v>
      </c>
      <c r="Q80" s="2">
        <v>289100</v>
      </c>
      <c r="R80" s="2" t="s">
        <v>98</v>
      </c>
      <c r="S80" s="2" t="s">
        <v>99</v>
      </c>
      <c r="T80" s="2" t="s">
        <v>329</v>
      </c>
    </row>
    <row r="81" spans="1:20" x14ac:dyDescent="0.25">
      <c r="A81" s="2" t="s">
        <v>330</v>
      </c>
      <c r="B81" s="2" t="s">
        <v>390</v>
      </c>
      <c r="C81" s="2" t="s">
        <v>331</v>
      </c>
      <c r="D81" s="70">
        <v>44468</v>
      </c>
      <c r="G81" s="2">
        <v>0</v>
      </c>
      <c r="H81" s="2">
        <v>0</v>
      </c>
      <c r="I81" s="2">
        <v>0</v>
      </c>
      <c r="J81" s="2">
        <v>0</v>
      </c>
      <c r="K81" s="2">
        <v>0</v>
      </c>
      <c r="L81" s="2">
        <v>175466.2</v>
      </c>
      <c r="M81" s="2">
        <v>31583.919999999998</v>
      </c>
      <c r="N81" s="2">
        <v>0</v>
      </c>
      <c r="O81" s="2">
        <v>0</v>
      </c>
      <c r="P81" s="2">
        <v>0</v>
      </c>
      <c r="Q81" s="2">
        <v>207050</v>
      </c>
      <c r="R81" s="2" t="s">
        <v>98</v>
      </c>
      <c r="S81" s="2" t="s">
        <v>99</v>
      </c>
      <c r="T81" s="2" t="s">
        <v>469</v>
      </c>
    </row>
    <row r="82" spans="1:20" x14ac:dyDescent="0.25">
      <c r="A82" s="2" t="s">
        <v>9</v>
      </c>
      <c r="B82" s="2" t="s">
        <v>390</v>
      </c>
      <c r="C82" s="2" t="s">
        <v>97</v>
      </c>
      <c r="D82" s="70">
        <v>44593</v>
      </c>
      <c r="G82" s="2">
        <v>0</v>
      </c>
      <c r="H82" s="2">
        <v>0</v>
      </c>
      <c r="I82" s="2">
        <v>0</v>
      </c>
      <c r="J82" s="2">
        <v>0</v>
      </c>
      <c r="K82" s="2">
        <v>0</v>
      </c>
      <c r="L82" s="2">
        <v>-3000</v>
      </c>
      <c r="M82" s="2">
        <v>0</v>
      </c>
      <c r="N82" s="2">
        <v>-270</v>
      </c>
      <c r="O82" s="2">
        <v>-270</v>
      </c>
      <c r="P82" s="2">
        <v>0</v>
      </c>
      <c r="Q82" s="2">
        <v>3540</v>
      </c>
      <c r="R82" s="2" t="s">
        <v>98</v>
      </c>
      <c r="S82" s="2" t="s">
        <v>99</v>
      </c>
      <c r="T82" s="2" t="s">
        <v>470</v>
      </c>
    </row>
    <row r="83" spans="1:20" x14ac:dyDescent="0.25">
      <c r="A83" s="2" t="s">
        <v>204</v>
      </c>
      <c r="B83" s="2" t="s">
        <v>390</v>
      </c>
      <c r="C83" s="2" t="s">
        <v>211</v>
      </c>
      <c r="D83" s="70">
        <v>44546</v>
      </c>
      <c r="G83" s="2">
        <v>0</v>
      </c>
      <c r="H83" s="2">
        <v>0</v>
      </c>
      <c r="I83" s="2">
        <v>0</v>
      </c>
      <c r="J83" s="2">
        <v>0</v>
      </c>
      <c r="K83" s="2">
        <v>0</v>
      </c>
      <c r="L83" s="2">
        <v>-1082.7</v>
      </c>
      <c r="M83" s="2">
        <v>0</v>
      </c>
      <c r="N83" s="2">
        <v>-64.959999999999994</v>
      </c>
      <c r="O83" s="2">
        <v>-64.959999999999994</v>
      </c>
      <c r="P83" s="2">
        <v>0</v>
      </c>
      <c r="Q83" s="2">
        <v>1213</v>
      </c>
      <c r="R83" s="2" t="s">
        <v>98</v>
      </c>
      <c r="S83" s="2" t="s">
        <v>99</v>
      </c>
      <c r="T83" s="2" t="s">
        <v>471</v>
      </c>
    </row>
    <row r="84" spans="1:20" x14ac:dyDescent="0.25">
      <c r="A84" s="2" t="s">
        <v>121</v>
      </c>
      <c r="B84" s="2" t="s">
        <v>390</v>
      </c>
      <c r="C84" s="2" t="s">
        <v>363</v>
      </c>
      <c r="D84" s="70">
        <v>44314</v>
      </c>
      <c r="G84" s="2">
        <v>0</v>
      </c>
      <c r="H84" s="2">
        <v>0</v>
      </c>
      <c r="I84" s="2">
        <v>0</v>
      </c>
      <c r="J84" s="2">
        <v>0</v>
      </c>
      <c r="K84" s="2">
        <v>0</v>
      </c>
      <c r="L84" s="2">
        <v>-1618.8</v>
      </c>
      <c r="M84" s="2">
        <v>0</v>
      </c>
      <c r="N84" s="2">
        <v>-97.13</v>
      </c>
      <c r="O84" s="2">
        <v>-97.13</v>
      </c>
      <c r="P84" s="2">
        <v>0</v>
      </c>
      <c r="Q84" s="2">
        <v>1813</v>
      </c>
      <c r="R84" s="2" t="s">
        <v>98</v>
      </c>
      <c r="S84" s="2" t="s">
        <v>99</v>
      </c>
      <c r="T84" s="2" t="s">
        <v>472</v>
      </c>
    </row>
    <row r="85" spans="1:20" x14ac:dyDescent="0.25">
      <c r="A85" s="2" t="s">
        <v>204</v>
      </c>
      <c r="B85" s="2" t="s">
        <v>390</v>
      </c>
      <c r="C85" s="2" t="s">
        <v>212</v>
      </c>
      <c r="D85" s="70">
        <v>44581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-484.2</v>
      </c>
      <c r="M85" s="2">
        <v>0</v>
      </c>
      <c r="N85" s="2">
        <v>-43.58</v>
      </c>
      <c r="O85" s="2">
        <v>-43.58</v>
      </c>
      <c r="P85" s="2">
        <v>0</v>
      </c>
      <c r="Q85" s="2">
        <v>571</v>
      </c>
      <c r="R85" s="2" t="s">
        <v>98</v>
      </c>
      <c r="S85" s="2" t="s">
        <v>99</v>
      </c>
      <c r="T85" s="2" t="s">
        <v>473</v>
      </c>
    </row>
    <row r="86" spans="1:20" x14ac:dyDescent="0.25">
      <c r="A86" s="2" t="s">
        <v>121</v>
      </c>
      <c r="B86" s="2" t="s">
        <v>390</v>
      </c>
      <c r="C86" s="2" t="s">
        <v>364</v>
      </c>
      <c r="D86" s="70">
        <v>44635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>
        <v>-1072.2</v>
      </c>
      <c r="M86" s="2">
        <v>0</v>
      </c>
      <c r="N86" s="2">
        <v>-64.33</v>
      </c>
      <c r="O86" s="2">
        <v>-64.33</v>
      </c>
      <c r="P86" s="2">
        <v>0</v>
      </c>
      <c r="Q86" s="2">
        <v>1201</v>
      </c>
      <c r="R86" s="2" t="s">
        <v>98</v>
      </c>
      <c r="S86" s="2" t="s">
        <v>99</v>
      </c>
      <c r="T86" s="2" t="s">
        <v>474</v>
      </c>
    </row>
    <row r="87" spans="1:20" x14ac:dyDescent="0.25">
      <c r="A87" s="2" t="s">
        <v>235</v>
      </c>
      <c r="B87" s="2" t="s">
        <v>390</v>
      </c>
      <c r="C87" s="2" t="s">
        <v>37</v>
      </c>
      <c r="D87" s="70">
        <v>44335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-65205</v>
      </c>
      <c r="M87" s="2">
        <v>0</v>
      </c>
      <c r="N87" s="2">
        <v>-5868.45</v>
      </c>
      <c r="O87" s="2">
        <v>-5868.45</v>
      </c>
      <c r="P87" s="2">
        <v>0</v>
      </c>
      <c r="Q87" s="2">
        <v>76942</v>
      </c>
      <c r="R87" s="2" t="s">
        <v>98</v>
      </c>
      <c r="S87" s="2" t="s">
        <v>99</v>
      </c>
      <c r="T87" s="2" t="s">
        <v>475</v>
      </c>
    </row>
    <row r="88" spans="1:20" x14ac:dyDescent="0.25">
      <c r="A88" s="2" t="s">
        <v>9</v>
      </c>
      <c r="B88" s="2" t="s">
        <v>390</v>
      </c>
      <c r="C88" s="2" t="s">
        <v>172</v>
      </c>
      <c r="D88" s="70">
        <v>44593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-16000</v>
      </c>
      <c r="M88" s="2">
        <v>0</v>
      </c>
      <c r="N88" s="2">
        <v>-1440</v>
      </c>
      <c r="O88" s="2">
        <v>-1440</v>
      </c>
      <c r="P88" s="2">
        <v>0</v>
      </c>
      <c r="Q88" s="2">
        <v>18880</v>
      </c>
      <c r="R88" s="2" t="s">
        <v>98</v>
      </c>
      <c r="S88" s="2" t="s">
        <v>99</v>
      </c>
      <c r="T88" s="2" t="s">
        <v>476</v>
      </c>
    </row>
    <row r="89" spans="1:20" x14ac:dyDescent="0.25">
      <c r="A89" s="2" t="s">
        <v>202</v>
      </c>
      <c r="B89" s="2" t="s">
        <v>390</v>
      </c>
      <c r="C89" s="2" t="s">
        <v>213</v>
      </c>
      <c r="D89" s="70">
        <v>44405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-23004.18</v>
      </c>
      <c r="M89" s="2">
        <v>-4140.76</v>
      </c>
      <c r="N89" s="2">
        <v>0</v>
      </c>
      <c r="O89" s="2">
        <v>0</v>
      </c>
      <c r="P89" s="2">
        <v>0</v>
      </c>
      <c r="Q89" s="2">
        <v>27145</v>
      </c>
      <c r="R89" s="2" t="s">
        <v>98</v>
      </c>
      <c r="S89" s="2" t="s">
        <v>99</v>
      </c>
      <c r="T89" s="2" t="s">
        <v>477</v>
      </c>
    </row>
    <row r="90" spans="1:20" x14ac:dyDescent="0.25">
      <c r="A90" s="2" t="s">
        <v>321</v>
      </c>
      <c r="B90" s="2" t="s">
        <v>390</v>
      </c>
      <c r="C90" s="2" t="s">
        <v>171</v>
      </c>
      <c r="D90" s="70">
        <v>44593</v>
      </c>
      <c r="G90" s="2">
        <v>0</v>
      </c>
      <c r="H90" s="2">
        <v>0</v>
      </c>
      <c r="I90" s="2">
        <v>0</v>
      </c>
      <c r="J90" s="2">
        <v>0</v>
      </c>
      <c r="K90" s="2">
        <v>0</v>
      </c>
      <c r="L90" s="2">
        <v>-2934</v>
      </c>
      <c r="M90" s="2">
        <v>-528.12</v>
      </c>
      <c r="N90" s="2">
        <v>0</v>
      </c>
      <c r="O90" s="2">
        <v>0</v>
      </c>
      <c r="P90" s="2">
        <v>0</v>
      </c>
      <c r="Q90" s="2">
        <v>3462</v>
      </c>
      <c r="R90" s="2" t="s">
        <v>98</v>
      </c>
      <c r="S90" s="2" t="s">
        <v>99</v>
      </c>
      <c r="T90" s="2" t="s">
        <v>439</v>
      </c>
    </row>
    <row r="91" spans="1:20" x14ac:dyDescent="0.25">
      <c r="A91" s="2" t="s">
        <v>198</v>
      </c>
      <c r="B91" s="2" t="s">
        <v>390</v>
      </c>
      <c r="C91" s="2" t="s">
        <v>94</v>
      </c>
      <c r="D91" s="70">
        <v>44300</v>
      </c>
      <c r="G91" s="2">
        <v>0</v>
      </c>
      <c r="H91" s="2">
        <v>0</v>
      </c>
      <c r="I91" s="2">
        <v>0</v>
      </c>
      <c r="J91" s="2">
        <v>0</v>
      </c>
      <c r="K91" s="2">
        <v>0</v>
      </c>
      <c r="L91" s="2">
        <v>-7503.6</v>
      </c>
      <c r="M91" s="2">
        <v>0</v>
      </c>
      <c r="N91" s="2">
        <v>-675.32</v>
      </c>
      <c r="O91" s="2">
        <v>-675.32</v>
      </c>
      <c r="P91" s="2">
        <v>0</v>
      </c>
      <c r="Q91" s="2">
        <v>8854</v>
      </c>
      <c r="R91" s="2" t="s">
        <v>98</v>
      </c>
      <c r="S91" s="2" t="s">
        <v>99</v>
      </c>
      <c r="T91" s="2" t="s">
        <v>478</v>
      </c>
    </row>
    <row r="92" spans="1:20" x14ac:dyDescent="0.25">
      <c r="A92" s="2" t="s">
        <v>208</v>
      </c>
      <c r="B92" s="2" t="s">
        <v>390</v>
      </c>
      <c r="C92" s="2" t="s">
        <v>214</v>
      </c>
      <c r="D92" s="70">
        <v>44324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-589.79999999999995</v>
      </c>
      <c r="M92" s="2">
        <v>0</v>
      </c>
      <c r="N92" s="2">
        <v>-53.08</v>
      </c>
      <c r="O92" s="2">
        <v>-53.08</v>
      </c>
      <c r="P92" s="2">
        <v>0</v>
      </c>
      <c r="Q92" s="2">
        <v>696</v>
      </c>
      <c r="R92" s="2" t="s">
        <v>98</v>
      </c>
      <c r="S92" s="2" t="s">
        <v>99</v>
      </c>
      <c r="T92" s="2" t="s">
        <v>479</v>
      </c>
    </row>
    <row r="93" spans="1:20" x14ac:dyDescent="0.25">
      <c r="A93" s="2" t="s">
        <v>204</v>
      </c>
      <c r="B93" s="2" t="s">
        <v>390</v>
      </c>
      <c r="C93" s="2" t="s">
        <v>23</v>
      </c>
      <c r="D93" s="70">
        <v>44377</v>
      </c>
      <c r="G93" s="2">
        <v>0</v>
      </c>
      <c r="H93" s="2">
        <v>0</v>
      </c>
      <c r="I93" s="2">
        <v>0</v>
      </c>
      <c r="J93" s="2">
        <v>0</v>
      </c>
      <c r="K93" s="2">
        <v>0</v>
      </c>
      <c r="L93" s="2">
        <v>-1288.5</v>
      </c>
      <c r="M93" s="2">
        <v>0</v>
      </c>
      <c r="N93" s="2">
        <v>-77.31</v>
      </c>
      <c r="O93" s="2">
        <v>-77.31</v>
      </c>
      <c r="P93" s="2">
        <v>0</v>
      </c>
      <c r="Q93" s="2">
        <v>1443</v>
      </c>
      <c r="R93" s="2" t="s">
        <v>98</v>
      </c>
      <c r="S93" s="2" t="s">
        <v>99</v>
      </c>
      <c r="T93" s="2" t="s">
        <v>480</v>
      </c>
    </row>
    <row r="94" spans="1:20" x14ac:dyDescent="0.25">
      <c r="A94" s="2" t="s">
        <v>198</v>
      </c>
      <c r="B94" s="2" t="s">
        <v>390</v>
      </c>
      <c r="C94" s="2" t="s">
        <v>215</v>
      </c>
      <c r="D94" s="70">
        <v>44589</v>
      </c>
      <c r="G94" s="2">
        <v>0</v>
      </c>
      <c r="H94" s="2">
        <v>0</v>
      </c>
      <c r="I94" s="2">
        <v>0</v>
      </c>
      <c r="J94" s="2">
        <v>0</v>
      </c>
      <c r="K94" s="2">
        <v>0</v>
      </c>
      <c r="L94" s="2">
        <v>-35750</v>
      </c>
      <c r="M94" s="2">
        <v>0</v>
      </c>
      <c r="N94" s="2">
        <v>-3217.5</v>
      </c>
      <c r="O94" s="2">
        <v>-3217.5</v>
      </c>
      <c r="P94" s="2">
        <v>0</v>
      </c>
      <c r="Q94" s="2">
        <v>42185</v>
      </c>
      <c r="R94" s="2" t="s">
        <v>98</v>
      </c>
      <c r="S94" s="2" t="s">
        <v>99</v>
      </c>
      <c r="T94" s="2" t="s">
        <v>481</v>
      </c>
    </row>
    <row r="95" spans="1:20" x14ac:dyDescent="0.25">
      <c r="A95" s="2" t="s">
        <v>210</v>
      </c>
      <c r="B95" s="2" t="s">
        <v>390</v>
      </c>
      <c r="C95" s="2" t="s">
        <v>216</v>
      </c>
      <c r="D95" s="70">
        <v>44303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2">
        <v>-2760</v>
      </c>
      <c r="M95" s="2">
        <v>-496.8</v>
      </c>
      <c r="N95" s="2">
        <v>0</v>
      </c>
      <c r="O95" s="2">
        <v>0</v>
      </c>
      <c r="P95" s="2">
        <v>0</v>
      </c>
      <c r="Q95" s="2">
        <v>3257</v>
      </c>
      <c r="R95" s="2" t="s">
        <v>98</v>
      </c>
      <c r="S95" s="2" t="s">
        <v>99</v>
      </c>
      <c r="T95" s="2" t="s">
        <v>482</v>
      </c>
    </row>
    <row r="96" spans="1:20" x14ac:dyDescent="0.25">
      <c r="A96" s="2" t="s">
        <v>204</v>
      </c>
      <c r="B96" s="2" t="s">
        <v>390</v>
      </c>
      <c r="C96" s="2" t="s">
        <v>217</v>
      </c>
      <c r="D96" s="70">
        <v>44403</v>
      </c>
      <c r="G96" s="2">
        <v>0</v>
      </c>
      <c r="H96" s="2">
        <v>0</v>
      </c>
      <c r="I96" s="2">
        <v>0</v>
      </c>
      <c r="J96" s="2">
        <v>0</v>
      </c>
      <c r="K96" s="2">
        <v>0</v>
      </c>
      <c r="L96" s="2">
        <v>-290</v>
      </c>
      <c r="M96" s="2">
        <v>0</v>
      </c>
      <c r="N96" s="2">
        <v>-17.399999999999999</v>
      </c>
      <c r="O96" s="2">
        <v>-17.399999999999999</v>
      </c>
      <c r="P96" s="2">
        <v>0</v>
      </c>
      <c r="Q96" s="2">
        <v>325</v>
      </c>
      <c r="R96" s="2" t="s">
        <v>98</v>
      </c>
      <c r="S96" s="2" t="s">
        <v>99</v>
      </c>
      <c r="T96" s="2" t="s">
        <v>483</v>
      </c>
    </row>
    <row r="97" spans="1:20" x14ac:dyDescent="0.25">
      <c r="A97" s="2" t="s">
        <v>209</v>
      </c>
      <c r="B97" s="2" t="s">
        <v>390</v>
      </c>
      <c r="C97" s="2" t="s">
        <v>335</v>
      </c>
      <c r="D97" s="70">
        <v>44493</v>
      </c>
      <c r="G97" s="2">
        <v>0</v>
      </c>
      <c r="H97" s="2">
        <v>0</v>
      </c>
      <c r="I97" s="2">
        <v>0</v>
      </c>
      <c r="J97" s="2">
        <v>0</v>
      </c>
      <c r="K97" s="2">
        <v>0</v>
      </c>
      <c r="L97" s="2">
        <v>-18817.3</v>
      </c>
      <c r="M97" s="2">
        <v>-3387.11</v>
      </c>
      <c r="N97" s="2">
        <v>0</v>
      </c>
      <c r="O97" s="2">
        <v>0</v>
      </c>
      <c r="P97" s="2">
        <v>0</v>
      </c>
      <c r="Q97" s="2">
        <v>22204</v>
      </c>
      <c r="R97" s="2" t="s">
        <v>98</v>
      </c>
      <c r="S97" s="2" t="s">
        <v>99</v>
      </c>
      <c r="T97" s="2" t="s">
        <v>484</v>
      </c>
    </row>
    <row r="98" spans="1:20" x14ac:dyDescent="0.25">
      <c r="A98" s="2" t="s">
        <v>121</v>
      </c>
      <c r="B98" s="2" t="s">
        <v>390</v>
      </c>
      <c r="C98" s="2" t="s">
        <v>365</v>
      </c>
      <c r="D98" s="70">
        <v>44635</v>
      </c>
      <c r="G98" s="2">
        <v>0</v>
      </c>
      <c r="H98" s="2">
        <v>0</v>
      </c>
      <c r="I98" s="2">
        <v>0</v>
      </c>
      <c r="J98" s="2">
        <v>0</v>
      </c>
      <c r="K98" s="2">
        <v>0</v>
      </c>
      <c r="L98" s="2">
        <v>-2026.4</v>
      </c>
      <c r="M98" s="2">
        <v>0</v>
      </c>
      <c r="N98" s="2">
        <v>-182.38</v>
      </c>
      <c r="O98" s="2">
        <v>-182.38</v>
      </c>
      <c r="P98" s="2">
        <v>0</v>
      </c>
      <c r="Q98" s="2">
        <v>2391</v>
      </c>
      <c r="R98" s="2" t="s">
        <v>98</v>
      </c>
      <c r="S98" s="2" t="s">
        <v>99</v>
      </c>
      <c r="T98" s="2" t="s">
        <v>485</v>
      </c>
    </row>
    <row r="99" spans="1:20" x14ac:dyDescent="0.25">
      <c r="A99" s="2" t="s">
        <v>6</v>
      </c>
      <c r="B99" s="2" t="s">
        <v>390</v>
      </c>
      <c r="C99" s="2" t="s">
        <v>218</v>
      </c>
      <c r="D99" s="70">
        <v>44425</v>
      </c>
      <c r="G99" s="2">
        <v>0</v>
      </c>
      <c r="H99" s="2">
        <v>0</v>
      </c>
      <c r="I99" s="2">
        <v>0</v>
      </c>
      <c r="J99" s="2">
        <v>0</v>
      </c>
      <c r="K99" s="2">
        <v>0</v>
      </c>
      <c r="L99" s="2">
        <v>-142725</v>
      </c>
      <c r="M99" s="2">
        <v>0</v>
      </c>
      <c r="N99" s="2">
        <v>-12845.25</v>
      </c>
      <c r="O99" s="2">
        <v>-12845.25</v>
      </c>
      <c r="P99" s="2">
        <v>0</v>
      </c>
      <c r="Q99" s="2">
        <v>168416</v>
      </c>
      <c r="R99" s="2" t="s">
        <v>98</v>
      </c>
      <c r="S99" s="2" t="s">
        <v>99</v>
      </c>
      <c r="T99" s="2" t="s">
        <v>486</v>
      </c>
    </row>
    <row r="100" spans="1:20" x14ac:dyDescent="0.25">
      <c r="A100" s="2" t="s">
        <v>108</v>
      </c>
      <c r="B100" s="2" t="s">
        <v>390</v>
      </c>
      <c r="C100" s="2" t="s">
        <v>219</v>
      </c>
      <c r="D100" s="70">
        <v>44422</v>
      </c>
      <c r="G100" s="2">
        <v>0</v>
      </c>
      <c r="H100" s="2">
        <v>0</v>
      </c>
      <c r="I100" s="2">
        <v>0</v>
      </c>
      <c r="J100" s="2">
        <v>0</v>
      </c>
      <c r="K100" s="2">
        <v>0</v>
      </c>
      <c r="L100" s="2">
        <v>-40000</v>
      </c>
      <c r="M100" s="2">
        <v>0</v>
      </c>
      <c r="N100" s="2">
        <v>-3600</v>
      </c>
      <c r="O100" s="2">
        <v>-3600</v>
      </c>
      <c r="P100" s="2">
        <v>0</v>
      </c>
      <c r="Q100" s="2">
        <v>47200</v>
      </c>
      <c r="R100" s="2" t="s">
        <v>98</v>
      </c>
      <c r="S100" s="2" t="s">
        <v>99</v>
      </c>
      <c r="T100" s="2" t="s">
        <v>487</v>
      </c>
    </row>
    <row r="101" spans="1:20" x14ac:dyDescent="0.25">
      <c r="A101" s="2" t="s">
        <v>204</v>
      </c>
      <c r="B101" s="2" t="s">
        <v>390</v>
      </c>
      <c r="C101" s="2" t="s">
        <v>220</v>
      </c>
      <c r="D101" s="70">
        <v>44581</v>
      </c>
      <c r="G101" s="2">
        <v>0</v>
      </c>
      <c r="H101" s="2">
        <v>0</v>
      </c>
      <c r="I101" s="2">
        <v>0</v>
      </c>
      <c r="J101" s="2">
        <v>0</v>
      </c>
      <c r="K101" s="2">
        <v>0</v>
      </c>
      <c r="L101" s="2">
        <v>-1581</v>
      </c>
      <c r="M101" s="2">
        <v>0</v>
      </c>
      <c r="N101" s="2">
        <v>-142.30000000000001</v>
      </c>
      <c r="O101" s="2">
        <v>-142.30000000000001</v>
      </c>
      <c r="P101" s="2">
        <v>0</v>
      </c>
      <c r="Q101" s="2">
        <v>1866</v>
      </c>
      <c r="R101" s="2" t="s">
        <v>98</v>
      </c>
      <c r="S101" s="2" t="s">
        <v>99</v>
      </c>
      <c r="T101" s="2" t="s">
        <v>488</v>
      </c>
    </row>
    <row r="102" spans="1:20" x14ac:dyDescent="0.25">
      <c r="A102" s="2" t="s">
        <v>380</v>
      </c>
      <c r="B102" s="2" t="s">
        <v>377</v>
      </c>
      <c r="C102" s="2" t="s">
        <v>223</v>
      </c>
      <c r="D102" s="70">
        <v>44313</v>
      </c>
      <c r="E102" t="s">
        <v>129</v>
      </c>
      <c r="F102" t="s">
        <v>5</v>
      </c>
      <c r="G102" s="2">
        <v>451200</v>
      </c>
      <c r="H102" s="2">
        <v>81216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 s="2">
        <v>0</v>
      </c>
      <c r="O102" s="2">
        <v>0</v>
      </c>
      <c r="P102" s="2">
        <v>0</v>
      </c>
      <c r="Q102" s="2">
        <v>0</v>
      </c>
      <c r="R102" s="2" t="s">
        <v>55</v>
      </c>
      <c r="S102" s="2" t="s">
        <v>24</v>
      </c>
      <c r="T102" s="2"/>
    </row>
    <row r="103" spans="1:20" x14ac:dyDescent="0.25">
      <c r="A103" s="2" t="s">
        <v>381</v>
      </c>
      <c r="B103" s="2" t="s">
        <v>377</v>
      </c>
      <c r="C103" s="2" t="s">
        <v>225</v>
      </c>
      <c r="D103" s="70">
        <v>44310</v>
      </c>
      <c r="E103" t="s">
        <v>129</v>
      </c>
      <c r="F103" t="s">
        <v>5</v>
      </c>
      <c r="G103" s="2">
        <v>477000</v>
      </c>
      <c r="H103" s="2">
        <v>85860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 s="2">
        <v>0</v>
      </c>
      <c r="O103" s="2">
        <v>0</v>
      </c>
      <c r="P103" s="2">
        <v>0</v>
      </c>
      <c r="Q103" s="2">
        <v>0</v>
      </c>
      <c r="R103" s="2" t="s">
        <v>55</v>
      </c>
      <c r="S103" s="2" t="s">
        <v>24</v>
      </c>
      <c r="T103" s="2"/>
    </row>
    <row r="104" spans="1:20" x14ac:dyDescent="0.25">
      <c r="A104" s="2" t="s">
        <v>382</v>
      </c>
      <c r="B104" s="2" t="s">
        <v>377</v>
      </c>
      <c r="C104" s="2" t="s">
        <v>228</v>
      </c>
      <c r="D104" s="70">
        <v>44289</v>
      </c>
      <c r="E104" t="s">
        <v>129</v>
      </c>
      <c r="F104" t="s">
        <v>5</v>
      </c>
      <c r="G104" s="2">
        <v>493344.08</v>
      </c>
      <c r="H104" s="2">
        <v>0</v>
      </c>
      <c r="I104" s="2">
        <v>44400.959999999999</v>
      </c>
      <c r="J104" s="2">
        <v>44400.959999999999</v>
      </c>
      <c r="K104" s="2">
        <v>0</v>
      </c>
      <c r="L104" s="2">
        <v>0</v>
      </c>
      <c r="M104" s="2">
        <v>0</v>
      </c>
      <c r="N104" s="2">
        <v>0</v>
      </c>
      <c r="O104" s="2">
        <v>0</v>
      </c>
      <c r="P104" s="2">
        <v>0</v>
      </c>
      <c r="Q104" s="2">
        <v>0</v>
      </c>
      <c r="R104" s="2" t="s">
        <v>55</v>
      </c>
      <c r="S104" s="2" t="s">
        <v>24</v>
      </c>
      <c r="T104" s="2"/>
    </row>
    <row r="105" spans="1:20" x14ac:dyDescent="0.25">
      <c r="A105" s="2" t="s">
        <v>492</v>
      </c>
      <c r="B105" s="2" t="s">
        <v>377</v>
      </c>
      <c r="C105" s="2" t="s">
        <v>95</v>
      </c>
      <c r="D105" s="70">
        <v>44223</v>
      </c>
      <c r="E105" t="s">
        <v>129</v>
      </c>
      <c r="F105" t="s">
        <v>5</v>
      </c>
      <c r="G105" s="2">
        <v>82178</v>
      </c>
      <c r="H105" s="2">
        <v>14792.04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2">
        <v>0</v>
      </c>
      <c r="R105" s="2" t="s">
        <v>357</v>
      </c>
      <c r="S105" s="2" t="s">
        <v>24</v>
      </c>
      <c r="T105" s="2"/>
    </row>
    <row r="106" spans="1:20" x14ac:dyDescent="0.25">
      <c r="A106" s="2" t="s">
        <v>376</v>
      </c>
      <c r="B106" s="2" t="s">
        <v>377</v>
      </c>
      <c r="C106" s="2" t="s">
        <v>230</v>
      </c>
      <c r="D106" s="70">
        <v>44291</v>
      </c>
      <c r="E106" t="s">
        <v>129</v>
      </c>
      <c r="F106" t="s">
        <v>5</v>
      </c>
      <c r="G106" s="2">
        <v>162000</v>
      </c>
      <c r="H106" s="2">
        <v>0</v>
      </c>
      <c r="I106" s="2">
        <v>14580</v>
      </c>
      <c r="J106" s="2">
        <v>14580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2">
        <v>0</v>
      </c>
      <c r="R106" s="2" t="s">
        <v>55</v>
      </c>
      <c r="S106" s="2" t="s">
        <v>24</v>
      </c>
      <c r="T106" s="2"/>
    </row>
    <row r="107" spans="1:20" x14ac:dyDescent="0.25">
      <c r="A107" s="2" t="s">
        <v>376</v>
      </c>
      <c r="B107" s="2" t="s">
        <v>377</v>
      </c>
      <c r="C107" s="2" t="s">
        <v>232</v>
      </c>
      <c r="D107" s="70">
        <v>44301</v>
      </c>
      <c r="E107" t="s">
        <v>129</v>
      </c>
      <c r="F107" t="s">
        <v>5</v>
      </c>
      <c r="G107" s="2">
        <v>211200</v>
      </c>
      <c r="H107" s="2">
        <v>0</v>
      </c>
      <c r="I107" s="2">
        <v>19008</v>
      </c>
      <c r="J107" s="2">
        <v>19008</v>
      </c>
      <c r="K107" s="2">
        <v>0</v>
      </c>
      <c r="L107" s="2">
        <v>0</v>
      </c>
      <c r="M107" s="2">
        <v>0</v>
      </c>
      <c r="N107" s="2">
        <v>0</v>
      </c>
      <c r="O107" s="2">
        <v>0</v>
      </c>
      <c r="P107" s="2">
        <v>0</v>
      </c>
      <c r="Q107" s="2">
        <v>0</v>
      </c>
      <c r="R107" s="2" t="s">
        <v>55</v>
      </c>
      <c r="S107" s="2" t="s">
        <v>24</v>
      </c>
      <c r="T107" s="2"/>
    </row>
    <row r="108" spans="1:20" x14ac:dyDescent="0.25">
      <c r="A108" s="2" t="s">
        <v>378</v>
      </c>
      <c r="B108" s="2" t="s">
        <v>377</v>
      </c>
      <c r="C108" s="2" t="s">
        <v>236</v>
      </c>
      <c r="D108" s="70">
        <v>44291</v>
      </c>
      <c r="E108" t="s">
        <v>129</v>
      </c>
      <c r="F108" t="s">
        <v>5</v>
      </c>
      <c r="G108" s="2">
        <v>80640</v>
      </c>
      <c r="H108" s="2">
        <v>0</v>
      </c>
      <c r="I108" s="2">
        <v>7257.6</v>
      </c>
      <c r="J108" s="2">
        <v>7257.6</v>
      </c>
      <c r="K108" s="2">
        <v>0</v>
      </c>
      <c r="L108" s="2">
        <v>0</v>
      </c>
      <c r="M108" s="2">
        <v>0</v>
      </c>
      <c r="N108" s="2">
        <v>0</v>
      </c>
      <c r="O108" s="2">
        <v>0</v>
      </c>
      <c r="P108" s="2">
        <v>0</v>
      </c>
      <c r="Q108" s="2">
        <v>0</v>
      </c>
      <c r="R108" s="2" t="s">
        <v>55</v>
      </c>
      <c r="S108" s="2" t="s">
        <v>24</v>
      </c>
      <c r="T108" s="2"/>
    </row>
    <row r="109" spans="1:20" x14ac:dyDescent="0.25">
      <c r="A109" s="2" t="s">
        <v>378</v>
      </c>
      <c r="B109" s="2" t="s">
        <v>377</v>
      </c>
      <c r="C109" s="2" t="s">
        <v>238</v>
      </c>
      <c r="D109" s="70">
        <v>44294</v>
      </c>
      <c r="E109" t="s">
        <v>129</v>
      </c>
      <c r="F109" t="s">
        <v>5</v>
      </c>
      <c r="G109" s="2">
        <v>84002</v>
      </c>
      <c r="H109" s="2">
        <v>0</v>
      </c>
      <c r="I109" s="2">
        <v>7560.18</v>
      </c>
      <c r="J109" s="2">
        <v>7560.18</v>
      </c>
      <c r="K109" s="2">
        <v>0</v>
      </c>
      <c r="L109" s="2">
        <v>0</v>
      </c>
      <c r="M109" s="2">
        <v>0</v>
      </c>
      <c r="N109" s="2">
        <v>0</v>
      </c>
      <c r="O109" s="2">
        <v>0</v>
      </c>
      <c r="P109" s="2">
        <v>0</v>
      </c>
      <c r="Q109" s="2">
        <v>0</v>
      </c>
      <c r="R109" s="2" t="s">
        <v>55</v>
      </c>
      <c r="S109" s="2" t="s">
        <v>24</v>
      </c>
      <c r="T109" s="2"/>
    </row>
    <row r="110" spans="1:20" x14ac:dyDescent="0.25">
      <c r="A110" s="2" t="s">
        <v>378</v>
      </c>
      <c r="B110" s="2" t="s">
        <v>377</v>
      </c>
      <c r="C110" s="2" t="s">
        <v>111</v>
      </c>
      <c r="D110" s="70">
        <v>44295</v>
      </c>
      <c r="E110" t="s">
        <v>129</v>
      </c>
      <c r="F110" t="s">
        <v>5</v>
      </c>
      <c r="G110" s="2">
        <v>73530</v>
      </c>
      <c r="H110" s="2">
        <v>0</v>
      </c>
      <c r="I110" s="2">
        <v>6617.7</v>
      </c>
      <c r="J110" s="2">
        <v>6617.7</v>
      </c>
      <c r="K110" s="2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2">
        <v>0</v>
      </c>
      <c r="R110" s="2" t="s">
        <v>55</v>
      </c>
      <c r="S110" s="2" t="s">
        <v>24</v>
      </c>
      <c r="T110" s="2"/>
    </row>
    <row r="111" spans="1:20" x14ac:dyDescent="0.25">
      <c r="A111" s="2" t="s">
        <v>378</v>
      </c>
      <c r="B111" s="2" t="s">
        <v>377</v>
      </c>
      <c r="C111" s="2" t="s">
        <v>116</v>
      </c>
      <c r="D111" s="70">
        <v>44296</v>
      </c>
      <c r="E111" t="s">
        <v>129</v>
      </c>
      <c r="F111" t="s">
        <v>5</v>
      </c>
      <c r="G111" s="2">
        <v>73530</v>
      </c>
      <c r="H111" s="2">
        <v>0</v>
      </c>
      <c r="I111" s="2">
        <v>6617.7</v>
      </c>
      <c r="J111" s="2">
        <v>6617.7</v>
      </c>
      <c r="K111" s="2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2">
        <v>0</v>
      </c>
      <c r="R111" s="2" t="s">
        <v>55</v>
      </c>
      <c r="S111" s="2" t="s">
        <v>24</v>
      </c>
      <c r="T111" s="2"/>
    </row>
    <row r="112" spans="1:20" x14ac:dyDescent="0.25">
      <c r="A112" s="2" t="s">
        <v>378</v>
      </c>
      <c r="B112" s="2" t="s">
        <v>377</v>
      </c>
      <c r="C112" s="2" t="s">
        <v>221</v>
      </c>
      <c r="D112" s="70">
        <v>44296</v>
      </c>
      <c r="E112" t="s">
        <v>129</v>
      </c>
      <c r="F112" t="s">
        <v>5</v>
      </c>
      <c r="G112" s="2">
        <v>112266</v>
      </c>
      <c r="H112" s="2">
        <v>0</v>
      </c>
      <c r="I112" s="2">
        <v>10103.94</v>
      </c>
      <c r="J112" s="2">
        <v>10103.94</v>
      </c>
      <c r="K112" s="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2">
        <v>0</v>
      </c>
      <c r="R112" s="2" t="s">
        <v>55</v>
      </c>
      <c r="S112" s="2" t="s">
        <v>24</v>
      </c>
      <c r="T112" s="2"/>
    </row>
    <row r="113" spans="1:20" x14ac:dyDescent="0.25">
      <c r="A113" s="2" t="s">
        <v>378</v>
      </c>
      <c r="B113" s="2" t="s">
        <v>377</v>
      </c>
      <c r="C113" s="2" t="s">
        <v>109</v>
      </c>
      <c r="D113" s="70">
        <v>44298</v>
      </c>
      <c r="E113" t="s">
        <v>129</v>
      </c>
      <c r="F113" t="s">
        <v>5</v>
      </c>
      <c r="G113" s="2">
        <v>112266</v>
      </c>
      <c r="H113" s="2">
        <v>0</v>
      </c>
      <c r="I113" s="2">
        <v>10103.94</v>
      </c>
      <c r="J113" s="2">
        <v>10103.94</v>
      </c>
      <c r="K113" s="2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2">
        <v>0</v>
      </c>
      <c r="R113" s="2" t="s">
        <v>55</v>
      </c>
      <c r="S113" s="2" t="s">
        <v>24</v>
      </c>
      <c r="T113" s="2"/>
    </row>
    <row r="114" spans="1:20" x14ac:dyDescent="0.25">
      <c r="A114" s="2" t="s">
        <v>378</v>
      </c>
      <c r="B114" s="2" t="s">
        <v>377</v>
      </c>
      <c r="C114" s="2" t="s">
        <v>246</v>
      </c>
      <c r="D114" s="70">
        <v>44298</v>
      </c>
      <c r="E114" t="s">
        <v>129</v>
      </c>
      <c r="F114" t="s">
        <v>5</v>
      </c>
      <c r="G114" s="2">
        <v>96826</v>
      </c>
      <c r="H114" s="2">
        <v>0</v>
      </c>
      <c r="I114" s="2">
        <v>8714.34</v>
      </c>
      <c r="J114" s="2">
        <v>8714.34</v>
      </c>
      <c r="K114" s="2">
        <v>0</v>
      </c>
      <c r="L114" s="2">
        <v>0</v>
      </c>
      <c r="M114" s="2">
        <v>0</v>
      </c>
      <c r="N114" s="2">
        <v>0</v>
      </c>
      <c r="O114" s="2">
        <v>0</v>
      </c>
      <c r="P114" s="2">
        <v>0</v>
      </c>
      <c r="Q114" s="2">
        <v>0</v>
      </c>
      <c r="R114" s="2" t="s">
        <v>55</v>
      </c>
      <c r="S114" s="2" t="s">
        <v>24</v>
      </c>
      <c r="T114" s="2"/>
    </row>
    <row r="115" spans="1:20" x14ac:dyDescent="0.25">
      <c r="A115" s="2" t="s">
        <v>378</v>
      </c>
      <c r="B115" s="2" t="s">
        <v>377</v>
      </c>
      <c r="C115" s="2" t="s">
        <v>112</v>
      </c>
      <c r="D115" s="70">
        <v>44299</v>
      </c>
      <c r="E115" t="s">
        <v>129</v>
      </c>
      <c r="F115" t="s">
        <v>5</v>
      </c>
      <c r="G115" s="2">
        <v>102650</v>
      </c>
      <c r="H115" s="2">
        <v>0</v>
      </c>
      <c r="I115" s="2">
        <v>9238.5</v>
      </c>
      <c r="J115" s="2">
        <v>9238.5</v>
      </c>
      <c r="K115" s="2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2">
        <v>0</v>
      </c>
      <c r="R115" s="2" t="s">
        <v>55</v>
      </c>
      <c r="S115" s="2" t="s">
        <v>24</v>
      </c>
      <c r="T115" s="2"/>
    </row>
    <row r="116" spans="1:20" x14ac:dyDescent="0.25">
      <c r="A116" s="2" t="s">
        <v>378</v>
      </c>
      <c r="B116" s="2" t="s">
        <v>377</v>
      </c>
      <c r="C116" s="2" t="s">
        <v>248</v>
      </c>
      <c r="D116" s="70">
        <v>44299</v>
      </c>
      <c r="E116" t="s">
        <v>129</v>
      </c>
      <c r="F116" t="s">
        <v>5</v>
      </c>
      <c r="G116" s="2">
        <v>112266</v>
      </c>
      <c r="H116" s="2">
        <v>0</v>
      </c>
      <c r="I116" s="2">
        <v>10103.94</v>
      </c>
      <c r="J116" s="2">
        <v>10103.94</v>
      </c>
      <c r="K116" s="2">
        <v>0</v>
      </c>
      <c r="L116" s="2">
        <v>0</v>
      </c>
      <c r="M116" s="2">
        <v>0</v>
      </c>
      <c r="N116" s="2">
        <v>0</v>
      </c>
      <c r="O116" s="2">
        <v>0</v>
      </c>
      <c r="P116" s="2">
        <v>0</v>
      </c>
      <c r="Q116" s="2">
        <v>0</v>
      </c>
      <c r="R116" s="2" t="s">
        <v>55</v>
      </c>
      <c r="S116" s="2" t="s">
        <v>24</v>
      </c>
      <c r="T116" s="2"/>
    </row>
    <row r="117" spans="1:20" x14ac:dyDescent="0.25">
      <c r="A117" s="2" t="s">
        <v>378</v>
      </c>
      <c r="B117" s="2" t="s">
        <v>377</v>
      </c>
      <c r="C117" s="2" t="s">
        <v>250</v>
      </c>
      <c r="D117" s="70">
        <v>44301</v>
      </c>
      <c r="E117" t="s">
        <v>129</v>
      </c>
      <c r="F117" t="s">
        <v>5</v>
      </c>
      <c r="G117" s="2">
        <v>130556</v>
      </c>
      <c r="H117" s="2">
        <v>0</v>
      </c>
      <c r="I117" s="2">
        <v>11750.04</v>
      </c>
      <c r="J117" s="2">
        <v>11750.04</v>
      </c>
      <c r="K117" s="2">
        <v>0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 t="s">
        <v>55</v>
      </c>
      <c r="S117" s="2" t="s">
        <v>24</v>
      </c>
      <c r="T117" s="2"/>
    </row>
    <row r="118" spans="1:20" x14ac:dyDescent="0.25">
      <c r="A118" s="2" t="s">
        <v>378</v>
      </c>
      <c r="B118" s="2" t="s">
        <v>377</v>
      </c>
      <c r="C118" s="2" t="s">
        <v>252</v>
      </c>
      <c r="D118" s="70">
        <v>44301</v>
      </c>
      <c r="E118" t="s">
        <v>129</v>
      </c>
      <c r="F118" t="s">
        <v>5</v>
      </c>
      <c r="G118" s="2">
        <v>81270</v>
      </c>
      <c r="H118" s="2">
        <v>0</v>
      </c>
      <c r="I118" s="2">
        <v>7314.3</v>
      </c>
      <c r="J118" s="2">
        <v>7314.3</v>
      </c>
      <c r="K118" s="2">
        <v>0</v>
      </c>
      <c r="L118" s="2">
        <v>0</v>
      </c>
      <c r="M118" s="2">
        <v>0</v>
      </c>
      <c r="N118" s="2">
        <v>0</v>
      </c>
      <c r="O118" s="2">
        <v>0</v>
      </c>
      <c r="P118" s="2">
        <v>0</v>
      </c>
      <c r="Q118" s="2">
        <v>0</v>
      </c>
      <c r="R118" s="2" t="s">
        <v>55</v>
      </c>
      <c r="S118" s="2" t="s">
        <v>24</v>
      </c>
      <c r="T118" s="2"/>
    </row>
    <row r="119" spans="1:20" x14ac:dyDescent="0.25">
      <c r="A119" s="2" t="s">
        <v>378</v>
      </c>
      <c r="B119" s="2" t="s">
        <v>377</v>
      </c>
      <c r="C119" s="2" t="s">
        <v>254</v>
      </c>
      <c r="D119" s="70">
        <v>44302</v>
      </c>
      <c r="E119" t="s">
        <v>129</v>
      </c>
      <c r="F119" t="s">
        <v>5</v>
      </c>
      <c r="G119" s="2">
        <v>84002</v>
      </c>
      <c r="H119" s="2">
        <v>0</v>
      </c>
      <c r="I119" s="2">
        <v>7560.18</v>
      </c>
      <c r="J119" s="2">
        <v>7560.18</v>
      </c>
      <c r="K119" s="2">
        <v>0</v>
      </c>
      <c r="L119" s="2">
        <v>0</v>
      </c>
      <c r="M119" s="2">
        <v>0</v>
      </c>
      <c r="N119" s="2">
        <v>0</v>
      </c>
      <c r="O119" s="2">
        <v>0</v>
      </c>
      <c r="P119" s="2">
        <v>0</v>
      </c>
      <c r="Q119" s="2">
        <v>0</v>
      </c>
      <c r="R119" s="2" t="s">
        <v>55</v>
      </c>
      <c r="S119" s="2" t="s">
        <v>24</v>
      </c>
      <c r="T119" s="2"/>
    </row>
    <row r="120" spans="1:20" x14ac:dyDescent="0.25">
      <c r="A120" s="2" t="s">
        <v>378</v>
      </c>
      <c r="B120" s="2" t="s">
        <v>377</v>
      </c>
      <c r="C120" s="2" t="s">
        <v>256</v>
      </c>
      <c r="D120" s="70">
        <v>44303</v>
      </c>
      <c r="E120" t="s">
        <v>129</v>
      </c>
      <c r="F120" t="s">
        <v>5</v>
      </c>
      <c r="G120" s="2">
        <v>184400</v>
      </c>
      <c r="H120" s="2">
        <v>0</v>
      </c>
      <c r="I120" s="2">
        <v>16596</v>
      </c>
      <c r="J120" s="2">
        <v>16596</v>
      </c>
      <c r="K120" s="2">
        <v>0</v>
      </c>
      <c r="L120" s="2">
        <v>0</v>
      </c>
      <c r="M120" s="2">
        <v>0</v>
      </c>
      <c r="N120" s="2">
        <v>0</v>
      </c>
      <c r="O120" s="2">
        <v>0</v>
      </c>
      <c r="P120" s="2">
        <v>0</v>
      </c>
      <c r="Q120" s="2">
        <v>0</v>
      </c>
      <c r="R120" s="2" t="s">
        <v>55</v>
      </c>
      <c r="S120" s="2" t="s">
        <v>24</v>
      </c>
      <c r="T120" s="2"/>
    </row>
    <row r="121" spans="1:20" x14ac:dyDescent="0.25">
      <c r="A121" s="2" t="s">
        <v>378</v>
      </c>
      <c r="B121" s="2" t="s">
        <v>377</v>
      </c>
      <c r="C121" s="2" t="s">
        <v>110</v>
      </c>
      <c r="D121" s="70">
        <v>44303</v>
      </c>
      <c r="E121" t="s">
        <v>129</v>
      </c>
      <c r="F121" t="s">
        <v>5</v>
      </c>
      <c r="G121" s="2">
        <v>82968</v>
      </c>
      <c r="H121" s="2">
        <v>0</v>
      </c>
      <c r="I121" s="2">
        <v>7467.12</v>
      </c>
      <c r="J121" s="2">
        <v>7467.12</v>
      </c>
      <c r="K121" s="2">
        <v>0</v>
      </c>
      <c r="L121" s="2">
        <v>0</v>
      </c>
      <c r="M121" s="2">
        <v>0</v>
      </c>
      <c r="N121" s="2">
        <v>0</v>
      </c>
      <c r="O121" s="2">
        <v>0</v>
      </c>
      <c r="P121" s="2">
        <v>0</v>
      </c>
      <c r="Q121" s="2">
        <v>0</v>
      </c>
      <c r="R121" s="2" t="s">
        <v>55</v>
      </c>
      <c r="S121" s="2" t="s">
        <v>24</v>
      </c>
      <c r="T121" s="2"/>
    </row>
    <row r="122" spans="1:20" x14ac:dyDescent="0.25">
      <c r="A122" s="2" t="s">
        <v>378</v>
      </c>
      <c r="B122" s="2" t="s">
        <v>377</v>
      </c>
      <c r="C122" s="2" t="s">
        <v>259</v>
      </c>
      <c r="D122" s="70">
        <v>44305</v>
      </c>
      <c r="E122" t="s">
        <v>129</v>
      </c>
      <c r="F122" t="s">
        <v>5</v>
      </c>
      <c r="G122" s="2">
        <v>83850</v>
      </c>
      <c r="H122" s="2">
        <v>0</v>
      </c>
      <c r="I122" s="2">
        <v>7546.5</v>
      </c>
      <c r="J122" s="2">
        <v>7546.5</v>
      </c>
      <c r="K122" s="2">
        <v>0</v>
      </c>
      <c r="L122" s="2">
        <v>0</v>
      </c>
      <c r="M122" s="2">
        <v>0</v>
      </c>
      <c r="N122" s="2">
        <v>0</v>
      </c>
      <c r="O122" s="2">
        <v>0</v>
      </c>
      <c r="P122" s="2">
        <v>0</v>
      </c>
      <c r="Q122" s="2">
        <v>0</v>
      </c>
      <c r="R122" s="2" t="s">
        <v>55</v>
      </c>
      <c r="S122" s="2" t="s">
        <v>24</v>
      </c>
      <c r="T122" s="2"/>
    </row>
    <row r="123" spans="1:20" x14ac:dyDescent="0.25">
      <c r="A123" s="2" t="s">
        <v>378</v>
      </c>
      <c r="B123" s="2" t="s">
        <v>377</v>
      </c>
      <c r="C123" s="2" t="s">
        <v>118</v>
      </c>
      <c r="D123" s="70">
        <v>44305</v>
      </c>
      <c r="E123" t="s">
        <v>129</v>
      </c>
      <c r="F123" t="s">
        <v>5</v>
      </c>
      <c r="G123" s="2">
        <v>116878</v>
      </c>
      <c r="H123" s="2">
        <v>0</v>
      </c>
      <c r="I123" s="2">
        <v>10519.02</v>
      </c>
      <c r="J123" s="2">
        <v>10519.02</v>
      </c>
      <c r="K123" s="2">
        <v>0</v>
      </c>
      <c r="L123" s="2">
        <v>0</v>
      </c>
      <c r="M123" s="2">
        <v>0</v>
      </c>
      <c r="N123" s="2">
        <v>0</v>
      </c>
      <c r="O123" s="2">
        <v>0</v>
      </c>
      <c r="P123" s="2">
        <v>0</v>
      </c>
      <c r="Q123" s="2">
        <v>0</v>
      </c>
      <c r="R123" s="2" t="s">
        <v>55</v>
      </c>
      <c r="S123" s="2" t="s">
        <v>24</v>
      </c>
      <c r="T123" s="2"/>
    </row>
    <row r="124" spans="1:20" x14ac:dyDescent="0.25">
      <c r="A124" s="2" t="s">
        <v>378</v>
      </c>
      <c r="B124" s="2" t="s">
        <v>377</v>
      </c>
      <c r="C124" s="2" t="s">
        <v>102</v>
      </c>
      <c r="D124" s="70">
        <v>44306</v>
      </c>
      <c r="E124" t="s">
        <v>129</v>
      </c>
      <c r="F124" t="s">
        <v>5</v>
      </c>
      <c r="G124" s="2">
        <v>115400</v>
      </c>
      <c r="H124" s="2">
        <v>0</v>
      </c>
      <c r="I124" s="2">
        <v>10386</v>
      </c>
      <c r="J124" s="2">
        <v>10386</v>
      </c>
      <c r="K124" s="2">
        <v>0</v>
      </c>
      <c r="L124" s="2">
        <v>0</v>
      </c>
      <c r="M124" s="2">
        <v>0</v>
      </c>
      <c r="N124" s="2">
        <v>0</v>
      </c>
      <c r="O124" s="2">
        <v>0</v>
      </c>
      <c r="P124" s="2">
        <v>0</v>
      </c>
      <c r="Q124" s="2">
        <v>0</v>
      </c>
      <c r="R124" s="2" t="s">
        <v>55</v>
      </c>
      <c r="S124" s="2" t="s">
        <v>24</v>
      </c>
      <c r="T124" s="2"/>
    </row>
    <row r="125" spans="1:20" x14ac:dyDescent="0.25">
      <c r="A125" s="2" t="s">
        <v>378</v>
      </c>
      <c r="B125" s="2" t="s">
        <v>377</v>
      </c>
      <c r="C125" s="2" t="s">
        <v>263</v>
      </c>
      <c r="D125" s="70">
        <v>44309</v>
      </c>
      <c r="E125" t="s">
        <v>129</v>
      </c>
      <c r="F125" t="s">
        <v>5</v>
      </c>
      <c r="G125" s="2">
        <v>74308</v>
      </c>
      <c r="H125" s="2">
        <v>0</v>
      </c>
      <c r="I125" s="2">
        <v>6687.72</v>
      </c>
      <c r="J125" s="2">
        <v>6687.72</v>
      </c>
      <c r="K125" s="2">
        <v>0</v>
      </c>
      <c r="L125" s="2">
        <v>0</v>
      </c>
      <c r="M125" s="2">
        <v>0</v>
      </c>
      <c r="N125" s="2">
        <v>0</v>
      </c>
      <c r="O125" s="2">
        <v>0</v>
      </c>
      <c r="P125" s="2">
        <v>0</v>
      </c>
      <c r="Q125" s="2">
        <v>0</v>
      </c>
      <c r="R125" s="2" t="s">
        <v>55</v>
      </c>
      <c r="S125" s="2" t="s">
        <v>24</v>
      </c>
      <c r="T125" s="2"/>
    </row>
    <row r="126" spans="1:20" x14ac:dyDescent="0.25">
      <c r="A126" s="2" t="s">
        <v>378</v>
      </c>
      <c r="B126" s="2" t="s">
        <v>377</v>
      </c>
      <c r="C126" s="2" t="s">
        <v>113</v>
      </c>
      <c r="D126" s="70">
        <v>44314</v>
      </c>
      <c r="E126" t="s">
        <v>129</v>
      </c>
      <c r="F126" t="s">
        <v>5</v>
      </c>
      <c r="G126" s="2">
        <v>120824</v>
      </c>
      <c r="H126" s="2">
        <v>0</v>
      </c>
      <c r="I126" s="2">
        <v>10874.16</v>
      </c>
      <c r="J126" s="2">
        <v>10874.16</v>
      </c>
      <c r="K126" s="2">
        <v>0</v>
      </c>
      <c r="L126" s="2">
        <v>0</v>
      </c>
      <c r="M126" s="2">
        <v>0</v>
      </c>
      <c r="N126" s="2">
        <v>0</v>
      </c>
      <c r="O126" s="2">
        <v>0</v>
      </c>
      <c r="P126" s="2">
        <v>0</v>
      </c>
      <c r="Q126" s="2">
        <v>0</v>
      </c>
      <c r="R126" s="2" t="s">
        <v>55</v>
      </c>
      <c r="S126" s="2" t="s">
        <v>24</v>
      </c>
      <c r="T126" s="2"/>
    </row>
    <row r="127" spans="1:20" x14ac:dyDescent="0.25">
      <c r="A127" s="2" t="s">
        <v>379</v>
      </c>
      <c r="B127" s="2" t="s">
        <v>377</v>
      </c>
      <c r="C127" s="2" t="s">
        <v>266</v>
      </c>
      <c r="D127" s="70">
        <v>44316</v>
      </c>
      <c r="E127" t="s">
        <v>129</v>
      </c>
      <c r="F127" t="s">
        <v>5</v>
      </c>
      <c r="G127" s="2">
        <v>249126</v>
      </c>
      <c r="H127" s="2">
        <v>0</v>
      </c>
      <c r="I127" s="2">
        <v>22421.34</v>
      </c>
      <c r="J127" s="2">
        <v>22421.34</v>
      </c>
      <c r="K127" s="2">
        <v>0</v>
      </c>
      <c r="L127" s="2">
        <v>0</v>
      </c>
      <c r="M127" s="2">
        <v>0</v>
      </c>
      <c r="N127" s="2">
        <v>0</v>
      </c>
      <c r="O127" s="2">
        <v>0</v>
      </c>
      <c r="P127" s="2">
        <v>0</v>
      </c>
      <c r="Q127" s="2">
        <v>0</v>
      </c>
      <c r="R127" s="2" t="s">
        <v>55</v>
      </c>
      <c r="S127" s="2" t="s">
        <v>24</v>
      </c>
      <c r="T127" s="2"/>
    </row>
    <row r="128" spans="1:20" x14ac:dyDescent="0.25">
      <c r="A128" s="2" t="s">
        <v>379</v>
      </c>
      <c r="B128" s="2" t="s">
        <v>377</v>
      </c>
      <c r="C128" s="2" t="s">
        <v>268</v>
      </c>
      <c r="D128" s="70">
        <v>44316</v>
      </c>
      <c r="E128" t="s">
        <v>129</v>
      </c>
      <c r="F128" t="s">
        <v>5</v>
      </c>
      <c r="G128" s="2">
        <v>133990</v>
      </c>
      <c r="H128" s="2">
        <v>0</v>
      </c>
      <c r="I128" s="2">
        <v>12059.1</v>
      </c>
      <c r="J128" s="2">
        <v>12059.1</v>
      </c>
      <c r="K128" s="2">
        <v>0</v>
      </c>
      <c r="L128" s="2">
        <v>0</v>
      </c>
      <c r="M128" s="2">
        <v>0</v>
      </c>
      <c r="N128" s="2">
        <v>0</v>
      </c>
      <c r="O128" s="2">
        <v>0</v>
      </c>
      <c r="P128" s="2">
        <v>0</v>
      </c>
      <c r="Q128" s="2">
        <v>0</v>
      </c>
      <c r="R128" s="2" t="s">
        <v>55</v>
      </c>
      <c r="S128" s="2" t="s">
        <v>24</v>
      </c>
      <c r="T128" s="2"/>
    </row>
    <row r="129" spans="1:20" x14ac:dyDescent="0.25">
      <c r="A129" s="2" t="s">
        <v>383</v>
      </c>
      <c r="B129" s="2" t="s">
        <v>377</v>
      </c>
      <c r="C129" s="2" t="s">
        <v>270</v>
      </c>
      <c r="D129" s="70">
        <v>44287</v>
      </c>
      <c r="E129" t="s">
        <v>129</v>
      </c>
      <c r="F129" t="s">
        <v>5</v>
      </c>
      <c r="G129" s="2">
        <v>84400</v>
      </c>
      <c r="H129" s="2">
        <v>15192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2">
        <v>0</v>
      </c>
      <c r="R129" s="2" t="s">
        <v>55</v>
      </c>
      <c r="S129" s="2" t="s">
        <v>24</v>
      </c>
      <c r="T129" s="2"/>
    </row>
    <row r="130" spans="1:20" x14ac:dyDescent="0.25">
      <c r="A130" s="2" t="s">
        <v>493</v>
      </c>
      <c r="B130" s="2" t="s">
        <v>377</v>
      </c>
      <c r="C130" s="2" t="s">
        <v>119</v>
      </c>
      <c r="D130" s="70">
        <v>44255</v>
      </c>
      <c r="E130" t="s">
        <v>129</v>
      </c>
      <c r="F130" t="s">
        <v>5</v>
      </c>
      <c r="G130" s="2">
        <v>812</v>
      </c>
      <c r="H130" s="2">
        <v>0</v>
      </c>
      <c r="I130" s="2">
        <v>73.08</v>
      </c>
      <c r="J130" s="2">
        <v>73.08</v>
      </c>
      <c r="K130" s="2">
        <v>0</v>
      </c>
      <c r="L130" s="2">
        <v>0</v>
      </c>
      <c r="M130" s="2">
        <v>0</v>
      </c>
      <c r="N130" s="2">
        <v>0</v>
      </c>
      <c r="O130" s="2">
        <v>0</v>
      </c>
      <c r="P130" s="2">
        <v>0</v>
      </c>
      <c r="Q130" s="2">
        <v>0</v>
      </c>
      <c r="R130" s="2" t="s">
        <v>357</v>
      </c>
      <c r="S130" s="2" t="s">
        <v>24</v>
      </c>
      <c r="T130" s="2"/>
    </row>
    <row r="131" spans="1:20" x14ac:dyDescent="0.25">
      <c r="A131" s="2" t="s">
        <v>387</v>
      </c>
      <c r="B131" s="2" t="s">
        <v>377</v>
      </c>
      <c r="C131" s="2" t="s">
        <v>272</v>
      </c>
      <c r="D131" s="70">
        <v>44289</v>
      </c>
      <c r="E131" t="s">
        <v>129</v>
      </c>
      <c r="F131" t="s">
        <v>5</v>
      </c>
      <c r="G131" s="2">
        <v>3398400</v>
      </c>
      <c r="H131" s="2">
        <v>611712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2">
        <v>0</v>
      </c>
      <c r="R131" s="2" t="s">
        <v>55</v>
      </c>
      <c r="S131" s="2" t="s">
        <v>24</v>
      </c>
      <c r="T131" s="2"/>
    </row>
    <row r="132" spans="1:20" x14ac:dyDescent="0.25">
      <c r="A132" s="2" t="s">
        <v>387</v>
      </c>
      <c r="B132" s="2" t="s">
        <v>377</v>
      </c>
      <c r="C132" s="2" t="s">
        <v>273</v>
      </c>
      <c r="D132" s="70">
        <v>44302</v>
      </c>
      <c r="E132" t="s">
        <v>129</v>
      </c>
      <c r="F132" t="s">
        <v>5</v>
      </c>
      <c r="G132" s="2">
        <v>4624576</v>
      </c>
      <c r="H132" s="2">
        <v>832424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2">
        <v>0</v>
      </c>
      <c r="R132" s="2" t="s">
        <v>55</v>
      </c>
      <c r="S132" s="2" t="s">
        <v>24</v>
      </c>
      <c r="T132" s="2"/>
    </row>
    <row r="133" spans="1:20" x14ac:dyDescent="0.25">
      <c r="A133" s="2" t="s">
        <v>387</v>
      </c>
      <c r="B133" s="2" t="s">
        <v>377</v>
      </c>
      <c r="C133" s="2" t="s">
        <v>275</v>
      </c>
      <c r="D133" s="70">
        <v>44305</v>
      </c>
      <c r="E133" t="s">
        <v>129</v>
      </c>
      <c r="F133" t="s">
        <v>5</v>
      </c>
      <c r="G133" s="2">
        <v>4740386</v>
      </c>
      <c r="H133" s="2">
        <v>853270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 s="2">
        <v>0</v>
      </c>
      <c r="O133" s="2">
        <v>0</v>
      </c>
      <c r="P133" s="2">
        <v>0</v>
      </c>
      <c r="Q133" s="2">
        <v>0</v>
      </c>
      <c r="R133" s="2" t="s">
        <v>55</v>
      </c>
      <c r="S133" s="2" t="s">
        <v>24</v>
      </c>
      <c r="T133" s="2"/>
    </row>
    <row r="134" spans="1:20" x14ac:dyDescent="0.25">
      <c r="A134" s="2" t="s">
        <v>387</v>
      </c>
      <c r="B134" s="2" t="s">
        <v>377</v>
      </c>
      <c r="C134" s="2" t="s">
        <v>277</v>
      </c>
      <c r="D134" s="70">
        <v>44310</v>
      </c>
      <c r="E134" t="s">
        <v>129</v>
      </c>
      <c r="F134" t="s">
        <v>5</v>
      </c>
      <c r="G134" s="2">
        <v>4756036</v>
      </c>
      <c r="H134" s="2">
        <v>856086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 s="2">
        <v>0</v>
      </c>
      <c r="O134" s="2">
        <v>0</v>
      </c>
      <c r="P134" s="2">
        <v>0</v>
      </c>
      <c r="Q134" s="2">
        <v>0</v>
      </c>
      <c r="R134" s="2" t="s">
        <v>55</v>
      </c>
      <c r="S134" s="2" t="s">
        <v>24</v>
      </c>
      <c r="T134" s="2"/>
    </row>
    <row r="135" spans="1:20" x14ac:dyDescent="0.25">
      <c r="A135" s="2" t="s">
        <v>387</v>
      </c>
      <c r="B135" s="2" t="s">
        <v>377</v>
      </c>
      <c r="C135" s="2" t="s">
        <v>279</v>
      </c>
      <c r="D135" s="70">
        <v>44315</v>
      </c>
      <c r="E135" t="s">
        <v>129</v>
      </c>
      <c r="F135" t="s">
        <v>5</v>
      </c>
      <c r="G135" s="2">
        <v>4729430</v>
      </c>
      <c r="H135" s="2">
        <v>851298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 s="2">
        <v>0</v>
      </c>
      <c r="O135" s="2">
        <v>0</v>
      </c>
      <c r="P135" s="2">
        <v>0</v>
      </c>
      <c r="Q135" s="2">
        <v>0</v>
      </c>
      <c r="R135" s="2" t="s">
        <v>55</v>
      </c>
      <c r="S135" s="2" t="s">
        <v>24</v>
      </c>
      <c r="T135" s="2"/>
    </row>
    <row r="136" spans="1:20" x14ac:dyDescent="0.25">
      <c r="A136" s="2" t="s">
        <v>388</v>
      </c>
      <c r="B136" s="2" t="s">
        <v>377</v>
      </c>
      <c r="C136" s="2" t="s">
        <v>282</v>
      </c>
      <c r="D136" s="70">
        <v>44294</v>
      </c>
      <c r="E136" t="s">
        <v>129</v>
      </c>
      <c r="F136" t="s">
        <v>5</v>
      </c>
      <c r="G136" s="2">
        <v>74131.199999999997</v>
      </c>
      <c r="H136" s="2">
        <v>13343.62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 s="2">
        <v>0</v>
      </c>
      <c r="O136" s="2">
        <v>0</v>
      </c>
      <c r="P136" s="2">
        <v>0</v>
      </c>
      <c r="Q136" s="2">
        <v>0</v>
      </c>
      <c r="R136" s="2" t="s">
        <v>55</v>
      </c>
      <c r="S136" s="2" t="s">
        <v>24</v>
      </c>
      <c r="T136" s="2"/>
    </row>
    <row r="137" spans="1:20" x14ac:dyDescent="0.25">
      <c r="A137" s="2" t="s">
        <v>389</v>
      </c>
      <c r="B137" s="2" t="s">
        <v>377</v>
      </c>
      <c r="C137" s="2" t="s">
        <v>284</v>
      </c>
      <c r="D137" s="70">
        <v>44294</v>
      </c>
      <c r="E137" t="s">
        <v>129</v>
      </c>
      <c r="F137" t="s">
        <v>5</v>
      </c>
      <c r="G137" s="2">
        <v>4727.16</v>
      </c>
      <c r="H137" s="2">
        <v>0</v>
      </c>
      <c r="I137" s="2">
        <v>425.44</v>
      </c>
      <c r="J137" s="2">
        <v>425.44</v>
      </c>
      <c r="K137" s="2">
        <v>0</v>
      </c>
      <c r="L137" s="2">
        <v>0</v>
      </c>
      <c r="M137" s="2">
        <v>0</v>
      </c>
      <c r="N137" s="2">
        <v>0</v>
      </c>
      <c r="O137" s="2">
        <v>0</v>
      </c>
      <c r="P137" s="2">
        <v>0</v>
      </c>
      <c r="Q137" s="2">
        <v>0</v>
      </c>
      <c r="R137" s="2" t="s">
        <v>55</v>
      </c>
      <c r="S137" s="2" t="s">
        <v>24</v>
      </c>
      <c r="T137" s="2"/>
    </row>
    <row r="138" spans="1:20" x14ac:dyDescent="0.25">
      <c r="A138" s="2" t="s">
        <v>384</v>
      </c>
      <c r="B138" s="2" t="s">
        <v>377</v>
      </c>
      <c r="C138" s="2" t="s">
        <v>287</v>
      </c>
      <c r="D138" s="70">
        <v>44305</v>
      </c>
      <c r="E138" t="s">
        <v>129</v>
      </c>
      <c r="F138" t="s">
        <v>5</v>
      </c>
      <c r="G138" s="2">
        <v>92000</v>
      </c>
      <c r="H138" s="2">
        <v>16560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 s="2">
        <v>0</v>
      </c>
      <c r="O138" s="2">
        <v>0</v>
      </c>
      <c r="P138" s="2">
        <v>0</v>
      </c>
      <c r="Q138" s="2">
        <v>0</v>
      </c>
      <c r="R138" s="2" t="s">
        <v>55</v>
      </c>
      <c r="S138" s="2" t="s">
        <v>24</v>
      </c>
      <c r="T138" s="2"/>
    </row>
    <row r="139" spans="1:20" x14ac:dyDescent="0.25">
      <c r="A139" s="2" t="s">
        <v>385</v>
      </c>
      <c r="B139" s="2" t="s">
        <v>377</v>
      </c>
      <c r="C139" s="2" t="s">
        <v>289</v>
      </c>
      <c r="D139" s="70">
        <v>44301</v>
      </c>
      <c r="E139" t="s">
        <v>129</v>
      </c>
      <c r="F139" t="s">
        <v>5</v>
      </c>
      <c r="G139" s="2">
        <v>134265.60000000001</v>
      </c>
      <c r="H139" s="2">
        <v>24167.8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 s="2">
        <v>0</v>
      </c>
      <c r="O139" s="2">
        <v>0</v>
      </c>
      <c r="P139" s="2">
        <v>0</v>
      </c>
      <c r="Q139" s="2">
        <v>0</v>
      </c>
      <c r="R139" s="2" t="s">
        <v>55</v>
      </c>
      <c r="S139" s="2" t="s">
        <v>24</v>
      </c>
      <c r="T139" s="2"/>
    </row>
    <row r="140" spans="1:20" x14ac:dyDescent="0.25">
      <c r="A140" s="2" t="s">
        <v>385</v>
      </c>
      <c r="B140" s="2" t="s">
        <v>377</v>
      </c>
      <c r="C140" s="2" t="s">
        <v>290</v>
      </c>
      <c r="D140" s="70">
        <v>44301</v>
      </c>
      <c r="E140" t="s">
        <v>129</v>
      </c>
      <c r="F140" t="s">
        <v>5</v>
      </c>
      <c r="G140" s="2">
        <v>696800</v>
      </c>
      <c r="H140" s="2">
        <v>125424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2">
        <v>0</v>
      </c>
      <c r="R140" s="2" t="s">
        <v>55</v>
      </c>
      <c r="S140" s="2" t="s">
        <v>24</v>
      </c>
      <c r="T140" s="2"/>
    </row>
    <row r="141" spans="1:20" x14ac:dyDescent="0.25">
      <c r="A141" s="2" t="s">
        <v>385</v>
      </c>
      <c r="B141" s="2" t="s">
        <v>377</v>
      </c>
      <c r="C141" s="2" t="s">
        <v>292</v>
      </c>
      <c r="D141" s="70">
        <v>44306</v>
      </c>
      <c r="E141" t="s">
        <v>129</v>
      </c>
      <c r="F141" t="s">
        <v>5</v>
      </c>
      <c r="G141" s="2">
        <v>696800</v>
      </c>
      <c r="H141" s="2">
        <v>125424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2">
        <v>0</v>
      </c>
      <c r="R141" s="2" t="s">
        <v>55</v>
      </c>
      <c r="S141" s="2" t="s">
        <v>24</v>
      </c>
      <c r="T141" s="2"/>
    </row>
    <row r="142" spans="1:20" x14ac:dyDescent="0.25">
      <c r="A142" s="2" t="s">
        <v>386</v>
      </c>
      <c r="B142" s="2" t="s">
        <v>377</v>
      </c>
      <c r="C142" s="2" t="s">
        <v>294</v>
      </c>
      <c r="D142" s="70">
        <v>44313</v>
      </c>
      <c r="E142" t="s">
        <v>129</v>
      </c>
      <c r="F142" t="s">
        <v>5</v>
      </c>
      <c r="G142" s="2">
        <v>3588</v>
      </c>
      <c r="H142" s="2">
        <v>0</v>
      </c>
      <c r="I142" s="2">
        <v>322.92</v>
      </c>
      <c r="J142" s="2">
        <v>322.92</v>
      </c>
      <c r="K142" s="2">
        <v>0</v>
      </c>
      <c r="L142" s="2">
        <v>0</v>
      </c>
      <c r="M142" s="2">
        <v>0</v>
      </c>
      <c r="N142" s="2">
        <v>0</v>
      </c>
      <c r="O142" s="2">
        <v>0</v>
      </c>
      <c r="P142" s="2">
        <v>0</v>
      </c>
      <c r="Q142" s="2">
        <v>0</v>
      </c>
      <c r="R142" s="2" t="s">
        <v>55</v>
      </c>
      <c r="S142" s="2" t="s">
        <v>24</v>
      </c>
      <c r="T142" s="2"/>
    </row>
    <row r="143" spans="1:20" x14ac:dyDescent="0.25">
      <c r="A143" s="2" t="s">
        <v>387</v>
      </c>
      <c r="B143" s="2" t="s">
        <v>377</v>
      </c>
      <c r="C143" s="2" t="s">
        <v>358</v>
      </c>
      <c r="D143" s="70">
        <v>44258</v>
      </c>
      <c r="E143" t="s">
        <v>129</v>
      </c>
      <c r="F143" t="s">
        <v>130</v>
      </c>
      <c r="G143" s="2">
        <v>55800</v>
      </c>
      <c r="H143" s="2">
        <v>10044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 s="2">
        <v>0</v>
      </c>
      <c r="O143" s="2">
        <v>0</v>
      </c>
      <c r="P143" s="2">
        <v>0</v>
      </c>
      <c r="Q143" s="2">
        <v>0</v>
      </c>
      <c r="R143" s="2" t="s">
        <v>359</v>
      </c>
      <c r="S143" s="2" t="s">
        <v>24</v>
      </c>
      <c r="T143" s="2"/>
    </row>
    <row r="144" spans="1:20" x14ac:dyDescent="0.25">
      <c r="A144" s="2" t="s">
        <v>494</v>
      </c>
      <c r="B144" s="2" t="s">
        <v>377</v>
      </c>
      <c r="C144" s="2" t="s">
        <v>106</v>
      </c>
      <c r="D144" s="70">
        <v>44201</v>
      </c>
      <c r="E144" t="s">
        <v>129</v>
      </c>
      <c r="F144" t="s">
        <v>5</v>
      </c>
      <c r="G144" s="2">
        <v>4000</v>
      </c>
      <c r="H144" s="2">
        <v>0</v>
      </c>
      <c r="I144" s="2">
        <v>360</v>
      </c>
      <c r="J144" s="2">
        <v>360</v>
      </c>
      <c r="K144" s="2">
        <v>0</v>
      </c>
      <c r="L144" s="2">
        <v>0</v>
      </c>
      <c r="M144" s="2">
        <v>0</v>
      </c>
      <c r="N144" s="2">
        <v>0</v>
      </c>
      <c r="O144" s="2">
        <v>0</v>
      </c>
      <c r="P144" s="2">
        <v>0</v>
      </c>
      <c r="Q144" s="2">
        <v>0</v>
      </c>
      <c r="R144" s="2" t="s">
        <v>357</v>
      </c>
      <c r="S144" s="2" t="s">
        <v>24</v>
      </c>
      <c r="T144" s="2"/>
    </row>
    <row r="145" spans="1:20" x14ac:dyDescent="0.25">
      <c r="A145" s="2" t="s">
        <v>494</v>
      </c>
      <c r="B145" s="2" t="s">
        <v>377</v>
      </c>
      <c r="C145" s="2" t="s">
        <v>114</v>
      </c>
      <c r="D145" s="70">
        <v>44201</v>
      </c>
      <c r="E145" t="s">
        <v>129</v>
      </c>
      <c r="F145" t="s">
        <v>5</v>
      </c>
      <c r="G145" s="2">
        <v>7200</v>
      </c>
      <c r="H145" s="2">
        <v>0</v>
      </c>
      <c r="I145" s="2">
        <v>648</v>
      </c>
      <c r="J145" s="2">
        <v>648</v>
      </c>
      <c r="K145" s="2">
        <v>0</v>
      </c>
      <c r="L145" s="2">
        <v>0</v>
      </c>
      <c r="M145" s="2">
        <v>0</v>
      </c>
      <c r="N145" s="2">
        <v>0</v>
      </c>
      <c r="O145" s="2">
        <v>0</v>
      </c>
      <c r="P145" s="2">
        <v>0</v>
      </c>
      <c r="Q145" s="2">
        <v>0</v>
      </c>
      <c r="R145" s="2" t="s">
        <v>357</v>
      </c>
      <c r="S145" s="2" t="s">
        <v>24</v>
      </c>
      <c r="T145" s="2"/>
    </row>
    <row r="146" spans="1:20" x14ac:dyDescent="0.25">
      <c r="A146" s="2" t="s">
        <v>495</v>
      </c>
      <c r="B146" s="2" t="s">
        <v>496</v>
      </c>
      <c r="C146" s="2" t="s">
        <v>497</v>
      </c>
      <c r="D146" s="70">
        <v>43992</v>
      </c>
      <c r="E146" t="s">
        <v>129</v>
      </c>
      <c r="F146" t="s">
        <v>5</v>
      </c>
      <c r="G146" s="2">
        <v>182692</v>
      </c>
      <c r="H146" s="2">
        <v>0</v>
      </c>
      <c r="I146" s="2">
        <v>16442</v>
      </c>
      <c r="J146" s="2">
        <v>16442</v>
      </c>
      <c r="K146" s="2">
        <v>0</v>
      </c>
      <c r="L146" s="2">
        <v>0</v>
      </c>
      <c r="M146" s="2">
        <v>0</v>
      </c>
      <c r="N146" s="2">
        <v>0</v>
      </c>
      <c r="O146" s="2">
        <v>0</v>
      </c>
      <c r="P146" s="2">
        <v>0</v>
      </c>
      <c r="Q146" s="2">
        <v>0</v>
      </c>
      <c r="R146" s="2" t="s">
        <v>357</v>
      </c>
      <c r="S146" s="2" t="s">
        <v>41</v>
      </c>
      <c r="T146" s="2"/>
    </row>
    <row r="147" spans="1:20" x14ac:dyDescent="0.25">
      <c r="A147" s="2" t="s">
        <v>498</v>
      </c>
      <c r="B147" s="2" t="s">
        <v>499</v>
      </c>
      <c r="C147" s="2" t="s">
        <v>37</v>
      </c>
      <c r="D147" s="70">
        <v>44105</v>
      </c>
      <c r="E147" t="s">
        <v>129</v>
      </c>
      <c r="F147" t="s">
        <v>5</v>
      </c>
      <c r="G147" s="2">
        <v>-4719.5</v>
      </c>
      <c r="H147" s="2">
        <v>0</v>
      </c>
      <c r="I147" s="2">
        <v>-424.76</v>
      </c>
      <c r="J147" s="2">
        <v>-424.76</v>
      </c>
      <c r="K147" s="2">
        <v>0</v>
      </c>
      <c r="L147" s="2">
        <v>0</v>
      </c>
      <c r="M147" s="2">
        <v>0</v>
      </c>
      <c r="N147" s="2">
        <v>0</v>
      </c>
      <c r="O147" s="2">
        <v>0</v>
      </c>
      <c r="P147" s="2">
        <v>0</v>
      </c>
      <c r="Q147" s="2">
        <v>0</v>
      </c>
      <c r="R147" s="2" t="s">
        <v>357</v>
      </c>
      <c r="S147" s="2" t="s">
        <v>43</v>
      </c>
      <c r="T147" s="2"/>
    </row>
    <row r="148" spans="1:20" x14ac:dyDescent="0.25">
      <c r="A148" s="2" t="s">
        <v>498</v>
      </c>
      <c r="B148" s="2" t="s">
        <v>499</v>
      </c>
      <c r="C148" s="2" t="s">
        <v>37</v>
      </c>
      <c r="D148" s="70">
        <v>44105</v>
      </c>
      <c r="E148" t="s">
        <v>129</v>
      </c>
      <c r="F148" t="s">
        <v>5</v>
      </c>
      <c r="G148" s="2">
        <v>-4719.5</v>
      </c>
      <c r="H148" s="2">
        <v>0</v>
      </c>
      <c r="I148" s="2">
        <v>-424.76</v>
      </c>
      <c r="J148" s="2">
        <v>-424.76</v>
      </c>
      <c r="K148" s="2">
        <v>0</v>
      </c>
      <c r="L148" s="2">
        <v>0</v>
      </c>
      <c r="M148" s="2">
        <v>0</v>
      </c>
      <c r="N148" s="2">
        <v>0</v>
      </c>
      <c r="O148" s="2">
        <v>0</v>
      </c>
      <c r="P148" s="2">
        <v>0</v>
      </c>
      <c r="Q148" s="2">
        <v>0</v>
      </c>
      <c r="R148" s="2" t="s">
        <v>357</v>
      </c>
      <c r="S148" s="2" t="s">
        <v>43</v>
      </c>
      <c r="T148" s="2"/>
    </row>
    <row r="149" spans="1:20" x14ac:dyDescent="0.25">
      <c r="A149" s="2" t="s">
        <v>391</v>
      </c>
      <c r="B149" s="2" t="s">
        <v>392</v>
      </c>
      <c r="C149" s="2" t="s">
        <v>362</v>
      </c>
      <c r="D149" s="70">
        <v>44313</v>
      </c>
      <c r="E149" t="s">
        <v>129</v>
      </c>
      <c r="F149" t="s">
        <v>5</v>
      </c>
      <c r="G149" s="2">
        <v>-31681.25</v>
      </c>
      <c r="H149" s="2">
        <v>-5702.63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 s="2">
        <v>0</v>
      </c>
      <c r="O149" s="2">
        <v>0</v>
      </c>
      <c r="P149" s="2">
        <v>0</v>
      </c>
      <c r="Q149" s="2">
        <v>0</v>
      </c>
      <c r="R149" s="2" t="s">
        <v>55</v>
      </c>
      <c r="S149" s="2" t="s">
        <v>43</v>
      </c>
      <c r="T149" s="2"/>
    </row>
    <row r="150" spans="1:20" x14ac:dyDescent="0.25">
      <c r="A150" s="2" t="s">
        <v>391</v>
      </c>
      <c r="B150" s="2" t="s">
        <v>392</v>
      </c>
      <c r="C150" s="2" t="s">
        <v>362</v>
      </c>
      <c r="D150" s="70">
        <v>44313</v>
      </c>
      <c r="E150" t="s">
        <v>129</v>
      </c>
      <c r="F150" t="s">
        <v>5</v>
      </c>
      <c r="G150" s="2">
        <v>-31681.25</v>
      </c>
      <c r="H150" s="2">
        <v>-5702.63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  <c r="Q150" s="2">
        <v>0</v>
      </c>
      <c r="R150" s="2" t="s">
        <v>55</v>
      </c>
      <c r="S150" s="2" t="s">
        <v>43</v>
      </c>
      <c r="T150" s="2"/>
    </row>
    <row r="151" spans="1:20" x14ac:dyDescent="0.25">
      <c r="A151" s="2" t="s">
        <v>124</v>
      </c>
      <c r="B151" s="2" t="s">
        <v>123</v>
      </c>
      <c r="C151" s="2" t="s">
        <v>489</v>
      </c>
      <c r="D151" s="70">
        <v>44292</v>
      </c>
      <c r="E151" t="s">
        <v>129</v>
      </c>
      <c r="F151" t="s">
        <v>5</v>
      </c>
      <c r="G151" s="2">
        <v>100000</v>
      </c>
      <c r="H151" s="2">
        <v>18000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  <c r="Q151" s="2">
        <v>0</v>
      </c>
      <c r="R151" s="2" t="s">
        <v>55</v>
      </c>
      <c r="S151" s="2" t="s">
        <v>124</v>
      </c>
      <c r="T151" s="2"/>
    </row>
    <row r="152" spans="1:20" x14ac:dyDescent="0.25">
      <c r="A152" s="2" t="s">
        <v>124</v>
      </c>
      <c r="B152" s="2" t="s">
        <v>123</v>
      </c>
      <c r="C152" s="2" t="s">
        <v>489</v>
      </c>
      <c r="D152" s="70">
        <v>44292</v>
      </c>
      <c r="E152" t="s">
        <v>129</v>
      </c>
      <c r="F152" t="s">
        <v>5</v>
      </c>
      <c r="G152" s="2">
        <v>100000</v>
      </c>
      <c r="H152" s="2">
        <v>18000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 s="2">
        <v>0</v>
      </c>
      <c r="O152" s="2">
        <v>0</v>
      </c>
      <c r="P152" s="2">
        <v>0</v>
      </c>
      <c r="Q152" s="2">
        <v>0</v>
      </c>
      <c r="R152" s="2" t="s">
        <v>55</v>
      </c>
      <c r="S152" s="2" t="s">
        <v>124</v>
      </c>
      <c r="T152" s="2"/>
    </row>
    <row r="153" spans="1:20" x14ac:dyDescent="0.25">
      <c r="A153" s="2" t="s">
        <v>351</v>
      </c>
      <c r="B153" s="2" t="s">
        <v>352</v>
      </c>
      <c r="C153" s="2" t="s">
        <v>353</v>
      </c>
      <c r="D153" s="70">
        <v>44496</v>
      </c>
      <c r="E153" t="s">
        <v>354</v>
      </c>
      <c r="F153" t="s">
        <v>5</v>
      </c>
      <c r="G153" s="2">
        <v>9786</v>
      </c>
      <c r="H153" s="2">
        <v>1761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 s="2">
        <v>0</v>
      </c>
      <c r="O153" s="2">
        <v>0</v>
      </c>
      <c r="P153" s="2">
        <v>0</v>
      </c>
      <c r="Q153" s="2">
        <v>0</v>
      </c>
      <c r="R153" s="2" t="s">
        <v>55</v>
      </c>
      <c r="S153" s="2" t="s">
        <v>355</v>
      </c>
      <c r="T153" s="2"/>
    </row>
    <row r="154" spans="1:20" x14ac:dyDescent="0.25">
      <c r="A154" s="2" t="s">
        <v>351</v>
      </c>
      <c r="B154" s="2" t="s">
        <v>352</v>
      </c>
      <c r="C154" s="2" t="s">
        <v>356</v>
      </c>
      <c r="D154" s="70">
        <v>44511</v>
      </c>
      <c r="E154" t="s">
        <v>354</v>
      </c>
      <c r="F154" t="s">
        <v>5</v>
      </c>
      <c r="G154" s="2">
        <v>466</v>
      </c>
      <c r="H154" s="2">
        <v>84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 s="2">
        <v>0</v>
      </c>
      <c r="O154" s="2">
        <v>0</v>
      </c>
      <c r="P154" s="2">
        <v>0</v>
      </c>
      <c r="Q154" s="2">
        <v>0</v>
      </c>
      <c r="R154" s="2" t="s">
        <v>55</v>
      </c>
      <c r="S154" s="2" t="s">
        <v>355</v>
      </c>
      <c r="T154" s="2"/>
    </row>
  </sheetData>
  <mergeCells count="4">
    <mergeCell ref="E1:I1"/>
    <mergeCell ref="J1:U1"/>
    <mergeCell ref="A1:D1"/>
    <mergeCell ref="V1:X1"/>
  </mergeCells>
  <phoneticPr fontId="1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�� �  �  �  �  �  �  
</file>

<file path=customXml/item3.xml>�� �  �  �  �  �  �  �  �  �  �  �  �  
</file>

<file path=customXml/item4.xml>�� 
</file>

<file path=customXml/itemProps1.xml><?xml version="1.0" encoding="utf-8"?>
<ds:datastoreItem xmlns:ds="http://schemas.openxmlformats.org/officeDocument/2006/customXml" ds:itemID="{73E1387B-D70A-4EBE-8BD3-EF7FA0366CD0}">
  <ds:schemaRefs/>
</ds:datastoreItem>
</file>

<file path=customXml/itemProps2.xml><?xml version="1.0" encoding="utf-8"?>
<ds:datastoreItem xmlns:ds="http://schemas.openxmlformats.org/officeDocument/2006/customXml" ds:itemID="{7D0AA42E-7282-4E0E-AE4E-60DDE71A3356}">
  <ds:schemaRefs/>
</ds:datastoreItem>
</file>

<file path=customXml/itemProps3.xml><?xml version="1.0" encoding="utf-8"?>
<ds:datastoreItem xmlns:ds="http://schemas.openxmlformats.org/officeDocument/2006/customXml" ds:itemID="{474A8410-A561-4CD8-83AF-4E5BC8BCCF70}">
  <ds:schemaRefs/>
</ds:datastoreItem>
</file>

<file path=customXml/itemProps4.xml><?xml version="1.0" encoding="utf-8"?>
<ds:datastoreItem xmlns:ds="http://schemas.openxmlformats.org/officeDocument/2006/customXml" ds:itemID="{CF20DA8C-E18D-47CF-BF1D-C2FBAE1DAF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7</vt:i4>
      </vt:variant>
    </vt:vector>
  </HeadingPairs>
  <TitlesOfParts>
    <vt:vector size="16" baseType="lpstr">
      <vt:lpstr>Data_Working</vt:lpstr>
      <vt:lpstr>Supplier Master</vt:lpstr>
      <vt:lpstr>Mismatch_Graph</vt:lpstr>
      <vt:lpstr>Suggested Matched</vt:lpstr>
      <vt:lpstr>Mismatch Invoices</vt:lpstr>
      <vt:lpstr>Voucher wise</vt:lpstr>
      <vt:lpstr>Dashboard</vt:lpstr>
      <vt:lpstr>Compelteinfo</vt:lpstr>
      <vt:lpstr>Final Recon</vt:lpstr>
      <vt:lpstr>Events</vt:lpstr>
      <vt:lpstr>Execption</vt:lpstr>
      <vt:lpstr>GIT</vt:lpstr>
      <vt:lpstr>Mismatch</vt:lpstr>
      <vt:lpstr>Path</vt:lpstr>
      <vt:lpstr>Purchase</vt:lpstr>
      <vt:lpstr>Statename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Vishal Sharma</dc:creator>
  <cp:lastModifiedBy>Vishal Sharma</cp:lastModifiedBy>
  <dcterms:created xsi:type="dcterms:W3CDTF">2015-06-05T18:17:20Z</dcterms:created>
  <dcterms:modified xsi:type="dcterms:W3CDTF">2022-05-19T07:10:34Z</dcterms:modified>
</cp:coreProperties>
</file>